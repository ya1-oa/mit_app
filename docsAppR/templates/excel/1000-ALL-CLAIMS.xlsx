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19"/>
  <workbookPr defaultThemeVersion="166925"/>
  <mc:AlternateContent xmlns:mc="http://schemas.openxmlformats.org/markup-compatibility/2006">
    <mc:Choice Requires="x15">
      <x15ac:absPath xmlns:x15ac="http://schemas.microsoft.com/office/spreadsheetml/2010/11/ac" url="https://d.docs.live.net/11a3f773ac1d9a35/Documents/Templates-Shared/"/>
    </mc:Choice>
  </mc:AlternateContent>
  <xr:revisionPtr revIDLastSave="860" documentId="8_{8BADF106-085E-4AE4-8B1A-24C4A96C310B}" xr6:coauthVersionLast="47" xr6:coauthVersionMax="47" xr10:uidLastSave="{F802866C-080B-473B-A96E-A5C76027D6AE}"/>
  <bookViews>
    <workbookView xWindow="-108" yWindow="-108" windowWidth="23256" windowHeight="13896" tabRatio="843" activeTab="3" xr2:uid="{02B1FF6F-6816-4A0F-86F0-87268B2F4E0A}"/>
  </bookViews>
  <sheets>
    <sheet name="ALL" sheetId="14" r:id="rId1"/>
    <sheet name="Sheet1" sheetId="17" r:id="rId2"/>
    <sheet name="CPS RPT" sheetId="23" r:id="rId3"/>
    <sheet name="ALL 2" sheetId="21" r:id="rId4"/>
    <sheet name="REPCPSLIST" sheetId="22" r:id="rId5"/>
    <sheet name="ALPHA A-Z" sheetId="20" r:id="rId6"/>
    <sheet name="PROVISIO" sheetId="2" r:id="rId7"/>
    <sheet name="how2" sheetId="13" r:id="rId8"/>
    <sheet name="CST" sheetId="15" r:id="rId9"/>
    <sheet name="SPLM" sheetId="12" r:id="rId10"/>
    <sheet name="Submit" sheetId="18" r:id="rId11"/>
    <sheet name="DONE" sheetId="6" r:id="rId12"/>
    <sheet name="DROPDN" sheetId="16" r:id="rId13"/>
  </sheets>
  <definedNames>
    <definedName name="_xlnm.Print_Area" localSheetId="3">'ALL 2'!$A$1:$N$81</definedName>
    <definedName name="_xlnm.Print_Area" localSheetId="5">'ALPHA A-Z'!$A$1:$O$71</definedName>
    <definedName name="_xlnm.Print_Area" localSheetId="2">'CPS RPT'!$A$1:$U$88</definedName>
    <definedName name="_xlnm.Print_Area" localSheetId="8">CST!$A$1:$R$68</definedName>
    <definedName name="_xlnm.Print_Area" localSheetId="0">ALL!$A$1:$L$38</definedName>
    <definedName name="_xlnm.Print_Area" localSheetId="9">SPLM!$A$1:$G$77</definedName>
    <definedName name="_xlnm.Print_Area" localSheetId="10">Submit!$A$1:$Z$75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3" i="23" l="1"/>
  <c r="E74" i="23" s="1"/>
  <c r="E70" i="23"/>
  <c r="I67" i="23"/>
  <c r="I68" i="23" s="1"/>
  <c r="I69" i="23" s="1"/>
  <c r="J65" i="6"/>
  <c r="I74" i="21"/>
  <c r="I75" i="21" s="1"/>
  <c r="I76" i="21" s="1"/>
  <c r="E77" i="21"/>
  <c r="E80" i="21"/>
  <c r="E81" i="21" s="1"/>
  <c r="J4" i="21" l="1"/>
  <c r="I66" i="20"/>
  <c r="I65" i="20"/>
  <c r="I64" i="20"/>
  <c r="I63" i="20"/>
  <c r="I62" i="20"/>
  <c r="I61" i="20"/>
  <c r="I60" i="20"/>
  <c r="I59" i="20"/>
  <c r="I58" i="20"/>
  <c r="I57" i="20"/>
  <c r="I54" i="20"/>
  <c r="I53" i="20"/>
  <c r="I52" i="20"/>
  <c r="I51" i="20"/>
  <c r="I50" i="20"/>
  <c r="I49" i="20"/>
  <c r="I40" i="20"/>
  <c r="I39" i="20"/>
  <c r="I38" i="20"/>
  <c r="I36" i="20"/>
  <c r="I35" i="20"/>
  <c r="I34" i="20"/>
  <c r="I33" i="20"/>
  <c r="I32" i="20"/>
  <c r="I31" i="20"/>
  <c r="I30" i="20"/>
  <c r="I29" i="20"/>
  <c r="I28" i="20"/>
  <c r="I27" i="20"/>
  <c r="I26" i="20"/>
  <c r="I25" i="20"/>
  <c r="I24" i="20"/>
  <c r="I23" i="20"/>
  <c r="I22" i="20"/>
  <c r="I21" i="20"/>
  <c r="I20" i="20"/>
  <c r="I19" i="20"/>
  <c r="I18" i="20"/>
  <c r="I17" i="20"/>
  <c r="I16" i="20"/>
  <c r="I15" i="20"/>
  <c r="I14" i="20"/>
  <c r="I13" i="20"/>
  <c r="I12" i="20"/>
  <c r="I11" i="20"/>
  <c r="I9" i="20"/>
  <c r="I8" i="20"/>
  <c r="I7" i="20"/>
  <c r="I6" i="20"/>
  <c r="I5" i="20"/>
  <c r="I4" i="20"/>
  <c r="I3" i="20"/>
  <c r="I2" i="20"/>
  <c r="I58" i="6"/>
  <c r="J58" i="6"/>
  <c r="S58" i="6"/>
  <c r="V58" i="6"/>
  <c r="W58" i="6"/>
  <c r="I56" i="6"/>
  <c r="S56" i="6"/>
  <c r="V56" i="6"/>
  <c r="W56" i="6"/>
  <c r="Y55" i="6"/>
  <c r="V55" i="6"/>
  <c r="S55" i="6"/>
  <c r="J55" i="6"/>
  <c r="V54" i="6"/>
  <c r="S54" i="6"/>
  <c r="J54" i="6"/>
  <c r="I54" i="6"/>
  <c r="Y53" i="6"/>
  <c r="V53" i="6"/>
  <c r="T53" i="6"/>
  <c r="S53" i="6"/>
  <c r="P53" i="6"/>
  <c r="O53" i="6"/>
  <c r="K53" i="6"/>
  <c r="J53" i="6"/>
  <c r="I51" i="6"/>
  <c r="J51" i="6"/>
  <c r="K51" i="6"/>
  <c r="O51" i="6"/>
  <c r="P51" i="6"/>
  <c r="S51" i="6"/>
  <c r="T51" i="6"/>
  <c r="V51" i="6"/>
  <c r="U58" i="20"/>
  <c r="R58" i="20"/>
  <c r="U63" i="20"/>
  <c r="R63" i="20"/>
  <c r="U54" i="20"/>
  <c r="S54" i="20"/>
  <c r="R54" i="20"/>
  <c r="AC54" i="20"/>
  <c r="AB54" i="20"/>
  <c r="U53" i="20"/>
  <c r="S53" i="20"/>
  <c r="R53" i="20"/>
  <c r="AC53" i="20"/>
  <c r="AB53" i="20"/>
  <c r="U55" i="20"/>
  <c r="R55" i="20"/>
  <c r="U52" i="20"/>
  <c r="R52" i="20"/>
  <c r="AC52" i="20"/>
  <c r="U68" i="20"/>
  <c r="R68" i="20"/>
  <c r="AC68" i="20"/>
  <c r="U25" i="20"/>
  <c r="AB25" i="20"/>
  <c r="U36" i="20"/>
  <c r="S36" i="20"/>
  <c r="R36" i="20"/>
  <c r="AC36" i="20"/>
  <c r="AB36" i="20"/>
  <c r="U10" i="20"/>
  <c r="R10" i="20"/>
  <c r="I10" i="20"/>
  <c r="AB10" i="20"/>
  <c r="V17" i="20"/>
  <c r="U17" i="20"/>
  <c r="R17" i="20"/>
  <c r="AB17" i="20"/>
  <c r="V28" i="20"/>
  <c r="U28" i="20"/>
  <c r="R28" i="20"/>
  <c r="AB28" i="20"/>
  <c r="V19" i="20"/>
  <c r="U19" i="20"/>
  <c r="R19" i="20"/>
  <c r="AB19" i="20"/>
  <c r="V21" i="20"/>
  <c r="U21" i="20"/>
  <c r="R21" i="20"/>
  <c r="AB21" i="20"/>
  <c r="V34" i="20"/>
  <c r="U34" i="20"/>
  <c r="R34" i="20"/>
  <c r="AB34" i="20"/>
  <c r="V24" i="20"/>
  <c r="U24" i="20"/>
  <c r="R24" i="20"/>
  <c r="AB24" i="20"/>
  <c r="V12" i="20"/>
  <c r="U12" i="20"/>
  <c r="R12" i="20"/>
  <c r="AB12" i="20"/>
  <c r="V4" i="20"/>
  <c r="U4" i="20"/>
  <c r="AB4" i="20"/>
  <c r="V33" i="20"/>
  <c r="U33" i="20"/>
  <c r="R33" i="20"/>
  <c r="AB33" i="20"/>
  <c r="V13" i="20"/>
  <c r="U13" i="20"/>
  <c r="R13" i="20"/>
  <c r="AB13" i="20"/>
  <c r="V31" i="20"/>
  <c r="U31" i="20"/>
  <c r="R31" i="20"/>
  <c r="AB31" i="20"/>
  <c r="V32" i="20"/>
  <c r="U32" i="20"/>
  <c r="R32" i="20"/>
  <c r="AB32" i="20"/>
  <c r="V6" i="20"/>
  <c r="U6" i="20"/>
  <c r="AB6" i="20"/>
  <c r="V5" i="20"/>
  <c r="U5" i="20"/>
  <c r="AB5" i="20"/>
  <c r="V16" i="20"/>
  <c r="U16" i="20"/>
  <c r="R16" i="20"/>
  <c r="AB16" i="20"/>
  <c r="V8" i="20"/>
  <c r="U8" i="20"/>
  <c r="AB8" i="20"/>
  <c r="V15" i="20"/>
  <c r="U15" i="20"/>
  <c r="R15" i="20"/>
  <c r="AB15" i="20"/>
  <c r="I47" i="6" l="1"/>
  <c r="J47" i="6"/>
  <c r="S47" i="6"/>
  <c r="V47" i="6"/>
  <c r="W47" i="6"/>
  <c r="I46" i="6"/>
  <c r="J46" i="6"/>
  <c r="S46" i="6"/>
  <c r="V46" i="6"/>
  <c r="W46" i="6"/>
  <c r="S10" i="20"/>
  <c r="S63" i="20" l="1"/>
  <c r="T55" i="6"/>
  <c r="AC10" i="20"/>
  <c r="O54" i="6"/>
  <c r="K54" i="6"/>
  <c r="AC63" i="20"/>
  <c r="O55" i="6"/>
  <c r="K55" i="6"/>
  <c r="AC25" i="20"/>
  <c r="AC58" i="20"/>
  <c r="S58" i="20"/>
  <c r="T54" i="6"/>
  <c r="P55" i="6" l="1"/>
  <c r="P54" i="6"/>
  <c r="B45" i="16"/>
  <c r="D133" i="14"/>
  <c r="D132" i="14"/>
  <c r="D131" i="14"/>
  <c r="D130" i="14"/>
  <c r="D129" i="14"/>
  <c r="D128" i="14"/>
  <c r="D127" i="14"/>
  <c r="R25" i="20" l="1"/>
  <c r="B22" i="15"/>
  <c r="H3" i="12"/>
  <c r="B38" i="15"/>
  <c r="B67" i="15"/>
  <c r="B26" i="15"/>
  <c r="B40" i="15"/>
  <c r="B54" i="15"/>
  <c r="B68" i="15"/>
  <c r="B25" i="15"/>
  <c r="H5" i="12"/>
  <c r="B1" i="15"/>
  <c r="H1" i="15"/>
  <c r="L1" i="15" s="1"/>
  <c r="P1" i="15" s="1"/>
  <c r="D4" i="15" s="1"/>
  <c r="H4" i="15" s="1"/>
  <c r="L4" i="15" s="1"/>
  <c r="I1" i="15"/>
  <c r="M1" i="15" s="1"/>
  <c r="Q1" i="15" s="1"/>
  <c r="E4" i="15" s="1"/>
  <c r="I4" i="15" s="1"/>
  <c r="M4" i="15" s="1"/>
  <c r="J1" i="15"/>
  <c r="N1" i="15" s="1"/>
  <c r="R1" i="15" s="1"/>
  <c r="F4" i="15" s="1"/>
  <c r="J4" i="15" s="1"/>
  <c r="N4" i="15" s="1"/>
  <c r="B3" i="15"/>
  <c r="B4" i="15"/>
  <c r="B5" i="15"/>
  <c r="A8" i="15"/>
  <c r="A15" i="15" s="1"/>
  <c r="A22" i="15" s="1"/>
  <c r="A29" i="15" s="1"/>
  <c r="A36" i="15" s="1"/>
  <c r="A43" i="15" s="1"/>
  <c r="A50" i="15" s="1"/>
  <c r="A57" i="15" s="1"/>
  <c r="A64" i="15" s="1"/>
  <c r="B8" i="15"/>
  <c r="C8" i="15"/>
  <c r="C15" i="15" s="1"/>
  <c r="C22" i="15" s="1"/>
  <c r="C29" i="15" s="1"/>
  <c r="D8" i="15"/>
  <c r="E8" i="15"/>
  <c r="F8" i="15"/>
  <c r="G8" i="15"/>
  <c r="G15" i="15" s="1"/>
  <c r="G22" i="15" s="1"/>
  <c r="G29" i="15" s="1"/>
  <c r="I8" i="15"/>
  <c r="M8" i="15" s="1"/>
  <c r="Q8" i="15" s="1"/>
  <c r="E11" i="15" s="1"/>
  <c r="I11" i="15" s="1"/>
  <c r="M11" i="15" s="1"/>
  <c r="J8" i="15"/>
  <c r="N8" i="15" s="1"/>
  <c r="R8" i="15" s="1"/>
  <c r="F11" i="15" s="1"/>
  <c r="J11" i="15" s="1"/>
  <c r="N11" i="15" s="1"/>
  <c r="B10" i="15"/>
  <c r="B11" i="15"/>
  <c r="B12" i="15"/>
  <c r="B15" i="15"/>
  <c r="D15" i="15"/>
  <c r="E15" i="15"/>
  <c r="E22" i="15" s="1"/>
  <c r="E29" i="15" s="1"/>
  <c r="F15" i="15"/>
  <c r="I15" i="15"/>
  <c r="I22" i="15" s="1"/>
  <c r="J15" i="15"/>
  <c r="N15" i="15" s="1"/>
  <c r="R15" i="15" s="1"/>
  <c r="F18" i="15" s="1"/>
  <c r="J18" i="15" s="1"/>
  <c r="N18" i="15" s="1"/>
  <c r="M15" i="15"/>
  <c r="Q15" i="15" s="1"/>
  <c r="E18" i="15" s="1"/>
  <c r="I18" i="15" s="1"/>
  <c r="M18" i="15" s="1"/>
  <c r="B17" i="15"/>
  <c r="B18" i="15"/>
  <c r="B19" i="15"/>
  <c r="D22" i="15"/>
  <c r="F22" i="15"/>
  <c r="B24" i="15"/>
  <c r="B29" i="15"/>
  <c r="D29" i="15"/>
  <c r="F29" i="15"/>
  <c r="B31" i="15"/>
  <c r="B32" i="15"/>
  <c r="B33" i="15"/>
  <c r="B36" i="15"/>
  <c r="H36" i="15"/>
  <c r="H43" i="15" s="1"/>
  <c r="I36" i="15"/>
  <c r="M36" i="15" s="1"/>
  <c r="Q36" i="15" s="1"/>
  <c r="E39" i="15" s="1"/>
  <c r="I39" i="15" s="1"/>
  <c r="M39" i="15" s="1"/>
  <c r="J36" i="15"/>
  <c r="N36" i="15" s="1"/>
  <c r="R36" i="15" s="1"/>
  <c r="F39" i="15" s="1"/>
  <c r="J39" i="15" s="1"/>
  <c r="N39" i="15" s="1"/>
  <c r="B43" i="15"/>
  <c r="C43" i="15"/>
  <c r="D43" i="15"/>
  <c r="E43" i="15"/>
  <c r="F43" i="15"/>
  <c r="F50" i="15" s="1"/>
  <c r="F57" i="15" s="1"/>
  <c r="F64" i="15" s="1"/>
  <c r="G43" i="15"/>
  <c r="G50" i="15" s="1"/>
  <c r="G57" i="15" s="1"/>
  <c r="G64" i="15" s="1"/>
  <c r="I43" i="15"/>
  <c r="M43" i="15" s="1"/>
  <c r="Q43" i="15" s="1"/>
  <c r="E46" i="15" s="1"/>
  <c r="I46" i="15" s="1"/>
  <c r="M46" i="15" s="1"/>
  <c r="J43" i="15"/>
  <c r="J50" i="15" s="1"/>
  <c r="B45" i="15"/>
  <c r="B46" i="15"/>
  <c r="B47" i="15"/>
  <c r="B50" i="15"/>
  <c r="C50" i="15"/>
  <c r="D50" i="15"/>
  <c r="D57" i="15" s="1"/>
  <c r="D64" i="15" s="1"/>
  <c r="E50" i="15"/>
  <c r="I50" i="15"/>
  <c r="M50" i="15" s="1"/>
  <c r="Q50" i="15" s="1"/>
  <c r="E53" i="15" s="1"/>
  <c r="I53" i="15" s="1"/>
  <c r="M53" i="15" s="1"/>
  <c r="B52" i="15"/>
  <c r="B53" i="15"/>
  <c r="B57" i="15"/>
  <c r="C57" i="15"/>
  <c r="E57" i="15"/>
  <c r="B59" i="15"/>
  <c r="B60" i="15"/>
  <c r="B61" i="15"/>
  <c r="B64" i="15"/>
  <c r="C64" i="15"/>
  <c r="E64" i="15"/>
  <c r="B66" i="15"/>
  <c r="C137" i="14"/>
  <c r="C141" i="14"/>
  <c r="F4" i="12"/>
  <c r="F5" i="12"/>
  <c r="C145" i="14"/>
  <c r="C146" i="14"/>
  <c r="C133" i="14"/>
  <c r="C134" i="14"/>
  <c r="C135" i="14"/>
  <c r="C136" i="14"/>
  <c r="C142" i="14"/>
  <c r="C143" i="14"/>
  <c r="C144" i="14"/>
  <c r="C147" i="14"/>
  <c r="C148" i="14"/>
  <c r="D6" i="13"/>
  <c r="D10" i="13" s="1"/>
  <c r="D14" i="13" s="1"/>
  <c r="D18" i="13" s="1"/>
  <c r="D22" i="13" s="1"/>
  <c r="D26" i="13" s="1"/>
  <c r="D30" i="13" s="1"/>
  <c r="D32" i="13" s="1"/>
  <c r="E6" i="13"/>
  <c r="E10" i="13" s="1"/>
  <c r="E14" i="13" s="1"/>
  <c r="E18" i="13" s="1"/>
  <c r="E22" i="13" s="1"/>
  <c r="E26" i="13" s="1"/>
  <c r="E30" i="13" s="1"/>
  <c r="C7" i="13"/>
  <c r="D7" i="13"/>
  <c r="E7" i="13"/>
  <c r="C8" i="13"/>
  <c r="D8" i="13"/>
  <c r="E8" i="13"/>
  <c r="E12" i="13" s="1"/>
  <c r="E16" i="13" s="1"/>
  <c r="E20" i="13" s="1"/>
  <c r="E24" i="13" s="1"/>
  <c r="E28" i="13" s="1"/>
  <c r="E32" i="13" s="1"/>
  <c r="C9" i="13"/>
  <c r="C13" i="13" s="1"/>
  <c r="C17" i="13" s="1"/>
  <c r="C21" i="13" s="1"/>
  <c r="C25" i="13" s="1"/>
  <c r="C29" i="13" s="1"/>
  <c r="D9" i="13"/>
  <c r="E9" i="13"/>
  <c r="C11" i="13"/>
  <c r="C15" i="13" s="1"/>
  <c r="C19" i="13" s="1"/>
  <c r="C23" i="13" s="1"/>
  <c r="C27" i="13" s="1"/>
  <c r="D11" i="13"/>
  <c r="D15" i="13" s="1"/>
  <c r="D19" i="13" s="1"/>
  <c r="D23" i="13" s="1"/>
  <c r="D27" i="13" s="1"/>
  <c r="E11" i="13"/>
  <c r="E15" i="13" s="1"/>
  <c r="E19" i="13" s="1"/>
  <c r="E23" i="13" s="1"/>
  <c r="E27" i="13" s="1"/>
  <c r="C12" i="13"/>
  <c r="C16" i="13" s="1"/>
  <c r="C20" i="13" s="1"/>
  <c r="C24" i="13" s="1"/>
  <c r="C28" i="13" s="1"/>
  <c r="D12" i="13"/>
  <c r="D16" i="13" s="1"/>
  <c r="D20" i="13" s="1"/>
  <c r="D24" i="13" s="1"/>
  <c r="D28" i="13" s="1"/>
  <c r="D13" i="13"/>
  <c r="E13" i="13"/>
  <c r="D17" i="13"/>
  <c r="D21" i="13" s="1"/>
  <c r="D25" i="13" s="1"/>
  <c r="D29" i="13" s="1"/>
  <c r="D31" i="13" s="1"/>
  <c r="D33" i="13" s="1"/>
  <c r="E17" i="13"/>
  <c r="E21" i="13" s="1"/>
  <c r="E25" i="13" s="1"/>
  <c r="E29" i="13" s="1"/>
  <c r="C2" i="12"/>
  <c r="D2" i="12"/>
  <c r="E2" i="12"/>
  <c r="F2" i="12"/>
  <c r="G2" i="12"/>
  <c r="B3" i="12"/>
  <c r="C3" i="12"/>
  <c r="D3" i="12"/>
  <c r="E3" i="12"/>
  <c r="F3" i="12"/>
  <c r="G3" i="12"/>
  <c r="I3" i="12"/>
  <c r="B4" i="12"/>
  <c r="C4" i="12"/>
  <c r="D4" i="12"/>
  <c r="E4" i="12"/>
  <c r="G4" i="12"/>
  <c r="I4" i="12"/>
  <c r="B5" i="12"/>
  <c r="C5" i="12"/>
  <c r="D5" i="12"/>
  <c r="E5" i="12"/>
  <c r="G5" i="12"/>
  <c r="I5" i="12"/>
  <c r="B46" i="12"/>
  <c r="B50" i="12" s="1"/>
  <c r="B54" i="12" s="1"/>
  <c r="B58" i="12" s="1"/>
  <c r="B62" i="12" s="1"/>
  <c r="B66" i="12" s="1"/>
  <c r="B70" i="12" s="1"/>
  <c r="B47" i="12"/>
  <c r="B48" i="12"/>
  <c r="B52" i="12" s="1"/>
  <c r="B56" i="12" s="1"/>
  <c r="B60" i="12" s="1"/>
  <c r="B64" i="12" s="1"/>
  <c r="B68" i="12" s="1"/>
  <c r="B72" i="12" s="1"/>
  <c r="B74" i="12" s="1"/>
  <c r="B76" i="12" s="1"/>
  <c r="B51" i="12"/>
  <c r="B55" i="12" s="1"/>
  <c r="B59" i="12" s="1"/>
  <c r="B63" i="12" s="1"/>
  <c r="B67" i="12" s="1"/>
  <c r="B71" i="12" s="1"/>
  <c r="S25" i="20" l="1"/>
  <c r="H4" i="12"/>
  <c r="B39" i="15"/>
  <c r="P39" i="15"/>
  <c r="R39" i="15"/>
  <c r="P18" i="15"/>
  <c r="R18" i="15"/>
  <c r="M22" i="15"/>
  <c r="Q22" i="15" s="1"/>
  <c r="E25" i="15" s="1"/>
  <c r="I25" i="15" s="1"/>
  <c r="M25" i="15" s="1"/>
  <c r="I29" i="15"/>
  <c r="M29" i="15" s="1"/>
  <c r="Q29" i="15" s="1"/>
  <c r="E32" i="15" s="1"/>
  <c r="I32" i="15" s="1"/>
  <c r="M32" i="15" s="1"/>
  <c r="P4" i="15"/>
  <c r="R4" i="15"/>
  <c r="P11" i="15"/>
  <c r="R11" i="15"/>
  <c r="L43" i="15"/>
  <c r="P43" i="15" s="1"/>
  <c r="D46" i="15" s="1"/>
  <c r="H46" i="15" s="1"/>
  <c r="L46" i="15" s="1"/>
  <c r="H50" i="15"/>
  <c r="N50" i="15"/>
  <c r="R50" i="15" s="1"/>
  <c r="F53" i="15" s="1"/>
  <c r="J53" i="15" s="1"/>
  <c r="N53" i="15" s="1"/>
  <c r="J57" i="15"/>
  <c r="I57" i="15"/>
  <c r="J22" i="15"/>
  <c r="H8" i="15"/>
  <c r="N43" i="15"/>
  <c r="R43" i="15" s="1"/>
  <c r="F46" i="15" s="1"/>
  <c r="J46" i="15" s="1"/>
  <c r="N46" i="15" s="1"/>
  <c r="L36" i="15"/>
  <c r="P36" i="15" s="1"/>
  <c r="D39" i="15" s="1"/>
  <c r="H39" i="15" s="1"/>
  <c r="L39" i="15" s="1"/>
  <c r="E31" i="13"/>
  <c r="E33" i="13"/>
  <c r="N22" i="15" l="1"/>
  <c r="R22" i="15" s="1"/>
  <c r="F25" i="15" s="1"/>
  <c r="J25" i="15" s="1"/>
  <c r="N25" i="15" s="1"/>
  <c r="J29" i="15"/>
  <c r="N29" i="15" s="1"/>
  <c r="R29" i="15" s="1"/>
  <c r="F32" i="15" s="1"/>
  <c r="J32" i="15" s="1"/>
  <c r="N32" i="15" s="1"/>
  <c r="L50" i="15"/>
  <c r="P50" i="15" s="1"/>
  <c r="D53" i="15" s="1"/>
  <c r="H53" i="15" s="1"/>
  <c r="L53" i="15" s="1"/>
  <c r="H57" i="15"/>
  <c r="M57" i="15"/>
  <c r="Q57" i="15" s="1"/>
  <c r="E60" i="15" s="1"/>
  <c r="I60" i="15" s="1"/>
  <c r="M60" i="15" s="1"/>
  <c r="I64" i="15"/>
  <c r="M64" i="15" s="1"/>
  <c r="Q64" i="15" s="1"/>
  <c r="E67" i="15" s="1"/>
  <c r="I67" i="15" s="1"/>
  <c r="M67" i="15" s="1"/>
  <c r="N57" i="15"/>
  <c r="R57" i="15" s="1"/>
  <c r="F60" i="15" s="1"/>
  <c r="J60" i="15" s="1"/>
  <c r="N60" i="15" s="1"/>
  <c r="J64" i="15"/>
  <c r="N64" i="15" s="1"/>
  <c r="R64" i="15" s="1"/>
  <c r="F67" i="15" s="1"/>
  <c r="J67" i="15" s="1"/>
  <c r="N67" i="15" s="1"/>
  <c r="P53" i="15"/>
  <c r="R53" i="15"/>
  <c r="P46" i="15"/>
  <c r="R46" i="15"/>
  <c r="L8" i="15"/>
  <c r="P8" i="15" s="1"/>
  <c r="D11" i="15" s="1"/>
  <c r="H11" i="15" s="1"/>
  <c r="L11" i="15" s="1"/>
  <c r="H15" i="15"/>
  <c r="L15" i="15" l="1"/>
  <c r="P15" i="15" s="1"/>
  <c r="D18" i="15" s="1"/>
  <c r="H18" i="15" s="1"/>
  <c r="L18" i="15" s="1"/>
  <c r="H22" i="15"/>
  <c r="P67" i="15"/>
  <c r="R67" i="15"/>
  <c r="P60" i="15"/>
  <c r="R60" i="15"/>
  <c r="L57" i="15"/>
  <c r="P57" i="15" s="1"/>
  <c r="D60" i="15" s="1"/>
  <c r="H60" i="15" s="1"/>
  <c r="L60" i="15" s="1"/>
  <c r="H64" i="15"/>
  <c r="L64" i="15" s="1"/>
  <c r="P64" i="15" s="1"/>
  <c r="D67" i="15" s="1"/>
  <c r="H67" i="15" s="1"/>
  <c r="L67" i="15" s="1"/>
  <c r="R32" i="15"/>
  <c r="P32" i="15"/>
  <c r="R25" i="15"/>
  <c r="P25" i="15"/>
  <c r="H29" i="15" l="1"/>
  <c r="L29" i="15" s="1"/>
  <c r="P29" i="15" s="1"/>
  <c r="D32" i="15" s="1"/>
  <c r="H32" i="15" s="1"/>
  <c r="L32" i="15" s="1"/>
  <c r="L22" i="15"/>
  <c r="P22" i="15" s="1"/>
  <c r="D25" i="15" s="1"/>
  <c r="H25" i="15" s="1"/>
  <c r="L25" i="15" s="1"/>
  <c r="X55" i="20"/>
  <c r="X67" i="20"/>
  <c r="X19" i="20" s="1"/>
  <c r="X21" i="20"/>
  <c r="X54" i="20"/>
  <c r="X25" i="20"/>
  <c r="X10" i="20"/>
  <c r="X13" i="20"/>
  <c r="X24" i="20" l="1"/>
  <c r="X14" i="20"/>
  <c r="X28" i="20" l="1"/>
  <c r="X52" i="20"/>
  <c r="X31" i="20"/>
  <c r="X12" i="20" s="1"/>
  <c r="X8" i="20" l="1"/>
  <c r="X32" i="20" l="1"/>
  <c r="Y57" i="6" s="1"/>
  <c r="X33" i="20" l="1"/>
  <c r="X63" i="20" l="1"/>
  <c r="X58" i="20" s="1"/>
  <c r="X53" i="20" l="1"/>
  <c r="X64" i="20"/>
  <c r="X66" i="20" s="1"/>
  <c r="X40" i="20"/>
  <c r="X41" i="20" s="1"/>
  <c r="X42" i="20" s="1"/>
  <c r="X43" i="20" s="1"/>
  <c r="X44" i="20" s="1"/>
  <c r="X45" i="20" s="1"/>
  <c r="X46" i="20" s="1"/>
  <c r="X47" i="20" s="1"/>
  <c r="X48" i="20" s="1"/>
  <c r="X49" i="20" s="1"/>
  <c r="X50" i="20" s="1"/>
  <c r="X51" i="20" s="1"/>
  <c r="X15" i="20"/>
  <c r="X16" i="20" s="1"/>
  <c r="X17" i="20" s="1"/>
  <c r="X18" i="20" s="1"/>
  <c r="X34" i="20"/>
  <c r="X35" i="20" s="1"/>
  <c r="X36" i="20" s="1"/>
  <c r="X61" i="20"/>
  <c r="X62" i="20" s="1"/>
  <c r="Y54" i="6" s="1"/>
  <c r="X59" i="20"/>
  <c r="X56" i="20"/>
  <c r="X68" i="20"/>
  <c r="X5" i="20"/>
  <c r="X6" i="20" s="1"/>
  <c r="Y58" i="6" s="1"/>
  <c r="X3" i="20" s="1"/>
  <c r="Y51" i="6" s="1"/>
</calcChain>
</file>

<file path=xl/sharedStrings.xml><?xml version="1.0" encoding="utf-8"?>
<sst xmlns="http://schemas.openxmlformats.org/spreadsheetml/2006/main" count="3985" uniqueCount="908">
  <si>
    <t xml:space="preserve">Customer </t>
  </si>
  <si>
    <t>Property-Owner Name</t>
  </si>
  <si>
    <t xml:space="preserve">JOROBE, DELICIA </t>
  </si>
  <si>
    <t>BOYD</t>
  </si>
  <si>
    <t>+</t>
  </si>
  <si>
    <t>Property address: street</t>
  </si>
  <si>
    <t>4085 E 153RD ST</t>
  </si>
  <si>
    <t>24990 WOODLINE</t>
  </si>
  <si>
    <t>16319 S, LOTUS</t>
  </si>
  <si>
    <t>Property city, state, zip</t>
  </si>
  <si>
    <t>CLEVELAND, OH 44128</t>
  </si>
  <si>
    <t>Bedford Heights, OH 44146</t>
  </si>
  <si>
    <t>Cleveland, OH 44128</t>
  </si>
  <si>
    <t>Customer Email</t>
  </si>
  <si>
    <t>EMI</t>
  </si>
  <si>
    <t>livingessencestudio13@gmail.com</t>
  </si>
  <si>
    <t>Cst-owner Phone#</t>
  </si>
  <si>
    <t>(216) 466-1853</t>
  </si>
  <si>
    <t>(216) 990-5643</t>
  </si>
  <si>
    <t>Co-Owner.cst#2</t>
  </si>
  <si>
    <t>NA</t>
  </si>
  <si>
    <t>cst ph # 2</t>
  </si>
  <si>
    <t>na</t>
  </si>
  <si>
    <t>Cst address # 2</t>
  </si>
  <si>
    <t>3224 E OVERLOOK RD</t>
  </si>
  <si>
    <t>city, state-cst#2</t>
  </si>
  <si>
    <t>CLEVELAND HEIGHTS, OH 44118</t>
  </si>
  <si>
    <t>email-cst #2</t>
  </si>
  <si>
    <t>Loss Info</t>
  </si>
  <si>
    <t>Cause of Loss</t>
  </si>
  <si>
    <t>WEATHER RELATED</t>
  </si>
  <si>
    <t>Wind = Roof</t>
  </si>
  <si>
    <t>WIND</t>
  </si>
  <si>
    <t>date of loss</t>
  </si>
  <si>
    <t>rebuild  type 1</t>
  </si>
  <si>
    <t>interior repairs</t>
  </si>
  <si>
    <t>exterior repairs</t>
  </si>
  <si>
    <t>rebuild  type 2</t>
  </si>
  <si>
    <t>rebuild  type 3</t>
  </si>
  <si>
    <t>DEMO</t>
  </si>
  <si>
    <t>Y</t>
  </si>
  <si>
    <t>y</t>
  </si>
  <si>
    <t>Mitigation</t>
  </si>
  <si>
    <t>N</t>
  </si>
  <si>
    <t>TBD</t>
  </si>
  <si>
    <t>Other Structures</t>
  </si>
  <si>
    <t>CPS</t>
  </si>
  <si>
    <t>Replacement</t>
  </si>
  <si>
    <t>CPS / CLN / CON/ CGN</t>
  </si>
  <si>
    <t>Year Built</t>
  </si>
  <si>
    <t>PRE 1980</t>
  </si>
  <si>
    <t xml:space="preserve">AFTER 1980 </t>
  </si>
  <si>
    <t xml:space="preserve">pre 1980 </t>
  </si>
  <si>
    <t>Contract Date</t>
  </si>
  <si>
    <t>Loss of use/ ALE</t>
  </si>
  <si>
    <t>Breathing issue</t>
  </si>
  <si>
    <t>HMR</t>
  </si>
  <si>
    <t>tbd</t>
  </si>
  <si>
    <t xml:space="preserve">Insurance Co. Name </t>
  </si>
  <si>
    <t>TRAVCO INSURANCE</t>
  </si>
  <si>
    <t>STATE FARM</t>
  </si>
  <si>
    <t>WESTFIELD INS</t>
  </si>
  <si>
    <t>Insurance Co.</t>
  </si>
  <si>
    <t xml:space="preserve">Claim # </t>
  </si>
  <si>
    <t>IKW2742001H</t>
  </si>
  <si>
    <t>CLM #0002332090</t>
  </si>
  <si>
    <t>policy #</t>
  </si>
  <si>
    <t>0M7310604029830653 1</t>
  </si>
  <si>
    <t>PL</t>
  </si>
  <si>
    <t>Email INS. co.</t>
  </si>
  <si>
    <t>www.travelers.com/claimuploadcenter.</t>
  </si>
  <si>
    <t>DESK Adjuster DA</t>
  </si>
  <si>
    <t>Kenneth Pride</t>
  </si>
  <si>
    <t>COPE, BRITTANY</t>
  </si>
  <si>
    <t>DA Phone</t>
  </si>
  <si>
    <t>(216) 618-4382</t>
  </si>
  <si>
    <t>330.887.0386</t>
  </si>
  <si>
    <t>DA Ph. Ext. #</t>
  </si>
  <si>
    <t xml:space="preserve">DA Email </t>
  </si>
  <si>
    <t>KPRIDE@travelers.com</t>
  </si>
  <si>
    <t>BRITTANYCOPE@WESTFIELDGRP.COM</t>
  </si>
  <si>
    <t>Field Adjuster Name</t>
  </si>
  <si>
    <t>FA</t>
  </si>
  <si>
    <t>Phone # field adj</t>
  </si>
  <si>
    <t>PH</t>
  </si>
  <si>
    <t>Field adj email</t>
  </si>
  <si>
    <t>adj contents</t>
  </si>
  <si>
    <t>CA</t>
  </si>
  <si>
    <t>adj CPS phone #</t>
  </si>
  <si>
    <t>adj CPS email</t>
  </si>
  <si>
    <t>TMP adj</t>
  </si>
  <si>
    <t>TMP</t>
  </si>
  <si>
    <t>EMS adj</t>
  </si>
  <si>
    <t>TMP adj phone #</t>
  </si>
  <si>
    <t>EMS adj phone #</t>
  </si>
  <si>
    <t>adj TMP email</t>
  </si>
  <si>
    <t>EMS TMP email</t>
  </si>
  <si>
    <t>ATT: Loss Draft Dept.</t>
  </si>
  <si>
    <t>LD</t>
  </si>
  <si>
    <t>address ins overnight mail</t>
  </si>
  <si>
    <t>city, state-zip ins</t>
  </si>
  <si>
    <t xml:space="preserve">Insurance Co. Phone </t>
  </si>
  <si>
    <t>Website Ins Co.</t>
  </si>
  <si>
    <t>Mailing   address INS</t>
  </si>
  <si>
    <t>Mail city, state, zip INS</t>
  </si>
  <si>
    <t>FAX Ins. Co</t>
  </si>
  <si>
    <t>NEW CUSTOMER #</t>
  </si>
  <si>
    <t>OH22 JARBOE</t>
  </si>
  <si>
    <t>OH23P BOYD @ WOODLINE</t>
  </si>
  <si>
    <t>OH22 HARMON</t>
  </si>
  <si>
    <t>ROOM ID</t>
  </si>
  <si>
    <t>JARBOE, DELICIA D THOMAS</t>
  </si>
  <si>
    <t>HARMON, LISA</t>
  </si>
  <si>
    <t>ROOMS</t>
  </si>
  <si>
    <t xml:space="preserve">  Room/Area 1  </t>
  </si>
  <si>
    <t>Living Room</t>
  </si>
  <si>
    <t>Dining Room</t>
  </si>
  <si>
    <t>Kitchen</t>
  </si>
  <si>
    <t xml:space="preserve">  Room/Area 2  </t>
  </si>
  <si>
    <t xml:space="preserve"> Hallway- DN</t>
  </si>
  <si>
    <t xml:space="preserve">  Room/Area 3  </t>
  </si>
  <si>
    <t>HALL Closet</t>
  </si>
  <si>
    <t>Bedroom # 1</t>
  </si>
  <si>
    <t xml:space="preserve">  Room/Area 4  </t>
  </si>
  <si>
    <t>CHASE</t>
  </si>
  <si>
    <t>Closet  BR # 1</t>
  </si>
  <si>
    <t xml:space="preserve">  Room/Area 5  </t>
  </si>
  <si>
    <t>Linen CLST</t>
  </si>
  <si>
    <t>ROOF</t>
  </si>
  <si>
    <t xml:space="preserve">  Room/Area 6  </t>
  </si>
  <si>
    <t>SIDING</t>
  </si>
  <si>
    <t>Foyer =LOS</t>
  </si>
  <si>
    <t xml:space="preserve">  Room/Area 7  </t>
  </si>
  <si>
    <t>Stairs 2 =LOS</t>
  </si>
  <si>
    <t xml:space="preserve">  Room/Area 8  </t>
  </si>
  <si>
    <t>Bedroom  # 2</t>
  </si>
  <si>
    <t>Stairs UP</t>
  </si>
  <si>
    <t xml:space="preserve">  Room/Area 9  </t>
  </si>
  <si>
    <t>Closet  BR # 2</t>
  </si>
  <si>
    <t xml:space="preserve">  Room/Area 10  </t>
  </si>
  <si>
    <t>Bathroom</t>
  </si>
  <si>
    <t xml:space="preserve">  Room/Area 11  </t>
  </si>
  <si>
    <t xml:space="preserve"> ROOF </t>
  </si>
  <si>
    <t xml:space="preserve">  Room/Area 12  </t>
  </si>
  <si>
    <t>yard area</t>
  </si>
  <si>
    <t xml:space="preserve">  Room/Area 13  </t>
  </si>
  <si>
    <t>Bedroom # 3</t>
  </si>
  <si>
    <t>Deck/patio</t>
  </si>
  <si>
    <t xml:space="preserve">  Room/Area 14  </t>
  </si>
  <si>
    <t>Closet  BR # 3</t>
  </si>
  <si>
    <t xml:space="preserve">  Room/Area 15  </t>
  </si>
  <si>
    <t>SHELVES</t>
  </si>
  <si>
    <t xml:space="preserve">  Room/Area 16  </t>
  </si>
  <si>
    <t>BATH UP</t>
  </si>
  <si>
    <t xml:space="preserve">  Room/Area 17  </t>
  </si>
  <si>
    <t>ATTIC STORAGE</t>
  </si>
  <si>
    <t xml:space="preserve">  Room/Area 18  </t>
  </si>
  <si>
    <t>Stair dn</t>
  </si>
  <si>
    <t xml:space="preserve">  Room/Area 19  </t>
  </si>
  <si>
    <t>REC/FAMILY ROOM</t>
  </si>
  <si>
    <t xml:space="preserve">  Room/Area 20  </t>
  </si>
  <si>
    <t>UTILITY ROOM</t>
  </si>
  <si>
    <t xml:space="preserve">  Room/Area 21</t>
  </si>
  <si>
    <t>BATH BSMNT</t>
  </si>
  <si>
    <t xml:space="preserve">  Room/Area 22</t>
  </si>
  <si>
    <t>CLOSET BSMNT</t>
  </si>
  <si>
    <t xml:space="preserve">  Room/Area 23</t>
  </si>
  <si>
    <t>HALL BSMNT</t>
  </si>
  <si>
    <t xml:space="preserve">  Room/Area 24</t>
  </si>
  <si>
    <t xml:space="preserve">  Room/Area 25</t>
  </si>
  <si>
    <t>Mortgage Company</t>
  </si>
  <si>
    <t xml:space="preserve">Mortgage co       </t>
  </si>
  <si>
    <t>HUNTINGTON</t>
  </si>
  <si>
    <t>Account# Mtge Co.</t>
  </si>
  <si>
    <t>Loan status</t>
  </si>
  <si>
    <t>contact person mtge</t>
  </si>
  <si>
    <t>Phone # MTGE contact</t>
  </si>
  <si>
    <t>Ph. Ext. Mtge contact</t>
  </si>
  <si>
    <t>Attn.: Loss Draft Dept</t>
  </si>
  <si>
    <t>Mtge OVN mail</t>
  </si>
  <si>
    <t>city, St., zip ,mtge OVN</t>
  </si>
  <si>
    <t>Phone # MTGE co.</t>
  </si>
  <si>
    <t>email mtge</t>
  </si>
  <si>
    <t>mtge website</t>
  </si>
  <si>
    <t>MTGE co. Fax #</t>
  </si>
  <si>
    <t>Mailing   address mtge</t>
  </si>
  <si>
    <t>Mail city, state, zip mtge</t>
  </si>
  <si>
    <t>Initial Offer / phase 1 contract amount</t>
  </si>
  <si>
    <t>Draw Request</t>
  </si>
  <si>
    <t>Cust id</t>
  </si>
  <si>
    <t>CONTRACTOR INFO</t>
  </si>
  <si>
    <t>co name</t>
  </si>
  <si>
    <t>J THOMAS CONTRACTING, LLC</t>
  </si>
  <si>
    <t>PROVISO INVESTMENTS, LLC</t>
  </si>
  <si>
    <t>ALL PHASE CONSULTING, LLC</t>
  </si>
  <si>
    <t>Co. website</t>
  </si>
  <si>
    <t>PROVISOINVESTMENTS.COM</t>
  </si>
  <si>
    <t xml:space="preserve">    www.myapcllc.com.    </t>
  </si>
  <si>
    <t>co. EMAIL/co. status</t>
  </si>
  <si>
    <t>JTHOMASCONTRACTING@GMAIL.COM</t>
  </si>
  <si>
    <t>PROVISOINVESTMENTS@GMAIL.COM</t>
  </si>
  <si>
    <t>info@myapcllc.com</t>
  </si>
  <si>
    <t>co adress</t>
  </si>
  <si>
    <t>1094 DORSH</t>
  </si>
  <si>
    <t>1898 CARONIA DR</t>
  </si>
  <si>
    <t>375 Rockbridge Rd, #172-343</t>
  </si>
  <si>
    <t>co. city state</t>
  </si>
  <si>
    <t>S. EUCLID, OH 44121</t>
  </si>
  <si>
    <t>CLEVELAND, OH 44124</t>
  </si>
  <si>
    <t>Lilburn, GA, 30047</t>
  </si>
  <si>
    <t>co. address 2</t>
  </si>
  <si>
    <t>23209 Vera Str</t>
  </si>
  <si>
    <t>co. city state 2</t>
  </si>
  <si>
    <t>co adress 3</t>
  </si>
  <si>
    <t>ECI 531 FIFTH AVE,</t>
  </si>
  <si>
    <t>co. city state 3</t>
  </si>
  <si>
    <t>PELHAM, NY 10803</t>
  </si>
  <si>
    <t>Co. logo 1</t>
  </si>
  <si>
    <t>WHERE VISIONS ARE CREATED</t>
  </si>
  <si>
    <t xml:space="preserve">    Providing Cost Estimating &amp; Project Management Services    </t>
  </si>
  <si>
    <t>Co. logo 2</t>
  </si>
  <si>
    <t>Five Generations of Great Work</t>
  </si>
  <si>
    <t>Co. logo 3</t>
  </si>
  <si>
    <t>Five Generations of Pride &amp; Skills</t>
  </si>
  <si>
    <t>Co. REP. / PH</t>
  </si>
  <si>
    <t>JAMAL (216) 835-8544</t>
  </si>
  <si>
    <t>Joe Jones, PM  216.450.7228</t>
  </si>
  <si>
    <t>CO.REP.
email</t>
  </si>
  <si>
    <t>wsbjoe9@gmail.com</t>
  </si>
  <si>
    <t>Co PH # 2</t>
  </si>
  <si>
    <t>JOHN FLOWERS</t>
  </si>
  <si>
    <t>Tony Jones 216.347.2656</t>
  </si>
  <si>
    <t>CO.REP. email 2</t>
  </si>
  <si>
    <t>EM</t>
  </si>
  <si>
    <t>tonyjonesteam365@gmail.com</t>
  </si>
  <si>
    <t>TIN W9</t>
  </si>
  <si>
    <t>85-171 1092</t>
  </si>
  <si>
    <t>EIN #  46 111 9340</t>
  </si>
  <si>
    <t>83- 226-0563</t>
  </si>
  <si>
    <t xml:space="preserve">  FedEx     account # </t>
  </si>
  <si>
    <t>FEDEX</t>
  </si>
  <si>
    <t>9836-2151-1</t>
  </si>
  <si>
    <t>claim report date</t>
  </si>
  <si>
    <t>404-446-9060</t>
  </si>
  <si>
    <t>Time OF CLAIM REPORT</t>
  </si>
  <si>
    <t>co.represesntative</t>
  </si>
  <si>
    <t>phone ext</t>
  </si>
  <si>
    <t>Tarp ext TMP ok</t>
  </si>
  <si>
    <t>Int TMP ok</t>
  </si>
  <si>
    <t>DRY/PLA CUTOUT MOLD SPRAY  OK</t>
  </si>
  <si>
    <t xml:space="preserve">                                -  </t>
  </si>
  <si>
    <t>Travelers</t>
  </si>
  <si>
    <t>ITT4176</t>
  </si>
  <si>
    <t xml:space="preserve"> 60200232312 633 1</t>
  </si>
  <si>
    <r>
      <t>​</t>
    </r>
    <r>
      <rPr>
        <sz val="12"/>
        <color rgb="FF222222"/>
        <rFont val="Calibri"/>
        <family val="2"/>
        <scheme val="minor"/>
      </rPr>
      <t>Tasev Gardner </t>
    </r>
  </si>
  <si>
    <t>24405 Sherborne road </t>
  </si>
  <si>
    <t>Bedford heights Ohio</t>
  </si>
  <si>
    <t>email stephanie1.bell@yahoo.com</t>
  </si>
  <si>
    <t>1(216)835-3031</t>
  </si>
  <si>
    <t>S500 Page 43 9.2.8 Emergencies</t>
  </si>
  <si>
    <t>In many Circumstances, water damage restoration projects begin on an emergency basis. Emergency situations might impede communications about the project or limit the opportunity to document the project as described in this section. However, once an emergency situation is resolved, to the extent possible, restorers should complete the appropriate documentation and correct communication deficiencies caused by the emergency</t>
  </si>
  <si>
    <t>S500 Page 58 12.2.1</t>
  </si>
  <si>
    <t>Mitigation Procedures should begin as soon as safely possible following the initial moisture intrusion. If building materials and structural assemblies are exposed to water vapor for extended periods, moisture penetrates into them more Deeply. The more water they absorb, the more Time, Effort, and Expensive required to dry them.</t>
  </si>
  <si>
    <t>With extended exposure to moisture, some materials undergo permanent damage that could have been partially or completely prevented with a more rapid response, in addition, in most environments the extended presence of water or excessive humidity can lead to microbial growth ( E.G., Bacteria and Mold) amplification that can cause a general deterioration of environmental conditions over time, potentially leading to significant health and safety hazards for workers and occupations.</t>
  </si>
  <si>
    <t>negative air calcs, you probably need about 100-200cfm negative air </t>
  </si>
  <si>
    <t>Achieve negative air pressure with that window</t>
  </si>
  <si>
    <t>Bi-product of incomplete combustion is smoke and soot. If synthetic materials burned, ie polyester from couches and mattresses and other similar items it omits very dangerous particles such as hydrogen cyanide and so one. This the NFPA requires firefighters to do overhaul (fire is out) in full PPE and SCBA. Therefore, everything in that home where soot and smoke damage may be is a hazardous environment. Call it CAT 3 or regulated hazard it is still hazardous.</t>
  </si>
  <si>
    <t>**Absent a direct contract with an insurer, restoration contractors are under no legal obligation to an insurer, its adjuster, or a third party. Restorers may, in their professional discretion and judgment, accept or reject the opinions and requests from insurers and their consultants. Unless and until such opinions are mutually agreed upon by the restorer and the customer, and formally incorporated into the restoration contract or scope of required work, third party opinions have no effect on the restorer’s duties. The insurer’s consultant’s opinions are not binding on the restorer. See attached industry peer reviewed white paper, “RIA – TPC Price Positioning Statement.”</t>
  </si>
  <si>
    <t>DATE</t>
  </si>
  <si>
    <t>CO.</t>
  </si>
  <si>
    <t>NAME</t>
  </si>
  <si>
    <t>STREET</t>
  </si>
  <si>
    <t>CITY</t>
  </si>
  <si>
    <t>ZIP</t>
  </si>
  <si>
    <t>JOB</t>
  </si>
  <si>
    <t>1. GENERAL AUTH</t>
  </si>
  <si>
    <t>2.            customer agreement</t>
  </si>
  <si>
    <t>3. W9</t>
  </si>
  <si>
    <t>4. JOBSITE VERIFY &amp; SOL</t>
  </si>
  <si>
    <t>5,PKT 5.CPS BOX COUNT REPORT</t>
  </si>
  <si>
    <t>6 PKT XACTIMATE CPS INVOICE</t>
  </si>
  <si>
    <t>EMAIL            # 1</t>
  </si>
  <si>
    <t>7 JOB Overview pics</t>
  </si>
  <si>
    <t>8. CPS Overview Photos</t>
  </si>
  <si>
    <t>9 CPS BOX COUNT PHOTO REPORT</t>
  </si>
  <si>
    <t>10. EMAIL COVER SHEET</t>
  </si>
  <si>
    <t>PRIORITY</t>
  </si>
  <si>
    <t>ACTIVE</t>
  </si>
  <si>
    <t>APC</t>
  </si>
  <si>
    <t xml:space="preserve">Ali, Tony </t>
  </si>
  <si>
    <t>WESTLAKE</t>
  </si>
  <si>
    <t>WTR</t>
  </si>
  <si>
    <t>Battle, Larry Jr </t>
  </si>
  <si>
    <t>Parma </t>
  </si>
  <si>
    <t>OH23P</t>
  </si>
  <si>
    <t>WOODLINE</t>
  </si>
  <si>
    <t>RFG</t>
  </si>
  <si>
    <t>OH22P</t>
  </si>
  <si>
    <t xml:space="preserve">Eaton, Marilyn </t>
  </si>
  <si>
    <t>4514 East Blvd</t>
  </si>
  <si>
    <t>Garfield Hts., OH</t>
  </si>
  <si>
    <t>OH</t>
  </si>
  <si>
    <t>EDWINS LEADERSHIP</t>
  </si>
  <si>
    <t>Four Symbolic Lodge</t>
  </si>
  <si>
    <t>14402 KINSMAN</t>
  </si>
  <si>
    <t>W/H</t>
  </si>
  <si>
    <t>ACT</t>
  </si>
  <si>
    <t xml:space="preserve">Franklin, Annette </t>
  </si>
  <si>
    <t>E 256</t>
  </si>
  <si>
    <t>GOVEA, JESUS</t>
  </si>
  <si>
    <t>Jonesboro</t>
  </si>
  <si>
    <t>GREENWALT MIKE</t>
  </si>
  <si>
    <t>11601 GOVERNOR</t>
  </si>
  <si>
    <t>GRIFFUS TINA</t>
  </si>
  <si>
    <t xml:space="preserve">1954 SPRINGSIDE </t>
  </si>
  <si>
    <t>WFI</t>
  </si>
  <si>
    <t xml:space="preserve">Harmon, Lisa </t>
  </si>
  <si>
    <t xml:space="preserve"> 16319 S. Lotus</t>
  </si>
  <si>
    <t>Cleveland,</t>
  </si>
  <si>
    <t>HARVEY, CORA</t>
  </si>
  <si>
    <t>GREENHURST</t>
  </si>
  <si>
    <t>Hobbs, Donetta &amp; Nemon</t>
  </si>
  <si>
    <t>GLENSIDE</t>
  </si>
  <si>
    <t>XXX</t>
  </si>
  <si>
    <t xml:space="preserve">Jackson,Sandra </t>
  </si>
  <si>
    <t>310 Landing Dr.</t>
  </si>
  <si>
    <t>Fayetteville</t>
  </si>
  <si>
    <t>GA</t>
  </si>
  <si>
    <t>Jones, Margaret </t>
  </si>
  <si>
    <r>
      <t xml:space="preserve">23209 </t>
    </r>
    <r>
      <rPr>
        <sz val="11"/>
        <color rgb="FF6D6D00"/>
        <rFont val="Arial"/>
        <family val="2"/>
        <charset val="1"/>
      </rPr>
      <t xml:space="preserve">Vera </t>
    </r>
    <r>
      <rPr>
        <sz val="11"/>
        <color rgb="FF6E6E00"/>
        <rFont val="Arial"/>
        <family val="2"/>
        <charset val="1"/>
      </rPr>
      <t>Street</t>
    </r>
  </si>
  <si>
    <t>Warrensville HGTS</t>
  </si>
  <si>
    <t>TRV</t>
  </si>
  <si>
    <t xml:space="preserve">Kimble, Audrey </t>
  </si>
  <si>
    <t>2756 Northwood Ct.</t>
  </si>
  <si>
    <t xml:space="preserve">Marietta, </t>
  </si>
  <si>
    <t>KOSWATTA ERIKA</t>
  </si>
  <si>
    <t xml:space="preserve">LAWRENCE, GENEATHA </t>
  </si>
  <si>
    <t>STRANDHILL</t>
  </si>
  <si>
    <t>Lawson, Ms. LORI</t>
  </si>
  <si>
    <t>TULLAMORE</t>
  </si>
  <si>
    <t>x</t>
  </si>
  <si>
    <t>Leeth, Ronald</t>
  </si>
  <si>
    <t>MIAMI</t>
  </si>
  <si>
    <t>LISA THOMAS</t>
  </si>
  <si>
    <t>5149 MILLER AVE</t>
  </si>
  <si>
    <t>LOCKHART</t>
  </si>
  <si>
    <t>E238</t>
  </si>
  <si>
    <t>EUCLID</t>
  </si>
  <si>
    <t>LOZANO, Marcus </t>
  </si>
  <si>
    <t>AUSTELL</t>
  </si>
  <si>
    <t xml:space="preserve">Matlock, Paggie </t>
  </si>
  <si>
    <t>OAKWOOD</t>
  </si>
  <si>
    <t>GA23A</t>
  </si>
  <si>
    <t xml:space="preserve">Moiye 3, Ras </t>
  </si>
  <si>
    <t>DIXLEEON</t>
  </si>
  <si>
    <t>SFI</t>
  </si>
  <si>
    <t>Moiye, Ras 1</t>
  </si>
  <si>
    <t>395 Dix Lee-On Ct</t>
  </si>
  <si>
    <t xml:space="preserve"> MURRAY MONICA</t>
  </si>
  <si>
    <t>USA</t>
  </si>
  <si>
    <t xml:space="preserve">NDU, Belinda </t>
  </si>
  <si>
    <t>255 Astaire Manor</t>
  </si>
  <si>
    <t xml:space="preserve">Paige, Tom </t>
  </si>
  <si>
    <t>4492 St. Germain Blvd</t>
  </si>
  <si>
    <t>Cleveland, OH</t>
  </si>
  <si>
    <t>TREE</t>
  </si>
  <si>
    <t>OHA</t>
  </si>
  <si>
    <t>PATEL</t>
  </si>
  <si>
    <r>
      <t>OH23T</t>
    </r>
    <r>
      <rPr>
        <sz val="12"/>
        <color rgb="FFECEC00"/>
        <rFont val="Arial"/>
        <family val="2"/>
        <charset val="1"/>
      </rPr>
      <t>-</t>
    </r>
    <r>
      <rPr>
        <sz val="12"/>
        <color rgb="FF6B6B00"/>
        <rFont val="Arial"/>
        <family val="2"/>
        <charset val="1"/>
      </rPr>
      <t>PATEL</t>
    </r>
    <r>
      <rPr>
        <sz val="12"/>
        <color rgb="FF6C6C00"/>
        <rFont val="Arial"/>
        <family val="2"/>
        <charset val="1"/>
      </rPr>
      <t>@MOTEL</t>
    </r>
  </si>
  <si>
    <t>Price, TRACIE </t>
  </si>
  <si>
    <r>
      <rPr>
        <sz val="11"/>
        <color rgb="FF454500"/>
        <rFont val="Arial"/>
        <family val="2"/>
        <charset val="1"/>
      </rPr>
      <t>W</t>
    </r>
    <r>
      <rPr>
        <sz val="11"/>
        <color rgb="FF787800"/>
        <rFont val="Arial"/>
        <family val="2"/>
        <charset val="1"/>
      </rPr>
      <t xml:space="preserve">. </t>
    </r>
    <r>
      <rPr>
        <sz val="11"/>
        <color rgb="FF5D5D00"/>
        <rFont val="Arial"/>
        <family val="2"/>
        <charset val="1"/>
      </rPr>
      <t>ROCKLAND</t>
    </r>
  </si>
  <si>
    <t xml:space="preserve">Reid, Andrew </t>
  </si>
  <si>
    <t>2528 East Alberson Dr.</t>
  </si>
  <si>
    <t>Albany</t>
  </si>
  <si>
    <t xml:space="preserve">Ringo, Craig </t>
  </si>
  <si>
    <t>5697 Daniel Dr.</t>
  </si>
  <si>
    <t>Bedford Hts</t>
  </si>
  <si>
    <t>MEADOWS, ROB</t>
  </si>
  <si>
    <t>160 FAIRFAX</t>
  </si>
  <si>
    <t>CLE</t>
  </si>
  <si>
    <t>THEFT</t>
  </si>
  <si>
    <t>ROBINSON NIKKOLE</t>
  </si>
  <si>
    <t>357 E 270 EUCLID</t>
  </si>
  <si>
    <t>Salem, Zahara</t>
  </si>
  <si>
    <t>841 Horseshoe Way</t>
  </si>
  <si>
    <t>Avon Lake</t>
  </si>
  <si>
    <t>SARKAR</t>
  </si>
  <si>
    <t>DAVIDSON</t>
  </si>
  <si>
    <t>Richmond Hts., OH</t>
  </si>
  <si>
    <t xml:space="preserve">Stroud, Brittany </t>
  </si>
  <si>
    <r>
      <t xml:space="preserve">5106 </t>
    </r>
    <r>
      <rPr>
        <sz val="11"/>
        <color rgb="FF5B5B00"/>
        <rFont val="Arial"/>
        <family val="2"/>
        <charset val="1"/>
      </rPr>
      <t>East 113th Street</t>
    </r>
    <r>
      <rPr>
        <sz val="11"/>
        <color rgb="FFFAFA00"/>
        <rFont val="Arial"/>
        <family val="2"/>
        <charset val="1"/>
      </rPr>
      <t xml:space="preserve">, </t>
    </r>
  </si>
  <si>
    <t>Garfield</t>
  </si>
  <si>
    <t>FIRE</t>
  </si>
  <si>
    <t xml:space="preserve">Tamplin, Adalene </t>
  </si>
  <si>
    <t>287 Roberts Rd.</t>
  </si>
  <si>
    <t>Barnesville</t>
  </si>
  <si>
    <t xml:space="preserve">Thomas, Nicole </t>
  </si>
  <si>
    <t xml:space="preserve">1620 Belwood </t>
  </si>
  <si>
    <t>Cleveland Hts., OH</t>
  </si>
  <si>
    <t>WARD</t>
  </si>
  <si>
    <t>TARKINGTON</t>
  </si>
  <si>
    <t>WYNN</t>
  </si>
  <si>
    <t>331 Royal Oak Blvd</t>
  </si>
  <si>
    <t xml:space="preserve">Gollate, Nicole </t>
  </si>
  <si>
    <t>13700 Cormere Ave.</t>
  </si>
  <si>
    <t xml:space="preserve">Cleveland, </t>
  </si>
  <si>
    <t>PENDING</t>
  </si>
  <si>
    <t>AGNEW</t>
  </si>
  <si>
    <t>Cleveland</t>
  </si>
  <si>
    <t>BROADHEAD</t>
  </si>
  <si>
    <t>CEDAR</t>
  </si>
  <si>
    <t>BROWN ANETTA</t>
  </si>
  <si>
    <t>Charles Brown</t>
  </si>
  <si>
    <t>36875 Pepper Dr</t>
  </si>
  <si>
    <t>Dumas,TyronE</t>
  </si>
  <si>
    <t>EDWARDS</t>
  </si>
  <si>
    <t>TUPELO</t>
  </si>
  <si>
    <t>FERGUSON, ROBERT</t>
  </si>
  <si>
    <t>HILLCROFT</t>
  </si>
  <si>
    <t>GRILLS</t>
  </si>
  <si>
    <t>Moore, Joyce</t>
  </si>
  <si>
    <t>3789 Mayfield Rd.</t>
  </si>
  <si>
    <t>Cleveland Hts.</t>
  </si>
  <si>
    <t xml:space="preserve">Roby Tameka </t>
  </si>
  <si>
    <t xml:space="preserve">4774 Derbyshire </t>
  </si>
  <si>
    <t>WIN</t>
  </si>
  <si>
    <t>Seawright</t>
  </si>
  <si>
    <t>3889 East 140th Str.</t>
  </si>
  <si>
    <t>Shepherd, Abraham, Thelma</t>
  </si>
  <si>
    <t>Bolton</t>
  </si>
  <si>
    <t>SMITH SALOMON</t>
  </si>
  <si>
    <t>11206 Briiacliff Dr</t>
  </si>
  <si>
    <t>OH21P</t>
  </si>
  <si>
    <t>Solomon J</t>
  </si>
  <si>
    <t>3581 Ingleside Rd.</t>
  </si>
  <si>
    <t>Shaker Hts., OH</t>
  </si>
  <si>
    <t>STEELE</t>
  </si>
  <si>
    <t xml:space="preserve">Torres,Angel </t>
  </si>
  <si>
    <t>1201 Springwood Dr.</t>
  </si>
  <si>
    <t>Conyers</t>
  </si>
  <si>
    <t>Jenkins. Martha</t>
  </si>
  <si>
    <t>GAA</t>
  </si>
  <si>
    <t xml:space="preserve">WIMBISH,TAWANA </t>
  </si>
  <si>
    <t>300 LYNHURST</t>
  </si>
  <si>
    <t>Z</t>
  </si>
  <si>
    <t xml:space="preserve">Z1 COUNT </t>
  </si>
  <si>
    <t>TTD</t>
  </si>
  <si>
    <t>Z10 ACTIVE</t>
  </si>
  <si>
    <t>Z2 HOW2</t>
  </si>
  <si>
    <t>Z3 CLOSED</t>
  </si>
  <si>
    <t>Z4 PENDING</t>
  </si>
  <si>
    <t>Z5 net calc</t>
  </si>
  <si>
    <t>Z6 LINES IN</t>
  </si>
  <si>
    <t>Z7 DEDUCT START</t>
  </si>
  <si>
    <t>a</t>
  </si>
  <si>
    <t>Z8 CALC SHEET</t>
  </si>
  <si>
    <t>Z9 DIFF</t>
  </si>
  <si>
    <t>2.customer agreement</t>
  </si>
  <si>
    <t xml:space="preserve"> Email (#1)</t>
  </si>
  <si>
    <t>3.W9</t>
  </si>
  <si>
    <t>5,PKT CPS BOX COUNT REPORT</t>
  </si>
  <si>
    <t xml:space="preserve">Anderson, Vanessa </t>
  </si>
  <si>
    <t>771 Edgewood Rd.</t>
  </si>
  <si>
    <t>Richmond Hts.</t>
  </si>
  <si>
    <t>PAID</t>
  </si>
  <si>
    <t>Ayo Akalla</t>
  </si>
  <si>
    <t>3685 E 153</t>
  </si>
  <si>
    <t xml:space="preserve">BrowN,Terell </t>
  </si>
  <si>
    <t>MANOR</t>
  </si>
  <si>
    <t>DRAKE</t>
  </si>
  <si>
    <t>3626 East 78th Str.</t>
  </si>
  <si>
    <t>CLEVE</t>
  </si>
  <si>
    <t>NAR</t>
  </si>
  <si>
    <t xml:space="preserve">Jackson2, Sandra </t>
  </si>
  <si>
    <t xml:space="preserve">215 Sunset Ave. </t>
  </si>
  <si>
    <t>Atlanta</t>
  </si>
  <si>
    <t xml:space="preserve">Moiye, Ras </t>
  </si>
  <si>
    <t>MONICA MURRY</t>
  </si>
  <si>
    <t>ROB</t>
  </si>
  <si>
    <t>????</t>
  </si>
  <si>
    <t>OHJ</t>
  </si>
  <si>
    <t>TALLERY SUQUANA</t>
  </si>
  <si>
    <t>10912 ELMWOOD</t>
  </si>
  <si>
    <t xml:space="preserve">Thornton, Ericka </t>
  </si>
  <si>
    <t>6280 Eldridge Blvd</t>
  </si>
  <si>
    <t>Bedford, OH</t>
  </si>
  <si>
    <t>THROCKLEY</t>
  </si>
  <si>
    <t>Webb, Terika</t>
  </si>
  <si>
    <r>
      <t xml:space="preserve">17814 </t>
    </r>
    <r>
      <rPr>
        <sz val="10"/>
        <color rgb="FF6E6E00"/>
        <rFont val="Arial"/>
        <family val="2"/>
        <charset val="1"/>
      </rPr>
      <t xml:space="preserve">Dillewood </t>
    </r>
    <r>
      <rPr>
        <sz val="10"/>
        <color rgb="FF626200"/>
        <rFont val="Arial"/>
        <family val="2"/>
        <charset val="1"/>
      </rPr>
      <t>Rd</t>
    </r>
    <r>
      <rPr>
        <sz val="10"/>
        <color rgb="FFFAFA00"/>
        <rFont val="Arial"/>
        <family val="2"/>
        <charset val="1"/>
      </rPr>
      <t xml:space="preserve">, </t>
    </r>
  </si>
  <si>
    <t>VDM</t>
  </si>
  <si>
    <t>C</t>
  </si>
  <si>
    <r>
      <t xml:space="preserve"> Create </t>
    </r>
    <r>
      <rPr>
        <b/>
        <i/>
        <u/>
        <sz val="18"/>
        <color rgb="FF000000"/>
        <rFont val="Calibri"/>
        <family val="2"/>
        <scheme val="minor"/>
      </rPr>
      <t>Email (#1)</t>
    </r>
    <r>
      <rPr>
        <sz val="14"/>
        <color rgb="FF000000"/>
        <rFont val="Calibri"/>
        <family val="2"/>
        <scheme val="minor"/>
      </rPr>
      <t xml:space="preserve"> per the numbered attachments list following below.</t>
    </r>
  </si>
  <si>
    <t>(Note: Pictures &amp; further documentation to follow under separate Email #2)</t>
  </si>
  <si>
    <t xml:space="preserve">ALL REPORTS TO INCLUDE the following prefix :                            </t>
  </si>
  <si>
    <t xml:space="preserve">“REPORT #, State Code, YEAR, COMPANY# (A/T/P/Q/M),CUSTOMER Name,  @STREET.”  </t>
  </si>
  <si>
    <t>COMPANY CODES; A= APC ... P=PROVISO/JAMAL ….. T=TONY/WAYSIDE …. Q=QUINTON/PLATINUM … M=MISC</t>
  </si>
  <si>
    <t>EX. = ( 3. W9 FORM OH23A SMITH @ Main St.).</t>
  </si>
  <si>
    <t>CONTRACT PACKAGE</t>
  </si>
  <si>
    <t>1.GENERAL AUTHORIZATION</t>
  </si>
  <si>
    <t>2.CUSTOMER AGREEMENT</t>
  </si>
  <si>
    <t xml:space="preserve">3. W9 form. </t>
  </si>
  <si>
    <r>
      <t xml:space="preserve">ENCIRLE REPORTS: </t>
    </r>
    <r>
      <rPr>
        <sz val="12"/>
        <color rgb="FF000000"/>
        <rFont val="Arial Narrow"/>
        <family val="2"/>
      </rPr>
      <t>Retrieve/DOWNLOAD REPORTS</t>
    </r>
    <r>
      <rPr>
        <sz val="14"/>
        <color rgb="FF000000"/>
        <rFont val="Arial Narrow"/>
        <family val="2"/>
      </rPr>
      <t>; (</t>
    </r>
    <r>
      <rPr>
        <sz val="12"/>
        <color rgb="FF000000"/>
        <rFont val="Arial Narrow"/>
        <family val="2"/>
      </rPr>
      <t>Create as needed</t>
    </r>
    <r>
      <rPr>
        <sz val="14"/>
        <color rgb="FF000000"/>
        <rFont val="Arial Narrow"/>
        <family val="2"/>
      </rPr>
      <t>)</t>
    </r>
  </si>
  <si>
    <r>
      <t>4.“</t>
    </r>
    <r>
      <rPr>
        <b/>
        <sz val="14"/>
        <color rgb="FF000000"/>
        <rFont val="Arial Narrow"/>
        <family val="2"/>
      </rPr>
      <t>JOBSITE VERIFI. &amp; SOURCE OF LOSS</t>
    </r>
    <r>
      <rPr>
        <sz val="14"/>
        <color rgb="FF000000"/>
        <rFont val="Arial Narrow"/>
        <family val="2"/>
      </rPr>
      <t>”</t>
    </r>
  </si>
  <si>
    <r>
      <t>5.</t>
    </r>
    <r>
      <rPr>
        <b/>
        <sz val="14"/>
        <color rgb="FF000000"/>
        <rFont val="Arial Narrow"/>
        <family val="2"/>
      </rPr>
      <t>CPS BOX COUNT REPORT</t>
    </r>
  </si>
  <si>
    <r>
      <t>6.XACTIMATE</t>
    </r>
    <r>
      <rPr>
        <sz val="11"/>
        <color rgb="FF000000"/>
        <rFont val="Arial Black"/>
        <family val="2"/>
      </rPr>
      <t xml:space="preserve"> CPS PACKOUT </t>
    </r>
    <r>
      <rPr>
        <sz val="14"/>
        <color rgb="FF000000"/>
        <rFont val="Arial Narrow"/>
        <family val="2"/>
      </rPr>
      <t>Invoice</t>
    </r>
  </si>
  <si>
    <r>
      <t xml:space="preserve">Create </t>
    </r>
    <r>
      <rPr>
        <b/>
        <i/>
        <u/>
        <sz val="14"/>
        <color rgb="FF000000"/>
        <rFont val="Calibri"/>
        <family val="2"/>
        <scheme val="minor"/>
      </rPr>
      <t xml:space="preserve"> </t>
    </r>
    <r>
      <rPr>
        <b/>
        <i/>
        <u/>
        <sz val="18"/>
        <color rgb="FF000000"/>
        <rFont val="Calibri"/>
        <family val="2"/>
        <scheme val="minor"/>
      </rPr>
      <t>Email (#2</t>
    </r>
    <r>
      <rPr>
        <b/>
        <i/>
        <u/>
        <sz val="14"/>
        <color rgb="FF000000"/>
        <rFont val="Calibri"/>
        <family val="2"/>
        <scheme val="minor"/>
      </rPr>
      <t xml:space="preserve">)  </t>
    </r>
    <r>
      <rPr>
        <sz val="12"/>
        <color rgb="FF000000"/>
        <rFont val="Arial Narrow"/>
        <family val="2"/>
      </rPr>
      <t xml:space="preserve">: Pictures &amp; further documentation </t>
    </r>
  </si>
  <si>
    <r>
      <t>7.</t>
    </r>
    <r>
      <rPr>
        <b/>
        <sz val="14"/>
        <color rgb="FF000000"/>
        <rFont val="Arial Narrow"/>
        <family val="2"/>
      </rPr>
      <t>ROOMS Overview Pics</t>
    </r>
  </si>
  <si>
    <r>
      <t>8.</t>
    </r>
    <r>
      <rPr>
        <b/>
        <sz val="14"/>
        <color rgb="FF000000"/>
        <rFont val="Arial Narrow"/>
        <family val="2"/>
      </rPr>
      <t>CPS Overview 1234</t>
    </r>
  </si>
  <si>
    <r>
      <t>9.</t>
    </r>
    <r>
      <rPr>
        <b/>
        <sz val="14"/>
        <color rgb="FF000000"/>
        <rFont val="Arial Narrow"/>
        <family val="2"/>
      </rPr>
      <t>CPS BOX COUNT PHOTO REPORT</t>
    </r>
  </si>
  <si>
    <r>
      <t>10.</t>
    </r>
    <r>
      <rPr>
        <sz val="7"/>
        <color rgb="FF000000"/>
        <rFont val="Times New Roman"/>
        <family val="1"/>
      </rPr>
      <t xml:space="preserve"> </t>
    </r>
    <r>
      <rPr>
        <sz val="14"/>
        <color rgb="FF000000"/>
        <rFont val="Arial Narrow"/>
        <family val="2"/>
      </rPr>
      <t>EMAIL COVER SHEET.(TMPL30)</t>
    </r>
  </si>
  <si>
    <t>Submit ADDITIONAL Justification/Rebuttals as needed per Invoice.</t>
  </si>
  <si>
    <t>#</t>
  </si>
  <si>
    <t>INT</t>
  </si>
  <si>
    <t>MIT</t>
  </si>
  <si>
    <t>RPL</t>
  </si>
  <si>
    <t>RCV</t>
  </si>
  <si>
    <t>SPLM</t>
  </si>
  <si>
    <t>ALE</t>
  </si>
  <si>
    <t>M2</t>
  </si>
  <si>
    <t>RF2</t>
  </si>
  <si>
    <t>SD2</t>
  </si>
  <si>
    <t>IN2</t>
  </si>
  <si>
    <t>CP2</t>
  </si>
  <si>
    <t>AL2</t>
  </si>
  <si>
    <t>REL</t>
  </si>
  <si>
    <t>Column1</t>
  </si>
  <si>
    <t>EXT</t>
  </si>
  <si>
    <t>SDG</t>
  </si>
  <si>
    <t>Ayo Akala</t>
  </si>
  <si>
    <t>E 153</t>
  </si>
  <si>
    <t>N/A</t>
  </si>
  <si>
    <r>
      <t xml:space="preserve">OH23A </t>
    </r>
    <r>
      <rPr>
        <sz val="11"/>
        <color rgb="FF4E4E00"/>
        <rFont val="Arial"/>
        <family val="2"/>
        <charset val="1"/>
      </rPr>
      <t xml:space="preserve">Akalla </t>
    </r>
    <r>
      <rPr>
        <sz val="11"/>
        <color rgb="FF6F6F00"/>
        <rFont val="Arial"/>
        <family val="2"/>
        <charset val="1"/>
      </rPr>
      <t>@</t>
    </r>
    <r>
      <rPr>
        <sz val="11"/>
        <color rgb="FF484800"/>
        <rFont val="Arial"/>
        <family val="2"/>
        <charset val="1"/>
      </rPr>
      <t xml:space="preserve">E153 </t>
    </r>
    <r>
      <rPr>
        <sz val="11"/>
        <color rgb="FF6D6D00"/>
        <rFont val="Arial"/>
        <family val="2"/>
        <charset val="1"/>
      </rPr>
      <t>Fire</t>
    </r>
  </si>
  <si>
    <r>
      <t xml:space="preserve">OH23 </t>
    </r>
    <r>
      <rPr>
        <sz val="11"/>
        <color rgb="FF595900"/>
        <rFont val="Arial"/>
        <family val="2"/>
        <charset val="1"/>
      </rPr>
      <t xml:space="preserve">FRANKLIN </t>
    </r>
    <r>
      <rPr>
        <sz val="11"/>
        <color rgb="FF555500"/>
        <rFont val="Arial"/>
        <family val="2"/>
        <charset val="1"/>
      </rPr>
      <t>@</t>
    </r>
    <r>
      <rPr>
        <sz val="11"/>
        <color rgb="FF6B6B00"/>
        <rFont val="Arial"/>
        <family val="2"/>
        <charset val="1"/>
      </rPr>
      <t>256street</t>
    </r>
  </si>
  <si>
    <t>Lotus</t>
  </si>
  <si>
    <t>LMI</t>
  </si>
  <si>
    <t>Landing</t>
  </si>
  <si>
    <t>Sunset</t>
  </si>
  <si>
    <t>Northwood</t>
  </si>
  <si>
    <t>Mayfield</t>
  </si>
  <si>
    <t>ESTD</t>
  </si>
  <si>
    <t>East</t>
  </si>
  <si>
    <t>Roberts</t>
  </si>
  <si>
    <t>Springwood</t>
  </si>
  <si>
    <t>FAIRFAX</t>
  </si>
  <si>
    <r>
      <t xml:space="preserve">17814 </t>
    </r>
    <r>
      <rPr>
        <sz val="10"/>
        <color rgb="FF6E6E00"/>
        <rFont val="Arial"/>
        <family val="2"/>
        <charset val="1"/>
      </rPr>
      <t xml:space="preserve">Dillewood </t>
    </r>
    <r>
      <rPr>
        <sz val="10"/>
        <color rgb="FF626200"/>
        <rFont val="Arial"/>
        <family val="2"/>
        <charset val="1"/>
      </rPr>
      <t>Rd</t>
    </r>
    <r>
      <rPr>
        <sz val="10"/>
        <color rgb="FFFAFA00"/>
        <rFont val="Arial"/>
        <family val="2"/>
        <charset val="1"/>
      </rPr>
      <t xml:space="preserve">, </t>
    </r>
    <r>
      <rPr>
        <sz val="10"/>
        <color rgb="FF5B5B00"/>
        <rFont val="Arial"/>
        <family val="2"/>
        <charset val="1"/>
      </rPr>
      <t>Cleveland</t>
    </r>
    <r>
      <rPr>
        <sz val="10"/>
        <color rgb="FFF8F800"/>
        <rFont val="Arial"/>
        <family val="2"/>
        <charset val="1"/>
      </rPr>
      <t xml:space="preserve">, </t>
    </r>
    <r>
      <rPr>
        <sz val="10"/>
        <color rgb="FF565600"/>
        <rFont val="Arial"/>
        <family val="2"/>
        <charset val="1"/>
      </rPr>
      <t>OH</t>
    </r>
    <r>
      <rPr>
        <sz val="10"/>
        <color rgb="FFFEFE00"/>
        <rFont val="Arial"/>
        <family val="2"/>
        <charset val="1"/>
      </rPr>
      <t xml:space="preserve">, </t>
    </r>
    <r>
      <rPr>
        <sz val="10"/>
        <color rgb="FF5C5C00"/>
        <rFont val="Arial"/>
        <family val="2"/>
        <charset val="1"/>
      </rPr>
      <t>USA</t>
    </r>
  </si>
  <si>
    <t xml:space="preserve">OH23A Ali@ Lorain </t>
  </si>
  <si>
    <t>Edgewood</t>
  </si>
  <si>
    <t>Cormere</t>
  </si>
  <si>
    <t>KENNETH </t>
  </si>
  <si>
    <t>LINCOLN</t>
  </si>
  <si>
    <t xml:space="preserve">OH23A KENNY @ LINCOLN </t>
  </si>
  <si>
    <r>
      <t xml:space="preserve">GA23A </t>
    </r>
    <r>
      <rPr>
        <sz val="11"/>
        <color rgb="FF5E5E00"/>
        <rFont val="Arial"/>
        <family val="2"/>
        <charset val="1"/>
      </rPr>
      <t xml:space="preserve">Lozano </t>
    </r>
    <r>
      <rPr>
        <sz val="11"/>
        <color rgb="FF727200"/>
        <rFont val="Arial"/>
        <family val="2"/>
        <charset val="1"/>
      </rPr>
      <t xml:space="preserve">@ </t>
    </r>
    <r>
      <rPr>
        <sz val="11"/>
        <color rgb="FF5C5C00"/>
        <rFont val="Arial"/>
        <family val="2"/>
        <charset val="1"/>
      </rPr>
      <t>Austell </t>
    </r>
  </si>
  <si>
    <r>
      <t xml:space="preserve">GA23Moiye </t>
    </r>
    <r>
      <rPr>
        <sz val="12"/>
        <color rgb="FF6C6C00"/>
        <rFont val="Arial"/>
        <family val="2"/>
        <charset val="1"/>
      </rPr>
      <t xml:space="preserve">@DIX </t>
    </r>
    <r>
      <rPr>
        <sz val="12"/>
        <color rgb="FF717100"/>
        <rFont val="Arial"/>
        <family val="2"/>
        <charset val="1"/>
      </rPr>
      <t xml:space="preserve">LEE </t>
    </r>
    <r>
      <rPr>
        <sz val="12"/>
        <color rgb="FF6B6B00"/>
        <rFont val="Arial"/>
        <family val="2"/>
        <charset val="1"/>
      </rPr>
      <t xml:space="preserve">ON </t>
    </r>
    <r>
      <rPr>
        <sz val="12"/>
        <color rgb="FF7F7F00"/>
        <rFont val="Arial"/>
        <family val="2"/>
        <charset val="1"/>
      </rPr>
      <t>3</t>
    </r>
  </si>
  <si>
    <t>Dix</t>
  </si>
  <si>
    <t>DEPR?</t>
  </si>
  <si>
    <t>Astaire</t>
  </si>
  <si>
    <t>Daniel</t>
  </si>
  <si>
    <t>Horseshoe</t>
  </si>
  <si>
    <t>Stroud, Brittany</t>
  </si>
  <si>
    <t>E113 ST</t>
  </si>
  <si>
    <r>
      <t xml:space="preserve">OH23A </t>
    </r>
    <r>
      <rPr>
        <sz val="12"/>
        <color rgb="FF595900"/>
        <rFont val="Arial"/>
        <family val="2"/>
        <charset val="1"/>
      </rPr>
      <t>STROUD</t>
    </r>
    <r>
      <rPr>
        <sz val="12"/>
        <color rgb="FF6A6A00"/>
        <rFont val="Arial"/>
        <family val="2"/>
        <charset val="1"/>
      </rPr>
      <t>@</t>
    </r>
    <r>
      <rPr>
        <sz val="12"/>
        <color rgb="FF676700"/>
        <rFont val="Arial"/>
        <family val="2"/>
        <charset val="1"/>
      </rPr>
      <t>E113TH</t>
    </r>
  </si>
  <si>
    <t>Terell BrowN</t>
  </si>
  <si>
    <t>Solomon</t>
  </si>
  <si>
    <t>Ingleside</t>
  </si>
  <si>
    <t>Royal OAK</t>
  </si>
  <si>
    <t>78th</t>
  </si>
  <si>
    <t>Blvd</t>
  </si>
  <si>
    <t>140th</t>
  </si>
  <si>
    <t>Belwood</t>
  </si>
  <si>
    <t>Eldridge</t>
  </si>
  <si>
    <t>Hodges</t>
  </si>
  <si>
    <t>7297 Northam Dr.</t>
  </si>
  <si>
    <t>Northam</t>
  </si>
  <si>
    <t>St.Germain</t>
  </si>
  <si>
    <t xml:space="preserve">PHAIRR, MARY </t>
  </si>
  <si>
    <t>E146 ST</t>
  </si>
  <si>
    <r>
      <t xml:space="preserve">OH23 </t>
    </r>
    <r>
      <rPr>
        <sz val="11"/>
        <color rgb="FF6E6E00"/>
        <rFont val="Arial"/>
        <family val="2"/>
        <charset val="1"/>
      </rPr>
      <t xml:space="preserve">PHAIRR </t>
    </r>
    <r>
      <rPr>
        <sz val="11"/>
        <color rgb="FF6F6F00"/>
        <rFont val="Arial"/>
        <family val="2"/>
        <charset val="1"/>
      </rPr>
      <t xml:space="preserve">@E </t>
    </r>
    <r>
      <rPr>
        <sz val="11"/>
        <color rgb="FF525200"/>
        <rFont val="Arial"/>
        <family val="2"/>
        <charset val="1"/>
      </rPr>
      <t>146</t>
    </r>
  </si>
  <si>
    <t xml:space="preserve">Brown, Charles </t>
  </si>
  <si>
    <t>PEPPER</t>
  </si>
  <si>
    <t>SOLON</t>
  </si>
  <si>
    <r>
      <t xml:space="preserve">OH23 </t>
    </r>
    <r>
      <rPr>
        <sz val="11"/>
        <color rgb="FF6D6D00"/>
        <rFont val="Arial"/>
        <family val="2"/>
        <charset val="1"/>
      </rPr>
      <t xml:space="preserve">BROWN </t>
    </r>
    <r>
      <rPr>
        <sz val="11"/>
        <color rgb="FF707000"/>
        <rFont val="Arial"/>
        <family val="2"/>
        <charset val="1"/>
      </rPr>
      <t xml:space="preserve">@Pepper </t>
    </r>
    <r>
      <rPr>
        <sz val="11"/>
        <color rgb="FF626200"/>
        <rFont val="Arial"/>
        <family val="2"/>
        <charset val="1"/>
      </rPr>
      <t>Solon</t>
    </r>
  </si>
  <si>
    <t>Smith, Mary — OH22P</t>
  </si>
  <si>
    <t>Burnette</t>
  </si>
  <si>
    <r>
      <t xml:space="preserve">Oh </t>
    </r>
    <r>
      <rPr>
        <sz val="11"/>
        <color rgb="FF595900"/>
        <rFont val="Arial"/>
        <family val="2"/>
        <charset val="1"/>
      </rPr>
      <t xml:space="preserve">23 </t>
    </r>
    <r>
      <rPr>
        <sz val="11"/>
        <color rgb="FF7E7E00"/>
        <rFont val="Arial"/>
        <family val="2"/>
        <charset val="1"/>
      </rPr>
      <t xml:space="preserve">P </t>
    </r>
    <r>
      <rPr>
        <sz val="11"/>
        <color rgb="FF595900"/>
        <rFont val="Arial"/>
        <family val="2"/>
        <charset val="1"/>
      </rPr>
      <t xml:space="preserve">Harvey </t>
    </r>
    <r>
      <rPr>
        <sz val="11"/>
        <color rgb="FF717100"/>
        <rFont val="Arial"/>
        <family val="2"/>
        <charset val="1"/>
      </rPr>
      <t>Greenhurst </t>
    </r>
  </si>
  <si>
    <r>
      <t xml:space="preserve">OH23A </t>
    </r>
    <r>
      <rPr>
        <sz val="12"/>
        <color rgb="FF5B5B00"/>
        <rFont val="Arial"/>
        <family val="2"/>
        <charset val="1"/>
      </rPr>
      <t>Hobbs</t>
    </r>
    <r>
      <rPr>
        <sz val="12"/>
        <color rgb="FF828200"/>
        <rFont val="Arial"/>
        <family val="2"/>
        <charset val="1"/>
      </rPr>
      <t>@</t>
    </r>
    <r>
      <rPr>
        <sz val="12"/>
        <color rgb="FF565600"/>
        <rFont val="Arial"/>
        <family val="2"/>
        <charset val="1"/>
      </rPr>
      <t>Glenside</t>
    </r>
  </si>
  <si>
    <r>
      <t>OH23A</t>
    </r>
    <r>
      <rPr>
        <sz val="12"/>
        <color rgb="FFFAFA00"/>
        <rFont val="Arial"/>
        <family val="2"/>
        <charset val="1"/>
      </rPr>
      <t>-</t>
    </r>
    <r>
      <rPr>
        <sz val="12"/>
        <color rgb="FF5A5A00"/>
        <rFont val="Arial"/>
        <family val="2"/>
        <charset val="1"/>
      </rPr>
      <t xml:space="preserve">Leeth </t>
    </r>
    <r>
      <rPr>
        <sz val="12"/>
        <color rgb="FF848400"/>
        <rFont val="Arial"/>
        <family val="2"/>
        <charset val="1"/>
      </rPr>
      <t xml:space="preserve">@ </t>
    </r>
    <r>
      <rPr>
        <sz val="12"/>
        <color rgb="FF6F6F00"/>
        <rFont val="Arial"/>
        <family val="2"/>
        <charset val="1"/>
      </rPr>
      <t>Miami Euclid</t>
    </r>
  </si>
  <si>
    <t>WSB</t>
  </si>
  <si>
    <t xml:space="preserve"> …..................  NEW  …....CLAIMS</t>
  </si>
  <si>
    <r>
      <t xml:space="preserve">Oh </t>
    </r>
    <r>
      <rPr>
        <sz val="12"/>
        <color rgb="FF737300"/>
        <rFont val="Arial"/>
        <family val="2"/>
        <charset val="1"/>
      </rPr>
      <t xml:space="preserve">23 </t>
    </r>
    <r>
      <rPr>
        <sz val="12"/>
        <color rgb="FF5B5B00"/>
        <rFont val="Arial"/>
        <family val="2"/>
        <charset val="1"/>
      </rPr>
      <t>P Name</t>
    </r>
    <r>
      <rPr>
        <sz val="12"/>
        <color rgb="FF686800"/>
        <rFont val="Arial"/>
        <family val="2"/>
        <charset val="1"/>
      </rPr>
      <t xml:space="preserve">@ </t>
    </r>
    <r>
      <rPr>
        <sz val="12"/>
        <color rgb="FF666600"/>
        <rFont val="Arial"/>
        <family val="2"/>
        <charset val="1"/>
      </rPr>
      <t>E.187th</t>
    </r>
  </si>
  <si>
    <t>MIT SPLM</t>
  </si>
  <si>
    <t xml:space="preserve">Jarboe, Delicia </t>
  </si>
  <si>
    <t>4085 East 153 rd Str.</t>
  </si>
  <si>
    <t xml:space="preserve">Edwards, Clarence </t>
  </si>
  <si>
    <t>13706 Glendale Ave.</t>
  </si>
  <si>
    <t>VAN</t>
  </si>
  <si>
    <t>CLOSED NO FURTHER ACTIVITY</t>
  </si>
  <si>
    <t>RPLC</t>
  </si>
  <si>
    <t>Andrea</t>
  </si>
  <si>
    <t>3711 Blanchie Ave</t>
  </si>
  <si>
    <t>Ben</t>
  </si>
  <si>
    <t>Apt @ Detroit</t>
  </si>
  <si>
    <t>24325 Detroit Rd.</t>
  </si>
  <si>
    <t>Westlake,</t>
  </si>
  <si>
    <t>CARR</t>
  </si>
  <si>
    <t>99 W. St. Clair Ave.</t>
  </si>
  <si>
    <t>Davis</t>
  </si>
  <si>
    <t>12500 Parkhill Ave.</t>
  </si>
  <si>
    <t>Charmine</t>
  </si>
  <si>
    <t>Galloway, LINDA</t>
  </si>
  <si>
    <t>15865 Glynn Rd.</t>
  </si>
  <si>
    <t>GREEN, RODERICK</t>
  </si>
  <si>
    <t>Halton, Jocelyn</t>
  </si>
  <si>
    <t>7609 Maplewood Dr.</t>
  </si>
  <si>
    <t>APPRAISAL</t>
  </si>
  <si>
    <t xml:space="preserve">Halton, Jocelyn </t>
  </si>
  <si>
    <t xml:space="preserve">Solon, </t>
  </si>
  <si>
    <t>Julia</t>
  </si>
  <si>
    <t>HOBBS</t>
  </si>
  <si>
    <t>HOBBS @ GLENSIDE</t>
  </si>
  <si>
    <t>Hollinger</t>
  </si>
  <si>
    <t>JAMAL</t>
  </si>
  <si>
    <t>RM</t>
  </si>
  <si>
    <t>ADDIT RO</t>
  </si>
  <si>
    <t>KIRKWOOD</t>
  </si>
  <si>
    <t>STOCKBRIGDE</t>
  </si>
  <si>
    <t xml:space="preserve">LEETH </t>
  </si>
  <si>
    <t>FOREST GROVE AVE</t>
  </si>
  <si>
    <t>MAYES</t>
  </si>
  <si>
    <t>DAVIS MAYES</t>
  </si>
  <si>
    <t xml:space="preserve">Painter,Calvin </t>
  </si>
  <si>
    <t>4346 Archer Rd.</t>
  </si>
  <si>
    <t xml:space="preserve">Patterson, Marilyn </t>
  </si>
  <si>
    <t>5181 Theodore Str.</t>
  </si>
  <si>
    <t>Maple Hts.,</t>
  </si>
  <si>
    <t>ROBINSON</t>
  </si>
  <si>
    <t>BLANCHE AVE</t>
  </si>
  <si>
    <t>SMITH</t>
  </si>
  <si>
    <t>@ MERRYGOLD</t>
  </si>
  <si>
    <t>WH</t>
  </si>
  <si>
    <t>@ PRESTON</t>
  </si>
  <si>
    <t>4923 Annette PL</t>
  </si>
  <si>
    <t>Warrensville Hts., OH</t>
  </si>
  <si>
    <t xml:space="preserve">SHAW  SDG </t>
  </si>
  <si>
    <t>SMITH SHAW, LINDA</t>
  </si>
  <si>
    <t>CRENNELL</t>
  </si>
  <si>
    <t>Walter Jones</t>
  </si>
  <si>
    <t>4181 Silsby Rd.</t>
  </si>
  <si>
    <t>WILSON</t>
  </si>
  <si>
    <t>18053 Blandford Rd.</t>
  </si>
  <si>
    <t>LEGEND</t>
  </si>
  <si>
    <t>VERIFY</t>
  </si>
  <si>
    <t>EMS IN$</t>
  </si>
  <si>
    <t xml:space="preserve">Interior Mitigation/Emergency Services Invoice </t>
  </si>
  <si>
    <t>Originally sent to INS CO.</t>
  </si>
  <si>
    <t>Enter amount$.</t>
  </si>
  <si>
    <t>SPLM$</t>
  </si>
  <si>
    <t xml:space="preserve">Supplemental invoice </t>
  </si>
  <si>
    <t>Submitted to INS CO.</t>
  </si>
  <si>
    <t>SENT</t>
  </si>
  <si>
    <t>Date sent to INS CO.</t>
  </si>
  <si>
    <t>Verify email SENT</t>
  </si>
  <si>
    <t>ENTER DATE</t>
  </si>
  <si>
    <t>Verify payment</t>
  </si>
  <si>
    <t>ENTER $</t>
  </si>
  <si>
    <t>EXT EMS$</t>
  </si>
  <si>
    <t xml:space="preserve">Exterior Mitigation/Emergency Services Invoice </t>
  </si>
  <si>
    <t xml:space="preserve">REBUILD </t>
  </si>
  <si>
    <t>Rebuilt Invoice</t>
  </si>
  <si>
    <t>CPS$</t>
  </si>
  <si>
    <t>Contents Packing &amp; Storage (only)</t>
  </si>
  <si>
    <t>RPL CPS</t>
  </si>
  <si>
    <t>Replacement contents Invoice sent to ensure.</t>
  </si>
  <si>
    <t>MISC</t>
  </si>
  <si>
    <t>Miscellaneous Invoice</t>
  </si>
  <si>
    <t>HAZARDOUS Mitigation Invoice</t>
  </si>
  <si>
    <t>APPRSL</t>
  </si>
  <si>
    <t>Appraisal (if selected)</t>
  </si>
  <si>
    <t>RELEASE (IF ACCEPTED BY OWNER &amp; APC)</t>
  </si>
  <si>
    <t>Supplemental Invoices/Reconcile</t>
  </si>
  <si>
    <t>Supplemental Invoices/Reconcile TRACKING</t>
  </si>
  <si>
    <t>NY20 JONES, M</t>
  </si>
  <si>
    <t>FOLLOWING DUE FOR EACH SUBMITTAL</t>
  </si>
  <si>
    <t>CONTRACTOR W-9 FORM</t>
  </si>
  <si>
    <t>GENERAL AUTHORIZATION</t>
  </si>
  <si>
    <t>EMERGENCY SERVICES WORK AUTHORIZATION</t>
  </si>
  <si>
    <t>Assignment Of Benefits   AOB</t>
  </si>
  <si>
    <t>CONTRACTOR  &amp; HOMEOWNER AGREEMENT_____</t>
  </si>
  <si>
    <t>Notice of Right of Recession</t>
  </si>
  <si>
    <t>Also see each Invoice type for specific info to be sent into insurer.</t>
  </si>
  <si>
    <t>Depreciation Hold &amp; or  Undisputed Claim Portion Release</t>
  </si>
  <si>
    <t>Final Closeout</t>
  </si>
  <si>
    <t>FINAL INVOICE CHECKLIST</t>
  </si>
  <si>
    <t>Letter of Satisfaction</t>
  </si>
  <si>
    <t>EXTERIOR Mitigation</t>
  </si>
  <si>
    <t>INTERIOR Mitigation</t>
  </si>
  <si>
    <t xml:space="preserve">REBUILD INT &amp; EXT </t>
  </si>
  <si>
    <t>Contents pack out</t>
  </si>
  <si>
    <t>Supplements</t>
  </si>
  <si>
    <t>Hazardous Mitigation HMR</t>
  </si>
  <si>
    <t>as needed:</t>
  </si>
  <si>
    <t>LIEN Waiver;    Company to Customer</t>
  </si>
  <si>
    <t>"    " 'From Subcontractor to Company</t>
  </si>
  <si>
    <t>REFERAL ADVERTISEMENT PROGRAM</t>
  </si>
  <si>
    <t xml:space="preserve">        FLYERS [5]</t>
  </si>
  <si>
    <t>Warranty docs Roof</t>
  </si>
  <si>
    <t xml:space="preserve">SETTLEMENT FORM; Global Mutual Release </t>
  </si>
  <si>
    <t>INVOICES Paid in Full</t>
  </si>
  <si>
    <t>EXTERIOR Mitigation/Emergency Services</t>
  </si>
  <si>
    <t>CREATE SUPPLEMENTAL XACT ESTIMATE</t>
  </si>
  <si>
    <t>Submit supplemental invoice.</t>
  </si>
  <si>
    <t>INVOICES Paid in Full or as agreed</t>
  </si>
  <si>
    <t>INTERIOR Mitigation/Emergency Services</t>
  </si>
  <si>
    <t xml:space="preserve">REBUILD INTERIOR &amp; EXTERIOR </t>
  </si>
  <si>
    <t>Contents / PACKOUT</t>
  </si>
  <si>
    <t>Contents / REPLACEMENT ITEMS</t>
  </si>
  <si>
    <t>Supplements/NEW ITEMS ONLY</t>
  </si>
  <si>
    <t>OTHER</t>
  </si>
  <si>
    <t>Submitted to appraisal</t>
  </si>
  <si>
    <t>Update Customer Contact Sheet</t>
  </si>
  <si>
    <t>STATUS</t>
  </si>
  <si>
    <t>CODE</t>
  </si>
  <si>
    <t>ADDRESS</t>
  </si>
  <si>
    <t>CITY/STATE</t>
  </si>
  <si>
    <t>Vanessa Sanchez</t>
  </si>
  <si>
    <t>32 Evergreen Ave</t>
  </si>
  <si>
    <t>Brentwood, GA</t>
  </si>
  <si>
    <t>c</t>
  </si>
  <si>
    <t>Latonya Queen</t>
  </si>
  <si>
    <t>6134 Hickory Lane Dr.</t>
  </si>
  <si>
    <t>Union City, GA</t>
  </si>
  <si>
    <t>Wilson</t>
  </si>
  <si>
    <t>5909 Grand River Dr.</t>
  </si>
  <si>
    <t>College Park, GA</t>
  </si>
  <si>
    <t>Parks</t>
  </si>
  <si>
    <t>1056 Lawton</t>
  </si>
  <si>
    <t xml:space="preserve">Atlanta, </t>
  </si>
  <si>
    <t>Anna Donahoo</t>
  </si>
  <si>
    <t>121 Charles St. W</t>
  </si>
  <si>
    <t>Kitchener, ON, Canada</t>
  </si>
  <si>
    <t>Marcia Spence</t>
  </si>
  <si>
    <t>3321 Washington Blvd.</t>
  </si>
  <si>
    <t>Cleveland Hts., Oh</t>
  </si>
  <si>
    <t>Jacqueline Bair</t>
  </si>
  <si>
    <t>789 Woodview Rd</t>
  </si>
  <si>
    <t>Theresa Wilson</t>
  </si>
  <si>
    <t>Carpenter</t>
  </si>
  <si>
    <t>5 Hickory Street</t>
  </si>
  <si>
    <t>Central Islip, NY</t>
  </si>
  <si>
    <t>Marcos Lozano</t>
  </si>
  <si>
    <t>5992 Hidden Holm Ln</t>
  </si>
  <si>
    <t>Austell,       GA</t>
  </si>
  <si>
    <t>Karl &amp; Joyce Allen</t>
  </si>
  <si>
    <t>Tisha Brooks</t>
  </si>
  <si>
    <t>295 Huntington Str.</t>
  </si>
  <si>
    <t>Covington, GA</t>
  </si>
  <si>
    <t>Robbie S. Ware</t>
  </si>
  <si>
    <t>1369 Almont Dr.</t>
  </si>
  <si>
    <t xml:space="preserve">Atlanta </t>
  </si>
  <si>
    <t>Seedia Ceesay</t>
  </si>
  <si>
    <t>184 Aaron Ct</t>
  </si>
  <si>
    <t>Valencia Lavender</t>
  </si>
  <si>
    <t xml:space="preserve">2755 Flat Shoals Rd. </t>
  </si>
  <si>
    <t xml:space="preserve">College Park, GA  </t>
  </si>
  <si>
    <t>Sherrod Brown</t>
  </si>
  <si>
    <t xml:space="preserve">4435 Cascade Rd. </t>
  </si>
  <si>
    <t>Bernice Wallace</t>
  </si>
  <si>
    <t>16416 Glendale Ave</t>
  </si>
  <si>
    <t>Dennis Dexter</t>
  </si>
  <si>
    <t>4571 Scarborough Rd</t>
  </si>
  <si>
    <t>John Preer</t>
  </si>
  <si>
    <t>3557 Valeland Ave.</t>
  </si>
  <si>
    <t>John Murphy</t>
  </si>
  <si>
    <t>2504 Rex Ave.</t>
  </si>
  <si>
    <t>Sandi Lewis</t>
  </si>
  <si>
    <t>2738 Elkmont Ridge</t>
  </si>
  <si>
    <t>Anthony Barnhill</t>
  </si>
  <si>
    <t>614 Bowling Green Circle</t>
  </si>
  <si>
    <t>Elyria,</t>
  </si>
  <si>
    <t>Kurt IDT</t>
  </si>
  <si>
    <t>1333 E. 188th Str.</t>
  </si>
  <si>
    <t>Daycare</t>
  </si>
  <si>
    <t>Idt</t>
  </si>
  <si>
    <t>14008 Shaw Ave.</t>
  </si>
  <si>
    <t>East Cleveland, OH</t>
  </si>
  <si>
    <t>Jamison Gorin</t>
  </si>
  <si>
    <t xml:space="preserve">2313 Grandview </t>
  </si>
  <si>
    <t xml:space="preserve"> Narsina Jones</t>
  </si>
  <si>
    <t>Mercantile</t>
  </si>
  <si>
    <t xml:space="preserve"> Beachwwod, OH</t>
  </si>
  <si>
    <t>Yolanda River</t>
  </si>
  <si>
    <t>2888 East 117th Str.</t>
  </si>
  <si>
    <t>Jacqueline</t>
  </si>
  <si>
    <t>Abdul Adil Imran</t>
  </si>
  <si>
    <t>15212 Mzple Park Dr.</t>
  </si>
  <si>
    <t>Maple Hts., OH</t>
  </si>
  <si>
    <t>Dennis Z. McGrew</t>
  </si>
  <si>
    <t>9801 South Harvard Ave.</t>
  </si>
  <si>
    <t xml:space="preserve">Chicago, </t>
  </si>
  <si>
    <t>IL</t>
  </si>
  <si>
    <t>Tericka Webb</t>
  </si>
  <si>
    <t>2649 East 110th Str.</t>
  </si>
  <si>
    <t>Linda Donaldson</t>
  </si>
  <si>
    <t>300 Landing Dr.</t>
  </si>
  <si>
    <t>Fayetteville,</t>
  </si>
  <si>
    <t>Shardae Seals</t>
  </si>
  <si>
    <t>Mya West</t>
  </si>
  <si>
    <t>3582 Ingleside Rd.</t>
  </si>
  <si>
    <t>Shaaker Hts., OH</t>
  </si>
  <si>
    <t>Chuck Sherman</t>
  </si>
  <si>
    <t>1139 East 76th Str.</t>
  </si>
  <si>
    <t>Moe</t>
  </si>
  <si>
    <t>3817 East 71st Str.</t>
  </si>
  <si>
    <t>William Edwards</t>
  </si>
  <si>
    <t>2033 Case Str.</t>
  </si>
  <si>
    <t>Twinsburg, OH</t>
  </si>
  <si>
    <t>Edith Johnson</t>
  </si>
  <si>
    <t>1791 Wrenford Rd.</t>
  </si>
  <si>
    <t>South Euclid, OH</t>
  </si>
  <si>
    <t>TERIKA ART LLC</t>
  </si>
  <si>
    <t>3611 Chatham Ave.</t>
  </si>
  <si>
    <t>Robert Dubose</t>
  </si>
  <si>
    <t>12202 Farringdon Ave.</t>
  </si>
  <si>
    <t>Frederick Wiggins</t>
  </si>
  <si>
    <t>1844 E. 85th Str.</t>
  </si>
  <si>
    <t>Huges</t>
  </si>
  <si>
    <t>2282 Walden Rd.</t>
  </si>
  <si>
    <t>Llc</t>
  </si>
  <si>
    <t>2003 Mountville Dr.</t>
  </si>
  <si>
    <t>GA21 WILLIAMS,</t>
  </si>
  <si>
    <t>Vanessa Williams</t>
  </si>
  <si>
    <t xml:space="preserve"> </t>
  </si>
  <si>
    <t>GA21 Williams, W</t>
  </si>
  <si>
    <t>Wanda Williams</t>
  </si>
  <si>
    <t xml:space="preserve">Riverdale, </t>
  </si>
  <si>
    <t>ALS</t>
  </si>
  <si>
    <t>GA21 Grimes</t>
  </si>
  <si>
    <t xml:space="preserve">Grimes, Nawrocki </t>
  </si>
  <si>
    <t>239 Allgood Trace</t>
  </si>
  <si>
    <t xml:space="preserve">Acworth, </t>
  </si>
  <si>
    <t>PD</t>
  </si>
  <si>
    <t>OK</t>
  </si>
  <si>
    <t>Allgood</t>
  </si>
  <si>
    <t>Trace</t>
  </si>
  <si>
    <t xml:space="preserve">Dubose, Robert </t>
  </si>
  <si>
    <t>OPEN</t>
  </si>
  <si>
    <t>Farringdon</t>
  </si>
  <si>
    <t>Ave.</t>
  </si>
  <si>
    <t>Glendale</t>
  </si>
  <si>
    <t>155</t>
  </si>
  <si>
    <t>NA4</t>
  </si>
  <si>
    <t>NA5</t>
  </si>
  <si>
    <t>NA6</t>
  </si>
  <si>
    <t>Column7</t>
  </si>
  <si>
    <t>NA8</t>
  </si>
  <si>
    <t>NA9</t>
  </si>
  <si>
    <t>NA10</t>
  </si>
  <si>
    <t>NA11</t>
  </si>
  <si>
    <t>15512</t>
  </si>
  <si>
    <t>NA13</t>
  </si>
  <si>
    <t>NA14</t>
  </si>
  <si>
    <t>Column15</t>
  </si>
  <si>
    <t>1</t>
  </si>
  <si>
    <t>rd</t>
  </si>
  <si>
    <t>Str.</t>
  </si>
  <si>
    <t>Ark Llc — OH23K MARLOWE</t>
  </si>
  <si>
    <t>ELE</t>
  </si>
  <si>
    <t>MURRAY, NICKOLE — OH23P MURRAY@ GERALDINE RH</t>
  </si>
  <si>
    <t>Phillips, Gladys M — OH23P- Phillips - 12410 Castlewood Ave</t>
  </si>
  <si>
    <t>RAJA YALLAPRAGADA — OH23P RAJA @ADA SOLON</t>
  </si>
  <si>
    <t>AAA</t>
  </si>
  <si>
    <t>SMITH, PAULA</t>
  </si>
  <si>
    <t>1250 Brookvale Dr.</t>
  </si>
  <si>
    <t>Riverdale,</t>
  </si>
  <si>
    <t>Brookvale</t>
  </si>
  <si>
    <t>Dr.</t>
  </si>
  <si>
    <r>
      <t xml:space="preserve">RANDOLPH, </t>
    </r>
    <r>
      <rPr>
        <sz val="11"/>
        <color rgb="FF000000"/>
        <rFont val="Times New Roman"/>
        <family val="1"/>
        <charset val="1"/>
      </rPr>
      <t xml:space="preserve">JOHN </t>
    </r>
    <r>
      <rPr>
        <sz val="11"/>
        <color rgb="FF000000"/>
        <rFont val="Arial"/>
        <family val="2"/>
        <charset val="1"/>
      </rPr>
      <t>&amp; MRS. Ber</t>
    </r>
  </si>
  <si>
    <r>
      <t xml:space="preserve">OH23Q </t>
    </r>
    <r>
      <rPr>
        <sz val="11"/>
        <color rgb="FF5C5C00"/>
        <rFont val="Arial"/>
        <family val="2"/>
        <charset val="1"/>
      </rPr>
      <t xml:space="preserve">RANDOLPH </t>
    </r>
    <r>
      <rPr>
        <sz val="11"/>
        <color rgb="FF6E6E00"/>
        <rFont val="Arial"/>
        <family val="2"/>
        <charset val="1"/>
      </rPr>
      <t>STREETSB</t>
    </r>
  </si>
  <si>
    <t xml:space="preserve">Bryant, JONES Lois </t>
  </si>
  <si>
    <t>51 Natalie RD.</t>
  </si>
  <si>
    <t>Bedford</t>
  </si>
  <si>
    <t>Natalie</t>
  </si>
  <si>
    <t>RD.</t>
  </si>
  <si>
    <t>M&amp;E ALIM, Malik </t>
  </si>
  <si>
    <r>
      <t xml:space="preserve">OH23A </t>
    </r>
    <r>
      <rPr>
        <sz val="11"/>
        <color rgb="FF6B6B00"/>
        <rFont val="Arial"/>
        <family val="2"/>
        <charset val="1"/>
      </rPr>
      <t xml:space="preserve">Malik </t>
    </r>
    <r>
      <rPr>
        <sz val="11"/>
        <color rgb="FF585800"/>
        <rFont val="Arial"/>
        <family val="2"/>
        <charset val="1"/>
      </rPr>
      <t>Fire</t>
    </r>
    <r>
      <rPr>
        <sz val="11"/>
        <color rgb="FF636300"/>
        <rFont val="Calibri"/>
        <family val="2"/>
        <charset val="1"/>
      </rPr>
      <t xml:space="preserve">@ </t>
    </r>
    <r>
      <rPr>
        <sz val="11"/>
        <color rgb="FF5F5F00"/>
        <rFont val="Arial"/>
        <family val="2"/>
        <charset val="1"/>
      </rPr>
      <t>Woodland</t>
    </r>
  </si>
  <si>
    <t xml:space="preserve">DRAKE		3626 East 78th Str.	</t>
  </si>
  <si>
    <t>?????</t>
  </si>
  <si>
    <t>CLOSED</t>
  </si>
  <si>
    <t xml:space="preserve">PRICE, DIANA </t>
  </si>
  <si>
    <t>5733 E 14TH ST</t>
  </si>
  <si>
    <t>J MEADOWLARK</t>
  </si>
  <si>
    <t>Meadowlark ln</t>
  </si>
  <si>
    <t xml:space="preserve">NELSON, GRACE </t>
  </si>
  <si>
    <t>192 MALONE</t>
  </si>
  <si>
    <t>Maple Hts.</t>
  </si>
  <si>
    <t>WATER</t>
  </si>
  <si>
    <t xml:space="preserve">Water Damage=WTR </t>
  </si>
  <si>
    <t>Fire Smoke</t>
  </si>
  <si>
    <t>Wind=Tree</t>
  </si>
  <si>
    <t>Hurricane =HURR</t>
  </si>
  <si>
    <t>INTERIOR REPAIRS</t>
  </si>
  <si>
    <t>roofing shingles replacement</t>
  </si>
  <si>
    <t>fencing</t>
  </si>
  <si>
    <t>shed</t>
  </si>
  <si>
    <t>porch patio</t>
  </si>
  <si>
    <t xml:space="preserve">Before 1980 </t>
  </si>
  <si>
    <t>post 1980</t>
  </si>
  <si>
    <t>doctor letter</t>
  </si>
  <si>
    <t>lab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</si>
</sst>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m/d;@"/>
    <numFmt numFmtId="165" formatCode="m/d/yy;@"/>
    <numFmt numFmtId="166" formatCode="[$-409]d\-mmm;@"/>
    <numFmt numFmtId="167" formatCode="_(* #,##0_);_(* \(#,##0\);_(* &quot;-&quot;??_);_(@_)"/>
    <numFmt numFmtId="168" formatCode="_(&quot;$&quot;* #,##0_);_(&quot;$&quot;* \(#,##0\);_(&quot;$&quot;* &quot;-&quot;??_);_(@_)"/>
  </numFmts>
  <fonts count="199">
    <font>
      <sz val="11"/>
      <color theme="1"/>
      <name val="Calibri"/>
      <family val="2"/>
      <scheme val="minor"/>
    </font>
    <font>
      <i/>
      <u/>
      <sz val="12"/>
      <color rgb="FF000000"/>
      <name val="Times New Roman"/>
      <family val="1"/>
    </font>
    <font>
      <sz val="12"/>
      <color theme="1"/>
      <name val="Calibri"/>
      <family val="2"/>
      <scheme val="minor"/>
    </font>
    <font>
      <sz val="12"/>
      <color rgb="FF000000"/>
      <name val="Times New Roman"/>
      <family val="1"/>
    </font>
    <font>
      <u/>
      <sz val="11"/>
      <color theme="10"/>
      <name val="Calibri"/>
      <family val="2"/>
    </font>
    <font>
      <sz val="14"/>
      <color rgb="FF000000"/>
      <name val="Arial Narrow"/>
      <family val="2"/>
    </font>
    <font>
      <sz val="12"/>
      <color rgb="FF000000"/>
      <name val="Calibri"/>
      <family val="2"/>
      <scheme val="minor"/>
    </font>
    <font>
      <sz val="11"/>
      <color rgb="FF000000"/>
      <name val="Calibri"/>
      <family val="2"/>
      <scheme val="minor"/>
    </font>
    <font>
      <sz val="12"/>
      <color rgb="FF000000"/>
      <name val="Arial Narrow"/>
      <family val="2"/>
    </font>
    <font>
      <sz val="14"/>
      <color rgb="FF000000"/>
      <name val="Calibri"/>
      <family val="2"/>
      <scheme val="minor"/>
    </font>
    <font>
      <sz val="11"/>
      <color rgb="FF000000"/>
      <name val="Calibri"/>
      <family val="2"/>
    </font>
    <font>
      <sz val="14"/>
      <color theme="1"/>
      <name val="Arial Narrow"/>
      <family val="2"/>
    </font>
    <font>
      <sz val="11"/>
      <color rgb="FF222222"/>
      <name val="Calibri"/>
      <family val="2"/>
    </font>
    <font>
      <sz val="14"/>
      <color rgb="FF222222"/>
      <name val="Arial"/>
      <family val="2"/>
    </font>
    <font>
      <u/>
      <sz val="11"/>
      <color theme="1"/>
      <name val="Calibri"/>
      <family val="2"/>
      <scheme val="minor"/>
    </font>
    <font>
      <sz val="8"/>
      <color theme="1"/>
      <name val="Calibri"/>
      <family val="2"/>
      <scheme val="minor"/>
    </font>
    <font>
      <b/>
      <i/>
      <u/>
      <sz val="11"/>
      <color theme="1"/>
      <name val="Calibri"/>
      <family val="2"/>
      <scheme val="minor"/>
    </font>
    <font>
      <u/>
      <sz val="11"/>
      <color rgb="FF000000"/>
      <name val="Calibri"/>
      <family val="2"/>
      <scheme val="minor"/>
    </font>
    <font>
      <sz val="12"/>
      <color rgb="FF323C46"/>
      <name val="Arial"/>
      <family val="2"/>
    </font>
    <font>
      <sz val="11"/>
      <color theme="1"/>
      <name val="Calibri"/>
      <family val="2"/>
      <scheme val="minor"/>
    </font>
    <font>
      <sz val="11"/>
      <color theme="1"/>
      <name val="Calibri"/>
      <family val="2"/>
    </font>
    <font>
      <sz val="16"/>
      <color theme="1"/>
      <name val="Calibri"/>
      <family val="2"/>
      <scheme val="minor"/>
    </font>
    <font>
      <b/>
      <sz val="12"/>
      <name val="Calibri"/>
      <family val="2"/>
      <scheme val="minor"/>
    </font>
    <font>
      <b/>
      <i/>
      <u/>
      <sz val="11"/>
      <color rgb="FF0000FF"/>
      <name val="Bernard MT Condensed"/>
      <family val="1"/>
    </font>
    <font>
      <i/>
      <u/>
      <sz val="14"/>
      <name val="Calibri"/>
      <family val="2"/>
      <scheme val="minor"/>
    </font>
    <font>
      <i/>
      <u/>
      <sz val="11"/>
      <name val="Calibri"/>
      <family val="2"/>
      <scheme val="minor"/>
    </font>
    <font>
      <u/>
      <sz val="14"/>
      <color rgb="FF000000"/>
      <name val="Bodoni MT Condensed"/>
      <family val="1"/>
    </font>
    <font>
      <u val="double"/>
      <sz val="12"/>
      <color rgb="FF000000"/>
      <name val="Bodoni MT Condensed"/>
      <family val="1"/>
    </font>
    <font>
      <i/>
      <sz val="14"/>
      <color rgb="FF000000"/>
      <name val="Bodoni MT Condensed"/>
      <family val="1"/>
    </font>
    <font>
      <i/>
      <u/>
      <sz val="12"/>
      <color rgb="FF000000"/>
      <name val="Bodoni MT Condensed"/>
      <family val="1"/>
    </font>
    <font>
      <i/>
      <u val="double"/>
      <sz val="14"/>
      <color rgb="FF000000"/>
      <name val="Bodoni MT Condensed"/>
      <family val="1"/>
    </font>
    <font>
      <b/>
      <sz val="11"/>
      <color theme="1"/>
      <name val="Calibri"/>
      <family val="2"/>
      <scheme val="minor"/>
    </font>
    <font>
      <b/>
      <sz val="11"/>
      <color rgb="FF000000"/>
      <name val="Calibri"/>
      <family val="2"/>
      <scheme val="minor"/>
    </font>
    <font>
      <i/>
      <u/>
      <sz val="12"/>
      <color indexed="8"/>
      <name val="Times New Roman"/>
      <family val="1"/>
    </font>
    <font>
      <sz val="16"/>
      <color theme="1"/>
      <name val="Arial"/>
      <family val="2"/>
    </font>
    <font>
      <b/>
      <sz val="16"/>
      <color theme="1"/>
      <name val="Arial"/>
      <family val="2"/>
    </font>
    <font>
      <b/>
      <i/>
      <u/>
      <sz val="16"/>
      <color rgb="FFFFFFFF"/>
      <name val="Arial"/>
      <family val="2"/>
    </font>
    <font>
      <i/>
      <u/>
      <sz val="16"/>
      <name val="Arial"/>
      <family val="2"/>
    </font>
    <font>
      <i/>
      <u/>
      <sz val="16"/>
      <color rgb="FF000000"/>
      <name val="Arial"/>
      <family val="2"/>
    </font>
    <font>
      <i/>
      <u/>
      <sz val="8"/>
      <name val="Calibri"/>
      <family val="2"/>
      <scheme val="minor"/>
    </font>
    <font>
      <sz val="18"/>
      <color rgb="FF222222"/>
      <name val="Calibri"/>
      <family val="2"/>
      <scheme val="minor"/>
    </font>
    <font>
      <sz val="12"/>
      <color rgb="FF222222"/>
      <name val="Calibri"/>
      <family val="2"/>
      <scheme val="minor"/>
    </font>
    <font>
      <b/>
      <u/>
      <sz val="11"/>
      <color theme="1"/>
      <name val="Calibri"/>
      <family val="2"/>
      <scheme val="minor"/>
    </font>
    <font>
      <b/>
      <i/>
      <u/>
      <sz val="12"/>
      <color theme="1"/>
      <name val="Calibri"/>
      <family val="2"/>
      <scheme val="minor"/>
    </font>
    <font>
      <b/>
      <u/>
      <sz val="12"/>
      <color theme="1"/>
      <name val="Calibri"/>
      <family val="2"/>
      <scheme val="minor"/>
    </font>
    <font>
      <sz val="12"/>
      <color rgb="FF222222"/>
      <name val="Calibri"/>
      <family val="2"/>
    </font>
    <font>
      <sz val="11"/>
      <color rgb="FF323C46"/>
      <name val="Calibri"/>
      <family val="2"/>
    </font>
    <font>
      <b/>
      <u/>
      <sz val="26"/>
      <name val="Arial"/>
      <family val="2"/>
    </font>
    <font>
      <b/>
      <i/>
      <u/>
      <sz val="11"/>
      <name val="Calibri"/>
      <family val="2"/>
      <scheme val="minor"/>
    </font>
    <font>
      <b/>
      <i/>
      <u/>
      <sz val="11"/>
      <color rgb="FF000000"/>
      <name val="Calibri"/>
      <family val="2"/>
      <scheme val="minor"/>
    </font>
    <font>
      <sz val="10"/>
      <color theme="1"/>
      <name val="Arial"/>
      <family val="2"/>
    </font>
    <font>
      <sz val="12"/>
      <color rgb="FF000000"/>
      <name val="Calibri"/>
      <family val="2"/>
    </font>
    <font>
      <i/>
      <u/>
      <sz val="14"/>
      <color rgb="FF000000"/>
      <name val="Times New Roman"/>
      <family val="1"/>
    </font>
    <font>
      <u/>
      <sz val="14"/>
      <name val="Arial Narrow"/>
      <family val="2"/>
    </font>
    <font>
      <sz val="16"/>
      <name val="Arial Narrow"/>
      <family val="2"/>
    </font>
    <font>
      <sz val="14"/>
      <name val="Arial Narrow"/>
      <family val="2"/>
    </font>
    <font>
      <sz val="14"/>
      <color rgb="FF000000"/>
      <name val="Calibri"/>
      <family val="2"/>
    </font>
    <font>
      <b/>
      <i/>
      <sz val="16"/>
      <name val="Arial Narrow"/>
      <family val="2"/>
    </font>
    <font>
      <sz val="14"/>
      <color theme="1"/>
      <name val="Calibri"/>
      <family val="2"/>
      <scheme val="minor"/>
    </font>
    <font>
      <sz val="14"/>
      <color rgb="FF1C1E21"/>
      <name val="Calibri"/>
      <family val="2"/>
      <scheme val="minor"/>
    </font>
    <font>
      <sz val="14"/>
      <color rgb="FF050505"/>
      <name val="Calibri"/>
      <family val="2"/>
      <scheme val="minor"/>
    </font>
    <font>
      <i/>
      <sz val="14"/>
      <color rgb="FF050505"/>
      <name val="Calibri"/>
      <family val="2"/>
      <scheme val="minor"/>
    </font>
    <font>
      <sz val="18"/>
      <color rgb="FF000000"/>
      <name val="Calibri"/>
      <family val="2"/>
      <scheme val="minor"/>
    </font>
    <font>
      <b/>
      <sz val="14"/>
      <name val="Calibri"/>
      <family val="2"/>
      <scheme val="minor"/>
    </font>
    <font>
      <sz val="14"/>
      <color theme="1"/>
      <name val="Arial Narrow"/>
      <family val="1"/>
    </font>
    <font>
      <sz val="11"/>
      <color rgb="FF000000"/>
      <name val="Arial Narrow"/>
      <family val="2"/>
    </font>
    <font>
      <sz val="10"/>
      <color rgb="FF000000"/>
      <name val="Calibri"/>
      <family val="2"/>
      <scheme val="minor"/>
    </font>
    <font>
      <b/>
      <sz val="12"/>
      <color theme="0"/>
      <name val="Calibri"/>
      <family val="2"/>
      <scheme val="minor"/>
    </font>
    <font>
      <sz val="14"/>
      <name val="Calibri"/>
      <family val="2"/>
      <scheme val="minor"/>
    </font>
    <font>
      <i/>
      <u/>
      <sz val="14"/>
      <color rgb="FF000000"/>
      <name val="Arial Narrow"/>
      <family val="2"/>
    </font>
    <font>
      <sz val="12"/>
      <color theme="1"/>
      <name val="Arial Narrow"/>
      <family val="2"/>
    </font>
    <font>
      <sz val="10"/>
      <color theme="1"/>
      <name val="Arial Narrow"/>
      <family val="2"/>
    </font>
    <font>
      <sz val="18"/>
      <color theme="1"/>
      <name val="Calibri"/>
      <family val="2"/>
      <scheme val="minor"/>
    </font>
    <font>
      <sz val="11"/>
      <color theme="1"/>
      <name val="Arial Narrow"/>
      <family val="2"/>
    </font>
    <font>
      <sz val="12"/>
      <color theme="1"/>
      <name val="Arial Black"/>
      <family val="2"/>
    </font>
    <font>
      <i/>
      <u/>
      <sz val="8"/>
      <color rgb="FF000000"/>
      <name val="Times New Roman"/>
      <family val="1"/>
    </font>
    <font>
      <sz val="8"/>
      <color rgb="FF000000"/>
      <name val="Times New Roman"/>
      <family val="1"/>
    </font>
    <font>
      <sz val="8"/>
      <color rgb="FF404040"/>
      <name val="Myanmar Text"/>
      <family val="2"/>
    </font>
    <font>
      <sz val="8"/>
      <color rgb="FF000000"/>
      <name val="Trebuchet MS"/>
      <family val="2"/>
    </font>
    <font>
      <sz val="8"/>
      <color rgb="FF000000"/>
      <name val="Calibri"/>
      <family val="2"/>
      <scheme val="minor"/>
    </font>
    <font>
      <sz val="8"/>
      <color rgb="FF000000"/>
      <name val="Arial Narrow"/>
      <family val="2"/>
    </font>
    <font>
      <b/>
      <sz val="8"/>
      <color rgb="FF000000"/>
      <name val="Calibri"/>
      <family val="2"/>
      <scheme val="minor"/>
    </font>
    <font>
      <sz val="8"/>
      <color rgb="FFFA7D00"/>
      <name val="NEW Times"/>
      <family val="2"/>
    </font>
    <font>
      <i/>
      <u/>
      <sz val="8"/>
      <color rgb="FF000000"/>
      <name val="Calibri"/>
      <family val="2"/>
      <scheme val="minor"/>
    </font>
    <font>
      <i/>
      <u/>
      <sz val="8"/>
      <color rgb="FF0000FF"/>
      <name val="Calibri"/>
      <family val="2"/>
      <scheme val="minor"/>
    </font>
    <font>
      <i/>
      <sz val="8"/>
      <color rgb="FF000000"/>
      <name val="Bodoni MT Condensed"/>
      <family val="1"/>
    </font>
    <font>
      <b/>
      <sz val="8"/>
      <color rgb="FF000000"/>
      <name val="Arial Narrow"/>
      <family val="2"/>
    </font>
    <font>
      <sz val="8"/>
      <name val="Arial Narrow"/>
      <family val="2"/>
    </font>
    <font>
      <b/>
      <i/>
      <u/>
      <sz val="9"/>
      <color theme="1"/>
      <name val="Calibri"/>
      <family val="2"/>
      <scheme val="minor"/>
    </font>
    <font>
      <b/>
      <sz val="14"/>
      <color rgb="FF000000"/>
      <name val="Calibri"/>
      <family val="2"/>
      <scheme val="minor"/>
    </font>
    <font>
      <u/>
      <sz val="14"/>
      <color rgb="FF000000"/>
      <name val="Calibri"/>
      <family val="2"/>
      <scheme val="minor"/>
    </font>
    <font>
      <b/>
      <i/>
      <u/>
      <sz val="14"/>
      <color theme="1"/>
      <name val="Calibri"/>
      <family val="2"/>
      <scheme val="minor"/>
    </font>
    <font>
      <u/>
      <sz val="12"/>
      <color rgb="FF000000"/>
      <name val="Calibri"/>
      <family val="2"/>
      <scheme val="minor"/>
    </font>
    <font>
      <u/>
      <sz val="12"/>
      <color theme="1"/>
      <name val="Calibri"/>
      <family val="2"/>
      <scheme val="minor"/>
    </font>
    <font>
      <sz val="11"/>
      <color rgb="FF6F6F00"/>
      <name val="Arial"/>
      <family val="2"/>
      <charset val="1"/>
    </font>
    <font>
      <sz val="11"/>
      <color rgb="FF6D6D00"/>
      <name val="Arial"/>
      <family val="2"/>
      <charset val="1"/>
    </font>
    <font>
      <sz val="11"/>
      <color rgb="FF636300"/>
      <name val="Arial"/>
      <family val="2"/>
      <charset val="1"/>
    </font>
    <font>
      <sz val="11"/>
      <color rgb="FF5C5C00"/>
      <name val="Arial"/>
      <family val="2"/>
      <charset val="1"/>
    </font>
    <font>
      <sz val="12"/>
      <color rgb="FF737300"/>
      <name val="Arial"/>
      <family val="2"/>
      <charset val="1"/>
    </font>
    <font>
      <sz val="12"/>
      <color rgb="FF5B5B00"/>
      <name val="Arial"/>
      <family val="2"/>
      <charset val="1"/>
    </font>
    <font>
      <sz val="12"/>
      <color rgb="FF686800"/>
      <name val="Arial"/>
      <family val="2"/>
      <charset val="1"/>
    </font>
    <font>
      <sz val="12"/>
      <color rgb="FF666600"/>
      <name val="Arial"/>
      <family val="2"/>
      <charset val="1"/>
    </font>
    <font>
      <sz val="12"/>
      <color rgb="FF595900"/>
      <name val="Arial"/>
      <family val="2"/>
      <charset val="1"/>
    </font>
    <font>
      <sz val="11"/>
      <color rgb="FF6E6E00"/>
      <name val="Arial"/>
      <family val="2"/>
      <charset val="1"/>
    </font>
    <font>
      <sz val="11"/>
      <color rgb="FF525200"/>
      <name val="Arial"/>
      <family val="2"/>
      <charset val="1"/>
    </font>
    <font>
      <sz val="11"/>
      <color rgb="FF4D4D00"/>
      <name val="Arial"/>
      <family val="2"/>
      <charset val="1"/>
    </font>
    <font>
      <sz val="11"/>
      <color rgb="FF707000"/>
      <name val="Arial"/>
      <family val="2"/>
      <charset val="1"/>
    </font>
    <font>
      <sz val="11"/>
      <color rgb="FF626200"/>
      <name val="Arial"/>
      <family val="2"/>
      <charset val="1"/>
    </font>
    <font>
      <sz val="12"/>
      <color rgb="FFFAFA00"/>
      <name val="Arial"/>
      <family val="2"/>
      <charset val="1"/>
    </font>
    <font>
      <sz val="12"/>
      <color rgb="FF5A5A00"/>
      <name val="Arial"/>
      <family val="2"/>
      <charset val="1"/>
    </font>
    <font>
      <sz val="12"/>
      <color rgb="FF848400"/>
      <name val="Arial"/>
      <family val="2"/>
      <charset val="1"/>
    </font>
    <font>
      <sz val="12"/>
      <color rgb="FF6F6F00"/>
      <name val="Arial"/>
      <family val="2"/>
      <charset val="1"/>
    </font>
    <font>
      <sz val="12"/>
      <color rgb="FF4E4E00"/>
      <name val="Arial"/>
      <family val="2"/>
      <charset val="1"/>
    </font>
    <font>
      <sz val="11"/>
      <color rgb="FF595900"/>
      <name val="Arial"/>
      <family val="2"/>
      <charset val="1"/>
    </font>
    <font>
      <sz val="11"/>
      <color rgb="FF555500"/>
      <name val="Arial"/>
      <family val="2"/>
      <charset val="1"/>
    </font>
    <font>
      <sz val="11"/>
      <color rgb="FF6B6B00"/>
      <name val="Arial"/>
      <family val="2"/>
      <charset val="1"/>
    </font>
    <font>
      <sz val="11"/>
      <color rgb="FF656500"/>
      <name val="Arial"/>
      <family val="2"/>
      <charset val="1"/>
    </font>
    <font>
      <sz val="10"/>
      <color rgb="FF6E6E00"/>
      <name val="Arial"/>
      <family val="2"/>
      <charset val="1"/>
    </font>
    <font>
      <sz val="10"/>
      <color rgb="FF626200"/>
      <name val="Arial"/>
      <family val="2"/>
      <charset val="1"/>
    </font>
    <font>
      <sz val="10"/>
      <color rgb="FFFAFA00"/>
      <name val="Arial"/>
      <family val="2"/>
      <charset val="1"/>
    </font>
    <font>
      <sz val="10"/>
      <color rgb="FF5B5B00"/>
      <name val="Arial"/>
      <family val="2"/>
      <charset val="1"/>
    </font>
    <font>
      <sz val="10"/>
      <color rgb="FFF8F800"/>
      <name val="Arial"/>
      <family val="2"/>
      <charset val="1"/>
    </font>
    <font>
      <sz val="10"/>
      <color rgb="FF565600"/>
      <name val="Arial"/>
      <family val="2"/>
      <charset val="1"/>
    </font>
    <font>
      <sz val="10"/>
      <color rgb="FFFEFE00"/>
      <name val="Arial"/>
      <family val="2"/>
      <charset val="1"/>
    </font>
    <font>
      <sz val="10"/>
      <color rgb="FF5C5C00"/>
      <name val="Arial"/>
      <family val="2"/>
      <charset val="1"/>
    </font>
    <font>
      <sz val="10"/>
      <color rgb="FF707000"/>
      <name val="Arial"/>
      <family val="2"/>
      <charset val="1"/>
    </font>
    <font>
      <sz val="12"/>
      <color rgb="FF515100"/>
      <name val="Arial"/>
      <family val="2"/>
      <charset val="1"/>
    </font>
    <font>
      <sz val="12"/>
      <color rgb="FF6A6A00"/>
      <name val="Arial"/>
      <family val="2"/>
      <charset val="1"/>
    </font>
    <font>
      <sz val="12"/>
      <color rgb="FFECEC00"/>
      <name val="Arial"/>
      <family val="2"/>
      <charset val="1"/>
    </font>
    <font>
      <sz val="12"/>
      <color rgb="FF6B6B00"/>
      <name val="Arial"/>
      <family val="2"/>
      <charset val="1"/>
    </font>
    <font>
      <sz val="12"/>
      <color rgb="FF6C6C00"/>
      <name val="Arial"/>
      <family val="2"/>
      <charset val="1"/>
    </font>
    <font>
      <sz val="12"/>
      <color rgb="FF494900"/>
      <name val="Arial"/>
      <family val="2"/>
      <charset val="1"/>
    </font>
    <font>
      <sz val="12"/>
      <color rgb="FF676700"/>
      <name val="Arial"/>
      <family val="2"/>
      <charset val="1"/>
    </font>
    <font>
      <sz val="12"/>
      <color rgb="FF828200"/>
      <name val="Arial"/>
      <family val="2"/>
      <charset val="1"/>
    </font>
    <font>
      <sz val="12"/>
      <color rgb="FF565600"/>
      <name val="Arial"/>
      <family val="2"/>
      <charset val="1"/>
    </font>
    <font>
      <sz val="11"/>
      <color rgb="FF717100"/>
      <name val="Arial"/>
      <family val="2"/>
      <charset val="1"/>
    </font>
    <font>
      <sz val="12"/>
      <color rgb="FF717100"/>
      <name val="Arial"/>
      <family val="2"/>
      <charset val="1"/>
    </font>
    <font>
      <sz val="12"/>
      <color rgb="FF7F7F00"/>
      <name val="Arial"/>
      <family val="2"/>
      <charset val="1"/>
    </font>
    <font>
      <sz val="12"/>
      <color rgb="FF696900"/>
      <name val="Arial"/>
      <family val="2"/>
      <charset val="1"/>
    </font>
    <font>
      <sz val="12"/>
      <color rgb="FF4B4B00"/>
      <name val="Arial"/>
      <family val="2"/>
      <charset val="1"/>
    </font>
    <font>
      <sz val="11"/>
      <color rgb="FF727200"/>
      <name val="Arial"/>
      <family val="2"/>
      <charset val="1"/>
    </font>
    <font>
      <sz val="11"/>
      <color rgb="FF4E4E00"/>
      <name val="Arial"/>
      <family val="2"/>
      <charset val="1"/>
    </font>
    <font>
      <sz val="11"/>
      <color rgb="FF484800"/>
      <name val="Arial"/>
      <family val="2"/>
      <charset val="1"/>
    </font>
    <font>
      <sz val="11"/>
      <color rgb="FF464600"/>
      <name val="Arial"/>
      <family val="2"/>
      <charset val="1"/>
    </font>
    <font>
      <sz val="11"/>
      <color rgb="FF5D5D00"/>
      <name val="Arial"/>
      <family val="2"/>
      <charset val="1"/>
    </font>
    <font>
      <sz val="11"/>
      <color rgb="FF5B5B00"/>
      <name val="Arial"/>
      <family val="2"/>
      <charset val="1"/>
    </font>
    <font>
      <sz val="11"/>
      <color rgb="FF5F5F00"/>
      <name val="Arial"/>
      <family val="2"/>
      <charset val="1"/>
    </font>
    <font>
      <sz val="11"/>
      <color rgb="FF7E7E00"/>
      <name val="Arial"/>
      <family val="2"/>
      <charset val="1"/>
    </font>
    <font>
      <sz val="11"/>
      <color rgb="FF5E5E00"/>
      <name val="Arial"/>
      <family val="2"/>
      <charset val="1"/>
    </font>
    <font>
      <sz val="11"/>
      <color rgb="FFFAFA00"/>
      <name val="Arial"/>
      <family val="2"/>
      <charset val="1"/>
    </font>
    <font>
      <sz val="11"/>
      <color rgb="FF5A5A00"/>
      <name val="Arial"/>
      <family val="2"/>
      <charset val="1"/>
    </font>
    <font>
      <sz val="11"/>
      <color rgb="FF565600"/>
      <name val="Arial"/>
      <family val="2"/>
      <charset val="1"/>
    </font>
    <font>
      <sz val="11"/>
      <color rgb="FF585800"/>
      <name val="Arial"/>
      <family val="2"/>
      <charset val="1"/>
    </font>
    <font>
      <sz val="11"/>
      <color rgb="FF636300"/>
      <name val="Calibri"/>
      <family val="2"/>
      <charset val="1"/>
    </font>
    <font>
      <sz val="11"/>
      <color rgb="FF454500"/>
      <name val="Arial"/>
      <family val="2"/>
      <charset val="1"/>
    </font>
    <font>
      <sz val="11"/>
      <color rgb="FF787800"/>
      <name val="Arial"/>
      <family val="2"/>
      <charset val="1"/>
    </font>
    <font>
      <sz val="11"/>
      <color rgb="FF000000"/>
      <name val="Arial"/>
      <family val="2"/>
      <charset val="1"/>
    </font>
    <font>
      <sz val="11"/>
      <color rgb="FF000000"/>
      <name val="Arial"/>
      <family val="2"/>
    </font>
    <font>
      <sz val="11"/>
      <color rgb="FF000000"/>
      <name val="Times New Roman"/>
      <family val="1"/>
      <charset val="1"/>
    </font>
    <font>
      <b/>
      <i/>
      <u/>
      <sz val="12"/>
      <color rgb="FF000000"/>
      <name val="Calibri"/>
      <family val="2"/>
      <scheme val="minor"/>
    </font>
    <font>
      <b/>
      <i/>
      <u/>
      <sz val="9"/>
      <color rgb="FF000000"/>
      <name val="Calibri"/>
      <family val="2"/>
      <scheme val="minor"/>
    </font>
    <font>
      <b/>
      <sz val="12"/>
      <color rgb="FFFF0000"/>
      <name val="Calibri"/>
      <family val="2"/>
      <scheme val="minor"/>
    </font>
    <font>
      <sz val="11"/>
      <color rgb="FF464600"/>
      <name val="Arial"/>
      <family val="2"/>
    </font>
    <font>
      <sz val="11"/>
      <color rgb="FF656500"/>
      <name val="Arial"/>
      <family val="2"/>
    </font>
    <font>
      <sz val="11"/>
      <color rgb="FF6E6E00"/>
      <name val="Arial"/>
      <family val="2"/>
    </font>
    <font>
      <sz val="11"/>
      <color rgb="FF6B6B00"/>
      <name val="Arial"/>
      <family val="2"/>
    </font>
    <font>
      <sz val="11"/>
      <color rgb="FF5D5D00"/>
      <name val="Arial"/>
      <family val="2"/>
    </font>
    <font>
      <sz val="10"/>
      <color rgb="FF707000"/>
      <name val="Arial"/>
      <family val="2"/>
    </font>
    <font>
      <sz val="11"/>
      <color rgb="FF6D6D00"/>
      <name val="Arial"/>
      <family val="2"/>
    </font>
    <font>
      <sz val="12"/>
      <color rgb="FF4B4B00"/>
      <name val="Arial"/>
      <family val="2"/>
    </font>
    <font>
      <sz val="11"/>
      <color rgb="FF717100"/>
      <name val="Arial"/>
      <family val="2"/>
    </font>
    <font>
      <sz val="12"/>
      <color rgb="FF696900"/>
      <name val="Arial"/>
      <family val="2"/>
    </font>
    <font>
      <sz val="12"/>
      <color rgb="FF5A5A00"/>
      <name val="Arial"/>
      <family val="2"/>
    </font>
    <font>
      <sz val="11"/>
      <color rgb="FF4D4D00"/>
      <name val="Arial"/>
      <family val="2"/>
    </font>
    <font>
      <sz val="12"/>
      <color rgb="FF515100"/>
      <name val="Arial"/>
      <family val="2"/>
    </font>
    <font>
      <sz val="11"/>
      <color rgb="FF5C5C00"/>
      <name val="Arial"/>
      <family val="2"/>
    </font>
    <font>
      <sz val="11"/>
      <color rgb="FF5A5A00"/>
      <name val="Arial"/>
      <family val="2"/>
    </font>
    <font>
      <sz val="12"/>
      <color rgb="FF666600"/>
      <name val="Arial"/>
      <family val="2"/>
    </font>
    <font>
      <sz val="12"/>
      <color rgb="FF4E4E00"/>
      <name val="Arial"/>
      <family val="2"/>
    </font>
    <font>
      <b/>
      <sz val="9"/>
      <color rgb="FF858500"/>
      <name val="Arial"/>
      <family val="2"/>
    </font>
    <font>
      <sz val="12"/>
      <color rgb="FF494900"/>
      <name val="Arial"/>
      <family val="2"/>
    </font>
    <font>
      <sz val="12"/>
      <color rgb="FF595900"/>
      <name val="Arial"/>
      <family val="2"/>
    </font>
    <font>
      <b/>
      <u/>
      <sz val="14"/>
      <color rgb="FF000000"/>
      <name val="Calibri"/>
      <family val="2"/>
      <scheme val="minor"/>
    </font>
    <font>
      <b/>
      <i/>
      <u/>
      <sz val="14"/>
      <color theme="1"/>
      <name val="Arial Narrow"/>
      <family val="2"/>
    </font>
    <font>
      <b/>
      <i/>
      <u/>
      <sz val="18"/>
      <color rgb="FF000000"/>
      <name val="Calibri"/>
      <family val="2"/>
      <scheme val="minor"/>
    </font>
    <font>
      <sz val="8"/>
      <color theme="1"/>
      <name val="Arial Narrow"/>
      <family val="2"/>
    </font>
    <font>
      <b/>
      <i/>
      <u/>
      <sz val="10"/>
      <name val="Calibri"/>
      <family val="2"/>
      <scheme val="minor"/>
    </font>
    <font>
      <b/>
      <sz val="14"/>
      <color rgb="FF000000"/>
      <name val="Arial Narrow"/>
      <family val="2"/>
    </font>
    <font>
      <sz val="11"/>
      <color rgb="FF000000"/>
      <name val="Arial Black"/>
      <family val="2"/>
    </font>
    <font>
      <sz val="7"/>
      <color rgb="FF000000"/>
      <name val="Times New Roman"/>
      <family val="1"/>
    </font>
    <font>
      <b/>
      <i/>
      <u/>
      <sz val="8"/>
      <name val="Calibri"/>
      <family val="2"/>
      <scheme val="minor"/>
    </font>
    <font>
      <b/>
      <i/>
      <u/>
      <sz val="16"/>
      <color rgb="FF000000"/>
      <name val="Calibri"/>
      <family val="2"/>
      <scheme val="minor"/>
    </font>
    <font>
      <b/>
      <i/>
      <u/>
      <sz val="14"/>
      <color rgb="FF000000"/>
      <name val="Calibri"/>
      <family val="2"/>
      <scheme val="minor"/>
    </font>
    <font>
      <b/>
      <sz val="12"/>
      <color rgb="FF858500"/>
      <name val="Arial"/>
      <family val="2"/>
      <charset val="1"/>
    </font>
    <font>
      <b/>
      <u/>
      <sz val="11"/>
      <color rgb="FF000000"/>
      <name val="Calibri"/>
      <family val="2"/>
      <scheme val="minor"/>
    </font>
    <font>
      <b/>
      <i/>
      <u/>
      <sz val="14"/>
      <color rgb="FF000000"/>
      <name val="Arial Narrow"/>
      <family val="2"/>
    </font>
    <font>
      <sz val="10"/>
      <color theme="1"/>
      <name val="Calibri"/>
      <family val="2"/>
      <scheme val="minor"/>
    </font>
    <font>
      <i/>
      <u/>
      <sz val="10"/>
      <name val="Calibri"/>
      <family val="2"/>
      <scheme val="minor"/>
    </font>
    <font>
      <i/>
      <u/>
      <sz val="11"/>
      <color rgb="FF000000"/>
      <name val="Calibri"/>
      <family val="2"/>
      <scheme val="minor"/>
    </font>
  </fonts>
  <fills count="46">
    <fill>
      <patternFill patternType="none"/>
    </fill>
    <fill>
      <patternFill patternType="gray125"/>
    </fill>
    <fill>
      <patternFill patternType="solid">
        <fgColor theme="2"/>
        <bgColor indexed="64"/>
      </patternFill>
    </fill>
    <fill>
      <patternFill patternType="solid">
        <fgColor rgb="FFFFE699"/>
        <bgColor rgb="FF000000"/>
      </patternFill>
    </fill>
    <fill>
      <patternFill patternType="solid">
        <fgColor rgb="FFD9E1F2"/>
        <bgColor rgb="FFD9E1F2"/>
      </patternFill>
    </fill>
    <fill>
      <patternFill patternType="solid">
        <fgColor rgb="FFFFFF00"/>
        <bgColor indexed="64"/>
      </patternFill>
    </fill>
    <fill>
      <patternFill patternType="solid">
        <fgColor theme="9" tint="0.59999389629810485"/>
        <bgColor indexed="64"/>
      </patternFill>
    </fill>
    <fill>
      <patternFill patternType="solid">
        <fgColor theme="7"/>
        <bgColor indexed="64"/>
      </patternFill>
    </fill>
    <fill>
      <patternFill patternType="solid">
        <fgColor rgb="FFFFC000"/>
        <bgColor indexed="64"/>
      </patternFill>
    </fill>
    <fill>
      <patternFill patternType="solid">
        <fgColor rgb="FFFFFF00"/>
        <bgColor rgb="FF000000"/>
      </patternFill>
    </fill>
    <fill>
      <patternFill patternType="solid">
        <fgColor rgb="FFD9D9D9"/>
        <bgColor rgb="FF000000"/>
      </patternFill>
    </fill>
    <fill>
      <patternFill patternType="solid">
        <fgColor rgb="FFBDD7EE"/>
        <bgColor rgb="FF000000"/>
      </patternFill>
    </fill>
    <fill>
      <patternFill patternType="solid">
        <fgColor rgb="FFED7D31"/>
        <bgColor rgb="FF000000"/>
      </patternFill>
    </fill>
    <fill>
      <patternFill patternType="solid">
        <fgColor rgb="FFE2EFDA"/>
        <bgColor rgb="FF000000"/>
      </patternFill>
    </fill>
    <fill>
      <patternFill patternType="solid">
        <fgColor theme="4" tint="0.59999389629810485"/>
        <bgColor indexed="64"/>
      </patternFill>
    </fill>
    <fill>
      <patternFill patternType="solid">
        <fgColor rgb="FF8EA9DB"/>
        <bgColor rgb="FF000000"/>
      </patternFill>
    </fill>
    <fill>
      <patternFill patternType="solid">
        <fgColor rgb="FFC6E0B4"/>
        <bgColor rgb="FF000000"/>
      </patternFill>
    </fill>
    <fill>
      <patternFill patternType="solid">
        <fgColor theme="7" tint="0.59999389629810485"/>
        <bgColor indexed="64"/>
      </patternFill>
    </fill>
    <fill>
      <patternFill patternType="solid">
        <fgColor rgb="FFFFE699"/>
        <bgColor rgb="FFFFE699"/>
      </patternFill>
    </fill>
    <fill>
      <patternFill patternType="solid">
        <fgColor rgb="FFFFC000"/>
        <bgColor rgb="FF000000"/>
      </patternFill>
    </fill>
    <fill>
      <patternFill patternType="solid">
        <fgColor rgb="FFFF0000"/>
        <bgColor rgb="FF000000"/>
      </patternFill>
    </fill>
    <fill>
      <patternFill patternType="solid">
        <fgColor theme="8"/>
        <bgColor indexed="64"/>
      </patternFill>
    </fill>
    <fill>
      <patternFill patternType="solid">
        <fgColor rgb="FF00B050"/>
        <bgColor rgb="FF000000"/>
      </patternFill>
    </fill>
    <fill>
      <patternFill patternType="solid">
        <fgColor rgb="FF92D050"/>
        <bgColor rgb="FF000000"/>
      </patternFill>
    </fill>
    <fill>
      <patternFill patternType="solid">
        <fgColor rgb="FF92D050"/>
        <bgColor indexed="64"/>
      </patternFill>
    </fill>
    <fill>
      <patternFill patternType="solid">
        <fgColor rgb="FFA5A5A5"/>
        <bgColor rgb="FF000000"/>
      </patternFill>
    </fill>
    <fill>
      <patternFill patternType="solid">
        <fgColor theme="0" tint="-4.9989318521683403E-2"/>
        <bgColor indexed="64"/>
      </patternFill>
    </fill>
    <fill>
      <patternFill patternType="solid">
        <fgColor theme="5"/>
        <bgColor indexed="64"/>
      </patternFill>
    </fill>
    <fill>
      <patternFill patternType="solid">
        <fgColor rgb="FFFFFFFF"/>
        <bgColor rgb="FF000000"/>
      </patternFill>
    </fill>
    <fill>
      <patternFill patternType="solid">
        <fgColor rgb="FFE7E6E6"/>
        <bgColor rgb="FF000000"/>
      </patternFill>
    </fill>
    <fill>
      <patternFill patternType="solid">
        <fgColor theme="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rgb="FF000000"/>
        <bgColor rgb="FF000000"/>
      </patternFill>
    </fill>
    <fill>
      <patternFill patternType="solid">
        <fgColor theme="1"/>
        <bgColor indexed="64"/>
      </patternFill>
    </fill>
    <fill>
      <patternFill patternType="solid">
        <fgColor theme="1"/>
        <bgColor rgb="FF000000"/>
      </patternFill>
    </fill>
    <fill>
      <patternFill patternType="solid">
        <fgColor theme="5" tint="0.79998168889431442"/>
        <bgColor indexed="64"/>
      </patternFill>
    </fill>
    <fill>
      <patternFill patternType="solid">
        <fgColor rgb="FFA5A5A5"/>
      </patternFill>
    </fill>
    <fill>
      <patternFill patternType="solid">
        <fgColor theme="2"/>
        <bgColor rgb="FF000000"/>
      </patternFill>
    </fill>
    <fill>
      <patternFill patternType="solid">
        <fgColor theme="3" tint="0.79998168889431442"/>
        <bgColor indexed="64"/>
      </patternFill>
    </fill>
    <fill>
      <patternFill patternType="solid">
        <fgColor rgb="FFD6DCE4"/>
        <bgColor rgb="FF000000"/>
      </patternFill>
    </fill>
    <fill>
      <patternFill patternType="solid">
        <fgColor rgb="FFFCE4D6"/>
        <bgColor rgb="FF000000"/>
      </patternFill>
    </fill>
    <fill>
      <patternFill patternType="solid">
        <fgColor theme="7" tint="0.79998168889431442"/>
        <bgColor indexed="64"/>
      </patternFill>
    </fill>
    <fill>
      <patternFill patternType="solid">
        <fgColor rgb="FF00B050"/>
        <bgColor indexed="64"/>
      </patternFill>
    </fill>
    <fill>
      <patternFill patternType="solid">
        <fgColor theme="6"/>
        <bgColor indexed="64"/>
      </patternFill>
    </fill>
  </fills>
  <borders count="23">
    <border>
      <left/>
      <right/>
      <top/>
      <bottom/>
      <diagonal/>
    </border>
    <border>
      <left/>
      <right/>
      <top style="double">
        <color rgb="FF3F3F3F"/>
      </top>
      <bottom/>
      <diagonal/>
    </border>
    <border>
      <left/>
      <right/>
      <top/>
      <bottom style="thin">
        <color rgb="FF8EA9DB"/>
      </bottom>
      <diagonal/>
    </border>
    <border>
      <left style="thin">
        <color rgb="FF8EA9DB"/>
      </left>
      <right/>
      <top/>
      <bottom style="thin">
        <color rgb="FF8EA9DB"/>
      </bottom>
      <diagonal/>
    </border>
    <border>
      <left style="thin">
        <color rgb="FF8EA9DB"/>
      </left>
      <right/>
      <top style="thin">
        <color rgb="FF8EA9DB"/>
      </top>
      <bottom style="thin">
        <color rgb="FF8EA9DB"/>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bottom style="double">
        <color rgb="FF3F3F3F"/>
      </bottom>
      <diagonal/>
    </border>
    <border>
      <left/>
      <right style="double">
        <color rgb="FF3F3F3F"/>
      </right>
      <top/>
      <bottom style="double">
        <color rgb="FF3F3F3F"/>
      </bottom>
      <diagonal/>
    </border>
    <border>
      <left style="double">
        <color rgb="FF3F3F3F"/>
      </left>
      <right style="double">
        <color rgb="FF3F3F3F"/>
      </right>
      <top/>
      <bottom/>
      <diagonal/>
    </border>
    <border>
      <left/>
      <right style="double">
        <color rgb="FF3F3F3F"/>
      </right>
      <top style="double">
        <color rgb="FF3F3F3F"/>
      </top>
      <bottom style="double">
        <color rgb="FF3F3F3F"/>
      </bottom>
      <diagonal/>
    </border>
    <border>
      <left/>
      <right/>
      <top style="double">
        <color rgb="FF3F3F3F"/>
      </top>
      <bottom style="double">
        <color rgb="FF3F3F3F"/>
      </bottom>
      <diagonal/>
    </border>
    <border>
      <left style="double">
        <color rgb="FF3F3F3F"/>
      </left>
      <right/>
      <top style="double">
        <color rgb="FF3F3F3F"/>
      </top>
      <bottom style="double">
        <color rgb="FF3F3F3F"/>
      </bottom>
      <diagonal/>
    </border>
    <border>
      <left style="double">
        <color rgb="FF3F3F3F"/>
      </left>
      <right/>
      <top/>
      <bottom/>
      <diagonal/>
    </border>
    <border>
      <left/>
      <right/>
      <top/>
      <bottom style="double">
        <color rgb="FF3F3F3F"/>
      </bottom>
      <diagonal/>
    </border>
    <border>
      <left/>
      <right/>
      <top style="thin">
        <color rgb="FF8EA9DB"/>
      </top>
      <bottom style="thin">
        <color rgb="FF8EA9DB"/>
      </bottom>
      <diagonal/>
    </border>
    <border>
      <left style="thin">
        <color rgb="FF7F7F7F"/>
      </left>
      <right style="thin">
        <color rgb="FF7F7F7F"/>
      </right>
      <top/>
      <bottom style="thin">
        <color rgb="FF7F7F7F"/>
      </bottom>
      <diagonal/>
    </border>
    <border>
      <left/>
      <right style="thin">
        <color rgb="FF7F7F7F"/>
      </right>
      <top/>
      <bottom/>
      <diagonal/>
    </border>
    <border>
      <left/>
      <right style="thin">
        <color rgb="FF8EA9DB"/>
      </right>
      <top/>
      <bottom style="thin">
        <color rgb="FF8EA9DB"/>
      </bottom>
      <diagonal/>
    </border>
    <border>
      <left style="double">
        <color rgb="FF3F3F3F"/>
      </left>
      <right style="double">
        <color rgb="FF3F3F3F"/>
      </right>
      <top style="double">
        <color rgb="FF3F3F3F"/>
      </top>
      <bottom/>
      <diagonal/>
    </border>
    <border>
      <left/>
      <right style="double">
        <color rgb="FF3F3F3F"/>
      </right>
      <top/>
      <bottom/>
      <diagonal/>
    </border>
    <border>
      <left style="double">
        <color rgb="FF3F3F3F"/>
      </left>
      <right style="double">
        <color rgb="FF3F3F3F"/>
      </right>
      <top style="double">
        <color rgb="FF3F3F3F"/>
      </top>
      <bottom style="double">
        <color rgb="FF3F3F3F"/>
      </bottom>
      <diagonal/>
    </border>
    <border>
      <left/>
      <right/>
      <top style="thin">
        <color theme="1"/>
      </top>
      <bottom style="thin">
        <color theme="1"/>
      </bottom>
      <diagonal/>
    </border>
    <border>
      <left/>
      <right/>
      <top/>
      <bottom style="double">
        <color rgb="FF000000"/>
      </bottom>
      <diagonal/>
    </border>
  </borders>
  <cellStyleXfs count="6">
    <xf numFmtId="0" fontId="0" fillId="0" borderId="0"/>
    <xf numFmtId="0" fontId="4" fillId="0" borderId="0" applyNumberFormat="0" applyFill="0" applyBorder="0" applyAlignment="0" applyProtection="0">
      <alignment vertical="top"/>
      <protection locked="0"/>
    </xf>
    <xf numFmtId="43" fontId="19" fillId="0" borderId="0" applyFont="0" applyFill="0" applyBorder="0" applyAlignment="0" applyProtection="0"/>
    <xf numFmtId="0" fontId="50" fillId="0" borderId="0"/>
    <xf numFmtId="0" fontId="67" fillId="38" borderId="20" applyNumberFormat="0" applyAlignment="0" applyProtection="0"/>
    <xf numFmtId="44" fontId="19" fillId="0" borderId="0" applyFont="0" applyFill="0" applyBorder="0" applyAlignment="0" applyProtection="0"/>
  </cellStyleXfs>
  <cellXfs count="485">
    <xf numFmtId="0" fontId="0" fillId="0" borderId="0" xfId="0"/>
    <xf numFmtId="0" fontId="0" fillId="0" borderId="0" xfId="0" applyAlignment="1">
      <alignment wrapText="1"/>
    </xf>
    <xf numFmtId="0" fontId="2" fillId="0" borderId="0" xfId="0" applyFont="1"/>
    <xf numFmtId="0" fontId="0" fillId="0" borderId="0" xfId="0" applyAlignment="1">
      <alignment vertical="center"/>
    </xf>
    <xf numFmtId="0" fontId="4" fillId="0" borderId="0" xfId="1" applyAlignment="1" applyProtection="1">
      <alignment vertical="center"/>
    </xf>
    <xf numFmtId="0" fontId="7" fillId="0" borderId="0" xfId="0" applyFont="1" applyAlignment="1">
      <alignment vertical="center"/>
    </xf>
    <xf numFmtId="0" fontId="5" fillId="0" borderId="0" xfId="0" applyFont="1"/>
    <xf numFmtId="0" fontId="7" fillId="0" borderId="0" xfId="0" applyFont="1"/>
    <xf numFmtId="0" fontId="1" fillId="3" borderId="0" xfId="0" applyFont="1" applyFill="1" applyAlignment="1">
      <alignment horizontal="left" vertical="center"/>
    </xf>
    <xf numFmtId="0" fontId="6" fillId="0" borderId="0" xfId="0" applyFont="1"/>
    <xf numFmtId="0" fontId="11" fillId="0" borderId="0" xfId="0" applyFont="1"/>
    <xf numFmtId="0" fontId="12" fillId="0" borderId="0" xfId="0" applyFont="1"/>
    <xf numFmtId="0" fontId="0" fillId="0" borderId="0" xfId="0" applyAlignment="1">
      <alignment horizontal="center"/>
    </xf>
    <xf numFmtId="0" fontId="13" fillId="0" borderId="0" xfId="0" applyFont="1" applyAlignment="1">
      <alignment horizontal="center" vertical="center"/>
    </xf>
    <xf numFmtId="0" fontId="7" fillId="0" borderId="0" xfId="0" applyFont="1" applyAlignment="1">
      <alignment horizontal="center"/>
    </xf>
    <xf numFmtId="0" fontId="14" fillId="0" borderId="0" xfId="0" applyFont="1" applyAlignment="1">
      <alignment horizontal="center"/>
    </xf>
    <xf numFmtId="0" fontId="0" fillId="0" borderId="0" xfId="0" applyAlignment="1">
      <alignment horizontal="center" wrapText="1"/>
    </xf>
    <xf numFmtId="0" fontId="7" fillId="0" borderId="0" xfId="0" applyFont="1" applyAlignment="1">
      <alignment horizontal="center" wrapText="1"/>
    </xf>
    <xf numFmtId="0" fontId="16" fillId="0" borderId="0" xfId="0" applyFont="1"/>
    <xf numFmtId="0" fontId="3" fillId="0" borderId="0" xfId="0" applyFont="1" applyAlignment="1">
      <alignment horizontal="left" vertical="top"/>
    </xf>
    <xf numFmtId="15" fontId="0" fillId="0" borderId="0" xfId="0" applyNumberFormat="1"/>
    <xf numFmtId="0" fontId="18" fillId="0" borderId="0" xfId="0" applyFont="1"/>
    <xf numFmtId="0" fontId="21" fillId="0" borderId="0" xfId="0" applyFont="1"/>
    <xf numFmtId="0" fontId="22" fillId="0" borderId="6" xfId="0" applyFont="1" applyBorder="1"/>
    <xf numFmtId="0" fontId="22" fillId="6" borderId="6" xfId="0" applyFont="1" applyFill="1" applyBorder="1" applyAlignment="1">
      <alignment horizontal="right"/>
    </xf>
    <xf numFmtId="0" fontId="22" fillId="7" borderId="6" xfId="0" applyFont="1" applyFill="1" applyBorder="1"/>
    <xf numFmtId="0" fontId="22" fillId="5" borderId="6" xfId="0" applyFont="1" applyFill="1" applyBorder="1" applyAlignment="1">
      <alignment horizontal="right"/>
    </xf>
    <xf numFmtId="0" fontId="22" fillId="0" borderId="6" xfId="0" applyFont="1" applyBorder="1" applyAlignment="1">
      <alignment horizontal="right"/>
    </xf>
    <xf numFmtId="0" fontId="22" fillId="7" borderId="6" xfId="0" applyFont="1" applyFill="1" applyBorder="1" applyAlignment="1">
      <alignment horizontal="left" indent="5"/>
    </xf>
    <xf numFmtId="0" fontId="22" fillId="8" borderId="6" xfId="0" applyFont="1" applyFill="1" applyBorder="1"/>
    <xf numFmtId="0" fontId="22" fillId="0" borderId="6" xfId="0" applyFont="1" applyBorder="1" applyAlignment="1">
      <alignment horizontal="left"/>
    </xf>
    <xf numFmtId="0" fontId="22" fillId="8" borderId="6" xfId="0" applyFont="1" applyFill="1" applyBorder="1" applyAlignment="1">
      <alignment horizontal="left" indent="3"/>
    </xf>
    <xf numFmtId="0" fontId="22" fillId="8" borderId="6" xfId="0" applyFont="1" applyFill="1" applyBorder="1" applyAlignment="1">
      <alignment horizontal="left"/>
    </xf>
    <xf numFmtId="49" fontId="22" fillId="5" borderId="6" xfId="0" applyNumberFormat="1" applyFont="1" applyFill="1" applyBorder="1" applyAlignment="1">
      <alignment horizontal="right"/>
    </xf>
    <xf numFmtId="0" fontId="0" fillId="0" borderId="0" xfId="0" applyAlignment="1">
      <alignment horizontal="left"/>
    </xf>
    <xf numFmtId="0" fontId="22" fillId="0" borderId="7" xfId="0" applyFont="1" applyBorder="1" applyAlignment="1">
      <alignment horizontal="left"/>
    </xf>
    <xf numFmtId="0" fontId="22" fillId="0" borderId="7" xfId="0" applyFont="1" applyBorder="1" applyAlignment="1">
      <alignment horizontal="left" indent="1"/>
    </xf>
    <xf numFmtId="0" fontId="22" fillId="0" borderId="6" xfId="0" applyFont="1" applyBorder="1" applyAlignment="1">
      <alignment horizontal="left" indent="2"/>
    </xf>
    <xf numFmtId="0" fontId="22" fillId="0" borderId="7" xfId="0" applyFont="1" applyBorder="1"/>
    <xf numFmtId="0" fontId="22" fillId="0" borderId="8" xfId="0" applyFont="1" applyBorder="1" applyAlignment="1">
      <alignment horizontal="left"/>
    </xf>
    <xf numFmtId="0" fontId="22" fillId="0" borderId="6" xfId="0" applyFont="1" applyBorder="1" applyAlignment="1">
      <alignment horizontal="left" indent="3"/>
    </xf>
    <xf numFmtId="0" fontId="22" fillId="9" borderId="6" xfId="0" applyFont="1" applyFill="1" applyBorder="1"/>
    <xf numFmtId="49" fontId="24" fillId="10" borderId="9" xfId="0" applyNumberFormat="1" applyFont="1" applyFill="1" applyBorder="1" applyAlignment="1">
      <alignment horizontal="center"/>
    </xf>
    <xf numFmtId="49" fontId="24" fillId="10" borderId="10" xfId="0" applyNumberFormat="1" applyFont="1" applyFill="1" applyBorder="1" applyAlignment="1">
      <alignment horizontal="center"/>
    </xf>
    <xf numFmtId="49" fontId="24" fillId="10" borderId="11" xfId="0" applyNumberFormat="1" applyFont="1" applyFill="1" applyBorder="1" applyAlignment="1">
      <alignment horizontal="center"/>
    </xf>
    <xf numFmtId="0" fontId="25" fillId="10" borderId="9" xfId="0" applyFont="1" applyFill="1" applyBorder="1" applyAlignment="1">
      <alignment vertical="top" wrapText="1"/>
    </xf>
    <xf numFmtId="0" fontId="25" fillId="10" borderId="10" xfId="0" applyFont="1" applyFill="1" applyBorder="1" applyAlignment="1">
      <alignment vertical="top" wrapText="1"/>
    </xf>
    <xf numFmtId="0" fontId="25" fillId="10" borderId="11" xfId="0" applyFont="1" applyFill="1" applyBorder="1" applyAlignment="1">
      <alignment vertical="top" wrapText="1"/>
    </xf>
    <xf numFmtId="0" fontId="26" fillId="0" borderId="0" xfId="0" applyFont="1" applyAlignment="1">
      <alignment horizontal="left"/>
    </xf>
    <xf numFmtId="0" fontId="27" fillId="0" borderId="0" xfId="0" applyFont="1" applyAlignment="1">
      <alignment horizontal="left"/>
    </xf>
    <xf numFmtId="0" fontId="28" fillId="0" borderId="0" xfId="0" applyFont="1" applyAlignment="1">
      <alignment horizontal="left" vertical="center"/>
    </xf>
    <xf numFmtId="0" fontId="29" fillId="0" borderId="0" xfId="0" applyFont="1" applyAlignment="1">
      <alignment horizontal="left" vertical="center"/>
    </xf>
    <xf numFmtId="0" fontId="30" fillId="0" borderId="0" xfId="0" applyFont="1" applyAlignment="1">
      <alignment horizontal="left" vertical="top"/>
    </xf>
    <xf numFmtId="0" fontId="28" fillId="0" borderId="0" xfId="0" applyFont="1" applyAlignment="1">
      <alignment horizontal="left"/>
    </xf>
    <xf numFmtId="0" fontId="22" fillId="11" borderId="7" xfId="0" applyFont="1" applyFill="1" applyBorder="1" applyAlignment="1">
      <alignment horizontal="left" vertical="center" wrapText="1"/>
    </xf>
    <xf numFmtId="0" fontId="31" fillId="5" borderId="0" xfId="0" applyFont="1" applyFill="1"/>
    <xf numFmtId="0" fontId="22" fillId="12" borderId="7" xfId="0" applyFont="1" applyFill="1" applyBorder="1" applyAlignment="1">
      <alignment horizontal="left" vertical="center" wrapText="1"/>
    </xf>
    <xf numFmtId="0" fontId="32" fillId="5" borderId="0" xfId="0" applyFont="1" applyFill="1" applyAlignment="1">
      <alignment vertical="center"/>
    </xf>
    <xf numFmtId="0" fontId="7" fillId="2" borderId="0" xfId="0" applyFont="1" applyFill="1" applyAlignment="1">
      <alignment vertical="center"/>
    </xf>
    <xf numFmtId="0" fontId="7" fillId="6" borderId="0" xfId="0" applyFont="1" applyFill="1" applyAlignment="1">
      <alignment vertical="center"/>
    </xf>
    <xf numFmtId="0" fontId="22" fillId="13" borderId="7" xfId="0" applyFont="1" applyFill="1" applyBorder="1" applyAlignment="1">
      <alignment horizontal="left" vertical="center" wrapText="1"/>
    </xf>
    <xf numFmtId="0" fontId="0" fillId="2" borderId="0" xfId="0" applyFill="1"/>
    <xf numFmtId="0" fontId="0" fillId="6" borderId="0" xfId="0" applyFill="1"/>
    <xf numFmtId="0" fontId="0" fillId="2" borderId="0" xfId="0" applyFill="1" applyAlignment="1">
      <alignment vertical="center"/>
    </xf>
    <xf numFmtId="0" fontId="0" fillId="6" borderId="0" xfId="0" applyFill="1" applyAlignment="1">
      <alignment vertical="center"/>
    </xf>
    <xf numFmtId="0" fontId="7" fillId="14" borderId="0" xfId="0" applyFont="1" applyFill="1" applyAlignment="1">
      <alignment vertical="center"/>
    </xf>
    <xf numFmtId="0" fontId="22" fillId="15" borderId="7" xfId="0" applyFont="1" applyFill="1" applyBorder="1" applyAlignment="1">
      <alignment horizontal="left" vertical="center" wrapText="1"/>
    </xf>
    <xf numFmtId="0" fontId="0" fillId="14" borderId="0" xfId="0" applyFill="1"/>
    <xf numFmtId="0" fontId="0" fillId="14" borderId="0" xfId="0" applyFill="1" applyAlignment="1">
      <alignment vertical="center"/>
    </xf>
    <xf numFmtId="0" fontId="22" fillId="13" borderId="6" xfId="0" applyFont="1" applyFill="1" applyBorder="1" applyAlignment="1">
      <alignment horizontal="left" vertical="center" wrapText="1"/>
    </xf>
    <xf numFmtId="0" fontId="22" fillId="0" borderId="7" xfId="0" applyFont="1" applyBorder="1" applyAlignment="1">
      <alignment horizontal="left" wrapText="1"/>
    </xf>
    <xf numFmtId="0" fontId="22" fillId="13" borderId="7" xfId="0" applyFont="1" applyFill="1" applyBorder="1" applyAlignment="1">
      <alignment horizontal="left" wrapText="1"/>
    </xf>
    <xf numFmtId="0" fontId="32" fillId="5" borderId="0" xfId="0" applyFont="1" applyFill="1"/>
    <xf numFmtId="0" fontId="22" fillId="16" borderId="7" xfId="0" applyFont="1" applyFill="1" applyBorder="1" applyAlignment="1">
      <alignment horizontal="left" wrapText="1"/>
    </xf>
    <xf numFmtId="0" fontId="31" fillId="5" borderId="0" xfId="0" applyFont="1" applyFill="1" applyAlignment="1">
      <alignment vertical="center"/>
    </xf>
    <xf numFmtId="0" fontId="22" fillId="16" borderId="7" xfId="0" applyFont="1" applyFill="1" applyBorder="1" applyAlignment="1">
      <alignment horizontal="left"/>
    </xf>
    <xf numFmtId="49" fontId="22" fillId="0" borderId="7" xfId="0" applyNumberFormat="1" applyFont="1" applyBorder="1" applyAlignment="1">
      <alignment horizontal="left" wrapText="1"/>
    </xf>
    <xf numFmtId="0" fontId="22" fillId="0" borderId="6" xfId="0" applyFont="1" applyBorder="1" applyAlignment="1">
      <alignment horizontal="left" wrapText="1"/>
    </xf>
    <xf numFmtId="0" fontId="33" fillId="17" borderId="0" xfId="0" applyFont="1" applyFill="1" applyAlignment="1">
      <alignment horizontal="left" vertical="center"/>
    </xf>
    <xf numFmtId="43" fontId="1" fillId="3" borderId="0" xfId="0" applyNumberFormat="1" applyFont="1" applyFill="1" applyAlignment="1">
      <alignment horizontal="left" vertical="center"/>
    </xf>
    <xf numFmtId="43" fontId="1" fillId="18" borderId="0" xfId="0" applyNumberFormat="1" applyFont="1" applyFill="1" applyAlignment="1">
      <alignment horizontal="left" vertical="center"/>
    </xf>
    <xf numFmtId="0" fontId="34" fillId="0" borderId="0" xfId="0" applyFont="1" applyAlignment="1">
      <alignment wrapText="1"/>
    </xf>
    <xf numFmtId="14" fontId="33" fillId="17" borderId="0" xfId="0" applyNumberFormat="1" applyFont="1" applyFill="1" applyAlignment="1">
      <alignment horizontal="left" vertical="center"/>
    </xf>
    <xf numFmtId="44" fontId="33" fillId="17" borderId="0" xfId="0" applyNumberFormat="1" applyFont="1" applyFill="1" applyAlignment="1">
      <alignment horizontal="left" vertical="center"/>
    </xf>
    <xf numFmtId="0" fontId="35" fillId="0" borderId="0" xfId="0" applyFont="1" applyAlignment="1">
      <alignment wrapText="1"/>
    </xf>
    <xf numFmtId="43" fontId="33" fillId="17" borderId="0" xfId="0" applyNumberFormat="1" applyFont="1" applyFill="1" applyAlignment="1">
      <alignment horizontal="left" vertical="center"/>
    </xf>
    <xf numFmtId="0" fontId="1" fillId="18" borderId="0" xfId="0" applyFont="1" applyFill="1" applyAlignment="1">
      <alignment horizontal="left" vertical="center"/>
    </xf>
    <xf numFmtId="0" fontId="34" fillId="0" borderId="0" xfId="0" applyFont="1" applyAlignment="1">
      <alignment vertical="center" textRotation="45" wrapText="1"/>
    </xf>
    <xf numFmtId="44" fontId="1" fillId="18" borderId="0" xfId="0" applyNumberFormat="1" applyFont="1" applyFill="1" applyAlignment="1">
      <alignment horizontal="left" vertical="center"/>
    </xf>
    <xf numFmtId="0" fontId="36" fillId="23" borderId="0" xfId="0" applyFont="1" applyFill="1" applyAlignment="1">
      <alignment horizontal="center" vertical="center" textRotation="255" wrapText="1"/>
    </xf>
    <xf numFmtId="0" fontId="34" fillId="24" borderId="0" xfId="0" applyFont="1" applyFill="1" applyAlignment="1">
      <alignment wrapText="1"/>
    </xf>
    <xf numFmtId="0" fontId="36" fillId="25" borderId="0" xfId="0" applyFont="1" applyFill="1" applyAlignment="1">
      <alignment horizontal="center" vertical="center" textRotation="255" wrapText="1"/>
    </xf>
    <xf numFmtId="14" fontId="1" fillId="3" borderId="0" xfId="0" applyNumberFormat="1" applyFont="1" applyFill="1" applyAlignment="1">
      <alignment horizontal="left" vertical="center"/>
    </xf>
    <xf numFmtId="14" fontId="1" fillId="18" borderId="0" xfId="0" applyNumberFormat="1" applyFont="1" applyFill="1" applyAlignment="1">
      <alignment horizontal="left" vertical="center"/>
    </xf>
    <xf numFmtId="0" fontId="7" fillId="28" borderId="0" xfId="0" applyFont="1" applyFill="1" applyAlignment="1">
      <alignment vertical="center"/>
    </xf>
    <xf numFmtId="0" fontId="7" fillId="29" borderId="0" xfId="0" applyFont="1" applyFill="1" applyAlignment="1">
      <alignment vertical="center"/>
    </xf>
    <xf numFmtId="0" fontId="0" fillId="30" borderId="0" xfId="0" applyFill="1" applyAlignment="1">
      <alignment vertical="center"/>
    </xf>
    <xf numFmtId="0" fontId="15" fillId="0" borderId="0" xfId="0" applyFont="1"/>
    <xf numFmtId="0" fontId="22" fillId="31" borderId="6" xfId="0" applyFont="1" applyFill="1" applyBorder="1" applyAlignment="1">
      <alignment horizontal="center" vertical="center" wrapText="1"/>
    </xf>
    <xf numFmtId="0" fontId="22" fillId="27" borderId="6" xfId="0" applyFont="1" applyFill="1" applyBorder="1" applyAlignment="1">
      <alignment horizontal="center" vertical="center" wrapText="1"/>
    </xf>
    <xf numFmtId="0" fontId="22" fillId="32" borderId="6" xfId="0" applyFont="1" applyFill="1" applyBorder="1" applyAlignment="1">
      <alignment horizontal="center" vertical="center" wrapText="1"/>
    </xf>
    <xf numFmtId="0" fontId="22" fillId="33" borderId="6" xfId="0" applyFont="1" applyFill="1" applyBorder="1" applyAlignment="1">
      <alignment horizontal="center" vertical="center" wrapText="1"/>
    </xf>
    <xf numFmtId="164" fontId="22" fillId="5" borderId="6" xfId="0" applyNumberFormat="1" applyFont="1" applyFill="1" applyBorder="1"/>
    <xf numFmtId="165" fontId="22" fillId="0" borderId="6" xfId="0" applyNumberFormat="1" applyFont="1" applyBorder="1" applyAlignment="1">
      <alignment horizontal="right" wrapText="1"/>
    </xf>
    <xf numFmtId="0" fontId="22" fillId="0" borderId="6" xfId="0" applyFont="1" applyBorder="1" applyAlignment="1">
      <alignment horizontal="center" vertical="center" wrapText="1"/>
    </xf>
    <xf numFmtId="0" fontId="22" fillId="6" borderId="6" xfId="0" applyFont="1" applyFill="1" applyBorder="1" applyAlignment="1">
      <alignment horizontal="left" vertical="center"/>
    </xf>
    <xf numFmtId="0" fontId="7" fillId="34" borderId="0" xfId="0" applyFont="1" applyFill="1"/>
    <xf numFmtId="0" fontId="22" fillId="34" borderId="6" xfId="0" applyFont="1" applyFill="1" applyBorder="1" applyAlignment="1">
      <alignment horizontal="left" vertical="top" wrapText="1"/>
    </xf>
    <xf numFmtId="0" fontId="22" fillId="5" borderId="6" xfId="0" applyFont="1" applyFill="1" applyBorder="1"/>
    <xf numFmtId="0" fontId="7" fillId="35" borderId="0" xfId="0" applyFont="1" applyFill="1"/>
    <xf numFmtId="0" fontId="7" fillId="36" borderId="0" xfId="0" applyFont="1" applyFill="1"/>
    <xf numFmtId="0" fontId="0" fillId="35" borderId="0" xfId="0" applyFill="1"/>
    <xf numFmtId="0" fontId="22" fillId="35" borderId="6" xfId="0" applyFont="1" applyFill="1" applyBorder="1" applyAlignment="1">
      <alignment horizontal="left" vertical="top" wrapText="1"/>
    </xf>
    <xf numFmtId="0" fontId="22" fillId="0" borderId="0" xfId="0" applyFont="1" applyAlignment="1">
      <alignment horizontal="center" vertical="center"/>
    </xf>
    <xf numFmtId="0" fontId="22" fillId="5" borderId="6" xfId="2" applyNumberFormat="1" applyFont="1" applyFill="1" applyBorder="1" applyAlignment="1"/>
    <xf numFmtId="0" fontId="7" fillId="28" borderId="0" xfId="0" applyFont="1" applyFill="1"/>
    <xf numFmtId="0" fontId="7" fillId="29" borderId="0" xfId="0" applyFont="1" applyFill="1"/>
    <xf numFmtId="0" fontId="0" fillId="30" borderId="0" xfId="0" applyFill="1"/>
    <xf numFmtId="0" fontId="22" fillId="31" borderId="6" xfId="0" applyFont="1" applyFill="1" applyBorder="1" applyAlignment="1">
      <alignment horizontal="center" wrapText="1"/>
    </xf>
    <xf numFmtId="0" fontId="22" fillId="27" borderId="6" xfId="0" applyFont="1" applyFill="1" applyBorder="1" applyAlignment="1">
      <alignment horizontal="center" wrapText="1"/>
    </xf>
    <xf numFmtId="0" fontId="22" fillId="32" borderId="6" xfId="0" applyFont="1" applyFill="1" applyBorder="1" applyAlignment="1">
      <alignment horizontal="center" wrapText="1"/>
    </xf>
    <xf numFmtId="0" fontId="22" fillId="33" borderId="6" xfId="0" applyFont="1" applyFill="1" applyBorder="1" applyAlignment="1">
      <alignment horizontal="center" wrapText="1"/>
    </xf>
    <xf numFmtId="164" fontId="22" fillId="5" borderId="6" xfId="0" applyNumberFormat="1" applyFont="1" applyFill="1" applyBorder="1" applyAlignment="1">
      <alignment horizontal="right" wrapText="1"/>
    </xf>
    <xf numFmtId="0" fontId="22" fillId="0" borderId="6" xfId="0" applyFont="1" applyBorder="1" applyAlignment="1">
      <alignment horizontal="center" wrapText="1"/>
    </xf>
    <xf numFmtId="0" fontId="22" fillId="6" borderId="6" xfId="0" applyFont="1" applyFill="1" applyBorder="1" applyAlignment="1">
      <alignment horizontal="center" wrapText="1"/>
    </xf>
    <xf numFmtId="0" fontId="22" fillId="6" borderId="6" xfId="0" applyFont="1" applyFill="1" applyBorder="1" applyAlignment="1">
      <alignment horizontal="left"/>
    </xf>
    <xf numFmtId="49" fontId="22" fillId="0" borderId="6" xfId="0" applyNumberFormat="1" applyFont="1" applyBorder="1" applyAlignment="1">
      <alignment horizontal="center" wrapText="1"/>
    </xf>
    <xf numFmtId="0" fontId="40" fillId="0" borderId="0" xfId="0" applyFont="1" applyAlignment="1">
      <alignment vertical="center"/>
    </xf>
    <xf numFmtId="0" fontId="41" fillId="0" borderId="0" xfId="0" applyFont="1" applyAlignment="1">
      <alignment vertical="center"/>
    </xf>
    <xf numFmtId="0" fontId="42" fillId="0" borderId="0" xfId="0" quotePrefix="1" applyFont="1" applyAlignment="1">
      <alignment horizontal="center"/>
    </xf>
    <xf numFmtId="0" fontId="42" fillId="0" borderId="0" xfId="0" applyFont="1" applyAlignment="1">
      <alignment horizontal="center"/>
    </xf>
    <xf numFmtId="0" fontId="42" fillId="0" borderId="0" xfId="0" applyFont="1" applyAlignment="1">
      <alignment horizontal="center" wrapText="1"/>
    </xf>
    <xf numFmtId="0" fontId="42" fillId="2" borderId="0" xfId="0" applyFont="1" applyFill="1" applyAlignment="1">
      <alignment horizontal="center" wrapText="1"/>
    </xf>
    <xf numFmtId="0" fontId="42" fillId="2" borderId="0" xfId="0" applyFont="1" applyFill="1" applyAlignment="1">
      <alignment horizontal="center" vertical="center" wrapText="1"/>
    </xf>
    <xf numFmtId="0" fontId="42" fillId="2" borderId="0" xfId="0" applyFont="1" applyFill="1" applyAlignment="1">
      <alignment horizontal="center" vertical="center"/>
    </xf>
    <xf numFmtId="0" fontId="42" fillId="5" borderId="0" xfId="0" applyFont="1" applyFill="1" applyAlignment="1">
      <alignment horizontal="center" wrapText="1"/>
    </xf>
    <xf numFmtId="0" fontId="42" fillId="5" borderId="0" xfId="0" applyFont="1" applyFill="1" applyAlignment="1">
      <alignment horizontal="center" vertical="center" wrapText="1"/>
    </xf>
    <xf numFmtId="0" fontId="16" fillId="0" borderId="0" xfId="0" applyFont="1" applyAlignment="1">
      <alignment wrapText="1"/>
    </xf>
    <xf numFmtId="0" fontId="16" fillId="0" borderId="0" xfId="0" quotePrefix="1" applyFont="1" applyAlignment="1">
      <alignment horizontal="center"/>
    </xf>
    <xf numFmtId="0" fontId="16" fillId="0" borderId="0" xfId="0" applyFont="1" applyAlignment="1">
      <alignment horizontal="center"/>
    </xf>
    <xf numFmtId="0" fontId="16" fillId="0" borderId="0" xfId="0" applyFont="1" applyAlignment="1">
      <alignment horizontal="center" wrapText="1"/>
    </xf>
    <xf numFmtId="0" fontId="16" fillId="2" borderId="0" xfId="0" applyFont="1" applyFill="1" applyAlignment="1">
      <alignment horizontal="center" wrapText="1"/>
    </xf>
    <xf numFmtId="0" fontId="16" fillId="2" borderId="0" xfId="0" applyFont="1" applyFill="1" applyAlignment="1">
      <alignment horizontal="center" vertical="center" wrapText="1"/>
    </xf>
    <xf numFmtId="0" fontId="16" fillId="2" borderId="0" xfId="0" applyFont="1" applyFill="1" applyAlignment="1">
      <alignment horizontal="center" vertical="center"/>
    </xf>
    <xf numFmtId="0" fontId="16" fillId="5" borderId="0" xfId="0" applyFont="1" applyFill="1" applyAlignment="1">
      <alignment wrapText="1"/>
    </xf>
    <xf numFmtId="0" fontId="43" fillId="0" borderId="0" xfId="0" applyFont="1"/>
    <xf numFmtId="0" fontId="43" fillId="0" borderId="0" xfId="0" applyFont="1" applyAlignment="1">
      <alignment horizontal="center"/>
    </xf>
    <xf numFmtId="0" fontId="44" fillId="0" borderId="0" xfId="0" applyFont="1" applyAlignment="1">
      <alignment horizontal="center"/>
    </xf>
    <xf numFmtId="0" fontId="45" fillId="0" borderId="0" xfId="0" applyFont="1"/>
    <xf numFmtId="0" fontId="2" fillId="0" borderId="0" xfId="0" applyFont="1" applyAlignment="1">
      <alignment wrapText="1"/>
    </xf>
    <xf numFmtId="0" fontId="20" fillId="0" borderId="0" xfId="0" applyFont="1"/>
    <xf numFmtId="0" fontId="10" fillId="0" borderId="0" xfId="0" applyFont="1" applyAlignment="1">
      <alignment horizontal="left"/>
    </xf>
    <xf numFmtId="0" fontId="46" fillId="0" borderId="0" xfId="0" applyFont="1"/>
    <xf numFmtId="164" fontId="22" fillId="5" borderId="6" xfId="0" applyNumberFormat="1" applyFont="1" applyFill="1" applyBorder="1" applyAlignment="1">
      <alignment horizontal="center" wrapText="1"/>
    </xf>
    <xf numFmtId="164" fontId="22" fillId="5" borderId="6" xfId="0" applyNumberFormat="1" applyFont="1" applyFill="1" applyBorder="1" applyAlignment="1">
      <alignment horizontal="center"/>
    </xf>
    <xf numFmtId="166" fontId="16" fillId="0" borderId="0" xfId="0" applyNumberFormat="1" applyFont="1" applyAlignment="1">
      <alignment horizontal="center"/>
    </xf>
    <xf numFmtId="166" fontId="0" fillId="0" borderId="0" xfId="0" applyNumberFormat="1"/>
    <xf numFmtId="166" fontId="31" fillId="5" borderId="0" xfId="0" applyNumberFormat="1" applyFont="1" applyFill="1"/>
    <xf numFmtId="166" fontId="42" fillId="0" borderId="0" xfId="0" applyNumberFormat="1" applyFont="1" applyAlignment="1">
      <alignment horizontal="center"/>
    </xf>
    <xf numFmtId="166" fontId="14" fillId="0" borderId="0" xfId="0" applyNumberFormat="1" applyFont="1" applyAlignment="1">
      <alignment horizontal="right"/>
    </xf>
    <xf numFmtId="43" fontId="16" fillId="0" borderId="0" xfId="2" applyFont="1" applyAlignment="1"/>
    <xf numFmtId="167" fontId="16" fillId="0" borderId="0" xfId="2" applyNumberFormat="1" applyFont="1" applyAlignment="1">
      <alignment horizontal="right"/>
    </xf>
    <xf numFmtId="0" fontId="0" fillId="37" borderId="0" xfId="0" applyFill="1"/>
    <xf numFmtId="166" fontId="0" fillId="37" borderId="0" xfId="0" applyNumberFormat="1" applyFill="1"/>
    <xf numFmtId="0" fontId="7" fillId="37" borderId="0" xfId="0" applyFont="1" applyFill="1"/>
    <xf numFmtId="0" fontId="51" fillId="19" borderId="3" xfId="3" applyFont="1" applyFill="1" applyBorder="1" applyAlignment="1">
      <alignment vertical="center"/>
    </xf>
    <xf numFmtId="0" fontId="52" fillId="3" borderId="0" xfId="3" applyFont="1" applyFill="1" applyAlignment="1">
      <alignment horizontal="left" vertical="center"/>
    </xf>
    <xf numFmtId="0" fontId="50" fillId="0" borderId="0" xfId="3"/>
    <xf numFmtId="0" fontId="53" fillId="0" borderId="0" xfId="3" applyFont="1" applyAlignment="1">
      <alignment horizontal="left"/>
    </xf>
    <xf numFmtId="0" fontId="10" fillId="0" borderId="0" xfId="3" applyFont="1"/>
    <xf numFmtId="0" fontId="51" fillId="0" borderId="3" xfId="3" applyFont="1" applyBorder="1" applyAlignment="1">
      <alignment vertical="center"/>
    </xf>
    <xf numFmtId="0" fontId="54" fillId="0" borderId="0" xfId="3" applyFont="1"/>
    <xf numFmtId="0" fontId="55" fillId="19" borderId="0" xfId="3" applyFont="1" applyFill="1" applyAlignment="1">
      <alignment horizontal="left"/>
    </xf>
    <xf numFmtId="0" fontId="55" fillId="0" borderId="0" xfId="3" applyFont="1"/>
    <xf numFmtId="0" fontId="1" fillId="0" borderId="0" xfId="3" applyFont="1" applyAlignment="1">
      <alignment horizontal="left" vertical="center"/>
    </xf>
    <xf numFmtId="14" fontId="1" fillId="3" borderId="0" xfId="3" applyNumberFormat="1" applyFont="1" applyFill="1" applyAlignment="1">
      <alignment horizontal="left" vertical="center"/>
    </xf>
    <xf numFmtId="0" fontId="54" fillId="0" borderId="3" xfId="3" applyFont="1" applyBorder="1"/>
    <xf numFmtId="0" fontId="51" fillId="0" borderId="0" xfId="3" applyFont="1"/>
    <xf numFmtId="14" fontId="1" fillId="0" borderId="0" xfId="3" applyNumberFormat="1" applyFont="1" applyAlignment="1">
      <alignment horizontal="left" vertical="center"/>
    </xf>
    <xf numFmtId="0" fontId="51" fillId="4" borderId="3" xfId="3" applyFont="1" applyFill="1" applyBorder="1" applyAlignment="1">
      <alignment vertical="center"/>
    </xf>
    <xf numFmtId="0" fontId="1" fillId="3" borderId="0" xfId="3" applyFont="1" applyFill="1" applyAlignment="1">
      <alignment horizontal="left" vertical="center"/>
    </xf>
    <xf numFmtId="0" fontId="55" fillId="0" borderId="3" xfId="3" applyFont="1" applyBorder="1"/>
    <xf numFmtId="0" fontId="56" fillId="0" borderId="0" xfId="3" applyFont="1"/>
    <xf numFmtId="0" fontId="51" fillId="4" borderId="2" xfId="3" applyFont="1" applyFill="1" applyBorder="1" applyAlignment="1">
      <alignment vertical="center"/>
    </xf>
    <xf numFmtId="0" fontId="51" fillId="0" borderId="2" xfId="3" applyFont="1" applyBorder="1" applyAlignment="1">
      <alignment vertical="center"/>
    </xf>
    <xf numFmtId="0" fontId="51" fillId="0" borderId="2" xfId="3" applyFont="1" applyBorder="1" applyAlignment="1">
      <alignment horizontal="left" vertical="center"/>
    </xf>
    <xf numFmtId="0" fontId="8" fillId="4" borderId="17" xfId="3" applyFont="1" applyFill="1" applyBorder="1" applyAlignment="1">
      <alignment horizontal="left" vertical="center"/>
    </xf>
    <xf numFmtId="0" fontId="51" fillId="0" borderId="17" xfId="3" applyFont="1" applyBorder="1" applyAlignment="1">
      <alignment horizontal="left" vertical="center"/>
    </xf>
    <xf numFmtId="0" fontId="51" fillId="0" borderId="0" xfId="3" applyFont="1" applyAlignment="1">
      <alignment horizontal="left" vertical="center"/>
    </xf>
    <xf numFmtId="0" fontId="8" fillId="19" borderId="0" xfId="3" applyFont="1" applyFill="1"/>
    <xf numFmtId="0" fontId="8" fillId="0" borderId="0" xfId="3" applyFont="1"/>
    <xf numFmtId="0" fontId="57" fillId="0" borderId="0" xfId="3" applyFont="1"/>
    <xf numFmtId="0" fontId="58" fillId="0" borderId="0" xfId="0" applyFont="1"/>
    <xf numFmtId="0" fontId="59" fillId="0" borderId="0" xfId="0" applyFont="1" applyAlignment="1">
      <alignment horizontal="left" vertical="center" wrapText="1"/>
    </xf>
    <xf numFmtId="0" fontId="59" fillId="0" borderId="0" xfId="0" applyFont="1" applyAlignment="1">
      <alignment horizontal="left" wrapText="1"/>
    </xf>
    <xf numFmtId="0" fontId="60" fillId="0" borderId="0" xfId="0" applyFont="1"/>
    <xf numFmtId="0" fontId="60" fillId="0" borderId="0" xfId="0" applyFont="1" applyAlignment="1">
      <alignment wrapText="1"/>
    </xf>
    <xf numFmtId="0" fontId="61" fillId="0" borderId="0" xfId="0" applyFont="1" applyAlignment="1">
      <alignment vertical="center" wrapText="1"/>
    </xf>
    <xf numFmtId="0" fontId="62" fillId="0" borderId="0" xfId="0" applyFont="1" applyAlignment="1">
      <alignment horizontal="center" vertical="center"/>
    </xf>
    <xf numFmtId="0" fontId="9" fillId="0" borderId="0" xfId="0" applyFont="1" applyAlignment="1">
      <alignment horizontal="center"/>
    </xf>
    <xf numFmtId="49" fontId="63" fillId="0" borderId="0" xfId="0" applyNumberFormat="1" applyFont="1" applyAlignment="1">
      <alignment horizontal="left"/>
    </xf>
    <xf numFmtId="49" fontId="63" fillId="39" borderId="0" xfId="0" applyNumberFormat="1" applyFont="1" applyFill="1" applyAlignment="1">
      <alignment horizontal="left"/>
    </xf>
    <xf numFmtId="49" fontId="63" fillId="39" borderId="20" xfId="0" applyNumberFormat="1" applyFont="1" applyFill="1" applyBorder="1" applyAlignment="1">
      <alignment horizontal="left"/>
    </xf>
    <xf numFmtId="0" fontId="64" fillId="0" borderId="0" xfId="0" applyFont="1"/>
    <xf numFmtId="0" fontId="65" fillId="0" borderId="0" xfId="0" applyFont="1" applyAlignment="1">
      <alignment horizontal="left" vertical="top" indent="3"/>
    </xf>
    <xf numFmtId="0" fontId="65" fillId="0" borderId="0" xfId="0" applyFont="1" applyAlignment="1">
      <alignment horizontal="left" vertical="center" indent="3"/>
    </xf>
    <xf numFmtId="0" fontId="62" fillId="0" borderId="0" xfId="0" applyFont="1"/>
    <xf numFmtId="0" fontId="66" fillId="0" borderId="0" xfId="0" applyFont="1"/>
    <xf numFmtId="0" fontId="68" fillId="30" borderId="0" xfId="4" quotePrefix="1" applyFont="1" applyFill="1" applyBorder="1" applyAlignment="1">
      <alignment horizontal="left"/>
    </xf>
    <xf numFmtId="0" fontId="9" fillId="0" borderId="0" xfId="0" applyFont="1" applyAlignment="1">
      <alignment horizontal="left" vertical="center" indent="4"/>
    </xf>
    <xf numFmtId="0" fontId="5" fillId="0" borderId="0" xfId="0" applyFont="1" applyAlignment="1">
      <alignment horizontal="left" indent="9"/>
    </xf>
    <xf numFmtId="0" fontId="5" fillId="0" borderId="0" xfId="0" applyFont="1" applyAlignment="1">
      <alignment horizontal="left" vertical="center" indent="9"/>
    </xf>
    <xf numFmtId="0" fontId="69" fillId="0" borderId="0" xfId="0" applyFont="1"/>
    <xf numFmtId="0" fontId="9" fillId="0" borderId="0" xfId="0" applyFont="1" applyAlignment="1">
      <alignment horizontal="center" vertical="center"/>
    </xf>
    <xf numFmtId="0" fontId="70" fillId="0" borderId="0" xfId="0" applyFont="1" applyAlignment="1">
      <alignment horizontal="right" vertical="top" wrapText="1"/>
    </xf>
    <xf numFmtId="0" fontId="11" fillId="0" borderId="0" xfId="0" applyFont="1" applyAlignment="1">
      <alignment vertical="center" wrapText="1"/>
    </xf>
    <xf numFmtId="0" fontId="11" fillId="0" borderId="0" xfId="0" applyFont="1" applyAlignment="1">
      <alignment horizontal="left" vertical="center" indent="2"/>
    </xf>
    <xf numFmtId="0" fontId="58" fillId="0" borderId="0" xfId="0" applyFont="1" applyAlignment="1">
      <alignment horizontal="left" indent="5"/>
    </xf>
    <xf numFmtId="0" fontId="11" fillId="0" borderId="0" xfId="0" applyFont="1" applyAlignment="1">
      <alignment horizontal="left" vertical="center"/>
    </xf>
    <xf numFmtId="0" fontId="70" fillId="0" borderId="0" xfId="0" applyFont="1" applyAlignment="1">
      <alignment horizontal="center" vertical="center"/>
    </xf>
    <xf numFmtId="0" fontId="71" fillId="0" borderId="0" xfId="0" applyFont="1" applyAlignment="1">
      <alignment horizontal="center" vertical="center"/>
    </xf>
    <xf numFmtId="0" fontId="70" fillId="0" borderId="0" xfId="0" applyFont="1" applyAlignment="1">
      <alignment horizontal="right" indent="3"/>
    </xf>
    <xf numFmtId="0" fontId="11" fillId="0" borderId="0" xfId="0" applyFont="1" applyAlignment="1">
      <alignment horizontal="left" vertical="center" indent="10"/>
    </xf>
    <xf numFmtId="0" fontId="11" fillId="0" borderId="0" xfId="0" applyFont="1" applyAlignment="1">
      <alignment vertical="center"/>
    </xf>
    <xf numFmtId="0" fontId="72" fillId="0" borderId="0" xfId="0" applyFont="1"/>
    <xf numFmtId="0" fontId="21" fillId="0" borderId="0" xfId="0" applyFont="1" applyAlignment="1">
      <alignment horizontal="center"/>
    </xf>
    <xf numFmtId="0" fontId="73" fillId="0" borderId="0" xfId="0" applyFont="1" applyAlignment="1">
      <alignment horizontal="left" vertical="center" indent="2"/>
    </xf>
    <xf numFmtId="0" fontId="74" fillId="0" borderId="0" xfId="0" applyFont="1" applyAlignment="1">
      <alignment vertical="center"/>
    </xf>
    <xf numFmtId="0" fontId="75" fillId="3" borderId="0" xfId="0" applyFont="1" applyFill="1" applyAlignment="1">
      <alignment horizontal="left" vertical="center"/>
    </xf>
    <xf numFmtId="0" fontId="76" fillId="0" borderId="0" xfId="0" applyFont="1" applyAlignment="1">
      <alignment vertical="center"/>
    </xf>
    <xf numFmtId="0" fontId="77" fillId="3" borderId="0" xfId="0" applyFont="1" applyFill="1" applyAlignment="1">
      <alignment vertical="top" wrapText="1"/>
    </xf>
    <xf numFmtId="0" fontId="76" fillId="3" borderId="0" xfId="0" applyFont="1" applyFill="1" applyAlignment="1">
      <alignment vertical="center"/>
    </xf>
    <xf numFmtId="0" fontId="78" fillId="0" borderId="2" xfId="0" applyFont="1" applyBorder="1" applyAlignment="1">
      <alignment vertical="center"/>
    </xf>
    <xf numFmtId="0" fontId="79" fillId="3" borderId="2" xfId="0" applyFont="1" applyFill="1" applyBorder="1" applyAlignment="1">
      <alignment vertical="center"/>
    </xf>
    <xf numFmtId="0" fontId="80" fillId="0" borderId="0" xfId="0" applyFont="1"/>
    <xf numFmtId="0" fontId="80" fillId="3" borderId="0" xfId="0" applyFont="1" applyFill="1"/>
    <xf numFmtId="0" fontId="79" fillId="19" borderId="3" xfId="0" applyFont="1" applyFill="1" applyBorder="1" applyAlignment="1">
      <alignment vertical="center"/>
    </xf>
    <xf numFmtId="0" fontId="79" fillId="0" borderId="3" xfId="0" applyFont="1" applyBorder="1" applyAlignment="1">
      <alignment vertical="center"/>
    </xf>
    <xf numFmtId="0" fontId="79" fillId="4" borderId="3" xfId="0" applyFont="1" applyFill="1" applyBorder="1" applyAlignment="1">
      <alignment vertical="center"/>
    </xf>
    <xf numFmtId="0" fontId="79" fillId="0" borderId="2" xfId="0" applyFont="1" applyBorder="1" applyAlignment="1">
      <alignment vertical="center"/>
    </xf>
    <xf numFmtId="0" fontId="79" fillId="4" borderId="2" xfId="0" applyFont="1" applyFill="1" applyBorder="1" applyAlignment="1">
      <alignment vertical="center"/>
    </xf>
    <xf numFmtId="0" fontId="79" fillId="0" borderId="2" xfId="0" applyFont="1" applyBorder="1" applyAlignment="1">
      <alignment horizontal="left" vertical="center"/>
    </xf>
    <xf numFmtId="0" fontId="80" fillId="4" borderId="17" xfId="0" applyFont="1" applyFill="1" applyBorder="1" applyAlignment="1">
      <alignment horizontal="left" vertical="center"/>
    </xf>
    <xf numFmtId="0" fontId="79" fillId="0" borderId="17" xfId="0" applyFont="1" applyBorder="1" applyAlignment="1">
      <alignment horizontal="left" vertical="center"/>
    </xf>
    <xf numFmtId="0" fontId="79" fillId="0" borderId="0" xfId="0" applyFont="1" applyAlignment="1">
      <alignment horizontal="left" vertical="center"/>
    </xf>
    <xf numFmtId="0" fontId="80" fillId="19" borderId="0" xfId="0" applyFont="1" applyFill="1"/>
    <xf numFmtId="0" fontId="75" fillId="19" borderId="0" xfId="0" applyFont="1" applyFill="1" applyAlignment="1">
      <alignment vertical="center"/>
    </xf>
    <xf numFmtId="0" fontId="81" fillId="0" borderId="0" xfId="0" applyFont="1" applyAlignment="1">
      <alignment vertical="center"/>
    </xf>
    <xf numFmtId="0" fontId="81" fillId="22" borderId="0" xfId="0" applyFont="1" applyFill="1" applyAlignment="1">
      <alignment vertical="center"/>
    </xf>
    <xf numFmtId="0" fontId="79" fillId="0" borderId="0" xfId="0" applyFont="1" applyAlignment="1">
      <alignment vertical="center"/>
    </xf>
    <xf numFmtId="0" fontId="76" fillId="22" borderId="0" xfId="0" applyFont="1" applyFill="1" applyAlignment="1">
      <alignment vertical="center"/>
    </xf>
    <xf numFmtId="0" fontId="79" fillId="22" borderId="0" xfId="0" applyFont="1" applyFill="1" applyAlignment="1">
      <alignment vertical="center"/>
    </xf>
    <xf numFmtId="0" fontId="79" fillId="0" borderId="0" xfId="0" applyFont="1"/>
    <xf numFmtId="0" fontId="75" fillId="18" borderId="0" xfId="0" applyFont="1" applyFill="1" applyAlignment="1">
      <alignment horizontal="left" vertical="center"/>
    </xf>
    <xf numFmtId="43" fontId="82" fillId="0" borderId="5" xfId="0" applyNumberFormat="1" applyFont="1" applyBorder="1" applyAlignment="1">
      <alignment vertical="center"/>
    </xf>
    <xf numFmtId="43" fontId="82" fillId="5" borderId="15" xfId="0" applyNumberFormat="1" applyFont="1" applyFill="1" applyBorder="1" applyAlignment="1">
      <alignment vertical="center"/>
    </xf>
    <xf numFmtId="43" fontId="82" fillId="0" borderId="15" xfId="0" applyNumberFormat="1" applyFont="1" applyBorder="1" applyAlignment="1">
      <alignment vertical="center"/>
    </xf>
    <xf numFmtId="0" fontId="83" fillId="19" borderId="14" xfId="0" applyFont="1" applyFill="1" applyBorder="1" applyAlignment="1">
      <alignment horizontal="center" vertical="center"/>
    </xf>
    <xf numFmtId="0" fontId="76" fillId="0" borderId="2" xfId="0" applyFont="1" applyBorder="1" applyAlignment="1">
      <alignment vertical="center"/>
    </xf>
    <xf numFmtId="0" fontId="76" fillId="4" borderId="2" xfId="0" applyFont="1" applyFill="1" applyBorder="1" applyAlignment="1">
      <alignment vertical="center"/>
    </xf>
    <xf numFmtId="0" fontId="84" fillId="0" borderId="2" xfId="0" applyFont="1" applyBorder="1" applyAlignment="1">
      <alignment horizontal="left" vertical="center"/>
    </xf>
    <xf numFmtId="0" fontId="85" fillId="19" borderId="0" xfId="0" applyFont="1" applyFill="1" applyAlignment="1">
      <alignment horizontal="left"/>
    </xf>
    <xf numFmtId="0" fontId="79" fillId="4" borderId="4" xfId="0" applyFont="1" applyFill="1" applyBorder="1" applyAlignment="1">
      <alignment horizontal="left"/>
    </xf>
    <xf numFmtId="0" fontId="79" fillId="0" borderId="3" xfId="0" applyFont="1" applyBorder="1" applyAlignment="1">
      <alignment horizontal="left"/>
    </xf>
    <xf numFmtId="0" fontId="79" fillId="4" borderId="3" xfId="0" applyFont="1" applyFill="1" applyBorder="1" applyAlignment="1">
      <alignment horizontal="left"/>
    </xf>
    <xf numFmtId="0" fontId="79" fillId="0" borderId="2" xfId="0" applyFont="1" applyBorder="1" applyAlignment="1">
      <alignment horizontal="left"/>
    </xf>
    <xf numFmtId="0" fontId="79" fillId="4" borderId="2" xfId="0" applyFont="1" applyFill="1" applyBorder="1" applyAlignment="1">
      <alignment horizontal="left"/>
    </xf>
    <xf numFmtId="0" fontId="86" fillId="4" borderId="3" xfId="0" applyFont="1" applyFill="1" applyBorder="1" applyAlignment="1">
      <alignment horizontal="left"/>
    </xf>
    <xf numFmtId="0" fontId="79" fillId="20" borderId="0" xfId="0" applyFont="1" applyFill="1" applyAlignment="1">
      <alignment horizontal="left" wrapText="1"/>
    </xf>
    <xf numFmtId="0" fontId="87" fillId="0" borderId="0" xfId="0" applyFont="1"/>
    <xf numFmtId="14" fontId="80" fillId="0" borderId="0" xfId="0" applyNumberFormat="1" applyFont="1"/>
    <xf numFmtId="0" fontId="88" fillId="0" borderId="0" xfId="0" applyFont="1" applyAlignment="1">
      <alignment vertical="center" wrapText="1"/>
    </xf>
    <xf numFmtId="0" fontId="48" fillId="2" borderId="0" xfId="0" applyFont="1" applyFill="1" applyAlignment="1">
      <alignment horizontal="center" vertical="center" wrapText="1"/>
    </xf>
    <xf numFmtId="0" fontId="48" fillId="8" borderId="0" xfId="0" applyFont="1" applyFill="1" applyAlignment="1">
      <alignment horizontal="center" vertical="center" wrapText="1"/>
    </xf>
    <xf numFmtId="0" fontId="48" fillId="2" borderId="0" xfId="0" applyFont="1" applyFill="1" applyAlignment="1">
      <alignment horizontal="center" vertical="center"/>
    </xf>
    <xf numFmtId="0" fontId="48" fillId="5" borderId="0" xfId="0" applyFont="1" applyFill="1" applyAlignment="1">
      <alignment wrapText="1"/>
    </xf>
    <xf numFmtId="0" fontId="48" fillId="5" borderId="0" xfId="0" applyFont="1" applyFill="1"/>
    <xf numFmtId="0" fontId="17" fillId="0" borderId="0" xfId="0" applyFont="1"/>
    <xf numFmtId="166" fontId="7" fillId="0" borderId="0" xfId="0" applyNumberFormat="1" applyFont="1"/>
    <xf numFmtId="168" fontId="0" fillId="0" borderId="0" xfId="5" applyNumberFormat="1" applyFont="1" applyFill="1"/>
    <xf numFmtId="168" fontId="7" fillId="0" borderId="0" xfId="5" applyNumberFormat="1" applyFont="1" applyFill="1"/>
    <xf numFmtId="168" fontId="0" fillId="0" borderId="0" xfId="0" applyNumberFormat="1"/>
    <xf numFmtId="0" fontId="7" fillId="5" borderId="0" xfId="0" applyFont="1" applyFill="1"/>
    <xf numFmtId="166" fontId="7" fillId="5" borderId="0" xfId="0" applyNumberFormat="1" applyFont="1" applyFill="1"/>
    <xf numFmtId="0" fontId="0" fillId="5" borderId="0" xfId="0" applyFill="1"/>
    <xf numFmtId="0" fontId="9" fillId="5" borderId="0" xfId="0" applyFont="1" applyFill="1"/>
    <xf numFmtId="0" fontId="89" fillId="5" borderId="0" xfId="0" applyFont="1" applyFill="1"/>
    <xf numFmtId="0" fontId="58" fillId="5" borderId="0" xfId="0" applyFont="1" applyFill="1" applyAlignment="1">
      <alignment horizontal="center"/>
    </xf>
    <xf numFmtId="0" fontId="58" fillId="5" borderId="0" xfId="0" applyFont="1" applyFill="1"/>
    <xf numFmtId="0" fontId="90" fillId="5" borderId="0" xfId="0" applyFont="1" applyFill="1"/>
    <xf numFmtId="0" fontId="91" fillId="0" borderId="0" xfId="0" applyFont="1" applyAlignment="1">
      <alignment horizontal="center"/>
    </xf>
    <xf numFmtId="0" fontId="91" fillId="0" borderId="0" xfId="0" applyFont="1"/>
    <xf numFmtId="0" fontId="58" fillId="0" borderId="0" xfId="0" applyFont="1" applyAlignment="1">
      <alignment horizontal="left" indent="2"/>
    </xf>
    <xf numFmtId="0" fontId="2" fillId="5" borderId="0" xfId="0" applyFont="1" applyFill="1"/>
    <xf numFmtId="166" fontId="6" fillId="0" borderId="0" xfId="0" applyNumberFormat="1" applyFont="1"/>
    <xf numFmtId="0" fontId="2" fillId="0" borderId="0" xfId="0" applyFont="1" applyAlignment="1">
      <alignment horizontal="center"/>
    </xf>
    <xf numFmtId="0" fontId="92" fillId="0" borderId="0" xfId="0" applyFont="1"/>
    <xf numFmtId="166" fontId="2" fillId="0" borderId="0" xfId="0" applyNumberFormat="1" applyFont="1"/>
    <xf numFmtId="168" fontId="2" fillId="0" borderId="0" xfId="5" applyNumberFormat="1" applyFont="1" applyFill="1"/>
    <xf numFmtId="168" fontId="6" fillId="0" borderId="0" xfId="5" applyNumberFormat="1" applyFont="1" applyFill="1"/>
    <xf numFmtId="168" fontId="2" fillId="0" borderId="0" xfId="0" applyNumberFormat="1" applyFont="1"/>
    <xf numFmtId="168" fontId="6" fillId="0" borderId="0" xfId="0" applyNumberFormat="1" applyFont="1"/>
    <xf numFmtId="0" fontId="6" fillId="0" borderId="0" xfId="0" applyFont="1" applyAlignment="1">
      <alignment horizontal="center"/>
    </xf>
    <xf numFmtId="0" fontId="18" fillId="0" borderId="0" xfId="0" applyFont="1" applyAlignment="1">
      <alignment vertical="center"/>
    </xf>
    <xf numFmtId="0" fontId="93" fillId="0" borderId="0" xfId="0" applyFont="1"/>
    <xf numFmtId="0" fontId="93" fillId="0" borderId="0" xfId="0" applyFont="1" applyAlignment="1">
      <alignment horizontal="center"/>
    </xf>
    <xf numFmtId="0" fontId="97" fillId="0" borderId="0" xfId="0" applyFont="1"/>
    <xf numFmtId="0" fontId="102" fillId="0" borderId="0" xfId="0" applyFont="1"/>
    <xf numFmtId="0" fontId="105" fillId="0" borderId="0" xfId="0" applyFont="1"/>
    <xf numFmtId="0" fontId="112" fillId="0" borderId="0" xfId="0" applyFont="1"/>
    <xf numFmtId="0" fontId="125" fillId="0" borderId="0" xfId="0" applyFont="1"/>
    <xf numFmtId="0" fontId="131" fillId="0" borderId="0" xfId="0" applyFont="1"/>
    <xf numFmtId="0" fontId="109" fillId="0" borderId="0" xfId="0" applyFont="1"/>
    <xf numFmtId="0" fontId="101" fillId="0" borderId="0" xfId="0" applyFont="1"/>
    <xf numFmtId="0" fontId="138" fillId="0" borderId="0" xfId="0" applyFont="1"/>
    <xf numFmtId="0" fontId="143" fillId="0" borderId="0" xfId="0" applyFont="1"/>
    <xf numFmtId="0" fontId="103" fillId="0" borderId="0" xfId="0" applyFont="1"/>
    <xf numFmtId="0" fontId="135" fillId="0" borderId="0" xfId="0" applyFont="1"/>
    <xf numFmtId="0" fontId="95" fillId="0" borderId="0" xfId="0" applyFont="1"/>
    <xf numFmtId="0" fontId="150" fillId="0" borderId="0" xfId="0" applyFont="1"/>
    <xf numFmtId="0" fontId="49" fillId="0" borderId="0" xfId="0" applyFont="1" applyAlignment="1">
      <alignment horizontal="center"/>
    </xf>
    <xf numFmtId="0" fontId="156" fillId="0" borderId="0" xfId="0" applyFont="1"/>
    <xf numFmtId="0" fontId="157" fillId="0" borderId="0" xfId="0" applyFont="1"/>
    <xf numFmtId="0" fontId="157" fillId="0" borderId="0" xfId="0" applyFont="1" applyAlignment="1">
      <alignment vertical="center"/>
    </xf>
    <xf numFmtId="0" fontId="7" fillId="5" borderId="0" xfId="0" applyFont="1" applyFill="1" applyAlignment="1">
      <alignment horizontal="left"/>
    </xf>
    <xf numFmtId="0" fontId="2" fillId="2" borderId="0" xfId="0" applyFont="1" applyFill="1"/>
    <xf numFmtId="0" fontId="2" fillId="40" borderId="0" xfId="0" applyFont="1" applyFill="1"/>
    <xf numFmtId="166" fontId="2" fillId="40" borderId="0" xfId="0" applyNumberFormat="1" applyFont="1" applyFill="1"/>
    <xf numFmtId="0" fontId="18" fillId="40" borderId="0" xfId="0" applyFont="1" applyFill="1"/>
    <xf numFmtId="0" fontId="156" fillId="40" borderId="0" xfId="0" applyFont="1" applyFill="1"/>
    <xf numFmtId="0" fontId="96" fillId="40" borderId="0" xfId="0" applyFont="1" applyFill="1"/>
    <xf numFmtId="0" fontId="6" fillId="40" borderId="0" xfId="0" applyFont="1" applyFill="1"/>
    <xf numFmtId="0" fontId="2" fillId="40" borderId="0" xfId="0" applyFont="1" applyFill="1" applyAlignment="1">
      <alignment horizontal="center"/>
    </xf>
    <xf numFmtId="168" fontId="2" fillId="40" borderId="0" xfId="5" applyNumberFormat="1" applyFont="1" applyFill="1"/>
    <xf numFmtId="0" fontId="0" fillId="37" borderId="0" xfId="0" applyFill="1" applyAlignment="1">
      <alignment horizontal="center"/>
    </xf>
    <xf numFmtId="0" fontId="2" fillId="37" borderId="0" xfId="0" applyFont="1" applyFill="1"/>
    <xf numFmtId="0" fontId="6" fillId="37" borderId="0" xfId="0" applyFont="1" applyFill="1"/>
    <xf numFmtId="0" fontId="2" fillId="37" borderId="0" xfId="0" applyFont="1" applyFill="1" applyAlignment="1">
      <alignment horizontal="center"/>
    </xf>
    <xf numFmtId="166" fontId="2" fillId="37" borderId="0" xfId="0" applyNumberFormat="1" applyFont="1" applyFill="1"/>
    <xf numFmtId="0" fontId="156" fillId="37" borderId="0" xfId="0" applyFont="1" applyFill="1"/>
    <xf numFmtId="0" fontId="151" fillId="37" borderId="0" xfId="0" applyFont="1" applyFill="1"/>
    <xf numFmtId="0" fontId="18" fillId="41" borderId="0" xfId="0" applyFont="1" applyFill="1"/>
    <xf numFmtId="0" fontId="6" fillId="42" borderId="0" xfId="0" applyFont="1" applyFill="1"/>
    <xf numFmtId="0" fontId="2" fillId="43" borderId="0" xfId="0" applyFont="1" applyFill="1"/>
    <xf numFmtId="0" fontId="6" fillId="43" borderId="0" xfId="0" applyFont="1" applyFill="1"/>
    <xf numFmtId="0" fontId="156" fillId="43" borderId="0" xfId="0" applyFont="1" applyFill="1"/>
    <xf numFmtId="166" fontId="2" fillId="43" borderId="0" xfId="0" applyNumberFormat="1" applyFont="1" applyFill="1"/>
    <xf numFmtId="0" fontId="116" fillId="43" borderId="0" xfId="0" applyFont="1" applyFill="1"/>
    <xf numFmtId="0" fontId="2" fillId="43" borderId="0" xfId="0" applyFont="1" applyFill="1" applyAlignment="1">
      <alignment horizontal="center"/>
    </xf>
    <xf numFmtId="168" fontId="2" fillId="43" borderId="0" xfId="5" applyNumberFormat="1" applyFont="1" applyFill="1"/>
    <xf numFmtId="0" fontId="7" fillId="43" borderId="0" xfId="0" applyFont="1" applyFill="1"/>
    <xf numFmtId="0" fontId="113" fillId="43" borderId="0" xfId="0" applyFont="1" applyFill="1"/>
    <xf numFmtId="0" fontId="0" fillId="43" borderId="0" xfId="0" applyFill="1"/>
    <xf numFmtId="166" fontId="6" fillId="43" borderId="0" xfId="0" applyNumberFormat="1" applyFont="1" applyFill="1"/>
    <xf numFmtId="14" fontId="16" fillId="0" borderId="21" xfId="0" applyNumberFormat="1" applyFont="1" applyBorder="1" applyAlignment="1">
      <alignment horizontal="center" vertical="center"/>
    </xf>
    <xf numFmtId="166" fontId="49" fillId="0" borderId="0" xfId="0" applyNumberFormat="1" applyFont="1" applyAlignment="1">
      <alignment horizontal="center"/>
    </xf>
    <xf numFmtId="0" fontId="49" fillId="0" borderId="0" xfId="0" applyFont="1" applyAlignment="1">
      <alignment horizontal="center" wrapText="1"/>
    </xf>
    <xf numFmtId="0" fontId="159" fillId="0" borderId="0" xfId="0" applyFont="1" applyAlignment="1">
      <alignment horizontal="center"/>
    </xf>
    <xf numFmtId="0" fontId="48" fillId="29" borderId="0" xfId="0" applyFont="1" applyFill="1" applyAlignment="1">
      <alignment horizontal="center" vertical="center" wrapText="1"/>
    </xf>
    <xf numFmtId="0" fontId="48" fillId="19" borderId="0" xfId="0" applyFont="1" applyFill="1" applyAlignment="1">
      <alignment horizontal="center" vertical="center" wrapText="1"/>
    </xf>
    <xf numFmtId="0" fontId="48" fillId="29" borderId="0" xfId="0" applyFont="1" applyFill="1" applyAlignment="1">
      <alignment horizontal="center" vertical="center"/>
    </xf>
    <xf numFmtId="0" fontId="48" fillId="9" borderId="0" xfId="0" applyFont="1" applyFill="1" applyAlignment="1">
      <alignment wrapText="1"/>
    </xf>
    <xf numFmtId="0" fontId="48" fillId="9" borderId="0" xfId="0" applyFont="1" applyFill="1"/>
    <xf numFmtId="0" fontId="160" fillId="0" borderId="0" xfId="0" applyFont="1" applyAlignment="1">
      <alignment vertical="center" wrapText="1"/>
    </xf>
    <xf numFmtId="0" fontId="49" fillId="9" borderId="0" xfId="0" applyFont="1" applyFill="1" applyAlignment="1">
      <alignment wrapText="1"/>
    </xf>
    <xf numFmtId="0" fontId="115" fillId="43" borderId="0" xfId="0" applyFont="1" applyFill="1"/>
    <xf numFmtId="0" fontId="144" fillId="0" borderId="0" xfId="0" applyFont="1"/>
    <xf numFmtId="0" fontId="139" fillId="0" borderId="0" xfId="0" applyFont="1"/>
    <xf numFmtId="0" fontId="126" fillId="0" borderId="0" xfId="0" applyFont="1"/>
    <xf numFmtId="0" fontId="161" fillId="44" borderId="0" xfId="0" applyFont="1" applyFill="1"/>
    <xf numFmtId="0" fontId="161" fillId="22" borderId="0" xfId="0" applyFont="1" applyFill="1"/>
    <xf numFmtId="0" fontId="162" fillId="0" borderId="0" xfId="0" applyFont="1"/>
    <xf numFmtId="0" fontId="163" fillId="43" borderId="0" xfId="0" applyFont="1" applyFill="1"/>
    <xf numFmtId="0" fontId="164" fillId="0" borderId="0" xfId="0" applyFont="1"/>
    <xf numFmtId="0" fontId="165" fillId="43" borderId="0" xfId="0" applyFont="1" applyFill="1"/>
    <xf numFmtId="168" fontId="2" fillId="0" borderId="0" xfId="5" applyNumberFormat="1" applyFont="1"/>
    <xf numFmtId="0" fontId="166" fillId="0" borderId="0" xfId="0" applyFont="1"/>
    <xf numFmtId="0" fontId="167" fillId="0" borderId="0" xfId="0" applyFont="1"/>
    <xf numFmtId="0" fontId="168" fillId="0" borderId="0" xfId="0" applyFont="1"/>
    <xf numFmtId="0" fontId="169" fillId="0" borderId="0" xfId="0" applyFont="1"/>
    <xf numFmtId="0" fontId="170" fillId="0" borderId="0" xfId="0" applyFont="1"/>
    <xf numFmtId="0" fontId="171" fillId="0" borderId="0" xfId="0" applyFont="1"/>
    <xf numFmtId="0" fontId="172" fillId="0" borderId="0" xfId="0" applyFont="1"/>
    <xf numFmtId="0" fontId="173" fillId="0" borderId="0" xfId="0" applyFont="1"/>
    <xf numFmtId="168" fontId="0" fillId="0" borderId="0" xfId="5" applyNumberFormat="1" applyFont="1"/>
    <xf numFmtId="0" fontId="174" fillId="0" borderId="0" xfId="0" applyFont="1"/>
    <xf numFmtId="0" fontId="175" fillId="0" borderId="0" xfId="0" applyFont="1"/>
    <xf numFmtId="0" fontId="176" fillId="0" borderId="0" xfId="0" applyFont="1"/>
    <xf numFmtId="0" fontId="177" fillId="0" borderId="0" xfId="0" applyFont="1"/>
    <xf numFmtId="0" fontId="178" fillId="0" borderId="0" xfId="0" applyFont="1"/>
    <xf numFmtId="0" fontId="179" fillId="0" borderId="0" xfId="0" applyFont="1"/>
    <xf numFmtId="0" fontId="180" fillId="0" borderId="0" xfId="0" applyFont="1"/>
    <xf numFmtId="0" fontId="181" fillId="0" borderId="0" xfId="0" applyFont="1"/>
    <xf numFmtId="0" fontId="182" fillId="0" borderId="0" xfId="0" applyFont="1" applyAlignment="1">
      <alignment horizontal="left" indent="2"/>
    </xf>
    <xf numFmtId="0" fontId="42" fillId="0" borderId="0" xfId="0" applyFont="1" applyAlignment="1">
      <alignment horizontal="left" vertical="center"/>
    </xf>
    <xf numFmtId="0" fontId="9" fillId="0" borderId="0" xfId="0" applyFont="1" applyAlignment="1">
      <alignment horizontal="left" vertical="center"/>
    </xf>
    <xf numFmtId="0" fontId="182" fillId="0" borderId="0" xfId="0" applyFont="1" applyAlignment="1">
      <alignment horizontal="left" vertical="center"/>
    </xf>
    <xf numFmtId="0" fontId="182" fillId="0" borderId="0" xfId="0" applyFont="1" applyAlignment="1">
      <alignment horizontal="left"/>
    </xf>
    <xf numFmtId="0" fontId="92" fillId="0" borderId="0" xfId="0" applyFont="1" applyAlignment="1">
      <alignment horizontal="left"/>
    </xf>
    <xf numFmtId="0" fontId="91" fillId="0" borderId="0" xfId="0" applyFont="1" applyAlignment="1">
      <alignment horizontal="left"/>
    </xf>
    <xf numFmtId="0" fontId="183" fillId="0" borderId="0" xfId="0" applyFont="1" applyAlignment="1">
      <alignment horizontal="left"/>
    </xf>
    <xf numFmtId="0" fontId="73" fillId="0" borderId="0" xfId="0" applyFont="1" applyAlignment="1">
      <alignment vertical="center" wrapText="1"/>
    </xf>
    <xf numFmtId="0" fontId="157" fillId="43" borderId="0" xfId="0" applyFont="1" applyFill="1"/>
    <xf numFmtId="0" fontId="157" fillId="37" borderId="0" xfId="0" applyFont="1" applyFill="1"/>
    <xf numFmtId="0" fontId="5" fillId="0" borderId="0" xfId="0" applyFont="1" applyAlignment="1">
      <alignment horizontal="left" vertical="center" indent="5"/>
    </xf>
    <xf numFmtId="0" fontId="2" fillId="45" borderId="0" xfId="0" applyFont="1" applyFill="1"/>
    <xf numFmtId="0" fontId="5" fillId="0" borderId="0" xfId="0" applyFont="1" applyAlignment="1">
      <alignment horizontal="left" vertical="center"/>
    </xf>
    <xf numFmtId="0" fontId="186" fillId="9" borderId="0" xfId="0" applyFont="1" applyFill="1" applyAlignment="1">
      <alignment horizontal="center" vertical="center" wrapText="1"/>
    </xf>
    <xf numFmtId="0" fontId="80" fillId="0" borderId="0" xfId="0" applyFont="1" applyAlignment="1">
      <alignment horizontal="left" vertical="center" wrapText="1"/>
    </xf>
    <xf numFmtId="0" fontId="185" fillId="0" borderId="0" xfId="0" applyFont="1" applyAlignment="1">
      <alignment horizontal="left" vertical="center" wrapText="1"/>
    </xf>
    <xf numFmtId="0" fontId="15" fillId="0" borderId="0" xfId="0" applyFont="1" applyAlignment="1">
      <alignment vertical="center" wrapText="1"/>
    </xf>
    <xf numFmtId="0" fontId="15" fillId="0" borderId="0" xfId="0" applyFont="1" applyAlignment="1">
      <alignment horizontal="center" vertical="center" wrapText="1"/>
    </xf>
    <xf numFmtId="0" fontId="79" fillId="0" borderId="0" xfId="0" applyFont="1" applyAlignment="1">
      <alignment vertical="center" wrapText="1"/>
    </xf>
    <xf numFmtId="0" fontId="15" fillId="0" borderId="0" xfId="0" applyFont="1" applyAlignment="1">
      <alignment wrapText="1"/>
    </xf>
    <xf numFmtId="0" fontId="190" fillId="9" borderId="0" xfId="0" applyFont="1" applyFill="1" applyAlignment="1">
      <alignment vertical="center" wrapText="1"/>
    </xf>
    <xf numFmtId="0" fontId="193" fillId="0" borderId="0" xfId="0" applyFont="1"/>
    <xf numFmtId="0" fontId="194" fillId="0" borderId="0" xfId="0" applyFont="1" applyAlignment="1">
      <alignment horizontal="left" vertical="center"/>
    </xf>
    <xf numFmtId="0" fontId="5" fillId="0" borderId="0" xfId="0" applyFont="1" applyAlignment="1">
      <alignment horizontal="left" vertical="center" indent="2"/>
    </xf>
    <xf numFmtId="0" fontId="195" fillId="0" borderId="0" xfId="0" applyFont="1" applyAlignment="1">
      <alignment horizontal="left"/>
    </xf>
    <xf numFmtId="0" fontId="191" fillId="9" borderId="0" xfId="0" applyFont="1" applyFill="1" applyAlignment="1">
      <alignment horizontal="left"/>
    </xf>
    <xf numFmtId="0" fontId="2" fillId="30" borderId="0" xfId="0" applyFont="1" applyFill="1"/>
    <xf numFmtId="0" fontId="2" fillId="27" borderId="0" xfId="0" applyFont="1" applyFill="1"/>
    <xf numFmtId="0" fontId="165" fillId="0" borderId="0" xfId="0" applyFont="1"/>
    <xf numFmtId="0" fontId="163" fillId="0" borderId="0" xfId="0" applyFont="1"/>
    <xf numFmtId="0" fontId="48" fillId="0" borderId="0" xfId="0" applyFont="1" applyAlignment="1">
      <alignment wrapText="1"/>
    </xf>
    <xf numFmtId="0" fontId="48" fillId="0" borderId="0" xfId="0" applyFont="1" applyAlignment="1">
      <alignment horizontal="center" vertical="center" wrapText="1"/>
    </xf>
    <xf numFmtId="0" fontId="161" fillId="0" borderId="0" xfId="0" applyFont="1"/>
    <xf numFmtId="0" fontId="2" fillId="44" borderId="0" xfId="0" applyFont="1" applyFill="1"/>
    <xf numFmtId="0" fontId="15" fillId="0" borderId="0" xfId="0" applyFont="1" applyAlignment="1">
      <alignment horizontal="center" wrapText="1"/>
    </xf>
    <xf numFmtId="0" fontId="196" fillId="0" borderId="0" xfId="0" applyFont="1" applyAlignment="1">
      <alignment wrapText="1"/>
    </xf>
    <xf numFmtId="0" fontId="39" fillId="0" borderId="0" xfId="0" applyFont="1" applyAlignment="1">
      <alignment vertical="center" wrapText="1"/>
    </xf>
    <xf numFmtId="0" fontId="197" fillId="0" borderId="0" xfId="0" applyFont="1" applyAlignment="1">
      <alignment horizontal="center" vertical="center" wrapText="1"/>
    </xf>
    <xf numFmtId="0" fontId="198" fillId="0" borderId="0" xfId="0" applyFont="1" applyAlignment="1">
      <alignment horizontal="center"/>
    </xf>
    <xf numFmtId="0" fontId="2" fillId="44" borderId="0" xfId="0" applyFont="1" applyFill="1" applyAlignment="1">
      <alignment horizontal="center"/>
    </xf>
    <xf numFmtId="168" fontId="0" fillId="0" borderId="0" xfId="5" applyNumberFormat="1" applyFont="1" applyFill="1" applyAlignment="1">
      <alignment horizontal="center"/>
    </xf>
    <xf numFmtId="168" fontId="0" fillId="0" borderId="0" xfId="0" applyNumberFormat="1" applyAlignment="1">
      <alignment horizontal="center"/>
    </xf>
    <xf numFmtId="0" fontId="0" fillId="44" borderId="0" xfId="0" applyFill="1" applyAlignment="1">
      <alignment horizontal="center"/>
    </xf>
    <xf numFmtId="0" fontId="6" fillId="44" borderId="0" xfId="0" applyFont="1" applyFill="1" applyAlignment="1">
      <alignment horizontal="center"/>
    </xf>
    <xf numFmtId="0" fontId="2" fillId="5" borderId="0" xfId="0" applyFont="1" applyFill="1" applyAlignment="1">
      <alignment horizontal="center"/>
    </xf>
    <xf numFmtId="168" fontId="2" fillId="44" borderId="0" xfId="5" applyNumberFormat="1" applyFont="1" applyFill="1" applyAlignment="1">
      <alignment horizontal="center"/>
    </xf>
    <xf numFmtId="168" fontId="2" fillId="0" borderId="0" xfId="5" applyNumberFormat="1" applyFont="1" applyFill="1" applyAlignment="1">
      <alignment horizontal="center"/>
    </xf>
    <xf numFmtId="168" fontId="2" fillId="44" borderId="0" xfId="0" applyNumberFormat="1" applyFont="1" applyFill="1" applyAlignment="1">
      <alignment horizontal="center"/>
    </xf>
    <xf numFmtId="0" fontId="191" fillId="0" borderId="0" xfId="0" applyFont="1" applyAlignment="1">
      <alignment horizontal="left"/>
    </xf>
    <xf numFmtId="0" fontId="191" fillId="5" borderId="0" xfId="0" applyFont="1" applyFill="1" applyAlignment="1">
      <alignment horizontal="left"/>
    </xf>
    <xf numFmtId="0" fontId="192" fillId="0" borderId="0" xfId="0" applyFont="1" applyAlignment="1">
      <alignment horizontal="left"/>
    </xf>
    <xf numFmtId="0" fontId="0" fillId="0" borderId="22" xfId="0" applyBorder="1"/>
    <xf numFmtId="166" fontId="0" fillId="0" borderId="22" xfId="0" applyNumberFormat="1" applyBorder="1"/>
    <xf numFmtId="0" fontId="7" fillId="0" borderId="22" xfId="0" applyFont="1" applyBorder="1"/>
    <xf numFmtId="0" fontId="0" fillId="0" borderId="22" xfId="0" applyBorder="1" applyAlignment="1">
      <alignment horizontal="center"/>
    </xf>
    <xf numFmtId="0" fontId="2" fillId="0" borderId="22" xfId="0" applyFont="1" applyBorder="1"/>
    <xf numFmtId="0" fontId="0" fillId="44" borderId="0" xfId="0" applyFill="1"/>
    <xf numFmtId="168" fontId="2" fillId="44" borderId="0" xfId="5" applyNumberFormat="1" applyFont="1" applyFill="1"/>
    <xf numFmtId="0" fontId="6" fillId="44" borderId="0" xfId="0" applyFont="1" applyFill="1"/>
    <xf numFmtId="0" fontId="0" fillId="44" borderId="22" xfId="0" applyFill="1" applyBorder="1"/>
    <xf numFmtId="0" fontId="22" fillId="0" borderId="18" xfId="0" applyFont="1" applyBorder="1" applyAlignment="1">
      <alignment horizontal="left" vertical="center" wrapText="1"/>
    </xf>
    <xf numFmtId="0" fontId="37" fillId="24" borderId="0" xfId="0" applyFont="1" applyFill="1" applyAlignment="1">
      <alignment horizontal="center" vertical="center" textRotation="255" wrapText="1"/>
    </xf>
    <xf numFmtId="0" fontId="35" fillId="21" borderId="0" xfId="0" applyFont="1" applyFill="1" applyAlignment="1">
      <alignment vertical="center" textRotation="255" wrapText="1"/>
    </xf>
    <xf numFmtId="0" fontId="35" fillId="21" borderId="13" xfId="0" applyFont="1" applyFill="1" applyBorder="1" applyAlignment="1">
      <alignment vertical="center" textRotation="255" wrapText="1"/>
    </xf>
    <xf numFmtId="0" fontId="34" fillId="0" borderId="0" xfId="0" applyFont="1" applyAlignment="1">
      <alignment horizontal="center" vertical="center" textRotation="255" wrapText="1"/>
    </xf>
    <xf numFmtId="0" fontId="37" fillId="9" borderId="1" xfId="0" applyFont="1" applyFill="1" applyBorder="1" applyAlignment="1">
      <alignment horizontal="center" vertical="center" textRotation="255" wrapText="1"/>
    </xf>
    <xf numFmtId="0" fontId="37" fillId="9" borderId="0" xfId="0" applyFont="1" applyFill="1" applyAlignment="1">
      <alignment horizontal="center" vertical="center" textRotation="255" wrapText="1"/>
    </xf>
    <xf numFmtId="0" fontId="34" fillId="27" borderId="0" xfId="0" applyFont="1" applyFill="1" applyAlignment="1">
      <alignment horizontal="center" vertical="center" textRotation="255" wrapText="1"/>
    </xf>
    <xf numFmtId="0" fontId="38" fillId="26" borderId="0" xfId="0" applyFont="1" applyFill="1" applyAlignment="1">
      <alignment horizontal="center" vertical="center" textRotation="255" wrapText="1"/>
    </xf>
    <xf numFmtId="0" fontId="47" fillId="0" borderId="16" xfId="0" applyFont="1" applyBorder="1" applyAlignment="1">
      <alignment horizontal="center" vertical="center" textRotation="255" wrapText="1"/>
    </xf>
    <xf numFmtId="0" fontId="16" fillId="5" borderId="0" xfId="0" applyFont="1" applyFill="1" applyAlignment="1">
      <alignment horizontal="center" wrapText="1"/>
    </xf>
    <xf numFmtId="0" fontId="14" fillId="5" borderId="0" xfId="0" applyFont="1" applyFill="1" applyAlignment="1">
      <alignment horizontal="center" wrapText="1"/>
    </xf>
    <xf numFmtId="0" fontId="22" fillId="0" borderId="18" xfId="0" applyFont="1" applyBorder="1" applyAlignment="1">
      <alignment horizontal="center" vertical="top" wrapText="1"/>
    </xf>
    <xf numFmtId="0" fontId="22" fillId="0" borderId="6" xfId="0" applyFont="1" applyBorder="1" applyAlignment="1">
      <alignment horizontal="center" vertical="top" wrapText="1"/>
    </xf>
    <xf numFmtId="0" fontId="22" fillId="8" borderId="1" xfId="0" applyFont="1" applyFill="1" applyBorder="1" applyAlignment="1">
      <alignment horizontal="center" wrapText="1"/>
    </xf>
    <xf numFmtId="0" fontId="22" fillId="8" borderId="0" xfId="0" applyFont="1" applyFill="1" applyAlignment="1">
      <alignment horizontal="center" wrapText="1"/>
    </xf>
    <xf numFmtId="0" fontId="22" fillId="2" borderId="0" xfId="0" applyFont="1" applyFill="1" applyAlignment="1">
      <alignment horizontal="center" wrapText="1"/>
    </xf>
    <xf numFmtId="0" fontId="22" fillId="0" borderId="1" xfId="0" applyFont="1" applyBorder="1" applyAlignment="1">
      <alignment horizontal="center" vertical="top" wrapText="1"/>
    </xf>
    <xf numFmtId="0" fontId="22" fillId="0" borderId="0" xfId="0" applyFont="1" applyAlignment="1">
      <alignment horizontal="center" vertical="top" wrapText="1"/>
    </xf>
    <xf numFmtId="0" fontId="22" fillId="2" borderId="1" xfId="0" applyFont="1" applyFill="1" applyBorder="1" applyAlignment="1">
      <alignment horizontal="center" wrapText="1"/>
    </xf>
    <xf numFmtId="0" fontId="22" fillId="0" borderId="18" xfId="0" applyFont="1" applyBorder="1" applyAlignment="1">
      <alignment vertical="center" wrapText="1"/>
    </xf>
    <xf numFmtId="0" fontId="22" fillId="0" borderId="6" xfId="0" applyFont="1" applyBorder="1" applyAlignment="1">
      <alignment vertical="center" wrapText="1"/>
    </xf>
    <xf numFmtId="0" fontId="22" fillId="0" borderId="18" xfId="0" applyFont="1" applyBorder="1" applyAlignment="1">
      <alignment horizontal="left" vertical="center" wrapText="1"/>
    </xf>
    <xf numFmtId="0" fontId="22" fillId="0" borderId="6" xfId="0" applyFont="1" applyBorder="1" applyAlignment="1">
      <alignment horizontal="left" vertical="center" wrapText="1"/>
    </xf>
    <xf numFmtId="0" fontId="39" fillId="9" borderId="12" xfId="0" applyFont="1" applyFill="1" applyBorder="1" applyAlignment="1">
      <alignment horizontal="center" vertical="center" wrapText="1"/>
    </xf>
    <xf numFmtId="0" fontId="39" fillId="9" borderId="19" xfId="0" applyFont="1" applyFill="1" applyBorder="1" applyAlignment="1">
      <alignment horizontal="center" vertical="center" wrapText="1"/>
    </xf>
    <xf numFmtId="0" fontId="22" fillId="0" borderId="1" xfId="0" applyFont="1" applyBorder="1" applyAlignment="1">
      <alignment horizontal="left" vertical="center"/>
    </xf>
    <xf numFmtId="0" fontId="22" fillId="0" borderId="0" xfId="0" applyFont="1" applyAlignment="1">
      <alignment horizontal="left" vertical="center"/>
    </xf>
    <xf numFmtId="0" fontId="23" fillId="0" borderId="1" xfId="0" applyFont="1" applyBorder="1" applyAlignment="1">
      <alignment horizontal="left"/>
    </xf>
    <xf numFmtId="0" fontId="24" fillId="9" borderId="12" xfId="0" applyFont="1" applyFill="1" applyBorder="1" applyAlignment="1">
      <alignment horizontal="center" vertical="center"/>
    </xf>
    <xf numFmtId="0" fontId="24" fillId="9" borderId="0" xfId="0" applyFont="1" applyFill="1" applyAlignment="1">
      <alignment horizontal="center" vertical="center"/>
    </xf>
  </cellXfs>
  <cellStyles count="6">
    <cellStyle name="Check Cell 2" xfId="4" xr:uid="{336509CC-622F-4EC7-9008-083B983E168B}"/>
    <cellStyle name="Comma" xfId="2" builtinId="3"/>
    <cellStyle name="Currency" xfId="5" builtinId="4"/>
    <cellStyle name="Hyperlink" xfId="1" builtinId="8"/>
    <cellStyle name="Normal" xfId="0" builtinId="0"/>
    <cellStyle name="Normal 2" xfId="3" xr:uid="{8613CB51-CE1A-4833-A8A8-3B9ADFCEFF9D}"/>
  </cellStyles>
  <dxfs count="0"/>
  <tableStyles count="1" defaultTableStyle="TableStyleMedium2" defaultPivotStyle="PivotStyleLight16">
    <tableStyle name="Table Style 1" pivot="0" count="0" xr9:uid="{5240ED72-07A0-4589-BBB3-DA6073842D5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175260</xdr:colOff>
      <xdr:row>5</xdr:row>
      <xdr:rowOff>175260</xdr:rowOff>
    </xdr:to>
    <xdr:sp macro="" textlink="">
      <xdr:nvSpPr>
        <xdr:cNvPr id="10241" name="AutoShape 1">
          <a:extLst>
            <a:ext uri="{FF2B5EF4-FFF2-40B4-BE49-F238E27FC236}">
              <a16:creationId xmlns:a16="http://schemas.microsoft.com/office/drawing/2014/main" id="{4A4CC946-917B-F57F-B1B4-86B9FB226E3E}"/>
            </a:ext>
          </a:extLst>
        </xdr:cNvPr>
        <xdr:cNvSpPr>
          <a:spLocks noChangeAspect="1" noChangeArrowheads="1"/>
        </xdr:cNvSpPr>
      </xdr:nvSpPr>
      <xdr:spPr bwMode="auto">
        <a:xfrm>
          <a:off x="0" y="15285720"/>
          <a:ext cx="175260" cy="1752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182880</xdr:colOff>
      <xdr:row>5</xdr:row>
      <xdr:rowOff>0</xdr:rowOff>
    </xdr:from>
    <xdr:to>
      <xdr:col>0</xdr:col>
      <xdr:colOff>358140</xdr:colOff>
      <xdr:row>5</xdr:row>
      <xdr:rowOff>175260</xdr:rowOff>
    </xdr:to>
    <xdr:sp macro="" textlink="">
      <xdr:nvSpPr>
        <xdr:cNvPr id="10242" name="AutoShape 2">
          <a:extLst>
            <a:ext uri="{FF2B5EF4-FFF2-40B4-BE49-F238E27FC236}">
              <a16:creationId xmlns:a16="http://schemas.microsoft.com/office/drawing/2014/main" id="{8003F20E-192A-791F-E2EB-9582DC7AB4D3}"/>
            </a:ext>
          </a:extLst>
        </xdr:cNvPr>
        <xdr:cNvSpPr>
          <a:spLocks noChangeAspect="1" noChangeArrowheads="1"/>
        </xdr:cNvSpPr>
      </xdr:nvSpPr>
      <xdr:spPr bwMode="auto">
        <a:xfrm>
          <a:off x="182880" y="15285720"/>
          <a:ext cx="175260" cy="1752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tephanie1.bell@yahoo.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861D1-F0AD-4948-B63C-132F7220B53E}">
  <dimension ref="A1:N1000"/>
  <sheetViews>
    <sheetView workbookViewId="0">
      <selection activeCell="E1" sqref="E1"/>
    </sheetView>
  </sheetViews>
  <sheetFormatPr defaultRowHeight="18.95" customHeight="1"/>
  <cols>
    <col min="1" max="1" width="5.85546875" style="2" customWidth="1"/>
    <col min="2" max="2" width="16.7109375" style="97" customWidth="1"/>
    <col min="3" max="3" width="27.42578125" style="10" bestFit="1" customWidth="1"/>
    <col min="4" max="4" width="30.42578125" style="10" customWidth="1"/>
    <col min="5" max="5" width="19.140625" style="10" customWidth="1"/>
    <col min="6" max="7" width="21.5703125" style="10" customWidth="1"/>
    <col min="8" max="8" width="19.140625" style="10" customWidth="1"/>
    <col min="9" max="9" width="14" style="10" customWidth="1"/>
    <col min="10" max="11" width="27.42578125" style="10" bestFit="1" customWidth="1"/>
    <col min="12" max="12" width="18.42578125" customWidth="1"/>
    <col min="13" max="13" width="13.42578125" style="10" customWidth="1"/>
    <col min="14" max="14" width="14" style="10" customWidth="1"/>
  </cols>
  <sheetData>
    <row r="1" spans="1:14" ht="18.95" customHeight="1" thickTop="1">
      <c r="A1" s="459" t="s">
        <v>0</v>
      </c>
      <c r="B1" s="228" t="s">
        <v>1</v>
      </c>
      <c r="C1" s="78" t="s">
        <v>2</v>
      </c>
      <c r="D1" s="78" t="s">
        <v>3</v>
      </c>
      <c r="E1" s="78" t="s">
        <v>4</v>
      </c>
      <c r="F1" s="8"/>
      <c r="G1" s="8"/>
      <c r="H1" s="8"/>
      <c r="I1" s="8"/>
      <c r="J1" s="8"/>
      <c r="K1" s="8"/>
      <c r="L1" s="86"/>
      <c r="M1" s="78"/>
      <c r="N1" s="8"/>
    </row>
    <row r="2" spans="1:14" ht="18.95" customHeight="1">
      <c r="A2" s="460"/>
      <c r="B2" s="229" t="s">
        <v>5</v>
      </c>
      <c r="C2" s="78" t="s">
        <v>6</v>
      </c>
      <c r="D2" s="78" t="s">
        <v>7</v>
      </c>
      <c r="E2" s="78" t="s">
        <v>8</v>
      </c>
      <c r="F2" s="8"/>
      <c r="G2" s="8"/>
      <c r="H2" s="8"/>
      <c r="I2" s="8"/>
      <c r="J2" s="8"/>
      <c r="K2" s="8"/>
      <c r="L2" s="86"/>
      <c r="M2" s="78"/>
      <c r="N2" s="8"/>
    </row>
    <row r="3" spans="1:14" ht="18.95" customHeight="1">
      <c r="A3" s="460"/>
      <c r="B3" s="230" t="s">
        <v>9</v>
      </c>
      <c r="C3" s="78" t="s">
        <v>10</v>
      </c>
      <c r="D3" s="78" t="s">
        <v>11</v>
      </c>
      <c r="E3" s="78" t="s">
        <v>12</v>
      </c>
      <c r="F3" s="8"/>
      <c r="G3" s="8"/>
      <c r="H3" s="8"/>
      <c r="I3" s="8"/>
      <c r="J3" s="8"/>
      <c r="K3" s="8"/>
      <c r="L3" s="86"/>
      <c r="M3" s="78"/>
      <c r="N3" s="8"/>
    </row>
    <row r="4" spans="1:14" ht="18.95" customHeight="1">
      <c r="A4" s="460"/>
      <c r="B4" s="229" t="s">
        <v>13</v>
      </c>
      <c r="C4" s="78" t="s">
        <v>14</v>
      </c>
      <c r="D4" s="78" t="s">
        <v>13</v>
      </c>
      <c r="E4" s="78" t="s">
        <v>15</v>
      </c>
      <c r="F4" s="8"/>
      <c r="G4" s="8"/>
      <c r="H4" s="8"/>
      <c r="I4" s="8"/>
      <c r="J4" s="8"/>
      <c r="K4" s="8"/>
      <c r="L4" s="86"/>
      <c r="M4" s="78"/>
      <c r="N4" s="8"/>
    </row>
    <row r="5" spans="1:14" ht="18.95" customHeight="1">
      <c r="A5" s="460"/>
      <c r="B5" s="231" t="s">
        <v>16</v>
      </c>
      <c r="C5" s="78" t="s">
        <v>17</v>
      </c>
      <c r="D5" s="78" t="s">
        <v>16</v>
      </c>
      <c r="E5" s="78" t="s">
        <v>18</v>
      </c>
      <c r="F5" s="8"/>
      <c r="G5" s="8"/>
      <c r="H5" s="8"/>
      <c r="I5" s="8"/>
      <c r="J5" s="8"/>
      <c r="K5" s="8"/>
      <c r="L5" s="86"/>
      <c r="M5" s="78"/>
      <c r="N5" s="8"/>
    </row>
    <row r="6" spans="1:14" ht="18.95" customHeight="1">
      <c r="A6" s="460"/>
      <c r="B6" s="232" t="s">
        <v>19</v>
      </c>
      <c r="C6" s="78" t="s">
        <v>20</v>
      </c>
      <c r="D6" s="78" t="s">
        <v>19</v>
      </c>
      <c r="E6" s="78" t="s">
        <v>20</v>
      </c>
      <c r="F6" s="8"/>
      <c r="G6" s="8"/>
      <c r="H6" s="8"/>
      <c r="I6" s="8"/>
      <c r="J6" s="8"/>
      <c r="K6" s="8"/>
      <c r="L6" s="86"/>
      <c r="M6" s="78"/>
      <c r="N6" s="8"/>
    </row>
    <row r="7" spans="1:14" ht="18.95" customHeight="1">
      <c r="A7" s="460"/>
      <c r="B7" s="233" t="s">
        <v>21</v>
      </c>
      <c r="C7" s="78" t="s">
        <v>22</v>
      </c>
      <c r="D7" s="78">
        <v>0</v>
      </c>
      <c r="E7" s="78" t="s">
        <v>22</v>
      </c>
      <c r="F7" s="8"/>
      <c r="G7" s="8"/>
      <c r="H7" s="8"/>
      <c r="I7" s="8"/>
      <c r="J7" s="8"/>
      <c r="K7" s="8"/>
      <c r="L7" s="86"/>
      <c r="M7" s="78"/>
      <c r="N7" s="8"/>
    </row>
    <row r="8" spans="1:14" ht="18.95" customHeight="1">
      <c r="A8" s="460"/>
      <c r="B8" s="234" t="s">
        <v>23</v>
      </c>
      <c r="C8" s="78" t="s">
        <v>24</v>
      </c>
      <c r="D8" s="78">
        <v>0</v>
      </c>
      <c r="E8" s="78" t="s">
        <v>22</v>
      </c>
      <c r="F8" s="8"/>
      <c r="G8" s="8"/>
      <c r="H8" s="8"/>
      <c r="I8" s="8"/>
      <c r="J8" s="8"/>
      <c r="K8" s="8"/>
      <c r="L8" s="86"/>
      <c r="M8" s="78"/>
      <c r="N8" s="8"/>
    </row>
    <row r="9" spans="1:14" ht="18.95" customHeight="1">
      <c r="A9" s="460"/>
      <c r="B9" s="235" t="s">
        <v>25</v>
      </c>
      <c r="C9" s="78" t="s">
        <v>26</v>
      </c>
      <c r="D9" s="78">
        <v>0</v>
      </c>
      <c r="E9" s="78" t="s">
        <v>22</v>
      </c>
      <c r="F9" s="8"/>
      <c r="G9" s="8"/>
      <c r="H9" s="8"/>
      <c r="I9" s="8"/>
      <c r="J9" s="8"/>
      <c r="K9" s="8"/>
      <c r="L9" s="86"/>
      <c r="M9" s="78"/>
      <c r="N9" s="8"/>
    </row>
    <row r="10" spans="1:14" ht="18.95" customHeight="1">
      <c r="A10" s="460"/>
      <c r="B10" s="234" t="s">
        <v>27</v>
      </c>
      <c r="C10" s="78" t="s">
        <v>22</v>
      </c>
      <c r="D10" s="78">
        <v>0</v>
      </c>
      <c r="E10" s="78" t="s">
        <v>22</v>
      </c>
      <c r="F10" s="8"/>
      <c r="G10" s="8"/>
      <c r="H10" s="8"/>
      <c r="I10" s="8"/>
      <c r="J10" s="8"/>
      <c r="K10" s="8"/>
      <c r="L10" s="86"/>
      <c r="M10" s="78"/>
      <c r="N10" s="8"/>
    </row>
    <row r="11" spans="1:14" ht="18.95" customHeight="1">
      <c r="A11" s="461" t="s">
        <v>28</v>
      </c>
      <c r="B11" s="236" t="s">
        <v>29</v>
      </c>
      <c r="C11" s="78" t="s">
        <v>30</v>
      </c>
      <c r="D11" s="78" t="s">
        <v>31</v>
      </c>
      <c r="E11" s="78" t="s">
        <v>32</v>
      </c>
      <c r="F11" s="8"/>
      <c r="G11" s="8"/>
      <c r="H11" s="8"/>
      <c r="I11" s="8"/>
      <c r="J11" s="8"/>
      <c r="K11" s="8"/>
      <c r="L11" s="86"/>
      <c r="M11" s="78"/>
      <c r="N11" s="8"/>
    </row>
    <row r="12" spans="1:14" ht="18.95" customHeight="1">
      <c r="A12" s="461"/>
      <c r="B12" s="237" t="s">
        <v>33</v>
      </c>
      <c r="C12" s="82">
        <v>44254</v>
      </c>
      <c r="D12" s="82" t="s">
        <v>33</v>
      </c>
      <c r="E12" s="82">
        <v>44665</v>
      </c>
      <c r="F12" s="92"/>
      <c r="G12" s="92"/>
      <c r="H12" s="92"/>
      <c r="I12" s="92"/>
      <c r="J12" s="92"/>
      <c r="K12" s="92"/>
      <c r="L12" s="93"/>
      <c r="M12" s="82"/>
      <c r="N12" s="92"/>
    </row>
    <row r="13" spans="1:14" ht="18.95" customHeight="1">
      <c r="A13" s="461"/>
      <c r="B13" s="238" t="s">
        <v>34</v>
      </c>
      <c r="C13" s="78" t="s">
        <v>35</v>
      </c>
      <c r="D13" s="78" t="s">
        <v>34</v>
      </c>
      <c r="E13" s="78" t="s">
        <v>36</v>
      </c>
      <c r="F13" s="8"/>
      <c r="G13" s="8"/>
      <c r="H13" s="8"/>
      <c r="I13" s="8"/>
      <c r="J13" s="8"/>
      <c r="K13" s="8"/>
      <c r="L13" s="86"/>
      <c r="M13" s="78"/>
      <c r="N13" s="8"/>
    </row>
    <row r="14" spans="1:14" ht="18.95" customHeight="1">
      <c r="A14" s="461"/>
      <c r="B14" s="237" t="s">
        <v>37</v>
      </c>
      <c r="C14" s="78" t="s">
        <v>36</v>
      </c>
      <c r="D14" s="78" t="s">
        <v>37</v>
      </c>
      <c r="E14" s="78" t="s">
        <v>35</v>
      </c>
      <c r="F14" s="8"/>
      <c r="G14" s="8"/>
      <c r="H14" s="8"/>
      <c r="I14" s="8"/>
      <c r="J14" s="8"/>
      <c r="K14" s="8"/>
      <c r="L14" s="86"/>
      <c r="M14" s="78"/>
      <c r="N14" s="8"/>
    </row>
    <row r="15" spans="1:14" ht="18.95" customHeight="1">
      <c r="A15" s="461"/>
      <c r="B15" s="238" t="s">
        <v>38</v>
      </c>
      <c r="C15" s="78" t="s">
        <v>20</v>
      </c>
      <c r="D15" s="78" t="s">
        <v>38</v>
      </c>
      <c r="E15" s="78">
        <v>0</v>
      </c>
      <c r="F15" s="8"/>
      <c r="G15" s="8"/>
      <c r="H15" s="8"/>
      <c r="I15" s="8"/>
      <c r="J15" s="8"/>
      <c r="K15" s="8"/>
      <c r="L15" s="86"/>
      <c r="M15" s="78"/>
      <c r="N15" s="8"/>
    </row>
    <row r="16" spans="1:14" ht="18.95" customHeight="1">
      <c r="A16" s="461"/>
      <c r="B16" s="239" t="s">
        <v>39</v>
      </c>
      <c r="C16" s="78" t="s">
        <v>40</v>
      </c>
      <c r="D16" s="78" t="s">
        <v>39</v>
      </c>
      <c r="E16" s="78" t="s">
        <v>41</v>
      </c>
      <c r="F16" s="8"/>
      <c r="G16" s="8"/>
      <c r="H16" s="8"/>
      <c r="I16" s="8"/>
      <c r="J16" s="8"/>
      <c r="K16" s="8"/>
      <c r="L16" s="86"/>
      <c r="M16" s="78"/>
      <c r="N16" s="8"/>
    </row>
    <row r="17" spans="1:14" ht="18.95" customHeight="1">
      <c r="A17" s="461"/>
      <c r="B17" s="240" t="s">
        <v>42</v>
      </c>
      <c r="C17" s="78" t="s">
        <v>43</v>
      </c>
      <c r="D17" s="78" t="s">
        <v>42</v>
      </c>
      <c r="E17" s="78" t="s">
        <v>44</v>
      </c>
      <c r="F17" s="8"/>
      <c r="G17" s="8"/>
      <c r="H17" s="8"/>
      <c r="I17" s="8"/>
      <c r="J17" s="8"/>
      <c r="K17" s="8"/>
      <c r="L17" s="86"/>
      <c r="M17" s="78"/>
      <c r="N17" s="8"/>
    </row>
    <row r="18" spans="1:14" ht="18.95" customHeight="1">
      <c r="A18" s="461"/>
      <c r="B18" s="241" t="s">
        <v>45</v>
      </c>
      <c r="C18" s="78" t="s">
        <v>43</v>
      </c>
      <c r="D18" s="78" t="s">
        <v>45</v>
      </c>
      <c r="E18" s="78" t="s">
        <v>22</v>
      </c>
      <c r="F18" s="8"/>
      <c r="G18" s="8"/>
      <c r="H18" s="8"/>
      <c r="I18" s="8"/>
      <c r="J18" s="8"/>
      <c r="K18" s="8"/>
      <c r="L18" s="86"/>
      <c r="M18" s="78"/>
      <c r="N18" s="8"/>
    </row>
    <row r="19" spans="1:14" ht="18.95" customHeight="1">
      <c r="A19" s="462" t="s">
        <v>46</v>
      </c>
      <c r="B19" s="242" t="s">
        <v>47</v>
      </c>
      <c r="C19" s="78" t="s">
        <v>40</v>
      </c>
      <c r="D19" s="78" t="s">
        <v>40</v>
      </c>
      <c r="E19" s="78" t="s">
        <v>41</v>
      </c>
      <c r="F19" s="8"/>
      <c r="G19" s="8"/>
      <c r="H19" s="8"/>
      <c r="I19" s="8"/>
      <c r="J19" s="8"/>
      <c r="K19" s="8"/>
      <c r="L19" s="86"/>
      <c r="M19" s="78"/>
      <c r="N19" s="8"/>
    </row>
    <row r="20" spans="1:14" ht="18.95" customHeight="1">
      <c r="A20" s="462"/>
      <c r="B20" s="243" t="s">
        <v>48</v>
      </c>
      <c r="C20" s="78" t="s">
        <v>40</v>
      </c>
      <c r="D20" s="78" t="s">
        <v>40</v>
      </c>
      <c r="E20" s="78" t="s">
        <v>20</v>
      </c>
      <c r="F20" s="8"/>
      <c r="G20" s="8"/>
      <c r="H20" s="8"/>
      <c r="I20" s="8"/>
      <c r="J20" s="8"/>
      <c r="K20" s="8"/>
      <c r="L20" s="86"/>
      <c r="M20" s="78"/>
      <c r="N20" s="8"/>
    </row>
    <row r="21" spans="1:14" ht="18.95" customHeight="1">
      <c r="A21" s="462"/>
      <c r="B21" s="244" t="s">
        <v>49</v>
      </c>
      <c r="C21" s="78" t="s">
        <v>50</v>
      </c>
      <c r="D21" s="78" t="s">
        <v>51</v>
      </c>
      <c r="E21" s="78" t="s">
        <v>52</v>
      </c>
      <c r="F21" s="8"/>
      <c r="G21" s="8"/>
      <c r="H21" s="8"/>
      <c r="I21" s="8"/>
      <c r="J21" s="8"/>
      <c r="K21" s="8"/>
      <c r="L21" s="86"/>
      <c r="M21" s="78"/>
      <c r="N21" s="8"/>
    </row>
    <row r="22" spans="1:14" ht="18.95" customHeight="1">
      <c r="A22" s="462"/>
      <c r="B22" s="245" t="s">
        <v>53</v>
      </c>
      <c r="C22" s="82">
        <v>44723</v>
      </c>
      <c r="D22" s="82" t="s">
        <v>53</v>
      </c>
      <c r="E22" s="82">
        <v>44673</v>
      </c>
      <c r="F22" s="92"/>
      <c r="G22" s="92"/>
      <c r="H22" s="92"/>
      <c r="I22" s="92"/>
      <c r="J22" s="92"/>
      <c r="K22" s="92"/>
      <c r="L22" s="93"/>
      <c r="M22" s="82"/>
      <c r="N22" s="92"/>
    </row>
    <row r="23" spans="1:14" ht="18.95" customHeight="1">
      <c r="A23" s="91"/>
      <c r="B23" s="234" t="s">
        <v>54</v>
      </c>
      <c r="C23" s="78" t="s">
        <v>44</v>
      </c>
      <c r="D23" s="78" t="s">
        <v>54</v>
      </c>
      <c r="E23" s="78" t="s">
        <v>41</v>
      </c>
      <c r="F23" s="8"/>
      <c r="G23" s="8"/>
      <c r="H23" s="8"/>
      <c r="I23" s="8"/>
      <c r="J23" s="8"/>
      <c r="K23" s="8"/>
      <c r="L23" s="86"/>
      <c r="M23" s="78"/>
      <c r="N23" s="8"/>
    </row>
    <row r="24" spans="1:14" ht="18.95" customHeight="1">
      <c r="A24" s="91"/>
      <c r="B24" s="244" t="s">
        <v>55</v>
      </c>
      <c r="C24" s="78" t="s">
        <v>20</v>
      </c>
      <c r="D24" s="78" t="s">
        <v>44</v>
      </c>
      <c r="E24" s="78" t="s">
        <v>44</v>
      </c>
      <c r="F24" s="8"/>
      <c r="G24" s="8"/>
      <c r="H24" s="8"/>
      <c r="I24" s="8"/>
      <c r="J24" s="8"/>
      <c r="K24" s="8"/>
      <c r="L24" s="86"/>
      <c r="M24" s="78"/>
      <c r="N24" s="8"/>
    </row>
    <row r="25" spans="1:14" ht="18.95" customHeight="1">
      <c r="A25" s="91"/>
      <c r="B25" s="244" t="s">
        <v>56</v>
      </c>
      <c r="C25" s="78" t="s">
        <v>20</v>
      </c>
      <c r="D25" s="78" t="s">
        <v>44</v>
      </c>
      <c r="E25" s="78" t="s">
        <v>57</v>
      </c>
      <c r="F25" s="8"/>
      <c r="G25" s="8"/>
      <c r="H25" s="8"/>
      <c r="I25" s="8"/>
      <c r="J25" s="8"/>
      <c r="K25" s="8"/>
      <c r="L25" s="86"/>
      <c r="M25" s="78"/>
      <c r="N25" s="8"/>
    </row>
    <row r="26" spans="1:14" ht="18.95" customHeight="1">
      <c r="A26" s="90"/>
      <c r="B26" s="246" t="s">
        <v>58</v>
      </c>
      <c r="C26" s="78" t="s">
        <v>59</v>
      </c>
      <c r="D26" s="78" t="s">
        <v>60</v>
      </c>
      <c r="E26" s="78" t="s">
        <v>61</v>
      </c>
      <c r="F26" s="8"/>
      <c r="G26" s="8"/>
      <c r="H26" s="8"/>
      <c r="I26" s="8"/>
      <c r="J26" s="8"/>
      <c r="K26" s="8"/>
      <c r="L26" s="86"/>
      <c r="M26" s="78"/>
      <c r="N26" s="8"/>
    </row>
    <row r="27" spans="1:14" ht="18.95" customHeight="1">
      <c r="A27" s="455" t="s">
        <v>62</v>
      </c>
      <c r="B27" s="247" t="s">
        <v>63</v>
      </c>
      <c r="C27" s="78" t="s">
        <v>64</v>
      </c>
      <c r="D27" s="78">
        <v>35</v>
      </c>
      <c r="E27" s="78" t="s">
        <v>65</v>
      </c>
      <c r="F27" s="8"/>
      <c r="G27" s="8"/>
      <c r="H27" s="8"/>
      <c r="I27" s="8"/>
      <c r="J27" s="8"/>
      <c r="K27" s="8"/>
      <c r="L27" s="86"/>
      <c r="M27" s="78"/>
      <c r="N27" s="8"/>
    </row>
    <row r="28" spans="1:14" ht="18.95" customHeight="1">
      <c r="A28" s="455"/>
      <c r="B28" s="248" t="s">
        <v>66</v>
      </c>
      <c r="C28" s="78" t="s">
        <v>67</v>
      </c>
      <c r="D28" s="78" t="s">
        <v>66</v>
      </c>
      <c r="E28" s="78" t="s">
        <v>68</v>
      </c>
      <c r="F28" s="8"/>
      <c r="G28" s="8"/>
      <c r="H28" s="8"/>
      <c r="I28" s="8"/>
      <c r="J28" s="8"/>
      <c r="K28" s="8"/>
      <c r="L28" s="86"/>
      <c r="M28" s="78"/>
      <c r="N28" s="8"/>
    </row>
    <row r="29" spans="1:14" ht="18.95" customHeight="1">
      <c r="A29" s="455"/>
      <c r="B29" s="249" t="s">
        <v>69</v>
      </c>
      <c r="C29" s="78" t="s">
        <v>70</v>
      </c>
      <c r="D29" s="78" t="s">
        <v>69</v>
      </c>
      <c r="E29" s="78">
        <v>0</v>
      </c>
      <c r="F29" s="8"/>
      <c r="G29" s="8"/>
      <c r="H29" s="8"/>
      <c r="I29" s="8"/>
      <c r="J29" s="8"/>
      <c r="K29" s="8"/>
      <c r="L29" s="86"/>
      <c r="M29" s="78"/>
      <c r="N29" s="8"/>
    </row>
    <row r="30" spans="1:14" ht="18.95" customHeight="1">
      <c r="A30" s="455"/>
      <c r="B30" s="250" t="s">
        <v>71</v>
      </c>
      <c r="C30" s="78" t="s">
        <v>72</v>
      </c>
      <c r="D30" s="78" t="s">
        <v>71</v>
      </c>
      <c r="E30" s="78" t="s">
        <v>73</v>
      </c>
      <c r="F30" s="8"/>
      <c r="G30" s="8"/>
      <c r="H30" s="8"/>
      <c r="I30" s="8"/>
      <c r="J30" s="8"/>
      <c r="K30" s="8"/>
      <c r="L30" s="86"/>
      <c r="M30" s="78"/>
      <c r="N30" s="8"/>
    </row>
    <row r="31" spans="1:14" ht="18.95" customHeight="1">
      <c r="A31" s="455"/>
      <c r="B31" s="250" t="s">
        <v>74</v>
      </c>
      <c r="C31" s="78" t="s">
        <v>75</v>
      </c>
      <c r="D31" s="78" t="s">
        <v>74</v>
      </c>
      <c r="E31" s="78" t="s">
        <v>76</v>
      </c>
      <c r="F31" s="8"/>
      <c r="G31" s="8"/>
      <c r="H31" s="8"/>
      <c r="I31" s="8"/>
      <c r="J31" s="8"/>
      <c r="K31" s="8"/>
      <c r="L31" s="86"/>
      <c r="M31" s="78"/>
      <c r="N31" s="8"/>
    </row>
    <row r="32" spans="1:14" ht="18.95" customHeight="1">
      <c r="A32" s="455"/>
      <c r="B32" s="251" t="s">
        <v>77</v>
      </c>
      <c r="C32" s="78" t="s">
        <v>75</v>
      </c>
      <c r="D32" s="78" t="s">
        <v>77</v>
      </c>
      <c r="E32" s="78" t="s">
        <v>76</v>
      </c>
      <c r="F32" s="8"/>
      <c r="G32" s="8"/>
      <c r="H32" s="8"/>
      <c r="I32" s="8"/>
      <c r="J32" s="8"/>
      <c r="K32" s="8"/>
      <c r="L32" s="86"/>
      <c r="M32" s="78"/>
      <c r="N32" s="8"/>
    </row>
    <row r="33" spans="1:14" ht="18.95" customHeight="1">
      <c r="A33" s="455"/>
      <c r="B33" s="251" t="s">
        <v>78</v>
      </c>
      <c r="C33" s="78" t="s">
        <v>79</v>
      </c>
      <c r="D33" s="78" t="s">
        <v>78</v>
      </c>
      <c r="E33" s="78" t="s">
        <v>80</v>
      </c>
      <c r="F33" s="8"/>
      <c r="G33" s="8"/>
      <c r="H33" s="8"/>
      <c r="I33" s="8"/>
      <c r="J33" s="8"/>
      <c r="K33" s="8"/>
      <c r="L33" s="86"/>
      <c r="M33" s="78"/>
      <c r="N33" s="8"/>
    </row>
    <row r="34" spans="1:14" ht="18.95" customHeight="1">
      <c r="A34" s="455"/>
      <c r="B34" s="229" t="s">
        <v>81</v>
      </c>
      <c r="C34" s="78">
        <v>0</v>
      </c>
      <c r="D34" s="78" t="s">
        <v>81</v>
      </c>
      <c r="E34" s="78" t="s">
        <v>82</v>
      </c>
      <c r="F34" s="8"/>
      <c r="G34" s="8"/>
      <c r="H34" s="8"/>
      <c r="I34" s="8"/>
      <c r="J34" s="8"/>
      <c r="K34" s="8"/>
      <c r="L34" s="86"/>
      <c r="M34" s="78"/>
      <c r="N34" s="8"/>
    </row>
    <row r="35" spans="1:14" ht="18.95" customHeight="1">
      <c r="A35" s="455"/>
      <c r="B35" s="249" t="s">
        <v>83</v>
      </c>
      <c r="C35" s="78">
        <v>0</v>
      </c>
      <c r="D35" s="78" t="s">
        <v>83</v>
      </c>
      <c r="E35" s="78" t="s">
        <v>84</v>
      </c>
      <c r="F35" s="8"/>
      <c r="G35" s="8"/>
      <c r="H35" s="8"/>
      <c r="I35" s="8"/>
      <c r="J35" s="8"/>
      <c r="K35" s="8"/>
      <c r="L35" s="86"/>
      <c r="M35" s="78"/>
      <c r="N35" s="8"/>
    </row>
    <row r="36" spans="1:14" ht="18.95" customHeight="1">
      <c r="A36" s="455"/>
      <c r="B36" s="249" t="s">
        <v>85</v>
      </c>
      <c r="C36" s="78">
        <v>0</v>
      </c>
      <c r="D36" s="78" t="s">
        <v>85</v>
      </c>
      <c r="E36" s="78" t="s">
        <v>14</v>
      </c>
      <c r="F36" s="8"/>
      <c r="G36" s="8"/>
      <c r="H36" s="8"/>
      <c r="I36" s="8"/>
      <c r="J36" s="8"/>
      <c r="K36" s="8"/>
      <c r="L36" s="86"/>
      <c r="M36" s="78"/>
      <c r="N36" s="8"/>
    </row>
    <row r="37" spans="1:14" ht="18.95" customHeight="1">
      <c r="A37" s="455"/>
      <c r="B37" s="251" t="s">
        <v>86</v>
      </c>
      <c r="C37" s="78" t="s">
        <v>87</v>
      </c>
      <c r="D37" s="78" t="s">
        <v>86</v>
      </c>
      <c r="E37" s="78" t="s">
        <v>87</v>
      </c>
      <c r="F37" s="8"/>
      <c r="G37" s="8"/>
      <c r="H37" s="8"/>
      <c r="I37" s="8"/>
      <c r="J37" s="8"/>
      <c r="K37" s="8"/>
      <c r="L37" s="86"/>
      <c r="M37" s="78"/>
      <c r="N37" s="8"/>
    </row>
    <row r="38" spans="1:14" ht="18.95" customHeight="1">
      <c r="A38" s="455"/>
      <c r="B38" s="251" t="s">
        <v>88</v>
      </c>
      <c r="C38" s="78" t="s">
        <v>84</v>
      </c>
      <c r="D38" s="78" t="s">
        <v>88</v>
      </c>
      <c r="E38" s="78" t="s">
        <v>84</v>
      </c>
      <c r="F38" s="8"/>
      <c r="G38" s="8"/>
      <c r="H38" s="8"/>
      <c r="I38" s="8"/>
      <c r="J38" s="8"/>
      <c r="K38" s="8"/>
      <c r="L38" s="86"/>
      <c r="M38" s="78"/>
      <c r="N38" s="8"/>
    </row>
    <row r="39" spans="1:14" ht="18.95" customHeight="1">
      <c r="A39" s="455"/>
      <c r="B39" s="251" t="s">
        <v>89</v>
      </c>
      <c r="C39" s="78" t="s">
        <v>46</v>
      </c>
      <c r="D39" s="78" t="s">
        <v>89</v>
      </c>
      <c r="E39" s="78" t="s">
        <v>46</v>
      </c>
      <c r="F39" s="8"/>
      <c r="G39" s="8"/>
      <c r="H39" s="8"/>
      <c r="I39" s="8"/>
      <c r="J39" s="8"/>
      <c r="K39" s="8"/>
      <c r="L39" s="86"/>
      <c r="M39" s="78"/>
      <c r="N39" s="8"/>
    </row>
    <row r="40" spans="1:14" ht="18.95" customHeight="1">
      <c r="A40" s="455"/>
      <c r="B40" s="249" t="s">
        <v>90</v>
      </c>
      <c r="C40" s="78" t="s">
        <v>91</v>
      </c>
      <c r="D40" s="78" t="s">
        <v>92</v>
      </c>
      <c r="E40" s="78" t="s">
        <v>91</v>
      </c>
      <c r="F40" s="8"/>
      <c r="G40" s="8"/>
      <c r="H40" s="8"/>
      <c r="I40" s="8"/>
      <c r="J40" s="8"/>
      <c r="K40" s="8"/>
      <c r="L40" s="86"/>
      <c r="M40" s="78"/>
      <c r="N40" s="8"/>
    </row>
    <row r="41" spans="1:14" ht="18.95" customHeight="1">
      <c r="A41" s="455"/>
      <c r="B41" s="249" t="s">
        <v>93</v>
      </c>
      <c r="C41" s="78" t="s">
        <v>84</v>
      </c>
      <c r="D41" s="78" t="s">
        <v>94</v>
      </c>
      <c r="E41" s="78" t="s">
        <v>84</v>
      </c>
      <c r="F41" s="8"/>
      <c r="G41" s="8"/>
      <c r="H41" s="8"/>
      <c r="I41" s="8"/>
      <c r="J41" s="8"/>
      <c r="K41" s="8"/>
      <c r="L41" s="86"/>
      <c r="M41" s="78"/>
      <c r="N41" s="8"/>
    </row>
    <row r="42" spans="1:14" ht="18.95" customHeight="1">
      <c r="A42" s="455"/>
      <c r="B42" s="249" t="s">
        <v>95</v>
      </c>
      <c r="C42" s="78" t="s">
        <v>14</v>
      </c>
      <c r="D42" s="78" t="s">
        <v>96</v>
      </c>
      <c r="E42" s="78" t="s">
        <v>14</v>
      </c>
      <c r="F42" s="8"/>
      <c r="G42" s="8"/>
      <c r="H42" s="8"/>
      <c r="I42" s="8"/>
      <c r="J42" s="8"/>
      <c r="K42" s="8"/>
      <c r="L42" s="86"/>
      <c r="M42" s="78"/>
      <c r="N42" s="8"/>
    </row>
    <row r="43" spans="1:14" ht="18.95" customHeight="1">
      <c r="A43" s="455"/>
      <c r="B43" s="251" t="s">
        <v>97</v>
      </c>
      <c r="C43" s="78" t="s">
        <v>98</v>
      </c>
      <c r="D43" s="78" t="s">
        <v>97</v>
      </c>
      <c r="E43" s="78" t="s">
        <v>98</v>
      </c>
      <c r="F43" s="8"/>
      <c r="G43" s="8"/>
      <c r="H43" s="8"/>
      <c r="I43" s="8"/>
      <c r="J43" s="8"/>
      <c r="K43" s="8"/>
      <c r="L43" s="86"/>
      <c r="M43" s="78"/>
      <c r="N43" s="8"/>
    </row>
    <row r="44" spans="1:14" ht="18.95" customHeight="1">
      <c r="A44" s="455"/>
      <c r="B44" s="251" t="s">
        <v>99</v>
      </c>
      <c r="C44" s="78">
        <v>0</v>
      </c>
      <c r="D44" s="78" t="s">
        <v>99</v>
      </c>
      <c r="E44" s="78">
        <v>0</v>
      </c>
      <c r="F44" s="8"/>
      <c r="G44" s="8"/>
      <c r="H44" s="8"/>
      <c r="I44" s="8"/>
      <c r="J44" s="8"/>
      <c r="K44" s="8"/>
      <c r="L44" s="86"/>
      <c r="M44" s="78"/>
      <c r="N44" s="8"/>
    </row>
    <row r="45" spans="1:14" ht="18.95" customHeight="1">
      <c r="A45" s="455"/>
      <c r="B45" s="251" t="s">
        <v>100</v>
      </c>
      <c r="C45" s="78">
        <v>0</v>
      </c>
      <c r="D45" s="78" t="s">
        <v>100</v>
      </c>
      <c r="E45" s="78">
        <v>0</v>
      </c>
      <c r="F45" s="8"/>
      <c r="G45" s="8"/>
      <c r="H45" s="8"/>
      <c r="I45" s="8"/>
      <c r="J45" s="8"/>
      <c r="K45" s="8"/>
      <c r="L45" s="86"/>
      <c r="M45" s="78"/>
      <c r="N45" s="8"/>
    </row>
    <row r="46" spans="1:14" ht="18.95" customHeight="1">
      <c r="A46" s="455"/>
      <c r="B46" s="250" t="s">
        <v>101</v>
      </c>
      <c r="C46" s="78">
        <v>0</v>
      </c>
      <c r="D46" s="78" t="s">
        <v>101</v>
      </c>
      <c r="E46" s="78">
        <v>0</v>
      </c>
      <c r="F46" s="8"/>
      <c r="G46" s="8"/>
      <c r="H46" s="8"/>
      <c r="I46" s="8"/>
      <c r="J46" s="8"/>
      <c r="K46" s="8"/>
      <c r="L46" s="86"/>
      <c r="M46" s="78"/>
      <c r="N46" s="8"/>
    </row>
    <row r="47" spans="1:14" ht="18.95" customHeight="1">
      <c r="A47" s="455"/>
      <c r="B47" s="251" t="s">
        <v>102</v>
      </c>
      <c r="C47" s="78">
        <v>0</v>
      </c>
      <c r="D47" s="78" t="s">
        <v>102</v>
      </c>
      <c r="E47" s="78">
        <v>0</v>
      </c>
      <c r="F47" s="8"/>
      <c r="G47" s="8"/>
      <c r="H47" s="8"/>
      <c r="I47" s="8"/>
      <c r="J47" s="8"/>
      <c r="K47" s="8"/>
      <c r="L47" s="86"/>
      <c r="M47" s="78"/>
      <c r="N47" s="8"/>
    </row>
    <row r="48" spans="1:14" ht="18.95" customHeight="1">
      <c r="A48" s="455"/>
      <c r="B48" s="251" t="s">
        <v>103</v>
      </c>
      <c r="C48" s="78">
        <v>0</v>
      </c>
      <c r="D48" s="78" t="s">
        <v>103</v>
      </c>
      <c r="E48" s="78">
        <v>0</v>
      </c>
      <c r="F48" s="8"/>
      <c r="G48" s="8"/>
      <c r="H48" s="8"/>
      <c r="I48" s="8"/>
      <c r="J48" s="8"/>
      <c r="K48" s="8"/>
      <c r="L48" s="86"/>
      <c r="M48" s="78"/>
      <c r="N48" s="8"/>
    </row>
    <row r="49" spans="1:14" ht="18.95" customHeight="1">
      <c r="A49" s="455"/>
      <c r="B49" s="251" t="s">
        <v>104</v>
      </c>
      <c r="C49" s="78">
        <v>0</v>
      </c>
      <c r="D49" s="78" t="s">
        <v>104</v>
      </c>
      <c r="E49" s="78">
        <v>0</v>
      </c>
      <c r="F49" s="8"/>
      <c r="G49" s="8"/>
      <c r="H49" s="8"/>
      <c r="I49" s="8"/>
      <c r="J49" s="8"/>
      <c r="K49" s="8"/>
      <c r="L49" s="86"/>
      <c r="M49" s="78"/>
      <c r="N49" s="8"/>
    </row>
    <row r="50" spans="1:14" ht="18.95" customHeight="1">
      <c r="A50" s="89"/>
      <c r="B50" s="251" t="s">
        <v>105</v>
      </c>
      <c r="C50" s="78">
        <v>0</v>
      </c>
      <c r="D50" s="78" t="s">
        <v>105</v>
      </c>
      <c r="E50" s="78">
        <v>0</v>
      </c>
      <c r="F50" s="8"/>
      <c r="G50" s="8"/>
      <c r="H50" s="8"/>
      <c r="I50" s="8"/>
      <c r="J50" s="8"/>
      <c r="K50" s="8"/>
      <c r="L50" s="86"/>
      <c r="M50" s="78"/>
      <c r="N50" s="8"/>
    </row>
    <row r="51" spans="1:14" ht="18.95" customHeight="1">
      <c r="A51" s="87"/>
      <c r="B51" s="252" t="s">
        <v>106</v>
      </c>
      <c r="C51" s="78" t="s">
        <v>107</v>
      </c>
      <c r="D51" s="78" t="s">
        <v>108</v>
      </c>
      <c r="E51" s="78" t="s">
        <v>109</v>
      </c>
      <c r="F51" s="8"/>
      <c r="G51" s="8"/>
      <c r="H51" s="8"/>
      <c r="I51" s="8"/>
      <c r="J51" s="8"/>
      <c r="K51" s="8"/>
      <c r="L51" s="88"/>
      <c r="M51" s="78"/>
      <c r="N51" s="8"/>
    </row>
    <row r="52" spans="1:14" ht="18.95" customHeight="1">
      <c r="A52" s="87"/>
      <c r="B52" s="253" t="s">
        <v>110</v>
      </c>
      <c r="C52" s="78" t="s">
        <v>111</v>
      </c>
      <c r="D52" s="78" t="s">
        <v>3</v>
      </c>
      <c r="E52" s="78" t="s">
        <v>112</v>
      </c>
      <c r="F52" s="8"/>
      <c r="G52" s="8"/>
      <c r="H52" s="8"/>
      <c r="I52" s="8"/>
      <c r="J52" s="8"/>
      <c r="K52" s="8"/>
      <c r="L52" s="86"/>
      <c r="M52" s="78"/>
      <c r="N52" s="8"/>
    </row>
    <row r="53" spans="1:14" ht="18.95" customHeight="1">
      <c r="A53" s="463" t="s">
        <v>113</v>
      </c>
      <c r="B53" s="254" t="s">
        <v>114</v>
      </c>
      <c r="C53" s="78" t="s">
        <v>115</v>
      </c>
      <c r="D53" s="78" t="s">
        <v>116</v>
      </c>
      <c r="E53" s="78" t="s">
        <v>117</v>
      </c>
      <c r="F53" s="8"/>
      <c r="G53" s="8"/>
      <c r="H53" s="8"/>
      <c r="I53" s="8"/>
      <c r="J53" s="8"/>
      <c r="K53" s="8"/>
      <c r="L53" s="86"/>
      <c r="M53" s="78"/>
      <c r="N53" s="8"/>
    </row>
    <row r="54" spans="1:14" ht="18.95" customHeight="1">
      <c r="A54" s="463"/>
      <c r="B54" s="255" t="s">
        <v>118</v>
      </c>
      <c r="C54" s="78" t="s">
        <v>119</v>
      </c>
      <c r="D54" s="78" t="s">
        <v>117</v>
      </c>
      <c r="E54" s="78" t="s">
        <v>116</v>
      </c>
      <c r="F54" s="8"/>
      <c r="G54" s="8"/>
      <c r="H54" s="8"/>
      <c r="I54" s="8"/>
      <c r="J54" s="8"/>
      <c r="K54" s="8"/>
      <c r="L54" s="86"/>
      <c r="M54" s="78"/>
      <c r="N54" s="8"/>
    </row>
    <row r="55" spans="1:14" ht="18.95" customHeight="1">
      <c r="A55" s="463"/>
      <c r="B55" s="256" t="s">
        <v>120</v>
      </c>
      <c r="C55" s="78" t="s">
        <v>121</v>
      </c>
      <c r="D55" s="78" t="s">
        <v>115</v>
      </c>
      <c r="E55" s="78" t="s">
        <v>122</v>
      </c>
      <c r="F55" s="8"/>
      <c r="G55" s="8"/>
      <c r="H55" s="8"/>
      <c r="I55" s="8"/>
      <c r="J55" s="8"/>
      <c r="K55" s="8"/>
      <c r="L55" s="86"/>
      <c r="M55" s="78"/>
      <c r="N55" s="8"/>
    </row>
    <row r="56" spans="1:14" ht="18.95" customHeight="1">
      <c r="A56" s="463"/>
      <c r="B56" s="255" t="s">
        <v>123</v>
      </c>
      <c r="C56" s="78" t="s">
        <v>124</v>
      </c>
      <c r="D56" s="78">
        <v>0</v>
      </c>
      <c r="E56" s="78" t="s">
        <v>125</v>
      </c>
      <c r="F56" s="8"/>
      <c r="G56" s="8"/>
      <c r="H56" s="8"/>
      <c r="I56" s="8"/>
      <c r="J56" s="8"/>
      <c r="K56" s="8"/>
      <c r="L56" s="86"/>
      <c r="M56" s="78"/>
      <c r="N56" s="8"/>
    </row>
    <row r="57" spans="1:14" ht="18.95" customHeight="1">
      <c r="A57" s="463"/>
      <c r="B57" s="256" t="s">
        <v>126</v>
      </c>
      <c r="C57" s="78" t="s">
        <v>127</v>
      </c>
      <c r="D57" s="78" t="s">
        <v>128</v>
      </c>
      <c r="E57" s="78" t="s">
        <v>119</v>
      </c>
      <c r="F57" s="8"/>
      <c r="G57" s="8"/>
      <c r="H57" s="8"/>
      <c r="I57" s="8"/>
      <c r="J57" s="8"/>
      <c r="K57" s="8"/>
      <c r="L57" s="86"/>
      <c r="M57" s="78"/>
      <c r="N57" s="8"/>
    </row>
    <row r="58" spans="1:14" ht="18.95" customHeight="1">
      <c r="A58" s="463"/>
      <c r="B58" s="255" t="s">
        <v>129</v>
      </c>
      <c r="C58" s="78" t="s">
        <v>122</v>
      </c>
      <c r="D58" s="78" t="s">
        <v>130</v>
      </c>
      <c r="E58" s="78" t="s">
        <v>131</v>
      </c>
      <c r="F58" s="79"/>
      <c r="G58" s="79"/>
      <c r="H58" s="8"/>
      <c r="I58" s="8"/>
      <c r="J58" s="8"/>
      <c r="K58" s="79"/>
      <c r="L58" s="86"/>
      <c r="M58" s="78"/>
      <c r="N58" s="8"/>
    </row>
    <row r="59" spans="1:14" ht="18.95" customHeight="1">
      <c r="A59" s="463"/>
      <c r="B59" s="256" t="s">
        <v>132</v>
      </c>
      <c r="C59" s="78" t="s">
        <v>125</v>
      </c>
      <c r="D59" s="78">
        <v>0</v>
      </c>
      <c r="E59" s="78" t="s">
        <v>133</v>
      </c>
      <c r="F59" s="79"/>
      <c r="G59" s="79"/>
      <c r="H59" s="8"/>
      <c r="I59" s="79"/>
      <c r="J59" s="8"/>
      <c r="K59" s="79"/>
      <c r="L59" s="80"/>
      <c r="M59" s="78"/>
      <c r="N59" s="79"/>
    </row>
    <row r="60" spans="1:14" ht="18.95" customHeight="1">
      <c r="A60" s="463"/>
      <c r="B60" s="255" t="s">
        <v>134</v>
      </c>
      <c r="C60" s="78" t="s">
        <v>135</v>
      </c>
      <c r="D60" s="78">
        <v>0</v>
      </c>
      <c r="E60" s="78" t="s">
        <v>136</v>
      </c>
      <c r="F60" s="8"/>
      <c r="G60" s="8"/>
      <c r="H60" s="79"/>
      <c r="I60" s="8"/>
      <c r="J60" s="79"/>
      <c r="K60" s="8"/>
      <c r="L60" s="86"/>
      <c r="M60" s="78"/>
      <c r="N60" s="8"/>
    </row>
    <row r="61" spans="1:14" ht="18.95" customHeight="1">
      <c r="A61" s="463"/>
      <c r="B61" s="256" t="s">
        <v>137</v>
      </c>
      <c r="C61" s="78" t="s">
        <v>138</v>
      </c>
      <c r="D61" s="78">
        <v>0</v>
      </c>
      <c r="E61" s="78" t="s">
        <v>138</v>
      </c>
      <c r="F61" s="79"/>
      <c r="G61" s="79"/>
      <c r="H61" s="79"/>
      <c r="I61" s="79"/>
      <c r="J61" s="79"/>
      <c r="K61" s="8"/>
      <c r="L61" s="80"/>
      <c r="M61" s="78"/>
      <c r="N61" s="79"/>
    </row>
    <row r="62" spans="1:14" ht="18.95" customHeight="1">
      <c r="A62" s="463"/>
      <c r="B62" s="255" t="s">
        <v>139</v>
      </c>
      <c r="C62" s="78" t="s">
        <v>140</v>
      </c>
      <c r="D62" s="78">
        <v>0</v>
      </c>
      <c r="E62" s="78" t="s">
        <v>135</v>
      </c>
      <c r="F62" s="79"/>
      <c r="G62" s="79"/>
      <c r="H62" s="79"/>
      <c r="I62" s="79"/>
      <c r="J62" s="79"/>
      <c r="K62" s="8"/>
      <c r="L62" s="80"/>
      <c r="M62" s="78"/>
      <c r="N62" s="79"/>
    </row>
    <row r="63" spans="1:14" ht="18.95" customHeight="1">
      <c r="A63" s="463"/>
      <c r="B63" s="256" t="s">
        <v>141</v>
      </c>
      <c r="C63" s="85" t="s">
        <v>117</v>
      </c>
      <c r="D63" s="85">
        <v>0</v>
      </c>
      <c r="E63" s="85" t="s">
        <v>142</v>
      </c>
      <c r="F63" s="79"/>
      <c r="G63" s="79"/>
      <c r="H63" s="79"/>
      <c r="I63" s="79"/>
      <c r="J63" s="79"/>
      <c r="K63" s="8"/>
      <c r="L63" s="80"/>
      <c r="M63" s="85"/>
      <c r="N63" s="79"/>
    </row>
    <row r="64" spans="1:14" ht="18.95" customHeight="1">
      <c r="A64" s="463"/>
      <c r="B64" s="255" t="s">
        <v>143</v>
      </c>
      <c r="C64" s="78" t="s">
        <v>136</v>
      </c>
      <c r="D64" s="78">
        <v>0</v>
      </c>
      <c r="E64" s="78" t="s">
        <v>144</v>
      </c>
      <c r="F64" s="79"/>
      <c r="G64" s="79"/>
      <c r="H64" s="79"/>
      <c r="I64" s="79"/>
      <c r="J64" s="79"/>
      <c r="K64" s="8"/>
      <c r="L64" s="80"/>
      <c r="M64" s="78"/>
      <c r="N64" s="79"/>
    </row>
    <row r="65" spans="1:14" ht="18.95" customHeight="1">
      <c r="A65" s="463"/>
      <c r="B65" s="256" t="s">
        <v>145</v>
      </c>
      <c r="C65" s="78" t="s">
        <v>146</v>
      </c>
      <c r="D65" s="78">
        <v>0</v>
      </c>
      <c r="E65" s="78" t="s">
        <v>147</v>
      </c>
      <c r="F65" s="79"/>
      <c r="G65" s="79"/>
      <c r="H65" s="79"/>
      <c r="I65" s="79"/>
      <c r="J65" s="79"/>
      <c r="K65" s="8"/>
      <c r="L65" s="80"/>
      <c r="M65" s="78"/>
      <c r="N65" s="79"/>
    </row>
    <row r="66" spans="1:14" ht="18.95" customHeight="1">
      <c r="A66" s="463"/>
      <c r="B66" s="255" t="s">
        <v>148</v>
      </c>
      <c r="C66" s="85" t="s">
        <v>149</v>
      </c>
      <c r="D66" s="85">
        <v>0</v>
      </c>
      <c r="E66" s="85">
        <v>14</v>
      </c>
      <c r="F66" s="79"/>
      <c r="G66" s="79"/>
      <c r="H66" s="79"/>
      <c r="I66" s="79"/>
      <c r="J66" s="79"/>
      <c r="K66" s="8"/>
      <c r="L66" s="80"/>
      <c r="M66" s="85"/>
      <c r="N66" s="79"/>
    </row>
    <row r="67" spans="1:14" ht="18.95" customHeight="1">
      <c r="A67" s="463"/>
      <c r="B67" s="256" t="s">
        <v>150</v>
      </c>
      <c r="C67" s="85" t="s">
        <v>151</v>
      </c>
      <c r="D67" s="85">
        <v>0</v>
      </c>
      <c r="E67" s="85">
        <v>15</v>
      </c>
      <c r="F67" s="79"/>
      <c r="G67" s="79"/>
      <c r="H67" s="79"/>
      <c r="I67" s="79"/>
      <c r="J67" s="79"/>
      <c r="K67" s="79"/>
      <c r="L67" s="80"/>
      <c r="M67" s="85"/>
      <c r="N67" s="79"/>
    </row>
    <row r="68" spans="1:14" ht="18.95" customHeight="1">
      <c r="A68" s="463"/>
      <c r="B68" s="255" t="s">
        <v>152</v>
      </c>
      <c r="C68" s="85" t="s">
        <v>153</v>
      </c>
      <c r="D68" s="85">
        <v>0</v>
      </c>
      <c r="E68" s="85">
        <v>16</v>
      </c>
      <c r="F68" s="79"/>
      <c r="G68" s="79"/>
      <c r="H68" s="79"/>
      <c r="I68" s="79"/>
      <c r="J68" s="79"/>
      <c r="K68" s="79"/>
      <c r="L68" s="80"/>
      <c r="M68" s="85"/>
      <c r="N68" s="79"/>
    </row>
    <row r="69" spans="1:14" ht="18.95" customHeight="1">
      <c r="A69" s="463"/>
      <c r="B69" s="256" t="s">
        <v>154</v>
      </c>
      <c r="C69" s="85" t="s">
        <v>155</v>
      </c>
      <c r="D69" s="85">
        <v>0</v>
      </c>
      <c r="E69" s="85">
        <v>17</v>
      </c>
      <c r="F69" s="79"/>
      <c r="G69" s="79"/>
      <c r="H69" s="79"/>
      <c r="I69" s="79"/>
      <c r="J69" s="79"/>
      <c r="K69" s="79"/>
      <c r="L69" s="80"/>
      <c r="M69" s="85"/>
      <c r="N69" s="79"/>
    </row>
    <row r="70" spans="1:14" ht="18.95" customHeight="1">
      <c r="A70" s="463"/>
      <c r="B70" s="255" t="s">
        <v>156</v>
      </c>
      <c r="C70" s="85" t="s">
        <v>157</v>
      </c>
      <c r="D70" s="85">
        <v>0</v>
      </c>
      <c r="E70" s="85">
        <v>18</v>
      </c>
      <c r="F70" s="79"/>
      <c r="G70" s="79"/>
      <c r="H70" s="79"/>
      <c r="I70" s="79"/>
      <c r="J70" s="79"/>
      <c r="K70" s="79"/>
      <c r="L70" s="80"/>
      <c r="M70" s="85"/>
      <c r="N70" s="79"/>
    </row>
    <row r="71" spans="1:14" ht="18.95" customHeight="1">
      <c r="A71" s="463"/>
      <c r="B71" s="256" t="s">
        <v>158</v>
      </c>
      <c r="C71" s="85" t="s">
        <v>159</v>
      </c>
      <c r="D71" s="85">
        <v>0</v>
      </c>
      <c r="E71" s="85">
        <v>19</v>
      </c>
      <c r="F71" s="79"/>
      <c r="G71" s="79"/>
      <c r="H71" s="79"/>
      <c r="I71" s="79"/>
      <c r="J71" s="79"/>
      <c r="K71" s="79"/>
      <c r="L71" s="80"/>
      <c r="M71" s="85"/>
      <c r="N71" s="79"/>
    </row>
    <row r="72" spans="1:14" ht="18.95" customHeight="1">
      <c r="A72" s="463"/>
      <c r="B72" s="255" t="s">
        <v>160</v>
      </c>
      <c r="C72" s="85" t="s">
        <v>161</v>
      </c>
      <c r="D72" s="85">
        <v>0</v>
      </c>
      <c r="E72" s="85">
        <v>20</v>
      </c>
      <c r="F72" s="79"/>
      <c r="G72" s="79"/>
      <c r="H72" s="79"/>
      <c r="I72" s="79"/>
      <c r="J72" s="79"/>
      <c r="K72" s="79"/>
      <c r="L72" s="80"/>
      <c r="M72" s="85"/>
      <c r="N72" s="79"/>
    </row>
    <row r="73" spans="1:14" ht="18.95" customHeight="1">
      <c r="A73" s="463"/>
      <c r="B73" s="255" t="s">
        <v>162</v>
      </c>
      <c r="C73" s="85" t="s">
        <v>163</v>
      </c>
      <c r="D73" s="85">
        <v>0</v>
      </c>
      <c r="E73" s="85">
        <v>0</v>
      </c>
      <c r="F73" s="79"/>
      <c r="G73" s="79"/>
      <c r="H73" s="79"/>
      <c r="I73" s="79"/>
      <c r="J73" s="79"/>
      <c r="K73" s="79"/>
      <c r="L73" s="80"/>
      <c r="M73" s="85"/>
      <c r="N73" s="79"/>
    </row>
    <row r="74" spans="1:14" ht="18.95" customHeight="1">
      <c r="A74" s="463"/>
      <c r="B74" s="255" t="s">
        <v>164</v>
      </c>
      <c r="C74" s="85" t="s">
        <v>165</v>
      </c>
      <c r="D74" s="85">
        <v>0</v>
      </c>
      <c r="E74" s="85">
        <v>0</v>
      </c>
      <c r="F74" s="79"/>
      <c r="G74" s="79"/>
      <c r="H74" s="79"/>
      <c r="I74" s="79"/>
      <c r="J74" s="79"/>
      <c r="K74" s="79"/>
      <c r="L74" s="80"/>
      <c r="M74" s="85"/>
      <c r="N74" s="79"/>
    </row>
    <row r="75" spans="1:14" ht="18.95" customHeight="1">
      <c r="A75" s="463"/>
      <c r="B75" s="255" t="s">
        <v>166</v>
      </c>
      <c r="C75" s="85" t="s">
        <v>167</v>
      </c>
      <c r="D75" s="85">
        <v>0</v>
      </c>
      <c r="E75" s="85">
        <v>0</v>
      </c>
      <c r="F75" s="79"/>
      <c r="G75" s="79"/>
      <c r="H75" s="79"/>
      <c r="I75" s="79"/>
      <c r="J75" s="79"/>
      <c r="K75" s="79"/>
      <c r="L75" s="80"/>
      <c r="M75" s="85"/>
      <c r="N75" s="79"/>
    </row>
    <row r="76" spans="1:14" ht="18.95" customHeight="1">
      <c r="A76" s="463"/>
      <c r="B76" s="255" t="s">
        <v>168</v>
      </c>
      <c r="C76" s="85">
        <v>0</v>
      </c>
      <c r="D76" s="85">
        <v>0</v>
      </c>
      <c r="E76" s="85">
        <v>0</v>
      </c>
      <c r="F76" s="79"/>
      <c r="G76" s="79"/>
      <c r="H76" s="79"/>
      <c r="I76" s="79"/>
      <c r="J76" s="79"/>
      <c r="K76" s="79"/>
      <c r="L76" s="80"/>
      <c r="M76" s="85"/>
      <c r="N76" s="79"/>
    </row>
    <row r="77" spans="1:14" ht="18.95" customHeight="1">
      <c r="A77" s="463"/>
      <c r="B77" s="255" t="s">
        <v>169</v>
      </c>
      <c r="C77" s="85">
        <v>0</v>
      </c>
      <c r="D77" s="85">
        <v>0</v>
      </c>
      <c r="E77" s="85">
        <v>0</v>
      </c>
      <c r="F77" s="79"/>
      <c r="G77" s="79"/>
      <c r="H77" s="79"/>
      <c r="I77" s="79"/>
      <c r="J77" s="79"/>
      <c r="K77" s="79"/>
      <c r="L77" s="80"/>
      <c r="M77" s="85"/>
      <c r="N77" s="79"/>
    </row>
    <row r="78" spans="1:14" ht="18.95" customHeight="1">
      <c r="A78" s="456" t="s">
        <v>170</v>
      </c>
      <c r="B78" s="257" t="s">
        <v>171</v>
      </c>
      <c r="C78" s="78" t="s">
        <v>172</v>
      </c>
      <c r="D78" s="78">
        <v>0</v>
      </c>
      <c r="E78" s="78">
        <v>0</v>
      </c>
      <c r="F78" s="79"/>
      <c r="G78" s="79"/>
      <c r="H78" s="79"/>
      <c r="I78" s="79"/>
      <c r="J78" s="79"/>
      <c r="K78" s="79"/>
      <c r="L78" s="80"/>
      <c r="M78" s="78"/>
      <c r="N78" s="79"/>
    </row>
    <row r="79" spans="1:14" ht="18.95" customHeight="1">
      <c r="A79" s="456"/>
      <c r="B79" s="258" t="s">
        <v>173</v>
      </c>
      <c r="C79" s="78">
        <v>0</v>
      </c>
      <c r="D79" s="78">
        <v>0</v>
      </c>
      <c r="E79" s="78">
        <v>0</v>
      </c>
      <c r="F79" s="79"/>
      <c r="G79" s="79"/>
      <c r="H79" s="79"/>
      <c r="I79" s="79"/>
      <c r="J79" s="79"/>
      <c r="K79" s="79"/>
      <c r="L79" s="80"/>
      <c r="M79" s="78"/>
      <c r="N79" s="79"/>
    </row>
    <row r="80" spans="1:14" ht="18.95" customHeight="1">
      <c r="A80" s="456"/>
      <c r="B80" s="259" t="s">
        <v>174</v>
      </c>
      <c r="C80" s="78">
        <v>0</v>
      </c>
      <c r="D80" s="78">
        <v>0</v>
      </c>
      <c r="E80" s="78">
        <v>0</v>
      </c>
      <c r="F80" s="79"/>
      <c r="G80" s="79"/>
      <c r="H80" s="79"/>
      <c r="I80" s="79"/>
      <c r="J80" s="79"/>
      <c r="K80" s="79"/>
      <c r="L80" s="80"/>
      <c r="M80" s="78"/>
      <c r="N80" s="79"/>
    </row>
    <row r="81" spans="1:14" ht="18.95" customHeight="1">
      <c r="A81" s="456"/>
      <c r="B81" s="239" t="s">
        <v>175</v>
      </c>
      <c r="C81" s="78">
        <v>0</v>
      </c>
      <c r="D81" s="78">
        <v>0</v>
      </c>
      <c r="E81" s="78">
        <v>0</v>
      </c>
      <c r="F81" s="79"/>
      <c r="G81" s="79"/>
      <c r="H81" s="79"/>
      <c r="I81" s="79"/>
      <c r="J81" s="79"/>
      <c r="K81" s="79"/>
      <c r="L81" s="80"/>
      <c r="M81" s="78"/>
      <c r="N81" s="79"/>
    </row>
    <row r="82" spans="1:14" ht="18.95" customHeight="1">
      <c r="A82" s="456"/>
      <c r="B82" s="240" t="s">
        <v>176</v>
      </c>
      <c r="C82" s="78">
        <v>0</v>
      </c>
      <c r="D82" s="78">
        <v>0</v>
      </c>
      <c r="E82" s="78">
        <v>0</v>
      </c>
      <c r="F82" s="79"/>
      <c r="G82" s="79"/>
      <c r="H82" s="79"/>
      <c r="I82" s="79"/>
      <c r="J82" s="79"/>
      <c r="K82" s="79"/>
      <c r="L82" s="80"/>
      <c r="M82" s="78"/>
      <c r="N82" s="79"/>
    </row>
    <row r="83" spans="1:14" ht="18.95" customHeight="1">
      <c r="A83" s="456"/>
      <c r="B83" s="249" t="s">
        <v>177</v>
      </c>
      <c r="C83" s="78">
        <v>0</v>
      </c>
      <c r="D83" s="78">
        <v>0</v>
      </c>
      <c r="E83" s="78">
        <v>0</v>
      </c>
      <c r="F83" s="79"/>
      <c r="G83" s="79"/>
      <c r="H83" s="79"/>
      <c r="I83" s="79"/>
      <c r="J83" s="79"/>
      <c r="K83" s="79"/>
      <c r="L83" s="80"/>
      <c r="M83" s="78"/>
      <c r="N83" s="79"/>
    </row>
    <row r="84" spans="1:14" ht="18.95" customHeight="1">
      <c r="A84" s="456"/>
      <c r="B84" s="240"/>
      <c r="C84" s="78">
        <v>0</v>
      </c>
      <c r="D84" s="78">
        <v>0</v>
      </c>
      <c r="E84" s="78">
        <v>0</v>
      </c>
      <c r="F84" s="79"/>
      <c r="G84" s="79"/>
      <c r="H84" s="79"/>
      <c r="I84" s="79"/>
      <c r="J84" s="79"/>
      <c r="K84" s="79"/>
      <c r="L84" s="80"/>
      <c r="M84" s="78"/>
      <c r="N84" s="79"/>
    </row>
    <row r="85" spans="1:14" ht="18.95" customHeight="1">
      <c r="A85" s="456"/>
      <c r="B85" s="260" t="s">
        <v>178</v>
      </c>
      <c r="C85" s="78">
        <v>0</v>
      </c>
      <c r="D85" s="78">
        <v>0</v>
      </c>
      <c r="E85" s="78">
        <v>0</v>
      </c>
      <c r="F85" s="79"/>
      <c r="G85" s="79"/>
      <c r="H85" s="79"/>
      <c r="I85" s="79"/>
      <c r="J85" s="79"/>
      <c r="K85" s="79"/>
      <c r="L85" s="80"/>
      <c r="M85" s="78"/>
      <c r="N85" s="79"/>
    </row>
    <row r="86" spans="1:14" ht="18.95" customHeight="1">
      <c r="A86" s="456"/>
      <c r="B86" s="240" t="s">
        <v>179</v>
      </c>
      <c r="C86" s="78">
        <v>0</v>
      </c>
      <c r="D86" s="78">
        <v>0</v>
      </c>
      <c r="E86" s="78">
        <v>0</v>
      </c>
      <c r="F86" s="79"/>
      <c r="G86" s="79"/>
      <c r="H86" s="79"/>
      <c r="I86" s="79"/>
      <c r="J86" s="79"/>
      <c r="K86" s="79"/>
      <c r="L86" s="80"/>
      <c r="M86" s="78"/>
      <c r="N86" s="79"/>
    </row>
    <row r="87" spans="1:14" ht="18.95" customHeight="1">
      <c r="A87" s="456"/>
      <c r="B87" s="239" t="s">
        <v>180</v>
      </c>
      <c r="C87" s="78">
        <v>0</v>
      </c>
      <c r="D87" s="78">
        <v>0</v>
      </c>
      <c r="E87" s="78">
        <v>0</v>
      </c>
      <c r="F87" s="79"/>
      <c r="G87" s="79"/>
      <c r="H87" s="79"/>
      <c r="I87" s="79"/>
      <c r="J87" s="79"/>
      <c r="K87" s="79"/>
      <c r="L87" s="80"/>
      <c r="M87" s="78"/>
      <c r="N87" s="79"/>
    </row>
    <row r="88" spans="1:14" ht="18.95" customHeight="1">
      <c r="A88" s="456"/>
      <c r="B88" s="239" t="s">
        <v>181</v>
      </c>
      <c r="C88" s="78">
        <v>0</v>
      </c>
      <c r="D88" s="78">
        <v>0</v>
      </c>
      <c r="E88" s="78">
        <v>0</v>
      </c>
      <c r="F88" s="79"/>
      <c r="G88" s="79"/>
      <c r="H88" s="79"/>
      <c r="I88" s="79"/>
      <c r="J88" s="79"/>
      <c r="K88" s="79"/>
      <c r="L88" s="80"/>
      <c r="M88" s="78"/>
      <c r="N88" s="79"/>
    </row>
    <row r="89" spans="1:14" ht="18.95" customHeight="1">
      <c r="A89" s="456"/>
      <c r="B89" s="240" t="s">
        <v>182</v>
      </c>
      <c r="C89" s="78">
        <v>0</v>
      </c>
      <c r="D89" s="78">
        <v>0</v>
      </c>
      <c r="E89" s="78">
        <v>0</v>
      </c>
      <c r="F89" s="79"/>
      <c r="G89" s="79"/>
      <c r="H89" s="79"/>
      <c r="I89" s="79"/>
      <c r="J89" s="79"/>
      <c r="K89" s="79"/>
      <c r="L89" s="80"/>
      <c r="M89" s="78"/>
      <c r="N89" s="79"/>
    </row>
    <row r="90" spans="1:14" ht="18.95" customHeight="1">
      <c r="A90" s="456"/>
      <c r="B90" s="240" t="s">
        <v>183</v>
      </c>
      <c r="C90" s="78">
        <v>0</v>
      </c>
      <c r="D90" s="78">
        <v>0</v>
      </c>
      <c r="E90" s="78">
        <v>0</v>
      </c>
      <c r="F90" s="79"/>
      <c r="G90" s="79"/>
      <c r="H90" s="79"/>
      <c r="I90" s="79"/>
      <c r="J90" s="79"/>
      <c r="K90" s="79"/>
      <c r="L90" s="80"/>
      <c r="M90" s="78"/>
      <c r="N90" s="79"/>
    </row>
    <row r="91" spans="1:14" ht="18.95" customHeight="1">
      <c r="A91" s="456"/>
      <c r="B91" s="239" t="s">
        <v>184</v>
      </c>
      <c r="C91" s="78">
        <v>0</v>
      </c>
      <c r="D91" s="78">
        <v>0</v>
      </c>
      <c r="E91" s="78">
        <v>0</v>
      </c>
      <c r="F91" s="79"/>
      <c r="G91" s="79"/>
      <c r="H91" s="79"/>
      <c r="I91" s="79"/>
      <c r="J91" s="79"/>
      <c r="K91" s="79"/>
      <c r="L91" s="80"/>
      <c r="M91" s="78"/>
      <c r="N91" s="79"/>
    </row>
    <row r="92" spans="1:14" ht="18.95" customHeight="1">
      <c r="A92" s="456"/>
      <c r="B92" s="234" t="s">
        <v>185</v>
      </c>
      <c r="C92" s="78">
        <v>0</v>
      </c>
      <c r="D92" s="78">
        <v>0</v>
      </c>
      <c r="E92" s="78">
        <v>0</v>
      </c>
      <c r="F92" s="79"/>
      <c r="G92" s="79"/>
      <c r="H92" s="79"/>
      <c r="I92" s="79"/>
      <c r="J92" s="79"/>
      <c r="K92" s="79"/>
      <c r="L92" s="80"/>
      <c r="M92" s="78"/>
      <c r="N92" s="79"/>
    </row>
    <row r="93" spans="1:14" ht="18.95" customHeight="1" thickBot="1">
      <c r="A93" s="457"/>
      <c r="B93" s="234" t="s">
        <v>186</v>
      </c>
      <c r="C93" s="78">
        <v>0</v>
      </c>
      <c r="D93" s="78">
        <v>0</v>
      </c>
      <c r="E93" s="78">
        <v>0</v>
      </c>
      <c r="F93" s="79"/>
      <c r="G93" s="79"/>
      <c r="H93" s="79"/>
      <c r="I93" s="79"/>
      <c r="J93" s="79"/>
      <c r="K93" s="79"/>
      <c r="L93" s="80"/>
      <c r="M93" s="78"/>
      <c r="N93" s="79"/>
    </row>
    <row r="94" spans="1:14" ht="18.95" customHeight="1" thickTop="1">
      <c r="A94" s="84"/>
      <c r="B94" s="252"/>
      <c r="C94" s="78">
        <v>0</v>
      </c>
      <c r="D94" s="78">
        <v>0</v>
      </c>
      <c r="E94" s="78">
        <v>0</v>
      </c>
      <c r="F94" s="79"/>
      <c r="G94" s="79"/>
      <c r="H94" s="79"/>
      <c r="I94" s="79"/>
      <c r="J94" s="79"/>
      <c r="K94" s="79"/>
      <c r="L94" s="80"/>
      <c r="M94" s="78"/>
      <c r="N94" s="79"/>
    </row>
    <row r="95" spans="1:14" ht="18.95" customHeight="1">
      <c r="A95" s="84"/>
      <c r="B95" s="261" t="s">
        <v>187</v>
      </c>
      <c r="C95" s="78">
        <v>61865.69</v>
      </c>
      <c r="D95" s="78">
        <v>0</v>
      </c>
      <c r="E95" s="78">
        <v>0</v>
      </c>
      <c r="F95" s="79"/>
      <c r="G95" s="79"/>
      <c r="H95" s="79"/>
      <c r="I95" s="79"/>
      <c r="J95" s="79"/>
      <c r="K95" s="79"/>
      <c r="L95" s="80"/>
      <c r="M95" s="78"/>
      <c r="N95" s="79"/>
    </row>
    <row r="96" spans="1:14" ht="18.95" customHeight="1">
      <c r="A96" s="84"/>
      <c r="B96" s="261" t="s">
        <v>188</v>
      </c>
      <c r="C96" s="78">
        <v>0</v>
      </c>
      <c r="D96" s="78">
        <v>0</v>
      </c>
      <c r="E96" s="78">
        <v>0</v>
      </c>
      <c r="F96" s="79"/>
      <c r="G96" s="79"/>
      <c r="H96" s="79"/>
      <c r="I96" s="79"/>
      <c r="J96" s="79"/>
      <c r="K96" s="79"/>
      <c r="L96" s="80"/>
      <c r="M96" s="78"/>
      <c r="N96" s="79"/>
    </row>
    <row r="97" spans="1:14" ht="18.95" customHeight="1">
      <c r="A97" s="84"/>
      <c r="B97" s="252" t="s">
        <v>189</v>
      </c>
      <c r="C97" s="78">
        <v>0</v>
      </c>
      <c r="D97" s="78">
        <v>0</v>
      </c>
      <c r="E97" s="78">
        <v>0</v>
      </c>
      <c r="F97" s="79"/>
      <c r="G97" s="79"/>
      <c r="H97" s="79"/>
      <c r="I97" s="79"/>
      <c r="J97" s="79"/>
      <c r="K97" s="79"/>
      <c r="L97" s="80"/>
      <c r="M97" s="78"/>
      <c r="N97" s="79"/>
    </row>
    <row r="98" spans="1:14" ht="18.95" customHeight="1">
      <c r="A98" s="84"/>
      <c r="B98" s="252"/>
      <c r="C98" s="78">
        <v>0</v>
      </c>
      <c r="D98" s="78">
        <v>0</v>
      </c>
      <c r="E98" s="78">
        <v>0</v>
      </c>
      <c r="F98" s="79"/>
      <c r="G98" s="79"/>
      <c r="H98" s="79"/>
      <c r="I98" s="79"/>
      <c r="J98" s="79"/>
      <c r="K98" s="79"/>
      <c r="L98" s="80"/>
      <c r="M98" s="78"/>
      <c r="N98" s="79"/>
    </row>
    <row r="99" spans="1:14" ht="18.95" customHeight="1">
      <c r="A99" s="84"/>
      <c r="B99" s="252"/>
      <c r="C99" s="78">
        <v>0</v>
      </c>
      <c r="D99" s="78">
        <v>0</v>
      </c>
      <c r="E99" s="78">
        <v>0</v>
      </c>
      <c r="F99" s="79"/>
      <c r="G99" s="79"/>
      <c r="H99" s="79"/>
      <c r="I99" s="79"/>
      <c r="J99" s="79"/>
      <c r="K99" s="79"/>
      <c r="L99" s="80"/>
      <c r="M99" s="78"/>
      <c r="N99" s="79"/>
    </row>
    <row r="100" spans="1:14" ht="18.95" customHeight="1">
      <c r="A100" s="458" t="s">
        <v>190</v>
      </c>
      <c r="B100" s="262" t="s">
        <v>191</v>
      </c>
      <c r="C100" s="78" t="s">
        <v>192</v>
      </c>
      <c r="D100" s="78" t="s">
        <v>193</v>
      </c>
      <c r="E100" s="78" t="s">
        <v>194</v>
      </c>
      <c r="F100" s="79"/>
      <c r="G100" s="79"/>
      <c r="H100" s="79"/>
      <c r="I100" s="79"/>
      <c r="J100" s="79"/>
      <c r="K100" s="79"/>
      <c r="L100" s="80"/>
      <c r="M100" s="78"/>
      <c r="N100" s="79"/>
    </row>
    <row r="101" spans="1:14" ht="18.95" customHeight="1">
      <c r="A101" s="458"/>
      <c r="B101" s="263" t="s">
        <v>195</v>
      </c>
      <c r="C101" s="83">
        <v>0</v>
      </c>
      <c r="D101" s="83" t="s">
        <v>196</v>
      </c>
      <c r="E101" s="83" t="s">
        <v>197</v>
      </c>
      <c r="F101" s="79"/>
      <c r="G101" s="79"/>
      <c r="H101" s="79"/>
      <c r="I101" s="79"/>
      <c r="J101" s="79"/>
      <c r="K101" s="79"/>
      <c r="L101" s="80"/>
      <c r="M101" s="83"/>
      <c r="N101" s="79"/>
    </row>
    <row r="102" spans="1:14" ht="18.95" customHeight="1">
      <c r="A102" s="458"/>
      <c r="B102" s="264" t="s">
        <v>198</v>
      </c>
      <c r="C102" s="78" t="s">
        <v>199</v>
      </c>
      <c r="D102" s="78" t="s">
        <v>200</v>
      </c>
      <c r="E102" s="78" t="s">
        <v>201</v>
      </c>
      <c r="F102" s="79"/>
      <c r="G102" s="79"/>
      <c r="H102" s="79"/>
      <c r="I102" s="79"/>
      <c r="J102" s="79"/>
      <c r="K102" s="79"/>
      <c r="L102" s="80"/>
      <c r="M102" s="78"/>
      <c r="N102" s="79"/>
    </row>
    <row r="103" spans="1:14" ht="18.95" customHeight="1">
      <c r="A103" s="458"/>
      <c r="B103" s="264" t="s">
        <v>202</v>
      </c>
      <c r="C103" s="78" t="s">
        <v>203</v>
      </c>
      <c r="D103" s="78" t="s">
        <v>204</v>
      </c>
      <c r="E103" s="78" t="s">
        <v>205</v>
      </c>
      <c r="F103" s="79"/>
      <c r="G103" s="79"/>
      <c r="H103" s="79"/>
      <c r="I103" s="79"/>
      <c r="J103" s="79"/>
      <c r="K103" s="79"/>
      <c r="L103" s="80"/>
      <c r="M103" s="78"/>
      <c r="N103" s="79"/>
    </row>
    <row r="104" spans="1:14" ht="18.95" customHeight="1">
      <c r="A104" s="458"/>
      <c r="B104" s="264" t="s">
        <v>206</v>
      </c>
      <c r="C104" s="78" t="s">
        <v>207</v>
      </c>
      <c r="D104" s="78" t="s">
        <v>208</v>
      </c>
      <c r="E104" s="78" t="s">
        <v>209</v>
      </c>
      <c r="F104" s="79"/>
      <c r="G104" s="79"/>
      <c r="H104" s="79"/>
      <c r="I104" s="79"/>
      <c r="J104" s="79"/>
      <c r="K104" s="79"/>
      <c r="L104" s="80"/>
      <c r="M104" s="78"/>
      <c r="N104" s="79"/>
    </row>
    <row r="105" spans="1:14" ht="18.95" customHeight="1">
      <c r="A105" s="458"/>
      <c r="B105" s="263" t="s">
        <v>210</v>
      </c>
      <c r="C105" s="78">
        <v>0</v>
      </c>
      <c r="D105" s="78">
        <v>0</v>
      </c>
      <c r="E105" s="78" t="s">
        <v>211</v>
      </c>
      <c r="F105" s="79"/>
      <c r="G105" s="79"/>
      <c r="H105" s="79"/>
      <c r="I105" s="79"/>
      <c r="J105" s="79"/>
      <c r="K105" s="79"/>
      <c r="L105" s="80"/>
      <c r="M105" s="78"/>
      <c r="N105" s="79"/>
    </row>
    <row r="106" spans="1:14" ht="18.95" customHeight="1">
      <c r="A106" s="458"/>
      <c r="B106" s="264" t="s">
        <v>212</v>
      </c>
      <c r="C106" s="78">
        <v>0</v>
      </c>
      <c r="D106" s="78">
        <v>0</v>
      </c>
      <c r="E106" s="78" t="s">
        <v>12</v>
      </c>
      <c r="F106" s="79"/>
      <c r="G106" s="79"/>
      <c r="H106" s="79"/>
      <c r="I106" s="79"/>
      <c r="J106" s="79"/>
      <c r="K106" s="79"/>
      <c r="L106" s="80"/>
      <c r="M106" s="78"/>
      <c r="N106" s="79"/>
    </row>
    <row r="107" spans="1:14" ht="18.95" customHeight="1">
      <c r="A107" s="458"/>
      <c r="B107" s="264" t="s">
        <v>213</v>
      </c>
      <c r="C107" s="78">
        <v>0</v>
      </c>
      <c r="D107" s="78">
        <v>0</v>
      </c>
      <c r="E107" s="78" t="s">
        <v>214</v>
      </c>
      <c r="F107" s="79"/>
      <c r="G107" s="79"/>
      <c r="H107" s="79"/>
      <c r="I107" s="79"/>
      <c r="J107" s="79"/>
      <c r="K107" s="79"/>
      <c r="L107" s="80"/>
      <c r="M107" s="78"/>
      <c r="N107" s="79"/>
    </row>
    <row r="108" spans="1:14" ht="18.95" customHeight="1">
      <c r="A108" s="458"/>
      <c r="B108" s="264" t="s">
        <v>215</v>
      </c>
      <c r="C108" s="78">
        <v>0</v>
      </c>
      <c r="D108" s="78">
        <v>0</v>
      </c>
      <c r="E108" s="78" t="s">
        <v>216</v>
      </c>
      <c r="F108" s="79"/>
      <c r="G108" s="79"/>
      <c r="H108" s="79"/>
      <c r="I108" s="79"/>
      <c r="J108" s="79"/>
      <c r="K108" s="79"/>
      <c r="L108" s="80"/>
      <c r="M108" s="78"/>
      <c r="N108" s="79"/>
    </row>
    <row r="109" spans="1:14" ht="18.95" customHeight="1">
      <c r="A109" s="458"/>
      <c r="B109" s="265" t="s">
        <v>217</v>
      </c>
      <c r="C109" s="83">
        <v>0</v>
      </c>
      <c r="D109" s="83" t="s">
        <v>218</v>
      </c>
      <c r="E109" s="83" t="s">
        <v>219</v>
      </c>
      <c r="F109" s="79"/>
      <c r="G109" s="79"/>
      <c r="H109" s="79"/>
      <c r="I109" s="79"/>
      <c r="J109" s="79"/>
      <c r="K109" s="79"/>
      <c r="L109" s="80"/>
      <c r="M109" s="78"/>
      <c r="N109" s="79"/>
    </row>
    <row r="110" spans="1:14" ht="18.95" customHeight="1">
      <c r="A110" s="458"/>
      <c r="B110" s="265" t="s">
        <v>220</v>
      </c>
      <c r="C110" s="83" t="s">
        <v>218</v>
      </c>
      <c r="D110" s="83">
        <v>0</v>
      </c>
      <c r="E110" s="83" t="s">
        <v>221</v>
      </c>
      <c r="F110" s="79"/>
      <c r="G110" s="79"/>
      <c r="H110" s="79"/>
      <c r="I110" s="79"/>
      <c r="J110" s="79"/>
      <c r="K110" s="79"/>
      <c r="L110" s="80"/>
      <c r="M110" s="83"/>
      <c r="N110" s="79"/>
    </row>
    <row r="111" spans="1:14" ht="18.95" customHeight="1">
      <c r="A111" s="458"/>
      <c r="B111" s="266" t="s">
        <v>222</v>
      </c>
      <c r="C111" s="78">
        <v>0</v>
      </c>
      <c r="D111" s="78">
        <v>0</v>
      </c>
      <c r="E111" s="78" t="s">
        <v>223</v>
      </c>
      <c r="F111" s="79"/>
      <c r="G111" s="79"/>
      <c r="H111" s="79"/>
      <c r="I111" s="79"/>
      <c r="J111" s="79"/>
      <c r="K111" s="79"/>
      <c r="L111" s="80"/>
      <c r="M111" s="78"/>
      <c r="N111" s="79"/>
    </row>
    <row r="112" spans="1:14" ht="18.95" customHeight="1">
      <c r="A112" s="458"/>
      <c r="B112" s="267" t="s">
        <v>224</v>
      </c>
      <c r="C112" s="78" t="s">
        <v>225</v>
      </c>
      <c r="D112" s="78" t="s">
        <v>225</v>
      </c>
      <c r="E112" s="78" t="s">
        <v>226</v>
      </c>
      <c r="F112" s="79"/>
      <c r="G112" s="79"/>
      <c r="H112" s="79"/>
      <c r="I112" s="79"/>
      <c r="J112" s="79"/>
      <c r="K112" s="79"/>
      <c r="L112" s="80"/>
      <c r="M112" s="78"/>
      <c r="N112" s="79"/>
    </row>
    <row r="113" spans="1:14" ht="18.95" customHeight="1">
      <c r="A113" s="458"/>
      <c r="B113" s="263" t="s">
        <v>227</v>
      </c>
      <c r="C113" s="78">
        <v>0</v>
      </c>
      <c r="D113" s="78" t="s">
        <v>200</v>
      </c>
      <c r="E113" s="78" t="s">
        <v>228</v>
      </c>
      <c r="F113" s="79"/>
      <c r="G113" s="79"/>
      <c r="H113" s="79"/>
      <c r="I113" s="79"/>
      <c r="J113" s="79"/>
      <c r="K113" s="79"/>
      <c r="L113" s="80"/>
      <c r="M113" s="78"/>
      <c r="N113" s="79"/>
    </row>
    <row r="114" spans="1:14" ht="18.95" customHeight="1">
      <c r="A114" s="458"/>
      <c r="B114" s="263" t="s">
        <v>229</v>
      </c>
      <c r="C114" s="78" t="s">
        <v>230</v>
      </c>
      <c r="D114" s="78" t="s">
        <v>226</v>
      </c>
      <c r="E114" s="78" t="s">
        <v>231</v>
      </c>
      <c r="F114" s="79"/>
      <c r="G114" s="79"/>
      <c r="H114" s="79"/>
      <c r="I114" s="79"/>
      <c r="J114" s="79"/>
      <c r="K114" s="79"/>
      <c r="L114" s="80"/>
      <c r="M114" s="78"/>
      <c r="N114" s="79"/>
    </row>
    <row r="115" spans="1:14" ht="18.95" customHeight="1">
      <c r="A115" s="458"/>
      <c r="B115" s="264" t="s">
        <v>232</v>
      </c>
      <c r="C115" s="78" t="s">
        <v>233</v>
      </c>
      <c r="D115" s="78" t="s">
        <v>228</v>
      </c>
      <c r="E115" s="78" t="s">
        <v>234</v>
      </c>
      <c r="F115" s="79"/>
      <c r="G115" s="79"/>
      <c r="H115" s="79"/>
      <c r="I115" s="79"/>
      <c r="J115" s="79"/>
      <c r="K115" s="79"/>
      <c r="L115" s="80"/>
      <c r="M115" s="78"/>
      <c r="N115" s="79"/>
    </row>
    <row r="116" spans="1:14" ht="18.95" customHeight="1">
      <c r="A116" s="458"/>
      <c r="B116" s="268" t="s">
        <v>235</v>
      </c>
      <c r="C116" s="78" t="s">
        <v>236</v>
      </c>
      <c r="D116" s="78" t="s">
        <v>237</v>
      </c>
      <c r="E116" s="78" t="s">
        <v>238</v>
      </c>
      <c r="F116" s="79"/>
      <c r="G116" s="79"/>
      <c r="H116" s="79"/>
      <c r="I116" s="79"/>
      <c r="J116" s="79"/>
      <c r="K116" s="79"/>
      <c r="L116" s="80"/>
      <c r="M116" s="78"/>
      <c r="N116" s="79"/>
    </row>
    <row r="117" spans="1:14" ht="18.95" customHeight="1">
      <c r="A117" s="458"/>
      <c r="B117" s="261" t="s">
        <v>239</v>
      </c>
      <c r="C117" s="78" t="s">
        <v>240</v>
      </c>
      <c r="D117" s="78" t="s">
        <v>241</v>
      </c>
      <c r="E117" s="78" t="s">
        <v>241</v>
      </c>
      <c r="F117" s="79"/>
      <c r="G117" s="79"/>
      <c r="H117" s="79"/>
      <c r="I117" s="79"/>
      <c r="J117" s="79"/>
      <c r="K117" s="79"/>
      <c r="L117" s="80"/>
      <c r="M117" s="78"/>
      <c r="N117" s="79"/>
    </row>
    <row r="118" spans="1:14" ht="18.95" customHeight="1">
      <c r="A118" s="458"/>
      <c r="B118" s="269" t="s">
        <v>242</v>
      </c>
      <c r="C118" s="78" t="s">
        <v>243</v>
      </c>
      <c r="D118" s="78">
        <v>0</v>
      </c>
      <c r="E118" s="78">
        <v>0</v>
      </c>
      <c r="F118" s="79"/>
      <c r="G118" s="79"/>
      <c r="H118" s="79"/>
      <c r="I118" s="79"/>
      <c r="J118" s="79"/>
      <c r="K118" s="79"/>
      <c r="L118" s="80"/>
      <c r="M118" s="78"/>
      <c r="N118" s="79"/>
    </row>
    <row r="119" spans="1:14" ht="18.95" customHeight="1">
      <c r="A119" s="81"/>
      <c r="B119" s="270" t="s">
        <v>244</v>
      </c>
      <c r="C119" s="82">
        <v>0</v>
      </c>
      <c r="D119" s="82">
        <v>0</v>
      </c>
      <c r="E119" s="82">
        <v>0</v>
      </c>
      <c r="F119" s="79"/>
      <c r="G119" s="79"/>
      <c r="H119" s="79"/>
      <c r="I119" s="79"/>
      <c r="J119" s="79"/>
      <c r="K119" s="79"/>
      <c r="L119" s="80"/>
      <c r="M119" s="82"/>
      <c r="N119" s="79"/>
    </row>
    <row r="120" spans="1:14" ht="18.95" customHeight="1">
      <c r="A120" s="81"/>
      <c r="B120" s="269" t="s">
        <v>245</v>
      </c>
      <c r="C120" s="78">
        <v>0</v>
      </c>
      <c r="D120" s="78">
        <v>0</v>
      </c>
      <c r="E120" s="78">
        <v>0</v>
      </c>
      <c r="F120" s="79"/>
      <c r="G120" s="79"/>
      <c r="H120" s="79"/>
      <c r="I120" s="79"/>
      <c r="J120" s="79"/>
      <c r="K120" s="79"/>
      <c r="L120" s="80"/>
      <c r="M120" s="78"/>
      <c r="N120" s="79"/>
    </row>
    <row r="121" spans="1:14" ht="18.95" customHeight="1">
      <c r="A121" s="81"/>
      <c r="B121" s="269" t="s">
        <v>246</v>
      </c>
      <c r="C121" s="78">
        <v>0</v>
      </c>
      <c r="D121" s="78">
        <v>0</v>
      </c>
      <c r="E121" s="78">
        <v>0</v>
      </c>
      <c r="G121" s="79"/>
      <c r="H121" s="79"/>
      <c r="I121" s="79"/>
      <c r="J121" s="79"/>
      <c r="L121" s="80"/>
      <c r="M121" s="78"/>
      <c r="N121" s="79"/>
    </row>
    <row r="122" spans="1:14" ht="18.95" customHeight="1">
      <c r="A122" s="81"/>
      <c r="B122" s="269" t="s">
        <v>247</v>
      </c>
      <c r="C122" s="78">
        <v>0</v>
      </c>
      <c r="D122" s="78">
        <v>0</v>
      </c>
      <c r="E122" s="78">
        <v>0</v>
      </c>
      <c r="G122" s="79"/>
      <c r="H122" s="79"/>
      <c r="I122" s="79"/>
      <c r="J122" s="79"/>
      <c r="L122" s="80"/>
      <c r="M122" s="78"/>
      <c r="N122" s="79"/>
    </row>
    <row r="123" spans="1:14" ht="18.95" customHeight="1">
      <c r="A123" s="81"/>
      <c r="B123" s="269" t="s">
        <v>248</v>
      </c>
      <c r="C123" s="78">
        <v>0</v>
      </c>
      <c r="D123" s="78">
        <v>0</v>
      </c>
      <c r="E123" s="78">
        <v>0</v>
      </c>
      <c r="G123" s="79"/>
      <c r="H123" s="79"/>
      <c r="I123" s="79"/>
      <c r="J123" s="79"/>
      <c r="L123" s="80"/>
      <c r="M123" s="78"/>
      <c r="N123" s="79"/>
    </row>
    <row r="124" spans="1:14" ht="18.95" customHeight="1">
      <c r="A124" s="81"/>
      <c r="B124" s="269" t="s">
        <v>249</v>
      </c>
      <c r="C124" s="78">
        <v>0</v>
      </c>
      <c r="D124" s="78">
        <v>0</v>
      </c>
      <c r="E124" s="78">
        <v>0</v>
      </c>
      <c r="I124" s="79"/>
      <c r="L124" s="80"/>
      <c r="M124" s="78"/>
      <c r="N124" s="79"/>
    </row>
    <row r="125" spans="1:14" ht="18.95" customHeight="1">
      <c r="A125" s="81"/>
      <c r="B125" s="269"/>
      <c r="C125" s="78">
        <v>0</v>
      </c>
      <c r="D125" s="78"/>
      <c r="E125" s="78">
        <v>0</v>
      </c>
      <c r="I125" s="79"/>
      <c r="L125" s="80"/>
      <c r="M125" s="78"/>
      <c r="N125" s="79"/>
    </row>
    <row r="126" spans="1:14" ht="18.95" customHeight="1">
      <c r="C126" s="78" t="e">
        <v>#REF!</v>
      </c>
      <c r="D126" s="79" t="s">
        <v>250</v>
      </c>
      <c r="E126" s="78" t="e">
        <v>#REF!</v>
      </c>
      <c r="L126" s="10"/>
      <c r="M126" s="78"/>
    </row>
    <row r="127" spans="1:14" ht="18.95" customHeight="1">
      <c r="C127" s="78" t="e">
        <v>#REF!</v>
      </c>
      <c r="D127" s="8" t="str">
        <f>D1</f>
        <v>BOYD</v>
      </c>
      <c r="E127" s="78" t="e">
        <v>#REF!</v>
      </c>
      <c r="L127" s="10"/>
      <c r="M127" s="78"/>
    </row>
    <row r="128" spans="1:14" ht="18.95" customHeight="1">
      <c r="C128" s="78">
        <v>0</v>
      </c>
      <c r="D128" s="8" t="str">
        <f t="shared" ref="D128:D131" si="0">D2</f>
        <v>24990 WOODLINE</v>
      </c>
      <c r="E128" s="78">
        <v>0</v>
      </c>
      <c r="L128" s="10"/>
      <c r="M128" s="78"/>
    </row>
    <row r="129" spans="3:13" ht="18.95" customHeight="1">
      <c r="C129" s="78">
        <v>0</v>
      </c>
      <c r="D129" s="8" t="str">
        <f t="shared" si="0"/>
        <v>Bedford Heights, OH 44146</v>
      </c>
      <c r="E129" s="78">
        <v>0</v>
      </c>
      <c r="L129" s="10"/>
      <c r="M129" s="78"/>
    </row>
    <row r="130" spans="3:13" ht="18.95" customHeight="1">
      <c r="C130" s="78">
        <v>0</v>
      </c>
      <c r="D130" s="8" t="str">
        <f t="shared" si="0"/>
        <v>Customer Email</v>
      </c>
      <c r="E130" s="78">
        <v>0</v>
      </c>
      <c r="L130" s="10"/>
      <c r="M130" s="78"/>
    </row>
    <row r="131" spans="3:13" ht="18.95" customHeight="1">
      <c r="C131" s="78"/>
      <c r="D131" s="8" t="str">
        <f t="shared" si="0"/>
        <v>Cst-owner Phone#</v>
      </c>
      <c r="E131" s="78"/>
      <c r="L131" s="10"/>
      <c r="M131" s="78"/>
    </row>
    <row r="132" spans="3:13" ht="18.95" customHeight="1">
      <c r="C132" s="78"/>
      <c r="D132" s="8" t="str">
        <f>D11</f>
        <v>Wind = Roof</v>
      </c>
      <c r="E132" s="78"/>
      <c r="L132" s="10"/>
      <c r="M132" s="78"/>
    </row>
    <row r="133" spans="3:13" ht="18.95" customHeight="1">
      <c r="C133" s="78" t="str">
        <f>+C1</f>
        <v xml:space="preserve">JOROBE, DELICIA </v>
      </c>
      <c r="D133" s="8" t="str">
        <f>D12</f>
        <v>date of loss</v>
      </c>
      <c r="E133" s="78" t="s">
        <v>112</v>
      </c>
      <c r="L133" s="10"/>
      <c r="M133" s="78"/>
    </row>
    <row r="134" spans="3:13" ht="18.95" customHeight="1">
      <c r="C134" s="78" t="str">
        <f>+C2</f>
        <v>4085 E 153RD ST</v>
      </c>
      <c r="D134" s="92">
        <v>44817</v>
      </c>
      <c r="E134" s="78" t="s">
        <v>8</v>
      </c>
      <c r="L134" s="10"/>
      <c r="M134" s="78"/>
    </row>
    <row r="135" spans="3:13" ht="18.95" customHeight="1">
      <c r="C135" s="78" t="str">
        <f>+C3</f>
        <v>CLEVELAND, OH 44128</v>
      </c>
      <c r="D135" s="8" t="s">
        <v>251</v>
      </c>
      <c r="E135" s="78" t="s">
        <v>12</v>
      </c>
      <c r="L135" s="10"/>
      <c r="M135" s="78"/>
    </row>
    <row r="136" spans="3:13" ht="18.95" customHeight="1">
      <c r="C136" s="78" t="str">
        <f>+C4</f>
        <v>EMI</v>
      </c>
      <c r="D136" s="8" t="s">
        <v>252</v>
      </c>
      <c r="E136" s="78" t="s">
        <v>15</v>
      </c>
      <c r="L136" s="10"/>
      <c r="M136" s="78"/>
    </row>
    <row r="137" spans="3:13" ht="18.95" customHeight="1">
      <c r="C137" s="78" t="str">
        <f>+C5</f>
        <v>(216) 466-1853</v>
      </c>
      <c r="D137" s="8" t="s">
        <v>253</v>
      </c>
      <c r="E137" s="78" t="s">
        <v>18</v>
      </c>
      <c r="L137" s="10"/>
      <c r="M137" s="78"/>
    </row>
    <row r="138" spans="3:13" ht="18.95" customHeight="1">
      <c r="C138" s="78"/>
      <c r="D138" s="8">
        <v>0</v>
      </c>
      <c r="E138" s="78"/>
      <c r="L138" s="10"/>
      <c r="M138" s="78"/>
    </row>
    <row r="139" spans="3:13" ht="18.95" customHeight="1">
      <c r="C139" s="78"/>
      <c r="D139" s="8">
        <v>0</v>
      </c>
      <c r="E139" s="78"/>
      <c r="L139" s="10"/>
      <c r="M139" s="78"/>
    </row>
    <row r="140" spans="3:13" ht="18.95" customHeight="1">
      <c r="D140" s="8">
        <v>0</v>
      </c>
      <c r="E140"/>
      <c r="L140" s="10"/>
      <c r="M140" s="78"/>
    </row>
    <row r="141" spans="3:13" ht="18.95" customHeight="1">
      <c r="C141" s="78" t="str">
        <f t="shared" ref="C141:C148" si="1">+C26</f>
        <v>TRAVCO INSURANCE</v>
      </c>
      <c r="D141" s="8">
        <v>0</v>
      </c>
      <c r="E141" s="78" t="s">
        <v>61</v>
      </c>
      <c r="L141" s="10"/>
      <c r="M141" s="78"/>
    </row>
    <row r="142" spans="3:13" ht="18.95" customHeight="1">
      <c r="C142" s="78" t="str">
        <f t="shared" si="1"/>
        <v>IKW2742001H</v>
      </c>
      <c r="D142" s="8">
        <v>0</v>
      </c>
      <c r="E142" s="78" t="s">
        <v>65</v>
      </c>
      <c r="L142" s="10"/>
      <c r="M142" s="78"/>
    </row>
    <row r="143" spans="3:13" ht="18.95" customHeight="1">
      <c r="C143" s="78" t="str">
        <f t="shared" si="1"/>
        <v>0M7310604029830653 1</v>
      </c>
      <c r="D143" s="8"/>
      <c r="E143" s="78" t="s">
        <v>68</v>
      </c>
      <c r="L143" s="10"/>
      <c r="M143" s="78"/>
    </row>
    <row r="144" spans="3:13" ht="18.95" customHeight="1">
      <c r="C144" s="78" t="str">
        <f t="shared" si="1"/>
        <v>www.travelers.com/claimuploadcenter.</v>
      </c>
      <c r="D144" s="8"/>
      <c r="E144" s="78">
        <v>0</v>
      </c>
      <c r="L144" s="10"/>
      <c r="M144" s="78"/>
    </row>
    <row r="145" spans="3:13" ht="18.95" customHeight="1">
      <c r="C145" s="78" t="str">
        <f t="shared" si="1"/>
        <v>Kenneth Pride</v>
      </c>
      <c r="D145" s="8"/>
      <c r="E145" s="78" t="s">
        <v>73</v>
      </c>
      <c r="L145" s="10"/>
      <c r="M145" s="78"/>
    </row>
    <row r="146" spans="3:13" ht="18.95" customHeight="1">
      <c r="C146" s="78" t="str">
        <f t="shared" si="1"/>
        <v>(216) 618-4382</v>
      </c>
      <c r="D146" s="8"/>
      <c r="E146" s="78" t="s">
        <v>76</v>
      </c>
      <c r="L146" s="10"/>
      <c r="M146" s="6"/>
    </row>
    <row r="147" spans="3:13" ht="18.95" customHeight="1">
      <c r="C147" s="78" t="str">
        <f t="shared" si="1"/>
        <v>(216) 618-4382</v>
      </c>
      <c r="D147" s="8"/>
      <c r="E147" s="78" t="s">
        <v>76</v>
      </c>
      <c r="L147" s="10"/>
      <c r="M147" s="6"/>
    </row>
    <row r="148" spans="3:13" ht="18.95" customHeight="1">
      <c r="C148" s="78" t="str">
        <f t="shared" si="1"/>
        <v>KPRIDE@travelers.com</v>
      </c>
      <c r="D148" s="127" t="s">
        <v>254</v>
      </c>
      <c r="E148" s="78" t="s">
        <v>80</v>
      </c>
      <c r="L148" s="10"/>
      <c r="M148" s="6"/>
    </row>
    <row r="149" spans="3:13" ht="18.95" customHeight="1">
      <c r="D149" s="128" t="s">
        <v>255</v>
      </c>
      <c r="E149"/>
      <c r="L149" s="10"/>
      <c r="M149" s="6"/>
    </row>
    <row r="150" spans="3:13" ht="18.95" customHeight="1">
      <c r="D150" s="128" t="s">
        <v>256</v>
      </c>
      <c r="E150"/>
      <c r="L150" s="10"/>
    </row>
    <row r="151" spans="3:13" ht="18.95" customHeight="1">
      <c r="D151" s="4" t="s">
        <v>257</v>
      </c>
      <c r="E151"/>
      <c r="L151" s="10"/>
    </row>
    <row r="152" spans="3:13" ht="18.95" customHeight="1">
      <c r="D152" s="128" t="s">
        <v>258</v>
      </c>
      <c r="E152"/>
      <c r="L152" s="10"/>
    </row>
    <row r="153" spans="3:13" ht="18.95" customHeight="1">
      <c r="D153" s="128"/>
      <c r="E153"/>
      <c r="L153" s="10"/>
    </row>
    <row r="154" spans="3:13" ht="18.95" customHeight="1">
      <c r="D154" s="8"/>
      <c r="E154"/>
      <c r="L154" s="10"/>
    </row>
    <row r="155" spans="3:13" ht="18.95" customHeight="1">
      <c r="D155" s="8"/>
      <c r="E155"/>
      <c r="L155" s="10"/>
    </row>
    <row r="156" spans="3:13" ht="18.95" customHeight="1">
      <c r="D156"/>
      <c r="E156"/>
      <c r="L156" s="10"/>
    </row>
    <row r="157" spans="3:13" ht="18.95" customHeight="1">
      <c r="D157" s="78"/>
      <c r="E157"/>
      <c r="L157" s="10"/>
    </row>
    <row r="158" spans="3:13" ht="18.95" customHeight="1">
      <c r="D158" s="78"/>
      <c r="E158"/>
      <c r="L158" s="10"/>
    </row>
    <row r="159" spans="3:13" ht="18.95" customHeight="1">
      <c r="E159"/>
      <c r="L159" s="10"/>
    </row>
    <row r="160" spans="3:13" ht="18.95" customHeight="1">
      <c r="E160"/>
      <c r="L160" s="10"/>
    </row>
    <row r="161" spans="12:12" ht="18.95" customHeight="1">
      <c r="L161" s="10"/>
    </row>
    <row r="162" spans="12:12" ht="18.95" customHeight="1">
      <c r="L162" s="10"/>
    </row>
    <row r="163" spans="12:12" ht="18.95" customHeight="1">
      <c r="L163" s="10"/>
    </row>
    <row r="164" spans="12:12" ht="18.95" customHeight="1">
      <c r="L164" s="10"/>
    </row>
    <row r="165" spans="12:12" ht="18.95" customHeight="1">
      <c r="L165" s="10"/>
    </row>
    <row r="166" spans="12:12" ht="18.95" customHeight="1">
      <c r="L166" s="10"/>
    </row>
    <row r="167" spans="12:12" ht="18.95" customHeight="1">
      <c r="L167" s="10"/>
    </row>
    <row r="168" spans="12:12" ht="18.95" customHeight="1">
      <c r="L168" s="10"/>
    </row>
    <row r="169" spans="12:12" ht="18.95" customHeight="1">
      <c r="L169" s="10"/>
    </row>
    <row r="170" spans="12:12" ht="18.95" customHeight="1">
      <c r="L170" s="10"/>
    </row>
    <row r="171" spans="12:12" ht="18.95" customHeight="1">
      <c r="L171" s="10"/>
    </row>
    <row r="172" spans="12:12" ht="18.95" customHeight="1">
      <c r="L172" s="10"/>
    </row>
    <row r="173" spans="12:12" ht="18.95" customHeight="1">
      <c r="L173" s="10"/>
    </row>
    <row r="174" spans="12:12" ht="18.95" customHeight="1">
      <c r="L174" s="10"/>
    </row>
    <row r="175" spans="12:12" ht="18.95" customHeight="1">
      <c r="L175" s="10"/>
    </row>
    <row r="176" spans="12:12" ht="18.95" customHeight="1">
      <c r="L176" s="10"/>
    </row>
    <row r="177" spans="12:12" ht="18.95" customHeight="1">
      <c r="L177" s="10"/>
    </row>
    <row r="178" spans="12:12" ht="18.95" customHeight="1">
      <c r="L178" s="10"/>
    </row>
    <row r="179" spans="12:12" ht="18.95" customHeight="1">
      <c r="L179" s="10"/>
    </row>
    <row r="180" spans="12:12" ht="18.95" customHeight="1">
      <c r="L180" s="10"/>
    </row>
    <row r="181" spans="12:12" ht="18.95" customHeight="1">
      <c r="L181" s="10"/>
    </row>
    <row r="182" spans="12:12" ht="18.95" customHeight="1">
      <c r="L182" s="10"/>
    </row>
    <row r="183" spans="12:12" ht="18.95" customHeight="1">
      <c r="L183" s="10"/>
    </row>
    <row r="184" spans="12:12" ht="18.95" customHeight="1">
      <c r="L184" s="10"/>
    </row>
    <row r="185" spans="12:12" ht="18.95" customHeight="1">
      <c r="L185" s="10"/>
    </row>
    <row r="186" spans="12:12" ht="18.95" customHeight="1">
      <c r="L186" s="10"/>
    </row>
    <row r="187" spans="12:12" ht="18.95" customHeight="1">
      <c r="L187" s="10"/>
    </row>
    <row r="188" spans="12:12" ht="18.95" customHeight="1">
      <c r="L188" s="10"/>
    </row>
    <row r="189" spans="12:12" ht="18.95" customHeight="1">
      <c r="L189" s="10"/>
    </row>
    <row r="190" spans="12:12" ht="18.95" customHeight="1">
      <c r="L190" s="10"/>
    </row>
    <row r="191" spans="12:12" ht="18.95" customHeight="1">
      <c r="L191" s="10"/>
    </row>
    <row r="192" spans="12:12" ht="18.95" customHeight="1">
      <c r="L192" s="10"/>
    </row>
    <row r="193" spans="12:12" ht="18.95" customHeight="1">
      <c r="L193" s="10"/>
    </row>
    <row r="194" spans="12:12" ht="18.95" customHeight="1">
      <c r="L194" s="10"/>
    </row>
    <row r="195" spans="12:12" ht="18.95" customHeight="1">
      <c r="L195" s="10"/>
    </row>
    <row r="196" spans="12:12" ht="18.95" customHeight="1">
      <c r="L196" s="10"/>
    </row>
    <row r="197" spans="12:12" ht="18.95" customHeight="1">
      <c r="L197" s="10"/>
    </row>
    <row r="198" spans="12:12" ht="18.95" customHeight="1">
      <c r="L198" s="10"/>
    </row>
    <row r="199" spans="12:12" ht="18.95" customHeight="1">
      <c r="L199" s="10"/>
    </row>
    <row r="200" spans="12:12" ht="18.95" customHeight="1">
      <c r="L200" s="10"/>
    </row>
    <row r="201" spans="12:12" ht="18.95" customHeight="1">
      <c r="L201" s="10"/>
    </row>
    <row r="202" spans="12:12" ht="18.95" customHeight="1">
      <c r="L202" s="10"/>
    </row>
    <row r="203" spans="12:12" ht="18.95" customHeight="1">
      <c r="L203" s="10"/>
    </row>
    <row r="204" spans="12:12" ht="18.95" customHeight="1">
      <c r="L204" s="10"/>
    </row>
    <row r="205" spans="12:12" ht="18.95" customHeight="1">
      <c r="L205" s="10"/>
    </row>
    <row r="206" spans="12:12" ht="18.95" customHeight="1">
      <c r="L206" s="10"/>
    </row>
    <row r="207" spans="12:12" ht="18.95" customHeight="1">
      <c r="L207" s="10"/>
    </row>
    <row r="208" spans="12:12" ht="18.95" customHeight="1">
      <c r="L208" s="10"/>
    </row>
    <row r="209" spans="12:12" ht="18.95" customHeight="1">
      <c r="L209" s="10"/>
    </row>
    <row r="210" spans="12:12" ht="18.95" customHeight="1">
      <c r="L210" s="10"/>
    </row>
    <row r="211" spans="12:12" ht="18.95" customHeight="1">
      <c r="L211" s="10"/>
    </row>
    <row r="212" spans="12:12" ht="18.95" customHeight="1">
      <c r="L212" s="10"/>
    </row>
    <row r="213" spans="12:12" ht="18.95" customHeight="1">
      <c r="L213" s="10"/>
    </row>
    <row r="214" spans="12:12" ht="18.95" customHeight="1">
      <c r="L214" s="10"/>
    </row>
    <row r="215" spans="12:12" ht="18.95" customHeight="1">
      <c r="L215" s="10"/>
    </row>
    <row r="216" spans="12:12" ht="18.95" customHeight="1">
      <c r="L216" s="10"/>
    </row>
    <row r="217" spans="12:12" ht="18.95" customHeight="1">
      <c r="L217" s="10"/>
    </row>
    <row r="218" spans="12:12" ht="18.95" customHeight="1">
      <c r="L218" s="10"/>
    </row>
    <row r="219" spans="12:12" ht="18.95" customHeight="1">
      <c r="L219" s="10"/>
    </row>
    <row r="220" spans="12:12" ht="18.95" customHeight="1">
      <c r="L220" s="10"/>
    </row>
    <row r="221" spans="12:12" ht="18.95" customHeight="1">
      <c r="L221" s="10"/>
    </row>
    <row r="222" spans="12:12" ht="18.95" customHeight="1">
      <c r="L222" s="10"/>
    </row>
    <row r="223" spans="12:12" ht="18.95" customHeight="1">
      <c r="L223" s="10"/>
    </row>
    <row r="224" spans="12:12" ht="18.95" customHeight="1">
      <c r="L224" s="10"/>
    </row>
    <row r="225" spans="12:12" ht="18.95" customHeight="1">
      <c r="L225" s="10"/>
    </row>
    <row r="226" spans="12:12" ht="18.95" customHeight="1">
      <c r="L226" s="10"/>
    </row>
    <row r="227" spans="12:12" ht="18.95" customHeight="1">
      <c r="L227" s="10"/>
    </row>
    <row r="228" spans="12:12" ht="18.95" customHeight="1">
      <c r="L228" s="10"/>
    </row>
    <row r="229" spans="12:12" ht="18.95" customHeight="1">
      <c r="L229" s="10"/>
    </row>
    <row r="230" spans="12:12" ht="18.95" customHeight="1">
      <c r="L230" s="10"/>
    </row>
    <row r="231" spans="12:12" ht="18.95" customHeight="1">
      <c r="L231" s="10"/>
    </row>
    <row r="232" spans="12:12" ht="18.95" customHeight="1">
      <c r="L232" s="10"/>
    </row>
    <row r="233" spans="12:12" ht="18.95" customHeight="1">
      <c r="L233" s="10"/>
    </row>
    <row r="234" spans="12:12" ht="18.95" customHeight="1">
      <c r="L234" s="10"/>
    </row>
    <row r="235" spans="12:12" ht="18.95" customHeight="1">
      <c r="L235" s="10"/>
    </row>
    <row r="236" spans="12:12" ht="18.95" customHeight="1">
      <c r="L236" s="10"/>
    </row>
    <row r="237" spans="12:12" ht="18.95" customHeight="1">
      <c r="L237" s="10"/>
    </row>
    <row r="238" spans="12:12" ht="18.95" customHeight="1">
      <c r="L238" s="10"/>
    </row>
    <row r="239" spans="12:12" ht="18.95" customHeight="1">
      <c r="L239" s="10"/>
    </row>
    <row r="240" spans="12:12" ht="18.95" customHeight="1">
      <c r="L240" s="10"/>
    </row>
    <row r="241" spans="12:12" ht="18.95" customHeight="1">
      <c r="L241" s="10"/>
    </row>
    <row r="242" spans="12:12" ht="18.95" customHeight="1">
      <c r="L242" s="10"/>
    </row>
    <row r="243" spans="12:12" ht="18.95" customHeight="1">
      <c r="L243" s="10"/>
    </row>
    <row r="244" spans="12:12" ht="18.95" customHeight="1">
      <c r="L244" s="10"/>
    </row>
    <row r="245" spans="12:12" ht="18.95" customHeight="1">
      <c r="L245" s="10"/>
    </row>
    <row r="246" spans="12:12" ht="18.95" customHeight="1">
      <c r="L246" s="10"/>
    </row>
    <row r="247" spans="12:12" ht="18.95" customHeight="1">
      <c r="L247" s="10"/>
    </row>
    <row r="248" spans="12:12" ht="18.95" customHeight="1">
      <c r="L248" s="10"/>
    </row>
    <row r="249" spans="12:12" ht="18.95" customHeight="1">
      <c r="L249" s="10"/>
    </row>
    <row r="250" spans="12:12" ht="18.95" customHeight="1">
      <c r="L250" s="10"/>
    </row>
    <row r="251" spans="12:12" ht="18.95" customHeight="1">
      <c r="L251" s="10"/>
    </row>
    <row r="252" spans="12:12" ht="18.95" customHeight="1">
      <c r="L252" s="10"/>
    </row>
    <row r="253" spans="12:12" ht="18.95" customHeight="1">
      <c r="L253" s="10"/>
    </row>
    <row r="254" spans="12:12" ht="18.95" customHeight="1">
      <c r="L254" s="10"/>
    </row>
    <row r="255" spans="12:12" ht="18.95" customHeight="1">
      <c r="L255" s="10"/>
    </row>
    <row r="256" spans="12:12" ht="18.95" customHeight="1">
      <c r="L256" s="10"/>
    </row>
    <row r="257" spans="12:12" ht="18.95" customHeight="1">
      <c r="L257" s="10"/>
    </row>
    <row r="258" spans="12:12" ht="18.95" customHeight="1">
      <c r="L258" s="10"/>
    </row>
    <row r="259" spans="12:12" ht="18.95" customHeight="1">
      <c r="L259" s="10"/>
    </row>
    <row r="260" spans="12:12" ht="18.95" customHeight="1">
      <c r="L260" s="10"/>
    </row>
    <row r="261" spans="12:12" ht="18.95" customHeight="1">
      <c r="L261" s="10"/>
    </row>
    <row r="262" spans="12:12" ht="18.95" customHeight="1">
      <c r="L262" s="10"/>
    </row>
    <row r="263" spans="12:12" ht="18.95" customHeight="1">
      <c r="L263" s="10"/>
    </row>
    <row r="264" spans="12:12" ht="18.95" customHeight="1">
      <c r="L264" s="10"/>
    </row>
    <row r="265" spans="12:12" ht="18.95" customHeight="1">
      <c r="L265" s="10"/>
    </row>
    <row r="266" spans="12:12" ht="18.95" customHeight="1">
      <c r="L266" s="10"/>
    </row>
    <row r="267" spans="12:12" ht="18.95" customHeight="1">
      <c r="L267" s="10"/>
    </row>
    <row r="268" spans="12:12" ht="18.95" customHeight="1">
      <c r="L268" s="10"/>
    </row>
    <row r="269" spans="12:12" ht="18.95" customHeight="1">
      <c r="L269" s="10"/>
    </row>
    <row r="270" spans="12:12" ht="18.95" customHeight="1">
      <c r="L270" s="10"/>
    </row>
    <row r="271" spans="12:12" ht="18.95" customHeight="1">
      <c r="L271" s="10"/>
    </row>
    <row r="272" spans="12:12" ht="18.95" customHeight="1">
      <c r="L272" s="10"/>
    </row>
    <row r="273" spans="12:12" ht="18.95" customHeight="1">
      <c r="L273" s="10"/>
    </row>
    <row r="274" spans="12:12" ht="18.95" customHeight="1">
      <c r="L274" s="10"/>
    </row>
    <row r="275" spans="12:12" ht="18.95" customHeight="1">
      <c r="L275" s="10"/>
    </row>
    <row r="276" spans="12:12" ht="18.95" customHeight="1">
      <c r="L276" s="10"/>
    </row>
    <row r="277" spans="12:12" ht="18.95" customHeight="1">
      <c r="L277" s="10"/>
    </row>
    <row r="278" spans="12:12" ht="18.95" customHeight="1">
      <c r="L278" s="10"/>
    </row>
    <row r="279" spans="12:12" ht="18.95" customHeight="1">
      <c r="L279" s="10"/>
    </row>
    <row r="280" spans="12:12" ht="18.95" customHeight="1">
      <c r="L280" s="10"/>
    </row>
    <row r="281" spans="12:12" ht="18.95" customHeight="1">
      <c r="L281" s="10"/>
    </row>
    <row r="282" spans="12:12" ht="18.95" customHeight="1">
      <c r="L282" s="10"/>
    </row>
    <row r="283" spans="12:12" ht="18.95" customHeight="1">
      <c r="L283" s="10"/>
    </row>
    <row r="284" spans="12:12" ht="18.95" customHeight="1">
      <c r="L284" s="10"/>
    </row>
    <row r="285" spans="12:12" ht="18.95" customHeight="1">
      <c r="L285" s="10"/>
    </row>
    <row r="286" spans="12:12" ht="18.95" customHeight="1">
      <c r="L286" s="10"/>
    </row>
    <row r="287" spans="12:12" ht="18.95" customHeight="1">
      <c r="L287" s="10"/>
    </row>
    <row r="288" spans="12:12" ht="18.95" customHeight="1">
      <c r="L288" s="10"/>
    </row>
    <row r="289" spans="12:12" ht="18.95" customHeight="1">
      <c r="L289" s="10"/>
    </row>
    <row r="290" spans="12:12" ht="18.95" customHeight="1">
      <c r="L290" s="10"/>
    </row>
    <row r="291" spans="12:12" ht="18.95" customHeight="1">
      <c r="L291" s="10"/>
    </row>
    <row r="292" spans="12:12" ht="18.95" customHeight="1">
      <c r="L292" s="10"/>
    </row>
    <row r="293" spans="12:12" ht="18.95" customHeight="1">
      <c r="L293" s="10"/>
    </row>
    <row r="294" spans="12:12" ht="18.95" customHeight="1">
      <c r="L294" s="10"/>
    </row>
    <row r="295" spans="12:12" ht="18.95" customHeight="1">
      <c r="L295" s="10"/>
    </row>
    <row r="296" spans="12:12" ht="18.95" customHeight="1">
      <c r="L296" s="10"/>
    </row>
    <row r="297" spans="12:12" ht="18.95" customHeight="1">
      <c r="L297" s="10"/>
    </row>
    <row r="298" spans="12:12" ht="18.95" customHeight="1">
      <c r="L298" s="10"/>
    </row>
    <row r="299" spans="12:12" ht="18.95" customHeight="1">
      <c r="L299" s="10"/>
    </row>
    <row r="300" spans="12:12" ht="18.95" customHeight="1">
      <c r="L300" s="10"/>
    </row>
    <row r="301" spans="12:12" ht="18.95" customHeight="1">
      <c r="L301" s="10"/>
    </row>
    <row r="302" spans="12:12" ht="18.95" customHeight="1">
      <c r="L302" s="10"/>
    </row>
    <row r="303" spans="12:12" ht="18.95" customHeight="1">
      <c r="L303" s="10"/>
    </row>
    <row r="304" spans="12:12" ht="18.95" customHeight="1">
      <c r="L304" s="10"/>
    </row>
    <row r="305" spans="12:12" ht="18.95" customHeight="1">
      <c r="L305" s="10"/>
    </row>
    <row r="306" spans="12:12" ht="18.95" customHeight="1">
      <c r="L306" s="10"/>
    </row>
    <row r="307" spans="12:12" ht="18.95" customHeight="1">
      <c r="L307" s="10"/>
    </row>
    <row r="308" spans="12:12" ht="18.95" customHeight="1">
      <c r="L308" s="10"/>
    </row>
    <row r="309" spans="12:12" ht="18.95" customHeight="1">
      <c r="L309" s="10"/>
    </row>
    <row r="310" spans="12:12" ht="18.95" customHeight="1">
      <c r="L310" s="10"/>
    </row>
    <row r="311" spans="12:12" ht="18.95" customHeight="1">
      <c r="L311" s="10"/>
    </row>
    <row r="312" spans="12:12" ht="18.95" customHeight="1">
      <c r="L312" s="10"/>
    </row>
    <row r="313" spans="12:12" ht="18.95" customHeight="1">
      <c r="L313" s="10"/>
    </row>
    <row r="314" spans="12:12" ht="18.95" customHeight="1">
      <c r="L314" s="10"/>
    </row>
    <row r="315" spans="12:12" ht="18.95" customHeight="1">
      <c r="L315" s="10"/>
    </row>
    <row r="316" spans="12:12" ht="18.95" customHeight="1">
      <c r="L316" s="10"/>
    </row>
    <row r="317" spans="12:12" ht="18.95" customHeight="1">
      <c r="L317" s="10"/>
    </row>
    <row r="318" spans="12:12" ht="18.95" customHeight="1">
      <c r="L318" s="10"/>
    </row>
    <row r="319" spans="12:12" ht="18.95" customHeight="1">
      <c r="L319" s="10"/>
    </row>
    <row r="320" spans="12:12" ht="18.95" customHeight="1">
      <c r="L320" s="10"/>
    </row>
    <row r="321" spans="12:12" ht="18.95" customHeight="1">
      <c r="L321" s="10"/>
    </row>
    <row r="322" spans="12:12" ht="18.95" customHeight="1">
      <c r="L322" s="10"/>
    </row>
    <row r="323" spans="12:12" ht="18.95" customHeight="1">
      <c r="L323" s="10"/>
    </row>
    <row r="324" spans="12:12" ht="18.95" customHeight="1">
      <c r="L324" s="10"/>
    </row>
    <row r="325" spans="12:12" ht="18.95" customHeight="1">
      <c r="L325" s="10"/>
    </row>
    <row r="326" spans="12:12" ht="18.95" customHeight="1">
      <c r="L326" s="10"/>
    </row>
    <row r="327" spans="12:12" ht="18.95" customHeight="1">
      <c r="L327" s="10"/>
    </row>
    <row r="328" spans="12:12" ht="18.95" customHeight="1">
      <c r="L328" s="10"/>
    </row>
    <row r="329" spans="12:12" ht="18.95" customHeight="1">
      <c r="L329" s="10"/>
    </row>
    <row r="330" spans="12:12" ht="18.95" customHeight="1">
      <c r="L330" s="10"/>
    </row>
    <row r="331" spans="12:12" ht="18.95" customHeight="1">
      <c r="L331" s="10"/>
    </row>
    <row r="332" spans="12:12" ht="18.95" customHeight="1">
      <c r="L332" s="10"/>
    </row>
    <row r="333" spans="12:12" ht="18.95" customHeight="1">
      <c r="L333" s="10"/>
    </row>
    <row r="334" spans="12:12" ht="18.95" customHeight="1">
      <c r="L334" s="10"/>
    </row>
    <row r="335" spans="12:12" ht="18.95" customHeight="1">
      <c r="L335" s="10"/>
    </row>
    <row r="336" spans="12:12" ht="18.95" customHeight="1">
      <c r="L336" s="10"/>
    </row>
    <row r="337" spans="12:12" ht="18.95" customHeight="1">
      <c r="L337" s="10"/>
    </row>
    <row r="338" spans="12:12" ht="18.95" customHeight="1">
      <c r="L338" s="10"/>
    </row>
    <row r="339" spans="12:12" ht="18.95" customHeight="1">
      <c r="L339" s="10"/>
    </row>
    <row r="340" spans="12:12" ht="18.95" customHeight="1">
      <c r="L340" s="10"/>
    </row>
    <row r="341" spans="12:12" ht="18.95" customHeight="1">
      <c r="L341" s="10"/>
    </row>
    <row r="342" spans="12:12" ht="18.95" customHeight="1">
      <c r="L342" s="10"/>
    </row>
    <row r="343" spans="12:12" ht="18.95" customHeight="1">
      <c r="L343" s="10"/>
    </row>
    <row r="344" spans="12:12" ht="18.95" customHeight="1">
      <c r="L344" s="10"/>
    </row>
    <row r="345" spans="12:12" ht="18.95" customHeight="1">
      <c r="L345" s="10"/>
    </row>
    <row r="346" spans="12:12" ht="18.95" customHeight="1">
      <c r="L346" s="10"/>
    </row>
    <row r="347" spans="12:12" ht="18.95" customHeight="1">
      <c r="L347" s="10"/>
    </row>
    <row r="348" spans="12:12" ht="18.95" customHeight="1">
      <c r="L348" s="10"/>
    </row>
    <row r="349" spans="12:12" ht="18.95" customHeight="1">
      <c r="L349" s="10"/>
    </row>
    <row r="350" spans="12:12" ht="18.95" customHeight="1">
      <c r="L350" s="10"/>
    </row>
    <row r="351" spans="12:12" ht="18.95" customHeight="1">
      <c r="L351" s="10"/>
    </row>
    <row r="352" spans="12:12" ht="18.95" customHeight="1">
      <c r="L352" s="10"/>
    </row>
    <row r="353" spans="12:12" ht="18.95" customHeight="1">
      <c r="L353" s="10"/>
    </row>
    <row r="354" spans="12:12" ht="18.95" customHeight="1">
      <c r="L354" s="10"/>
    </row>
    <row r="355" spans="12:12" ht="18.95" customHeight="1">
      <c r="L355" s="10"/>
    </row>
    <row r="356" spans="12:12" ht="18.95" customHeight="1">
      <c r="L356" s="10"/>
    </row>
    <row r="357" spans="12:12" ht="18.95" customHeight="1">
      <c r="L357" s="10"/>
    </row>
    <row r="358" spans="12:12" ht="18.95" customHeight="1">
      <c r="L358" s="10"/>
    </row>
    <row r="359" spans="12:12" ht="18.95" customHeight="1">
      <c r="L359" s="10"/>
    </row>
    <row r="360" spans="12:12" ht="18.95" customHeight="1">
      <c r="L360" s="10"/>
    </row>
    <row r="361" spans="12:12" ht="18.95" customHeight="1">
      <c r="L361" s="10"/>
    </row>
    <row r="362" spans="12:12" ht="18.95" customHeight="1">
      <c r="L362" s="10"/>
    </row>
    <row r="363" spans="12:12" ht="18.95" customHeight="1">
      <c r="L363" s="10"/>
    </row>
    <row r="364" spans="12:12" ht="18.95" customHeight="1">
      <c r="L364" s="10"/>
    </row>
    <row r="365" spans="12:12" ht="18.95" customHeight="1">
      <c r="L365" s="10"/>
    </row>
    <row r="366" spans="12:12" ht="18.95" customHeight="1">
      <c r="L366" s="10"/>
    </row>
    <row r="367" spans="12:12" ht="18.95" customHeight="1">
      <c r="L367" s="10"/>
    </row>
    <row r="368" spans="12:12" ht="18.95" customHeight="1">
      <c r="L368" s="10"/>
    </row>
    <row r="369" spans="12:12" ht="18.95" customHeight="1">
      <c r="L369" s="10"/>
    </row>
    <row r="370" spans="12:12" ht="18.95" customHeight="1">
      <c r="L370" s="10"/>
    </row>
    <row r="371" spans="12:12" ht="18.95" customHeight="1">
      <c r="L371" s="10"/>
    </row>
    <row r="372" spans="12:12" ht="18.95" customHeight="1">
      <c r="L372" s="10"/>
    </row>
    <row r="373" spans="12:12" ht="18.95" customHeight="1">
      <c r="L373" s="10"/>
    </row>
    <row r="374" spans="12:12" ht="18.95" customHeight="1">
      <c r="L374" s="10"/>
    </row>
    <row r="375" spans="12:12" ht="18.95" customHeight="1">
      <c r="L375" s="10"/>
    </row>
    <row r="376" spans="12:12" ht="18.95" customHeight="1">
      <c r="L376" s="10"/>
    </row>
    <row r="377" spans="12:12" ht="18.95" customHeight="1">
      <c r="L377" s="10"/>
    </row>
    <row r="378" spans="12:12" ht="18.95" customHeight="1">
      <c r="L378" s="10"/>
    </row>
    <row r="379" spans="12:12" ht="18.95" customHeight="1">
      <c r="L379" s="10"/>
    </row>
    <row r="380" spans="12:12" ht="18.95" customHeight="1">
      <c r="L380" s="10"/>
    </row>
    <row r="381" spans="12:12" ht="18.95" customHeight="1">
      <c r="L381" s="10"/>
    </row>
    <row r="382" spans="12:12" ht="18.95" customHeight="1">
      <c r="L382" s="10"/>
    </row>
    <row r="383" spans="12:12" ht="18.95" customHeight="1">
      <c r="L383" s="10"/>
    </row>
    <row r="384" spans="12:12" ht="18.95" customHeight="1">
      <c r="L384" s="10"/>
    </row>
    <row r="385" spans="12:12" ht="18.95" customHeight="1">
      <c r="L385" s="10"/>
    </row>
    <row r="386" spans="12:12" ht="18.95" customHeight="1">
      <c r="L386" s="10"/>
    </row>
    <row r="387" spans="12:12" ht="18.95" customHeight="1">
      <c r="L387" s="10"/>
    </row>
    <row r="388" spans="12:12" ht="18.95" customHeight="1">
      <c r="L388" s="10"/>
    </row>
    <row r="389" spans="12:12" ht="18.95" customHeight="1">
      <c r="L389" s="10"/>
    </row>
    <row r="390" spans="12:12" ht="18.95" customHeight="1">
      <c r="L390" s="10"/>
    </row>
    <row r="391" spans="12:12" ht="18.95" customHeight="1">
      <c r="L391" s="10"/>
    </row>
    <row r="392" spans="12:12" ht="18.95" customHeight="1">
      <c r="L392" s="10"/>
    </row>
    <row r="393" spans="12:12" ht="18.95" customHeight="1">
      <c r="L393" s="10"/>
    </row>
    <row r="394" spans="12:12" ht="18.95" customHeight="1">
      <c r="L394" s="10"/>
    </row>
    <row r="395" spans="12:12" ht="18.95" customHeight="1">
      <c r="L395" s="10"/>
    </row>
    <row r="396" spans="12:12" ht="18.95" customHeight="1">
      <c r="L396" s="10"/>
    </row>
    <row r="397" spans="12:12" ht="18.95" customHeight="1">
      <c r="L397" s="10"/>
    </row>
    <row r="398" spans="12:12" ht="18.95" customHeight="1">
      <c r="L398" s="10"/>
    </row>
    <row r="399" spans="12:12" ht="18.95" customHeight="1">
      <c r="L399" s="10"/>
    </row>
    <row r="400" spans="12:12" ht="18.95" customHeight="1">
      <c r="L400" s="10"/>
    </row>
    <row r="401" spans="12:12" ht="18.95" customHeight="1">
      <c r="L401" s="10"/>
    </row>
    <row r="402" spans="12:12" ht="18.95" customHeight="1">
      <c r="L402" s="10"/>
    </row>
    <row r="403" spans="12:12" ht="18.95" customHeight="1">
      <c r="L403" s="10"/>
    </row>
    <row r="404" spans="12:12" ht="18.95" customHeight="1">
      <c r="L404" s="10"/>
    </row>
    <row r="405" spans="12:12" ht="18.95" customHeight="1">
      <c r="L405" s="10"/>
    </row>
    <row r="406" spans="12:12" ht="18.95" customHeight="1">
      <c r="L406" s="10"/>
    </row>
    <row r="407" spans="12:12" ht="18.95" customHeight="1">
      <c r="L407" s="10"/>
    </row>
    <row r="408" spans="12:12" ht="18.95" customHeight="1">
      <c r="L408" s="10"/>
    </row>
    <row r="409" spans="12:12" ht="18.95" customHeight="1">
      <c r="L409" s="10"/>
    </row>
    <row r="410" spans="12:12" ht="18.95" customHeight="1">
      <c r="L410" s="10"/>
    </row>
    <row r="411" spans="12:12" ht="18.95" customHeight="1">
      <c r="L411" s="10"/>
    </row>
    <row r="412" spans="12:12" ht="18.95" customHeight="1">
      <c r="L412" s="10"/>
    </row>
    <row r="413" spans="12:12" ht="18.95" customHeight="1">
      <c r="L413" s="10"/>
    </row>
    <row r="414" spans="12:12" ht="18.95" customHeight="1">
      <c r="L414" s="10"/>
    </row>
    <row r="415" spans="12:12" ht="18.95" customHeight="1">
      <c r="L415" s="10"/>
    </row>
    <row r="416" spans="12:12" ht="18.95" customHeight="1">
      <c r="L416" s="10"/>
    </row>
    <row r="417" spans="12:12" ht="18.95" customHeight="1">
      <c r="L417" s="10"/>
    </row>
    <row r="418" spans="12:12" ht="18.95" customHeight="1">
      <c r="L418" s="10"/>
    </row>
    <row r="419" spans="12:12" ht="18.95" customHeight="1">
      <c r="L419" s="10"/>
    </row>
    <row r="420" spans="12:12" ht="18.95" customHeight="1">
      <c r="L420" s="10"/>
    </row>
    <row r="421" spans="12:12" ht="18.95" customHeight="1">
      <c r="L421" s="10"/>
    </row>
    <row r="422" spans="12:12" ht="18.95" customHeight="1">
      <c r="L422" s="10"/>
    </row>
    <row r="423" spans="12:12" ht="18.95" customHeight="1">
      <c r="L423" s="10"/>
    </row>
    <row r="424" spans="12:12" ht="18.95" customHeight="1">
      <c r="L424" s="10"/>
    </row>
    <row r="425" spans="12:12" ht="18.95" customHeight="1">
      <c r="L425" s="10"/>
    </row>
    <row r="426" spans="12:12" ht="18.95" customHeight="1">
      <c r="L426" s="10"/>
    </row>
    <row r="427" spans="12:12" ht="18.95" customHeight="1">
      <c r="L427" s="10"/>
    </row>
    <row r="428" spans="12:12" ht="18.95" customHeight="1">
      <c r="L428" s="10"/>
    </row>
    <row r="429" spans="12:12" ht="18.95" customHeight="1">
      <c r="L429" s="10"/>
    </row>
    <row r="430" spans="12:12" ht="18.95" customHeight="1">
      <c r="L430" s="10"/>
    </row>
    <row r="431" spans="12:12" ht="18.95" customHeight="1">
      <c r="L431" s="10"/>
    </row>
    <row r="432" spans="12:12" ht="18.95" customHeight="1">
      <c r="L432" s="10"/>
    </row>
    <row r="433" spans="12:12" ht="18.95" customHeight="1">
      <c r="L433" s="10"/>
    </row>
    <row r="434" spans="12:12" ht="18.95" customHeight="1">
      <c r="L434" s="10"/>
    </row>
    <row r="435" spans="12:12" ht="18.95" customHeight="1">
      <c r="L435" s="10"/>
    </row>
    <row r="436" spans="12:12" ht="18.95" customHeight="1">
      <c r="L436" s="10"/>
    </row>
    <row r="437" spans="12:12" ht="18.95" customHeight="1">
      <c r="L437" s="10"/>
    </row>
    <row r="438" spans="12:12" ht="18.95" customHeight="1">
      <c r="L438" s="10"/>
    </row>
    <row r="439" spans="12:12" ht="18.95" customHeight="1">
      <c r="L439" s="10"/>
    </row>
    <row r="440" spans="12:12" ht="18.95" customHeight="1">
      <c r="L440" s="10"/>
    </row>
    <row r="441" spans="12:12" ht="18.95" customHeight="1">
      <c r="L441" s="10"/>
    </row>
    <row r="442" spans="12:12" ht="18.95" customHeight="1">
      <c r="L442" s="10"/>
    </row>
    <row r="443" spans="12:12" ht="18.95" customHeight="1">
      <c r="L443" s="10"/>
    </row>
    <row r="444" spans="12:12" ht="18.95" customHeight="1">
      <c r="L444" s="10"/>
    </row>
    <row r="445" spans="12:12" ht="18.95" customHeight="1">
      <c r="L445" s="10"/>
    </row>
    <row r="446" spans="12:12" ht="18.95" customHeight="1">
      <c r="L446" s="10"/>
    </row>
    <row r="447" spans="12:12" ht="18.95" customHeight="1">
      <c r="L447" s="10"/>
    </row>
    <row r="448" spans="12:12" ht="18.95" customHeight="1">
      <c r="L448" s="10"/>
    </row>
    <row r="449" spans="12:12" ht="18.95" customHeight="1">
      <c r="L449" s="10"/>
    </row>
    <row r="450" spans="12:12" ht="18.95" customHeight="1">
      <c r="L450" s="10"/>
    </row>
    <row r="451" spans="12:12" ht="18.95" customHeight="1">
      <c r="L451" s="10"/>
    </row>
    <row r="452" spans="12:12" ht="18.95" customHeight="1">
      <c r="L452" s="10"/>
    </row>
    <row r="453" spans="12:12" ht="18.95" customHeight="1">
      <c r="L453" s="10"/>
    </row>
    <row r="454" spans="12:12" ht="18.95" customHeight="1">
      <c r="L454" s="10"/>
    </row>
    <row r="455" spans="12:12" ht="18.95" customHeight="1">
      <c r="L455" s="10"/>
    </row>
    <row r="456" spans="12:12" ht="18.95" customHeight="1">
      <c r="L456" s="10"/>
    </row>
    <row r="457" spans="12:12" ht="18.95" customHeight="1">
      <c r="L457" s="10"/>
    </row>
    <row r="458" spans="12:12" ht="18.95" customHeight="1">
      <c r="L458" s="10"/>
    </row>
    <row r="459" spans="12:12" ht="18.95" customHeight="1">
      <c r="L459" s="10"/>
    </row>
    <row r="460" spans="12:12" ht="18.95" customHeight="1">
      <c r="L460" s="10"/>
    </row>
    <row r="461" spans="12:12" ht="18.95" customHeight="1">
      <c r="L461" s="10"/>
    </row>
    <row r="462" spans="12:12" ht="18.95" customHeight="1">
      <c r="L462" s="10"/>
    </row>
    <row r="463" spans="12:12" ht="18.95" customHeight="1">
      <c r="L463" s="10"/>
    </row>
    <row r="464" spans="12:12" ht="18.95" customHeight="1">
      <c r="L464" s="10"/>
    </row>
    <row r="465" spans="12:12" ht="18.95" customHeight="1">
      <c r="L465" s="10"/>
    </row>
    <row r="466" spans="12:12" ht="18.95" customHeight="1">
      <c r="L466" s="10"/>
    </row>
    <row r="467" spans="12:12" ht="18.95" customHeight="1">
      <c r="L467" s="10"/>
    </row>
    <row r="468" spans="12:12" ht="18.95" customHeight="1">
      <c r="L468" s="10"/>
    </row>
    <row r="469" spans="12:12" ht="18.95" customHeight="1">
      <c r="L469" s="10"/>
    </row>
    <row r="470" spans="12:12" ht="18.95" customHeight="1">
      <c r="L470" s="10"/>
    </row>
    <row r="471" spans="12:12" ht="18.95" customHeight="1">
      <c r="L471" s="10"/>
    </row>
    <row r="472" spans="12:12" ht="18.95" customHeight="1">
      <c r="L472" s="10"/>
    </row>
    <row r="473" spans="12:12" ht="18.95" customHeight="1">
      <c r="L473" s="10"/>
    </row>
    <row r="474" spans="12:12" ht="18.95" customHeight="1">
      <c r="L474" s="10"/>
    </row>
    <row r="475" spans="12:12" ht="18.95" customHeight="1">
      <c r="L475" s="10"/>
    </row>
    <row r="476" spans="12:12" ht="18.95" customHeight="1">
      <c r="L476" s="10"/>
    </row>
    <row r="477" spans="12:12" ht="18.95" customHeight="1">
      <c r="L477" s="10"/>
    </row>
    <row r="478" spans="12:12" ht="18.95" customHeight="1">
      <c r="L478" s="10"/>
    </row>
    <row r="479" spans="12:12" ht="18.95" customHeight="1">
      <c r="L479" s="10"/>
    </row>
    <row r="480" spans="12:12" ht="18.95" customHeight="1">
      <c r="L480" s="10"/>
    </row>
    <row r="481" spans="12:12" ht="18.95" customHeight="1">
      <c r="L481" s="10"/>
    </row>
    <row r="482" spans="12:12" ht="18.95" customHeight="1">
      <c r="L482" s="10"/>
    </row>
    <row r="483" spans="12:12" ht="18.95" customHeight="1">
      <c r="L483" s="10"/>
    </row>
    <row r="484" spans="12:12" ht="18.95" customHeight="1">
      <c r="L484" s="10"/>
    </row>
    <row r="485" spans="12:12" ht="18.95" customHeight="1">
      <c r="L485" s="10"/>
    </row>
    <row r="486" spans="12:12" ht="18.95" customHeight="1">
      <c r="L486" s="10"/>
    </row>
    <row r="487" spans="12:12" ht="18.95" customHeight="1">
      <c r="L487" s="10"/>
    </row>
    <row r="488" spans="12:12" ht="18.95" customHeight="1">
      <c r="L488" s="10"/>
    </row>
    <row r="489" spans="12:12" ht="18.95" customHeight="1">
      <c r="L489" s="10"/>
    </row>
    <row r="490" spans="12:12" ht="18.95" customHeight="1">
      <c r="L490" s="10"/>
    </row>
    <row r="491" spans="12:12" ht="18.95" customHeight="1">
      <c r="L491" s="10"/>
    </row>
    <row r="492" spans="12:12" ht="18.95" customHeight="1">
      <c r="L492" s="10"/>
    </row>
    <row r="493" spans="12:12" ht="18.95" customHeight="1">
      <c r="L493" s="10"/>
    </row>
    <row r="494" spans="12:12" ht="18.95" customHeight="1">
      <c r="L494" s="10"/>
    </row>
    <row r="495" spans="12:12" ht="18.95" customHeight="1">
      <c r="L495" s="10"/>
    </row>
    <row r="496" spans="12:12" ht="18.95" customHeight="1">
      <c r="L496" s="10"/>
    </row>
    <row r="497" spans="12:12" ht="18.95" customHeight="1">
      <c r="L497" s="10"/>
    </row>
    <row r="498" spans="12:12" ht="18.95" customHeight="1">
      <c r="L498" s="10"/>
    </row>
    <row r="499" spans="12:12" ht="18.95" customHeight="1">
      <c r="L499" s="10"/>
    </row>
    <row r="500" spans="12:12" ht="18.95" customHeight="1">
      <c r="L500" s="10"/>
    </row>
    <row r="501" spans="12:12" ht="18.95" customHeight="1">
      <c r="L501" s="10"/>
    </row>
    <row r="502" spans="12:12" ht="18.95" customHeight="1">
      <c r="L502" s="10"/>
    </row>
    <row r="503" spans="12:12" ht="18.95" customHeight="1">
      <c r="L503" s="10"/>
    </row>
    <row r="504" spans="12:12" ht="18.95" customHeight="1">
      <c r="L504" s="10"/>
    </row>
    <row r="505" spans="12:12" ht="18.95" customHeight="1">
      <c r="L505" s="10"/>
    </row>
    <row r="506" spans="12:12" ht="18.95" customHeight="1">
      <c r="L506" s="10"/>
    </row>
    <row r="507" spans="12:12" ht="18.95" customHeight="1">
      <c r="L507" s="10"/>
    </row>
    <row r="508" spans="12:12" ht="18.95" customHeight="1">
      <c r="L508" s="10"/>
    </row>
    <row r="509" spans="12:12" ht="18.95" customHeight="1">
      <c r="L509" s="10"/>
    </row>
    <row r="510" spans="12:12" ht="18.95" customHeight="1">
      <c r="L510" s="10"/>
    </row>
    <row r="511" spans="12:12" ht="18.95" customHeight="1">
      <c r="L511" s="10"/>
    </row>
    <row r="512" spans="12:12" ht="18.95" customHeight="1">
      <c r="L512" s="10"/>
    </row>
    <row r="513" spans="12:12" ht="18.95" customHeight="1">
      <c r="L513" s="10"/>
    </row>
    <row r="514" spans="12:12" ht="18.95" customHeight="1">
      <c r="L514" s="10"/>
    </row>
    <row r="515" spans="12:12" ht="18.95" customHeight="1">
      <c r="L515" s="10"/>
    </row>
    <row r="516" spans="12:12" ht="18.95" customHeight="1">
      <c r="L516" s="10"/>
    </row>
    <row r="517" spans="12:12" ht="18.95" customHeight="1">
      <c r="L517" s="10"/>
    </row>
    <row r="518" spans="12:12" ht="18.95" customHeight="1">
      <c r="L518" s="10"/>
    </row>
    <row r="519" spans="12:12" ht="18.95" customHeight="1">
      <c r="L519" s="10"/>
    </row>
    <row r="520" spans="12:12" ht="18.95" customHeight="1">
      <c r="L520" s="10"/>
    </row>
    <row r="521" spans="12:12" ht="18.95" customHeight="1">
      <c r="L521" s="10"/>
    </row>
    <row r="522" spans="12:12" ht="18.95" customHeight="1">
      <c r="L522" s="10"/>
    </row>
    <row r="523" spans="12:12" ht="18.95" customHeight="1">
      <c r="L523" s="10"/>
    </row>
    <row r="524" spans="12:12" ht="18.95" customHeight="1">
      <c r="L524" s="10"/>
    </row>
    <row r="525" spans="12:12" ht="18.95" customHeight="1">
      <c r="L525" s="10"/>
    </row>
    <row r="526" spans="12:12" ht="18.95" customHeight="1">
      <c r="L526" s="10"/>
    </row>
    <row r="527" spans="12:12" ht="18.95" customHeight="1">
      <c r="L527" s="10"/>
    </row>
    <row r="528" spans="12:12" ht="18.95" customHeight="1">
      <c r="L528" s="10"/>
    </row>
    <row r="529" spans="12:12" ht="18.95" customHeight="1">
      <c r="L529" s="10"/>
    </row>
    <row r="530" spans="12:12" ht="18.95" customHeight="1">
      <c r="L530" s="10"/>
    </row>
    <row r="531" spans="12:12" ht="18.95" customHeight="1">
      <c r="L531" s="10"/>
    </row>
    <row r="532" spans="12:12" ht="18.95" customHeight="1">
      <c r="L532" s="10"/>
    </row>
    <row r="533" spans="12:12" ht="18.95" customHeight="1">
      <c r="L533" s="10"/>
    </row>
    <row r="534" spans="12:12" ht="18.95" customHeight="1">
      <c r="L534" s="10"/>
    </row>
    <row r="535" spans="12:12" ht="18.95" customHeight="1">
      <c r="L535" s="10"/>
    </row>
    <row r="536" spans="12:12" ht="18.95" customHeight="1">
      <c r="L536" s="10"/>
    </row>
    <row r="537" spans="12:12" ht="18.95" customHeight="1">
      <c r="L537" s="10"/>
    </row>
    <row r="538" spans="12:12" ht="18.95" customHeight="1">
      <c r="L538" s="10"/>
    </row>
    <row r="539" spans="12:12" ht="18.95" customHeight="1">
      <c r="L539" s="10"/>
    </row>
    <row r="540" spans="12:12" ht="18.95" customHeight="1">
      <c r="L540" s="10"/>
    </row>
    <row r="541" spans="12:12" ht="18.95" customHeight="1">
      <c r="L541" s="10"/>
    </row>
    <row r="542" spans="12:12" ht="18.95" customHeight="1">
      <c r="L542" s="10"/>
    </row>
    <row r="543" spans="12:12" ht="18.95" customHeight="1">
      <c r="L543" s="10"/>
    </row>
    <row r="544" spans="12:12" ht="18.95" customHeight="1">
      <c r="L544" s="10"/>
    </row>
    <row r="545" spans="12:12" ht="18.95" customHeight="1">
      <c r="L545" s="10"/>
    </row>
    <row r="546" spans="12:12" ht="18.95" customHeight="1">
      <c r="L546" s="10"/>
    </row>
    <row r="547" spans="12:12" ht="18.95" customHeight="1">
      <c r="L547" s="10"/>
    </row>
    <row r="548" spans="12:12" ht="18.95" customHeight="1">
      <c r="L548" s="10"/>
    </row>
    <row r="549" spans="12:12" ht="18.95" customHeight="1">
      <c r="L549" s="10"/>
    </row>
    <row r="550" spans="12:12" ht="18.95" customHeight="1">
      <c r="L550" s="10"/>
    </row>
    <row r="551" spans="12:12" ht="18.95" customHeight="1">
      <c r="L551" s="10"/>
    </row>
    <row r="552" spans="12:12" ht="18.95" customHeight="1">
      <c r="L552" s="10"/>
    </row>
    <row r="553" spans="12:12" ht="18.95" customHeight="1">
      <c r="L553" s="10"/>
    </row>
    <row r="554" spans="12:12" ht="18.95" customHeight="1">
      <c r="L554" s="10"/>
    </row>
    <row r="555" spans="12:12" ht="18.95" customHeight="1">
      <c r="L555" s="10"/>
    </row>
    <row r="556" spans="12:12" ht="18.95" customHeight="1">
      <c r="L556" s="10"/>
    </row>
    <row r="557" spans="12:12" ht="18.95" customHeight="1">
      <c r="L557" s="10"/>
    </row>
    <row r="558" spans="12:12" ht="18.95" customHeight="1">
      <c r="L558" s="10"/>
    </row>
    <row r="559" spans="12:12" ht="18.95" customHeight="1">
      <c r="L559" s="10"/>
    </row>
    <row r="560" spans="12:12" ht="18.95" customHeight="1">
      <c r="L560" s="10"/>
    </row>
    <row r="561" spans="12:12" ht="18.95" customHeight="1">
      <c r="L561" s="10"/>
    </row>
    <row r="562" spans="12:12" ht="18.95" customHeight="1">
      <c r="L562" s="10"/>
    </row>
    <row r="563" spans="12:12" ht="18.95" customHeight="1">
      <c r="L563" s="10"/>
    </row>
    <row r="564" spans="12:12" ht="18.95" customHeight="1">
      <c r="L564" s="10"/>
    </row>
    <row r="565" spans="12:12" ht="18.95" customHeight="1">
      <c r="L565" s="10"/>
    </row>
    <row r="566" spans="12:12" ht="18.95" customHeight="1">
      <c r="L566" s="10"/>
    </row>
    <row r="567" spans="12:12" ht="18.95" customHeight="1">
      <c r="L567" s="10"/>
    </row>
    <row r="568" spans="12:12" ht="18.95" customHeight="1">
      <c r="L568" s="10"/>
    </row>
    <row r="569" spans="12:12" ht="18.95" customHeight="1">
      <c r="L569" s="10"/>
    </row>
    <row r="570" spans="12:12" ht="18.95" customHeight="1">
      <c r="L570" s="10"/>
    </row>
    <row r="571" spans="12:12" ht="18.95" customHeight="1">
      <c r="L571" s="10"/>
    </row>
    <row r="572" spans="12:12" ht="18.95" customHeight="1">
      <c r="L572" s="10"/>
    </row>
    <row r="573" spans="12:12" ht="18.95" customHeight="1">
      <c r="L573" s="10"/>
    </row>
    <row r="574" spans="12:12" ht="18.95" customHeight="1">
      <c r="L574" s="10"/>
    </row>
    <row r="575" spans="12:12" ht="18.95" customHeight="1">
      <c r="L575" s="10"/>
    </row>
    <row r="576" spans="12:12" ht="18.95" customHeight="1">
      <c r="L576" s="10"/>
    </row>
    <row r="577" spans="12:12" ht="18.95" customHeight="1">
      <c r="L577" s="10"/>
    </row>
    <row r="578" spans="12:12" ht="18.95" customHeight="1">
      <c r="L578" s="10"/>
    </row>
    <row r="579" spans="12:12" ht="18.95" customHeight="1">
      <c r="L579" s="10"/>
    </row>
    <row r="580" spans="12:12" ht="18.95" customHeight="1">
      <c r="L580" s="10"/>
    </row>
    <row r="581" spans="12:12" ht="18.95" customHeight="1">
      <c r="L581" s="10"/>
    </row>
    <row r="582" spans="12:12" ht="18.95" customHeight="1">
      <c r="L582" s="10"/>
    </row>
    <row r="583" spans="12:12" ht="18.95" customHeight="1">
      <c r="L583" s="10"/>
    </row>
    <row r="584" spans="12:12" ht="18.95" customHeight="1">
      <c r="L584" s="10"/>
    </row>
    <row r="585" spans="12:12" ht="18.95" customHeight="1">
      <c r="L585" s="10"/>
    </row>
    <row r="586" spans="12:12" ht="18.95" customHeight="1">
      <c r="L586" s="10"/>
    </row>
    <row r="587" spans="12:12" ht="18.95" customHeight="1">
      <c r="L587" s="10"/>
    </row>
    <row r="588" spans="12:12" ht="18.95" customHeight="1">
      <c r="L588" s="10"/>
    </row>
    <row r="589" spans="12:12" ht="18.95" customHeight="1">
      <c r="L589" s="10"/>
    </row>
    <row r="590" spans="12:12" ht="18.95" customHeight="1">
      <c r="L590" s="10"/>
    </row>
    <row r="591" spans="12:12" ht="18.95" customHeight="1">
      <c r="L591" s="10"/>
    </row>
    <row r="592" spans="12:12" ht="18.95" customHeight="1">
      <c r="L592" s="10"/>
    </row>
    <row r="593" spans="12:12" ht="18.95" customHeight="1">
      <c r="L593" s="10"/>
    </row>
    <row r="594" spans="12:12" ht="18.95" customHeight="1">
      <c r="L594" s="10"/>
    </row>
    <row r="595" spans="12:12" ht="18.95" customHeight="1">
      <c r="L595" s="10"/>
    </row>
    <row r="596" spans="12:12" ht="18.95" customHeight="1">
      <c r="L596" s="10"/>
    </row>
    <row r="597" spans="12:12" ht="18.95" customHeight="1">
      <c r="L597" s="10"/>
    </row>
    <row r="598" spans="12:12" ht="18.95" customHeight="1">
      <c r="L598" s="10"/>
    </row>
    <row r="599" spans="12:12" ht="18.95" customHeight="1">
      <c r="L599" s="10"/>
    </row>
    <row r="600" spans="12:12" ht="18.95" customHeight="1">
      <c r="L600" s="10"/>
    </row>
    <row r="601" spans="12:12" ht="18.95" customHeight="1">
      <c r="L601" s="10"/>
    </row>
    <row r="602" spans="12:12" ht="18.95" customHeight="1">
      <c r="L602" s="10"/>
    </row>
    <row r="603" spans="12:12" ht="18.95" customHeight="1">
      <c r="L603" s="10"/>
    </row>
    <row r="604" spans="12:12" ht="18.95" customHeight="1">
      <c r="L604" s="10"/>
    </row>
    <row r="605" spans="12:12" ht="18.95" customHeight="1">
      <c r="L605" s="10"/>
    </row>
    <row r="606" spans="12:12" ht="18.95" customHeight="1">
      <c r="L606" s="10"/>
    </row>
    <row r="607" spans="12:12" ht="18.95" customHeight="1">
      <c r="L607" s="10"/>
    </row>
    <row r="608" spans="12:12" ht="18.95" customHeight="1">
      <c r="L608" s="10"/>
    </row>
    <row r="609" spans="12:12" ht="18.95" customHeight="1">
      <c r="L609" s="10"/>
    </row>
    <row r="610" spans="12:12" ht="18.95" customHeight="1">
      <c r="L610" s="10"/>
    </row>
    <row r="611" spans="12:12" ht="18.95" customHeight="1">
      <c r="L611" s="10"/>
    </row>
    <row r="612" spans="12:12" ht="18.95" customHeight="1">
      <c r="L612" s="10"/>
    </row>
    <row r="613" spans="12:12" ht="18.95" customHeight="1">
      <c r="L613" s="10"/>
    </row>
    <row r="614" spans="12:12" ht="18.95" customHeight="1">
      <c r="L614" s="10"/>
    </row>
    <row r="615" spans="12:12" ht="18.95" customHeight="1">
      <c r="L615" s="10"/>
    </row>
    <row r="616" spans="12:12" ht="18.95" customHeight="1">
      <c r="L616" s="10"/>
    </row>
    <row r="617" spans="12:12" ht="18.95" customHeight="1">
      <c r="L617" s="10"/>
    </row>
    <row r="618" spans="12:12" ht="18.95" customHeight="1">
      <c r="L618" s="10"/>
    </row>
    <row r="619" spans="12:12" ht="18.95" customHeight="1">
      <c r="L619" s="10"/>
    </row>
    <row r="620" spans="12:12" ht="18.95" customHeight="1">
      <c r="L620" s="10"/>
    </row>
    <row r="621" spans="12:12" ht="18.95" customHeight="1">
      <c r="L621" s="10"/>
    </row>
    <row r="622" spans="12:12" ht="18.95" customHeight="1">
      <c r="L622" s="10"/>
    </row>
    <row r="623" spans="12:12" ht="18.95" customHeight="1">
      <c r="L623" s="10"/>
    </row>
    <row r="624" spans="12:12" ht="18.95" customHeight="1">
      <c r="L624" s="10"/>
    </row>
    <row r="625" spans="12:12" ht="18.95" customHeight="1">
      <c r="L625" s="10"/>
    </row>
    <row r="626" spans="12:12" ht="18.95" customHeight="1">
      <c r="L626" s="10"/>
    </row>
    <row r="627" spans="12:12" ht="18.95" customHeight="1">
      <c r="L627" s="10"/>
    </row>
    <row r="628" spans="12:12" ht="18.95" customHeight="1">
      <c r="L628" s="10"/>
    </row>
    <row r="629" spans="12:12" ht="18.95" customHeight="1">
      <c r="L629" s="10"/>
    </row>
    <row r="630" spans="12:12" ht="18.95" customHeight="1">
      <c r="L630" s="10"/>
    </row>
    <row r="631" spans="12:12" ht="18.95" customHeight="1">
      <c r="L631" s="10"/>
    </row>
    <row r="632" spans="12:12" ht="18.95" customHeight="1">
      <c r="L632" s="10"/>
    </row>
    <row r="633" spans="12:12" ht="18.95" customHeight="1">
      <c r="L633" s="10"/>
    </row>
    <row r="634" spans="12:12" ht="18.95" customHeight="1">
      <c r="L634" s="10"/>
    </row>
    <row r="635" spans="12:12" ht="18.95" customHeight="1">
      <c r="L635" s="10"/>
    </row>
    <row r="636" spans="12:12" ht="18.95" customHeight="1">
      <c r="L636" s="10"/>
    </row>
    <row r="637" spans="12:12" ht="18.95" customHeight="1">
      <c r="L637" s="10"/>
    </row>
    <row r="638" spans="12:12" ht="18.95" customHeight="1">
      <c r="L638" s="10"/>
    </row>
    <row r="639" spans="12:12" ht="18.95" customHeight="1">
      <c r="L639" s="10"/>
    </row>
    <row r="640" spans="12:12" ht="18.95" customHeight="1">
      <c r="L640" s="10"/>
    </row>
    <row r="641" spans="12:12" ht="18.95" customHeight="1">
      <c r="L641" s="10"/>
    </row>
    <row r="642" spans="12:12" ht="18.95" customHeight="1">
      <c r="L642" s="10"/>
    </row>
    <row r="643" spans="12:12" ht="18.95" customHeight="1">
      <c r="L643" s="10"/>
    </row>
    <row r="644" spans="12:12" ht="18.95" customHeight="1">
      <c r="L644" s="10"/>
    </row>
    <row r="645" spans="12:12" ht="18.95" customHeight="1">
      <c r="L645" s="10"/>
    </row>
    <row r="646" spans="12:12" ht="18.95" customHeight="1">
      <c r="L646" s="10"/>
    </row>
    <row r="647" spans="12:12" ht="18.95" customHeight="1">
      <c r="L647" s="10"/>
    </row>
    <row r="648" spans="12:12" ht="18.95" customHeight="1">
      <c r="L648" s="10"/>
    </row>
    <row r="649" spans="12:12" ht="18.95" customHeight="1">
      <c r="L649" s="10"/>
    </row>
    <row r="650" spans="12:12" ht="18.95" customHeight="1">
      <c r="L650" s="10"/>
    </row>
    <row r="651" spans="12:12" ht="18.95" customHeight="1">
      <c r="L651" s="10"/>
    </row>
    <row r="652" spans="12:12" ht="18.95" customHeight="1">
      <c r="L652" s="10"/>
    </row>
    <row r="653" spans="12:12" ht="18.95" customHeight="1">
      <c r="L653" s="10"/>
    </row>
    <row r="654" spans="12:12" ht="18.95" customHeight="1">
      <c r="L654" s="10"/>
    </row>
    <row r="655" spans="12:12" ht="18.95" customHeight="1">
      <c r="L655" s="10"/>
    </row>
    <row r="656" spans="12:12" ht="18.95" customHeight="1">
      <c r="L656" s="10"/>
    </row>
    <row r="657" spans="12:12" ht="18.95" customHeight="1">
      <c r="L657" s="10"/>
    </row>
    <row r="658" spans="12:12" ht="18.95" customHeight="1">
      <c r="L658" s="10"/>
    </row>
    <row r="659" spans="12:12" ht="18.95" customHeight="1">
      <c r="L659" s="10"/>
    </row>
    <row r="660" spans="12:12" ht="18.95" customHeight="1">
      <c r="L660" s="10"/>
    </row>
    <row r="661" spans="12:12" ht="18.95" customHeight="1">
      <c r="L661" s="10"/>
    </row>
    <row r="662" spans="12:12" ht="18.95" customHeight="1">
      <c r="L662" s="10"/>
    </row>
    <row r="663" spans="12:12" ht="18.95" customHeight="1">
      <c r="L663" s="10"/>
    </row>
    <row r="664" spans="12:12" ht="18.95" customHeight="1">
      <c r="L664" s="10"/>
    </row>
    <row r="665" spans="12:12" ht="18.95" customHeight="1">
      <c r="L665" s="10"/>
    </row>
    <row r="666" spans="12:12" ht="18.95" customHeight="1">
      <c r="L666" s="10"/>
    </row>
    <row r="667" spans="12:12" ht="18.95" customHeight="1">
      <c r="L667" s="10"/>
    </row>
    <row r="668" spans="12:12" ht="18.95" customHeight="1">
      <c r="L668" s="10"/>
    </row>
    <row r="669" spans="12:12" ht="18.95" customHeight="1">
      <c r="L669" s="10"/>
    </row>
    <row r="670" spans="12:12" ht="18.95" customHeight="1">
      <c r="L670" s="10"/>
    </row>
    <row r="671" spans="12:12" ht="18.95" customHeight="1">
      <c r="L671" s="10"/>
    </row>
    <row r="672" spans="12:12" ht="18.95" customHeight="1">
      <c r="L672" s="10"/>
    </row>
    <row r="673" spans="12:12" ht="18.95" customHeight="1">
      <c r="L673" s="10"/>
    </row>
    <row r="674" spans="12:12" ht="18.95" customHeight="1">
      <c r="L674" s="10"/>
    </row>
    <row r="675" spans="12:12" ht="18.95" customHeight="1">
      <c r="L675" s="10"/>
    </row>
    <row r="676" spans="12:12" ht="18.95" customHeight="1">
      <c r="L676" s="10"/>
    </row>
    <row r="677" spans="12:12" ht="18.95" customHeight="1">
      <c r="L677" s="10"/>
    </row>
    <row r="678" spans="12:12" ht="18.95" customHeight="1">
      <c r="L678" s="10"/>
    </row>
    <row r="679" spans="12:12" ht="18.95" customHeight="1">
      <c r="L679" s="10"/>
    </row>
    <row r="680" spans="12:12" ht="18.95" customHeight="1">
      <c r="L680" s="10"/>
    </row>
    <row r="681" spans="12:12" ht="18.95" customHeight="1">
      <c r="L681" s="10"/>
    </row>
    <row r="682" spans="12:12" ht="18.95" customHeight="1">
      <c r="L682" s="10"/>
    </row>
    <row r="683" spans="12:12" ht="18.95" customHeight="1">
      <c r="L683" s="10"/>
    </row>
    <row r="684" spans="12:12" ht="18.95" customHeight="1">
      <c r="L684" s="10"/>
    </row>
    <row r="685" spans="12:12" ht="18.95" customHeight="1">
      <c r="L685" s="10"/>
    </row>
    <row r="686" spans="12:12" ht="18.95" customHeight="1">
      <c r="L686" s="10"/>
    </row>
    <row r="687" spans="12:12" ht="18.95" customHeight="1">
      <c r="L687" s="10"/>
    </row>
    <row r="688" spans="12:12" ht="18.95" customHeight="1">
      <c r="L688" s="10"/>
    </row>
    <row r="689" spans="12:12" ht="18.95" customHeight="1">
      <c r="L689" s="10"/>
    </row>
    <row r="690" spans="12:12" ht="18.95" customHeight="1">
      <c r="L690" s="10"/>
    </row>
    <row r="691" spans="12:12" ht="18.95" customHeight="1">
      <c r="L691" s="10"/>
    </row>
    <row r="692" spans="12:12" ht="18.95" customHeight="1">
      <c r="L692" s="10"/>
    </row>
    <row r="693" spans="12:12" ht="18.95" customHeight="1">
      <c r="L693" s="10"/>
    </row>
    <row r="694" spans="12:12" ht="18.95" customHeight="1">
      <c r="L694" s="10"/>
    </row>
    <row r="695" spans="12:12" ht="18.95" customHeight="1">
      <c r="L695" s="10"/>
    </row>
    <row r="696" spans="12:12" ht="18.95" customHeight="1">
      <c r="L696" s="10"/>
    </row>
    <row r="697" spans="12:12" ht="18.95" customHeight="1">
      <c r="L697" s="10"/>
    </row>
    <row r="698" spans="12:12" ht="18.95" customHeight="1">
      <c r="L698" s="10"/>
    </row>
    <row r="699" spans="12:12" ht="18.95" customHeight="1">
      <c r="L699" s="10"/>
    </row>
    <row r="700" spans="12:12" ht="18.95" customHeight="1">
      <c r="L700" s="10"/>
    </row>
    <row r="701" spans="12:12" ht="18.95" customHeight="1">
      <c r="L701" s="10"/>
    </row>
    <row r="702" spans="12:12" ht="18.95" customHeight="1">
      <c r="L702" s="10"/>
    </row>
    <row r="703" spans="12:12" ht="18.95" customHeight="1">
      <c r="L703" s="10"/>
    </row>
    <row r="704" spans="12:12" ht="18.95" customHeight="1">
      <c r="L704" s="10"/>
    </row>
    <row r="705" spans="12:12" ht="18.95" customHeight="1">
      <c r="L705" s="10"/>
    </row>
    <row r="706" spans="12:12" ht="18.95" customHeight="1">
      <c r="L706" s="10"/>
    </row>
    <row r="707" spans="12:12" ht="18.95" customHeight="1">
      <c r="L707" s="10"/>
    </row>
    <row r="708" spans="12:12" ht="18.95" customHeight="1">
      <c r="L708" s="10"/>
    </row>
    <row r="709" spans="12:12" ht="18.95" customHeight="1">
      <c r="L709" s="10"/>
    </row>
    <row r="710" spans="12:12" ht="18.95" customHeight="1">
      <c r="L710" s="10"/>
    </row>
    <row r="711" spans="12:12" ht="18.95" customHeight="1">
      <c r="L711" s="10"/>
    </row>
    <row r="712" spans="12:12" ht="18.95" customHeight="1">
      <c r="L712" s="10"/>
    </row>
    <row r="713" spans="12:12" ht="18.95" customHeight="1">
      <c r="L713" s="10"/>
    </row>
    <row r="714" spans="12:12" ht="18.95" customHeight="1">
      <c r="L714" s="10"/>
    </row>
    <row r="715" spans="12:12" ht="18.95" customHeight="1">
      <c r="L715" s="10"/>
    </row>
    <row r="716" spans="12:12" ht="18.95" customHeight="1">
      <c r="L716" s="10"/>
    </row>
    <row r="717" spans="12:12" ht="18.95" customHeight="1">
      <c r="L717" s="10"/>
    </row>
    <row r="718" spans="12:12" ht="18.95" customHeight="1">
      <c r="L718" s="10"/>
    </row>
    <row r="719" spans="12:12" ht="18.95" customHeight="1">
      <c r="L719" s="10"/>
    </row>
    <row r="720" spans="12:12" ht="18.95" customHeight="1">
      <c r="L720" s="10"/>
    </row>
    <row r="721" spans="12:12" ht="18.95" customHeight="1">
      <c r="L721" s="10"/>
    </row>
    <row r="722" spans="12:12" ht="18.95" customHeight="1">
      <c r="L722" s="10"/>
    </row>
    <row r="723" spans="12:12" ht="18.95" customHeight="1">
      <c r="L723" s="10"/>
    </row>
    <row r="724" spans="12:12" ht="18.95" customHeight="1">
      <c r="L724" s="10"/>
    </row>
    <row r="725" spans="12:12" ht="18.95" customHeight="1">
      <c r="L725" s="10"/>
    </row>
    <row r="726" spans="12:12" ht="18.95" customHeight="1">
      <c r="L726" s="10"/>
    </row>
    <row r="727" spans="12:12" ht="18.95" customHeight="1">
      <c r="L727" s="10"/>
    </row>
    <row r="728" spans="12:12" ht="18.95" customHeight="1">
      <c r="L728" s="10"/>
    </row>
    <row r="729" spans="12:12" ht="18.95" customHeight="1">
      <c r="L729" s="10"/>
    </row>
    <row r="730" spans="12:12" ht="18.95" customHeight="1">
      <c r="L730" s="10"/>
    </row>
    <row r="731" spans="12:12" ht="18.95" customHeight="1">
      <c r="L731" s="10"/>
    </row>
    <row r="732" spans="12:12" ht="18.95" customHeight="1">
      <c r="L732" s="10"/>
    </row>
    <row r="733" spans="12:12" ht="18.95" customHeight="1">
      <c r="L733" s="10"/>
    </row>
    <row r="734" spans="12:12" ht="18.95" customHeight="1">
      <c r="L734" s="10"/>
    </row>
    <row r="735" spans="12:12" ht="18.95" customHeight="1">
      <c r="L735" s="10"/>
    </row>
    <row r="736" spans="12:12" ht="18.95" customHeight="1">
      <c r="L736" s="10"/>
    </row>
    <row r="737" spans="12:12" ht="18.95" customHeight="1">
      <c r="L737" s="10"/>
    </row>
    <row r="738" spans="12:12" ht="18.95" customHeight="1">
      <c r="L738" s="10"/>
    </row>
    <row r="739" spans="12:12" ht="18.95" customHeight="1">
      <c r="L739" s="10"/>
    </row>
    <row r="740" spans="12:12" ht="18.95" customHeight="1">
      <c r="L740" s="10"/>
    </row>
    <row r="741" spans="12:12" ht="18.95" customHeight="1">
      <c r="L741" s="10"/>
    </row>
    <row r="742" spans="12:12" ht="18.95" customHeight="1">
      <c r="L742" s="10"/>
    </row>
    <row r="743" spans="12:12" ht="18.95" customHeight="1">
      <c r="L743" s="10"/>
    </row>
    <row r="744" spans="12:12" ht="18.95" customHeight="1">
      <c r="L744" s="10"/>
    </row>
    <row r="745" spans="12:12" ht="18.95" customHeight="1">
      <c r="L745" s="10"/>
    </row>
    <row r="746" spans="12:12" ht="18.95" customHeight="1">
      <c r="L746" s="10"/>
    </row>
    <row r="747" spans="12:12" ht="18.95" customHeight="1">
      <c r="L747" s="10"/>
    </row>
    <row r="748" spans="12:12" ht="18.95" customHeight="1">
      <c r="L748" s="10"/>
    </row>
    <row r="749" spans="12:12" ht="18.95" customHeight="1">
      <c r="L749" s="10"/>
    </row>
    <row r="750" spans="12:12" ht="18.95" customHeight="1">
      <c r="L750" s="10"/>
    </row>
    <row r="751" spans="12:12" ht="18.95" customHeight="1">
      <c r="L751" s="10"/>
    </row>
    <row r="752" spans="12:12" ht="18.95" customHeight="1">
      <c r="L752" s="10"/>
    </row>
    <row r="753" spans="12:12" ht="18.95" customHeight="1">
      <c r="L753" s="10"/>
    </row>
    <row r="754" spans="12:12" ht="18.95" customHeight="1">
      <c r="L754" s="10"/>
    </row>
    <row r="755" spans="12:12" ht="18.95" customHeight="1">
      <c r="L755" s="10"/>
    </row>
    <row r="756" spans="12:12" ht="18.95" customHeight="1">
      <c r="L756" s="10"/>
    </row>
    <row r="757" spans="12:12" ht="18.95" customHeight="1">
      <c r="L757" s="10"/>
    </row>
    <row r="758" spans="12:12" ht="18.95" customHeight="1">
      <c r="L758" s="10"/>
    </row>
    <row r="759" spans="12:12" ht="18.95" customHeight="1">
      <c r="L759" s="10"/>
    </row>
    <row r="760" spans="12:12" ht="18.95" customHeight="1">
      <c r="L760" s="10"/>
    </row>
    <row r="761" spans="12:12" ht="18.95" customHeight="1">
      <c r="L761" s="10"/>
    </row>
    <row r="762" spans="12:12" ht="18.95" customHeight="1">
      <c r="L762" s="10"/>
    </row>
    <row r="763" spans="12:12" ht="18.95" customHeight="1">
      <c r="L763" s="10"/>
    </row>
    <row r="764" spans="12:12" ht="18.95" customHeight="1">
      <c r="L764" s="10"/>
    </row>
    <row r="765" spans="12:12" ht="18.95" customHeight="1">
      <c r="L765" s="10"/>
    </row>
    <row r="766" spans="12:12" ht="18.95" customHeight="1">
      <c r="L766" s="10"/>
    </row>
    <row r="767" spans="12:12" ht="18.95" customHeight="1">
      <c r="L767" s="10"/>
    </row>
    <row r="768" spans="12:12" ht="18.95" customHeight="1">
      <c r="L768" s="10"/>
    </row>
    <row r="769" spans="12:12" ht="18.95" customHeight="1">
      <c r="L769" s="10"/>
    </row>
    <row r="770" spans="12:12" ht="18.95" customHeight="1">
      <c r="L770" s="10"/>
    </row>
    <row r="771" spans="12:12" ht="18.95" customHeight="1">
      <c r="L771" s="10"/>
    </row>
    <row r="772" spans="12:12" ht="18.95" customHeight="1">
      <c r="L772" s="10"/>
    </row>
    <row r="773" spans="12:12" ht="18.95" customHeight="1">
      <c r="L773" s="10"/>
    </row>
    <row r="774" spans="12:12" ht="18.95" customHeight="1">
      <c r="L774" s="10"/>
    </row>
    <row r="775" spans="12:12" ht="18.95" customHeight="1">
      <c r="L775" s="10"/>
    </row>
    <row r="776" spans="12:12" ht="18.95" customHeight="1">
      <c r="L776" s="10"/>
    </row>
    <row r="777" spans="12:12" ht="18.95" customHeight="1">
      <c r="L777" s="10"/>
    </row>
    <row r="778" spans="12:12" ht="18.95" customHeight="1">
      <c r="L778" s="10"/>
    </row>
    <row r="779" spans="12:12" ht="18.95" customHeight="1">
      <c r="L779" s="10"/>
    </row>
    <row r="780" spans="12:12" ht="18.95" customHeight="1">
      <c r="L780" s="10"/>
    </row>
    <row r="781" spans="12:12" ht="18.95" customHeight="1">
      <c r="L781" s="10"/>
    </row>
    <row r="782" spans="12:12" ht="18.95" customHeight="1">
      <c r="L782" s="10"/>
    </row>
    <row r="783" spans="12:12" ht="18.95" customHeight="1">
      <c r="L783" s="10"/>
    </row>
    <row r="784" spans="12:12" ht="18.95" customHeight="1">
      <c r="L784" s="10"/>
    </row>
    <row r="785" spans="12:12" ht="18.95" customHeight="1">
      <c r="L785" s="10"/>
    </row>
    <row r="786" spans="12:12" ht="18.95" customHeight="1">
      <c r="L786" s="10"/>
    </row>
    <row r="787" spans="12:12" ht="18.95" customHeight="1">
      <c r="L787" s="10"/>
    </row>
    <row r="788" spans="12:12" ht="18.95" customHeight="1">
      <c r="L788" s="10"/>
    </row>
    <row r="789" spans="12:12" ht="18.95" customHeight="1">
      <c r="L789" s="10"/>
    </row>
    <row r="790" spans="12:12" ht="18.95" customHeight="1">
      <c r="L790" s="10"/>
    </row>
    <row r="791" spans="12:12" ht="18.95" customHeight="1">
      <c r="L791" s="10"/>
    </row>
    <row r="792" spans="12:12" ht="18.95" customHeight="1">
      <c r="L792" s="10"/>
    </row>
    <row r="793" spans="12:12" ht="18.95" customHeight="1">
      <c r="L793" s="10"/>
    </row>
    <row r="794" spans="12:12" ht="18.95" customHeight="1">
      <c r="L794" s="10"/>
    </row>
    <row r="795" spans="12:12" ht="18.95" customHeight="1">
      <c r="L795" s="10"/>
    </row>
    <row r="796" spans="12:12" ht="18.95" customHeight="1">
      <c r="L796" s="10"/>
    </row>
    <row r="797" spans="12:12" ht="18.95" customHeight="1">
      <c r="L797" s="10"/>
    </row>
    <row r="798" spans="12:12" ht="18.95" customHeight="1">
      <c r="L798" s="10"/>
    </row>
    <row r="799" spans="12:12" ht="18.95" customHeight="1">
      <c r="L799" s="10"/>
    </row>
    <row r="800" spans="12:12" ht="18.95" customHeight="1">
      <c r="L800" s="10"/>
    </row>
    <row r="801" spans="12:12" ht="18.95" customHeight="1">
      <c r="L801" s="10"/>
    </row>
    <row r="802" spans="12:12" ht="18.95" customHeight="1">
      <c r="L802" s="10"/>
    </row>
    <row r="803" spans="12:12" ht="18.95" customHeight="1">
      <c r="L803" s="10"/>
    </row>
    <row r="804" spans="12:12" ht="18.95" customHeight="1">
      <c r="L804" s="10"/>
    </row>
    <row r="805" spans="12:12" ht="18.95" customHeight="1">
      <c r="L805" s="10"/>
    </row>
    <row r="806" spans="12:12" ht="18.95" customHeight="1">
      <c r="L806" s="10"/>
    </row>
    <row r="807" spans="12:12" ht="18.95" customHeight="1">
      <c r="L807" s="10"/>
    </row>
    <row r="808" spans="12:12" ht="18.95" customHeight="1">
      <c r="L808" s="10"/>
    </row>
    <row r="809" spans="12:12" ht="18.95" customHeight="1">
      <c r="L809" s="10"/>
    </row>
    <row r="810" spans="12:12" ht="18.95" customHeight="1">
      <c r="L810" s="10"/>
    </row>
    <row r="811" spans="12:12" ht="18.95" customHeight="1">
      <c r="L811" s="10"/>
    </row>
    <row r="812" spans="12:12" ht="18.95" customHeight="1">
      <c r="L812" s="10"/>
    </row>
    <row r="813" spans="12:12" ht="18.95" customHeight="1">
      <c r="L813" s="10"/>
    </row>
    <row r="814" spans="12:12" ht="18.95" customHeight="1">
      <c r="L814" s="10"/>
    </row>
    <row r="815" spans="12:12" ht="18.95" customHeight="1">
      <c r="L815" s="10"/>
    </row>
    <row r="816" spans="12:12" ht="18.95" customHeight="1">
      <c r="L816" s="10"/>
    </row>
    <row r="817" spans="12:12" ht="18.95" customHeight="1">
      <c r="L817" s="10"/>
    </row>
    <row r="818" spans="12:12" ht="18.95" customHeight="1">
      <c r="L818" s="10"/>
    </row>
    <row r="819" spans="12:12" ht="18.95" customHeight="1">
      <c r="L819" s="10"/>
    </row>
    <row r="820" spans="12:12" ht="18.95" customHeight="1">
      <c r="L820" s="10"/>
    </row>
    <row r="821" spans="12:12" ht="18.95" customHeight="1">
      <c r="L821" s="10"/>
    </row>
    <row r="822" spans="12:12" ht="18.95" customHeight="1">
      <c r="L822" s="10"/>
    </row>
    <row r="823" spans="12:12" ht="18.95" customHeight="1">
      <c r="L823" s="10"/>
    </row>
    <row r="824" spans="12:12" ht="18.95" customHeight="1">
      <c r="L824" s="10"/>
    </row>
    <row r="825" spans="12:12" ht="18.95" customHeight="1">
      <c r="L825" s="10"/>
    </row>
    <row r="826" spans="12:12" ht="18.95" customHeight="1">
      <c r="L826" s="10"/>
    </row>
    <row r="827" spans="12:12" ht="18.95" customHeight="1">
      <c r="L827" s="10"/>
    </row>
    <row r="828" spans="12:12" ht="18.95" customHeight="1">
      <c r="L828" s="10"/>
    </row>
    <row r="829" spans="12:12" ht="18.95" customHeight="1">
      <c r="L829" s="10"/>
    </row>
    <row r="830" spans="12:12" ht="18.95" customHeight="1">
      <c r="L830" s="10"/>
    </row>
    <row r="831" spans="12:12" ht="18.95" customHeight="1">
      <c r="L831" s="10"/>
    </row>
    <row r="832" spans="12:12" ht="18.95" customHeight="1">
      <c r="L832" s="10"/>
    </row>
    <row r="833" spans="12:12" ht="18.95" customHeight="1">
      <c r="L833" s="10"/>
    </row>
    <row r="834" spans="12:12" ht="18.95" customHeight="1">
      <c r="L834" s="10"/>
    </row>
    <row r="835" spans="12:12" ht="18.95" customHeight="1">
      <c r="L835" s="10"/>
    </row>
    <row r="836" spans="12:12" ht="18.95" customHeight="1">
      <c r="L836" s="10"/>
    </row>
    <row r="837" spans="12:12" ht="18.95" customHeight="1">
      <c r="L837" s="10"/>
    </row>
    <row r="838" spans="12:12" ht="18.95" customHeight="1">
      <c r="L838" s="10"/>
    </row>
    <row r="839" spans="12:12" ht="18.95" customHeight="1">
      <c r="L839" s="10"/>
    </row>
    <row r="840" spans="12:12" ht="18.95" customHeight="1">
      <c r="L840" s="10"/>
    </row>
    <row r="841" spans="12:12" ht="18.95" customHeight="1">
      <c r="L841" s="10"/>
    </row>
    <row r="842" spans="12:12" ht="18.95" customHeight="1">
      <c r="L842" s="10"/>
    </row>
    <row r="843" spans="12:12" ht="18.95" customHeight="1">
      <c r="L843" s="10"/>
    </row>
    <row r="844" spans="12:12" ht="18.95" customHeight="1">
      <c r="L844" s="10"/>
    </row>
    <row r="845" spans="12:12" ht="18.95" customHeight="1">
      <c r="L845" s="10"/>
    </row>
    <row r="846" spans="12:12" ht="18.95" customHeight="1">
      <c r="L846" s="10"/>
    </row>
    <row r="847" spans="12:12" ht="18.95" customHeight="1">
      <c r="L847" s="10"/>
    </row>
    <row r="848" spans="12:12" ht="18.95" customHeight="1">
      <c r="L848" s="10"/>
    </row>
    <row r="849" spans="12:12" ht="18.95" customHeight="1">
      <c r="L849" s="10"/>
    </row>
    <row r="850" spans="12:12" ht="18.95" customHeight="1">
      <c r="L850" s="10"/>
    </row>
    <row r="851" spans="12:12" ht="18.95" customHeight="1">
      <c r="L851" s="10"/>
    </row>
    <row r="852" spans="12:12" ht="18.95" customHeight="1">
      <c r="L852" s="10"/>
    </row>
    <row r="853" spans="12:12" ht="18.95" customHeight="1">
      <c r="L853" s="10"/>
    </row>
    <row r="854" spans="12:12" ht="18.95" customHeight="1">
      <c r="L854" s="10"/>
    </row>
    <row r="855" spans="12:12" ht="18.95" customHeight="1">
      <c r="L855" s="10"/>
    </row>
    <row r="856" spans="12:12" ht="18.95" customHeight="1">
      <c r="L856" s="10"/>
    </row>
    <row r="857" spans="12:12" ht="18.95" customHeight="1">
      <c r="L857" s="10"/>
    </row>
    <row r="858" spans="12:12" ht="18.95" customHeight="1">
      <c r="L858" s="10"/>
    </row>
    <row r="859" spans="12:12" ht="18.95" customHeight="1">
      <c r="L859" s="10"/>
    </row>
    <row r="860" spans="12:12" ht="18.95" customHeight="1">
      <c r="L860" s="10"/>
    </row>
    <row r="861" spans="12:12" ht="18.95" customHeight="1">
      <c r="L861" s="10"/>
    </row>
    <row r="862" spans="12:12" ht="18.95" customHeight="1">
      <c r="L862" s="10"/>
    </row>
    <row r="863" spans="12:12" ht="18.95" customHeight="1">
      <c r="L863" s="10"/>
    </row>
    <row r="864" spans="12:12" ht="18.95" customHeight="1">
      <c r="L864" s="10"/>
    </row>
    <row r="865" spans="12:12" ht="18.95" customHeight="1">
      <c r="L865" s="10"/>
    </row>
    <row r="866" spans="12:12" ht="18.95" customHeight="1">
      <c r="L866" s="10"/>
    </row>
    <row r="867" spans="12:12" ht="18.95" customHeight="1">
      <c r="L867" s="10"/>
    </row>
    <row r="868" spans="12:12" ht="18.95" customHeight="1">
      <c r="L868" s="10"/>
    </row>
    <row r="869" spans="12:12" ht="18.95" customHeight="1">
      <c r="L869" s="10"/>
    </row>
    <row r="870" spans="12:12" ht="18.95" customHeight="1">
      <c r="L870" s="10"/>
    </row>
    <row r="871" spans="12:12" ht="18.95" customHeight="1">
      <c r="L871" s="10"/>
    </row>
    <row r="872" spans="12:12" ht="18.95" customHeight="1">
      <c r="L872" s="10"/>
    </row>
    <row r="873" spans="12:12" ht="18.95" customHeight="1">
      <c r="L873" s="10"/>
    </row>
    <row r="874" spans="12:12" ht="18.95" customHeight="1">
      <c r="L874" s="10"/>
    </row>
    <row r="875" spans="12:12" ht="18.95" customHeight="1">
      <c r="L875" s="10"/>
    </row>
    <row r="876" spans="12:12" ht="18.95" customHeight="1">
      <c r="L876" s="10"/>
    </row>
    <row r="877" spans="12:12" ht="18.95" customHeight="1">
      <c r="L877" s="10"/>
    </row>
    <row r="878" spans="12:12" ht="18.95" customHeight="1">
      <c r="L878" s="10"/>
    </row>
    <row r="879" spans="12:12" ht="18.95" customHeight="1">
      <c r="L879" s="10"/>
    </row>
    <row r="880" spans="12:12" ht="18.95" customHeight="1">
      <c r="L880" s="10"/>
    </row>
    <row r="881" spans="12:12" ht="18.95" customHeight="1">
      <c r="L881" s="10"/>
    </row>
    <row r="882" spans="12:12" ht="18.95" customHeight="1">
      <c r="L882" s="10"/>
    </row>
    <row r="883" spans="12:12" ht="18.95" customHeight="1">
      <c r="L883" s="10"/>
    </row>
    <row r="884" spans="12:12" ht="18.95" customHeight="1">
      <c r="L884" s="10"/>
    </row>
    <row r="885" spans="12:12" ht="18.95" customHeight="1">
      <c r="L885" s="10"/>
    </row>
    <row r="886" spans="12:12" ht="18.95" customHeight="1">
      <c r="L886" s="10"/>
    </row>
    <row r="887" spans="12:12" ht="18.95" customHeight="1">
      <c r="L887" s="10"/>
    </row>
    <row r="888" spans="12:12" ht="18.95" customHeight="1">
      <c r="L888" s="10"/>
    </row>
    <row r="889" spans="12:12" ht="18.95" customHeight="1">
      <c r="L889" s="10"/>
    </row>
    <row r="890" spans="12:12" ht="18.95" customHeight="1">
      <c r="L890" s="10"/>
    </row>
    <row r="891" spans="12:12" ht="18.95" customHeight="1">
      <c r="L891" s="10"/>
    </row>
    <row r="892" spans="12:12" ht="18.95" customHeight="1">
      <c r="L892" s="10"/>
    </row>
    <row r="893" spans="12:12" ht="18.95" customHeight="1">
      <c r="L893" s="10"/>
    </row>
    <row r="894" spans="12:12" ht="18.95" customHeight="1">
      <c r="L894" s="10"/>
    </row>
    <row r="895" spans="12:12" ht="18.95" customHeight="1">
      <c r="L895" s="10"/>
    </row>
    <row r="896" spans="12:12" ht="18.95" customHeight="1">
      <c r="L896" s="10"/>
    </row>
    <row r="897" spans="12:12" ht="18.95" customHeight="1">
      <c r="L897" s="10"/>
    </row>
    <row r="898" spans="12:12" ht="18.95" customHeight="1">
      <c r="L898" s="10"/>
    </row>
    <row r="899" spans="12:12" ht="18.95" customHeight="1">
      <c r="L899" s="10"/>
    </row>
    <row r="900" spans="12:12" ht="18.95" customHeight="1">
      <c r="L900" s="10"/>
    </row>
    <row r="901" spans="12:12" ht="18.95" customHeight="1">
      <c r="L901" s="10"/>
    </row>
    <row r="902" spans="12:12" ht="18.95" customHeight="1">
      <c r="L902" s="10"/>
    </row>
    <row r="903" spans="12:12" ht="18.95" customHeight="1">
      <c r="L903" s="10"/>
    </row>
    <row r="904" spans="12:12" ht="18.95" customHeight="1">
      <c r="L904" s="10"/>
    </row>
    <row r="905" spans="12:12" ht="18.95" customHeight="1">
      <c r="L905" s="10"/>
    </row>
    <row r="906" spans="12:12" ht="18.95" customHeight="1">
      <c r="L906" s="10"/>
    </row>
    <row r="907" spans="12:12" ht="18.95" customHeight="1">
      <c r="L907" s="10"/>
    </row>
    <row r="908" spans="12:12" ht="18.95" customHeight="1">
      <c r="L908" s="10"/>
    </row>
    <row r="909" spans="12:12" ht="18.95" customHeight="1">
      <c r="L909" s="10"/>
    </row>
    <row r="910" spans="12:12" ht="18.95" customHeight="1">
      <c r="L910" s="10"/>
    </row>
    <row r="911" spans="12:12" ht="18.95" customHeight="1">
      <c r="L911" s="10"/>
    </row>
    <row r="912" spans="12:12" ht="18.95" customHeight="1">
      <c r="L912" s="10"/>
    </row>
    <row r="913" spans="12:12" ht="18.95" customHeight="1">
      <c r="L913" s="10"/>
    </row>
    <row r="914" spans="12:12" ht="18.95" customHeight="1">
      <c r="L914" s="10"/>
    </row>
    <row r="915" spans="12:12" ht="18.95" customHeight="1">
      <c r="L915" s="10"/>
    </row>
    <row r="916" spans="12:12" ht="18.95" customHeight="1">
      <c r="L916" s="10"/>
    </row>
    <row r="917" spans="12:12" ht="18.95" customHeight="1">
      <c r="L917" s="10"/>
    </row>
    <row r="918" spans="12:12" ht="18.95" customHeight="1">
      <c r="L918" s="10"/>
    </row>
    <row r="919" spans="12:12" ht="18.95" customHeight="1">
      <c r="L919" s="10"/>
    </row>
    <row r="920" spans="12:12" ht="18.95" customHeight="1">
      <c r="L920" s="10"/>
    </row>
    <row r="921" spans="12:12" ht="18.95" customHeight="1">
      <c r="L921" s="10"/>
    </row>
    <row r="922" spans="12:12" ht="18.95" customHeight="1">
      <c r="L922" s="10"/>
    </row>
    <row r="923" spans="12:12" ht="18.95" customHeight="1">
      <c r="L923" s="10"/>
    </row>
    <row r="924" spans="12:12" ht="18.95" customHeight="1">
      <c r="L924" s="10"/>
    </row>
    <row r="925" spans="12:12" ht="18.95" customHeight="1">
      <c r="L925" s="10"/>
    </row>
    <row r="926" spans="12:12" ht="18.95" customHeight="1">
      <c r="L926" s="10"/>
    </row>
    <row r="927" spans="12:12" ht="18.95" customHeight="1">
      <c r="L927" s="10"/>
    </row>
    <row r="928" spans="12:12" ht="18.95" customHeight="1">
      <c r="L928" s="10"/>
    </row>
    <row r="929" spans="12:12" ht="18.95" customHeight="1">
      <c r="L929" s="10"/>
    </row>
    <row r="930" spans="12:12" ht="18.95" customHeight="1">
      <c r="L930" s="10"/>
    </row>
    <row r="931" spans="12:12" ht="18.95" customHeight="1">
      <c r="L931" s="10"/>
    </row>
    <row r="932" spans="12:12" ht="18.95" customHeight="1">
      <c r="L932" s="10"/>
    </row>
    <row r="933" spans="12:12" ht="18.95" customHeight="1">
      <c r="L933" s="10"/>
    </row>
    <row r="934" spans="12:12" ht="18.95" customHeight="1">
      <c r="L934" s="10"/>
    </row>
    <row r="935" spans="12:12" ht="18.95" customHeight="1">
      <c r="L935" s="10"/>
    </row>
    <row r="936" spans="12:12" ht="18.95" customHeight="1">
      <c r="L936" s="10"/>
    </row>
    <row r="937" spans="12:12" ht="18.95" customHeight="1">
      <c r="L937" s="10"/>
    </row>
    <row r="938" spans="12:12" ht="18.95" customHeight="1">
      <c r="L938" s="10"/>
    </row>
    <row r="939" spans="12:12" ht="18.95" customHeight="1">
      <c r="L939" s="10"/>
    </row>
    <row r="940" spans="12:12" ht="18.95" customHeight="1">
      <c r="L940" s="10"/>
    </row>
    <row r="941" spans="12:12" ht="18.95" customHeight="1">
      <c r="L941" s="10"/>
    </row>
    <row r="942" spans="12:12" ht="18.95" customHeight="1">
      <c r="L942" s="10"/>
    </row>
    <row r="943" spans="12:12" ht="18.95" customHeight="1">
      <c r="L943" s="10"/>
    </row>
    <row r="944" spans="12:12" ht="18.95" customHeight="1">
      <c r="L944" s="10"/>
    </row>
    <row r="945" spans="12:12" ht="18.95" customHeight="1">
      <c r="L945" s="10"/>
    </row>
    <row r="946" spans="12:12" ht="18.95" customHeight="1">
      <c r="L946" s="10"/>
    </row>
    <row r="947" spans="12:12" ht="18.95" customHeight="1">
      <c r="L947" s="10"/>
    </row>
    <row r="948" spans="12:12" ht="18.95" customHeight="1">
      <c r="L948" s="10"/>
    </row>
    <row r="949" spans="12:12" ht="18.95" customHeight="1">
      <c r="L949" s="10"/>
    </row>
    <row r="950" spans="12:12" ht="18.95" customHeight="1">
      <c r="L950" s="10"/>
    </row>
    <row r="951" spans="12:12" ht="18.95" customHeight="1">
      <c r="L951" s="10"/>
    </row>
    <row r="952" spans="12:12" ht="18.95" customHeight="1">
      <c r="L952" s="10"/>
    </row>
    <row r="953" spans="12:12" ht="18.95" customHeight="1">
      <c r="L953" s="10"/>
    </row>
    <row r="954" spans="12:12" ht="18.95" customHeight="1">
      <c r="L954" s="10"/>
    </row>
    <row r="955" spans="12:12" ht="18.95" customHeight="1">
      <c r="L955" s="10"/>
    </row>
    <row r="956" spans="12:12" ht="18.95" customHeight="1">
      <c r="L956" s="10"/>
    </row>
    <row r="957" spans="12:12" ht="18.95" customHeight="1">
      <c r="L957" s="10"/>
    </row>
    <row r="958" spans="12:12" ht="18.95" customHeight="1">
      <c r="L958" s="10"/>
    </row>
    <row r="959" spans="12:12" ht="18.95" customHeight="1">
      <c r="L959" s="10"/>
    </row>
    <row r="960" spans="12:12" ht="18.95" customHeight="1">
      <c r="L960" s="10"/>
    </row>
    <row r="961" spans="12:12" ht="18.95" customHeight="1">
      <c r="L961" s="10"/>
    </row>
    <row r="962" spans="12:12" ht="18.95" customHeight="1">
      <c r="L962" s="10"/>
    </row>
    <row r="963" spans="12:12" ht="18.95" customHeight="1">
      <c r="L963" s="10"/>
    </row>
    <row r="964" spans="12:12" ht="18.95" customHeight="1">
      <c r="L964" s="10"/>
    </row>
    <row r="965" spans="12:12" ht="18.95" customHeight="1">
      <c r="L965" s="10"/>
    </row>
    <row r="966" spans="12:12" ht="18.95" customHeight="1">
      <c r="L966" s="10"/>
    </row>
    <row r="967" spans="12:12" ht="18.95" customHeight="1">
      <c r="L967" s="10"/>
    </row>
    <row r="968" spans="12:12" ht="18.95" customHeight="1">
      <c r="L968" s="10"/>
    </row>
    <row r="969" spans="12:12" ht="18.95" customHeight="1">
      <c r="L969" s="10"/>
    </row>
    <row r="970" spans="12:12" ht="18.95" customHeight="1">
      <c r="L970" s="10"/>
    </row>
    <row r="971" spans="12:12" ht="18.95" customHeight="1">
      <c r="L971" s="10"/>
    </row>
    <row r="972" spans="12:12" ht="18.95" customHeight="1">
      <c r="L972" s="10"/>
    </row>
    <row r="973" spans="12:12" ht="18.95" customHeight="1">
      <c r="L973" s="10"/>
    </row>
    <row r="974" spans="12:12" ht="18.95" customHeight="1">
      <c r="L974" s="10"/>
    </row>
    <row r="975" spans="12:12" ht="18.95" customHeight="1">
      <c r="L975" s="10"/>
    </row>
    <row r="976" spans="12:12" ht="18.95" customHeight="1">
      <c r="L976" s="10"/>
    </row>
    <row r="977" spans="12:12" ht="18.95" customHeight="1">
      <c r="L977" s="10"/>
    </row>
    <row r="978" spans="12:12" ht="18.95" customHeight="1">
      <c r="L978" s="10"/>
    </row>
    <row r="979" spans="12:12" ht="18.95" customHeight="1">
      <c r="L979" s="10"/>
    </row>
    <row r="980" spans="12:12" ht="18.95" customHeight="1">
      <c r="L980" s="10"/>
    </row>
    <row r="981" spans="12:12" ht="18.95" customHeight="1">
      <c r="L981" s="10"/>
    </row>
    <row r="982" spans="12:12" ht="18.95" customHeight="1">
      <c r="L982" s="10"/>
    </row>
    <row r="983" spans="12:12" ht="18.95" customHeight="1">
      <c r="L983" s="10"/>
    </row>
    <row r="984" spans="12:12" ht="18.95" customHeight="1">
      <c r="L984" s="10"/>
    </row>
    <row r="985" spans="12:12" ht="18.95" customHeight="1">
      <c r="L985" s="10"/>
    </row>
    <row r="986" spans="12:12" ht="18.95" customHeight="1">
      <c r="L986" s="10"/>
    </row>
    <row r="987" spans="12:12" ht="18.95" customHeight="1">
      <c r="L987" s="10"/>
    </row>
    <row r="988" spans="12:12" ht="18.95" customHeight="1">
      <c r="L988" s="10"/>
    </row>
    <row r="989" spans="12:12" ht="18.95" customHeight="1">
      <c r="L989" s="10"/>
    </row>
    <row r="990" spans="12:12" ht="18.95" customHeight="1">
      <c r="L990" s="10"/>
    </row>
    <row r="991" spans="12:12" ht="18.95" customHeight="1">
      <c r="L991" s="10"/>
    </row>
    <row r="992" spans="12:12" ht="18.95" customHeight="1">
      <c r="L992" s="10"/>
    </row>
    <row r="993" spans="12:12" ht="18.95" customHeight="1">
      <c r="L993" s="10"/>
    </row>
    <row r="994" spans="12:12" ht="18.95" customHeight="1">
      <c r="L994" s="10"/>
    </row>
    <row r="995" spans="12:12" ht="18.95" customHeight="1">
      <c r="L995" s="10"/>
    </row>
    <row r="996" spans="12:12" ht="18.95" customHeight="1">
      <c r="L996" s="10"/>
    </row>
    <row r="997" spans="12:12" ht="18.95" customHeight="1">
      <c r="L997" s="10"/>
    </row>
    <row r="998" spans="12:12" ht="18.95" customHeight="1">
      <c r="L998" s="10"/>
    </row>
    <row r="999" spans="12:12" ht="18.95" customHeight="1">
      <c r="L999" s="10"/>
    </row>
    <row r="1000" spans="12:12" ht="18.95" customHeight="1">
      <c r="L1000" s="10"/>
    </row>
  </sheetData>
  <mergeCells count="7">
    <mergeCell ref="A27:A49"/>
    <mergeCell ref="A78:A93"/>
    <mergeCell ref="A100:A118"/>
    <mergeCell ref="A1:A10"/>
    <mergeCell ref="A11:A18"/>
    <mergeCell ref="A19:A22"/>
    <mergeCell ref="A53:A77"/>
  </mergeCells>
  <hyperlinks>
    <hyperlink ref="D151" r:id="rId1" display="mailto:stephanie1.bell@yahoo.com" xr:uid="{A6380106-F5B2-474F-AF3E-DE8FA605381E}"/>
  </hyperlinks>
  <pageMargins left="0.4" right="0.33" top="0.37" bottom="0.4"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2BD65-3577-4F9A-9986-4177D73DD1B1}">
  <dimension ref="A1:A21"/>
  <sheetViews>
    <sheetView workbookViewId="0">
      <selection activeCell="A69" sqref="A69"/>
    </sheetView>
  </sheetViews>
  <sheetFormatPr defaultRowHeight="18"/>
  <cols>
    <col min="1" max="1" width="78.85546875" style="192" customWidth="1"/>
  </cols>
  <sheetData>
    <row r="1" spans="1:1">
      <c r="A1" s="193" t="s">
        <v>259</v>
      </c>
    </row>
    <row r="2" spans="1:1" ht="126">
      <c r="A2" s="194" t="s">
        <v>260</v>
      </c>
    </row>
    <row r="3" spans="1:1">
      <c r="A3" s="193" t="s">
        <v>261</v>
      </c>
    </row>
    <row r="4" spans="1:1" ht="90">
      <c r="A4" s="193" t="s">
        <v>262</v>
      </c>
    </row>
    <row r="5" spans="1:1" ht="126">
      <c r="A5" s="193" t="s">
        <v>263</v>
      </c>
    </row>
    <row r="6" spans="1:1">
      <c r="A6" s="193"/>
    </row>
    <row r="8" spans="1:1">
      <c r="A8" s="195" t="s">
        <v>264</v>
      </c>
    </row>
    <row r="10" spans="1:1">
      <c r="A10" s="195" t="s">
        <v>265</v>
      </c>
    </row>
    <row r="15" spans="1:1" ht="126">
      <c r="A15" s="196" t="s">
        <v>266</v>
      </c>
    </row>
    <row r="18" spans="1:1">
      <c r="A18" s="197"/>
    </row>
    <row r="19" spans="1:1">
      <c r="A19" s="197"/>
    </row>
    <row r="20" spans="1:1">
      <c r="A20" s="197"/>
    </row>
    <row r="21" spans="1:1" ht="180">
      <c r="A21" s="197" t="s">
        <v>267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D9A01-0394-4560-A33E-A920F01166DF}">
  <dimension ref="A1:Y143"/>
  <sheetViews>
    <sheetView zoomScaleNormal="100" zoomScaleSheetLayoutView="32" workbookViewId="0">
      <pane xSplit="4" ySplit="1" topLeftCell="Q44" activePane="bottomRight" state="frozen"/>
      <selection pane="bottomRight" activeCell="Q44" sqref="Q44"/>
      <selection pane="bottomLeft" activeCell="A69" sqref="A49:A69"/>
      <selection pane="topRight" activeCell="A69" sqref="A49:A69"/>
    </sheetView>
  </sheetViews>
  <sheetFormatPr defaultColWidth="9.140625" defaultRowHeight="15.6"/>
  <cols>
    <col min="1" max="1" width="4.85546875" style="2" customWidth="1"/>
    <col min="2" max="2" width="7.42578125" style="2" customWidth="1"/>
    <col min="3" max="3" width="5.140625" style="2" customWidth="1"/>
    <col min="4" max="4" width="18.7109375" style="7" customWidth="1"/>
    <col min="5" max="5" width="27.28515625" style="2" bestFit="1" customWidth="1"/>
    <col min="6" max="6" width="12.140625" style="2" customWidth="1"/>
    <col min="7" max="7" width="6.28515625" style="2" customWidth="1"/>
    <col min="8" max="8" width="5.5703125" style="295" customWidth="1"/>
    <col min="9" max="9" width="9.28515625" customWidth="1"/>
    <col min="10" max="10" width="11" customWidth="1"/>
    <col min="11" max="11" width="4.5703125" style="2" customWidth="1"/>
    <col min="12" max="12" width="7.140625" style="2" customWidth="1"/>
    <col min="13" max="13" width="7.7109375" style="2" customWidth="1"/>
    <col min="14" max="14" width="10.7109375" style="2" customWidth="1"/>
    <col min="15" max="15" width="7.7109375" style="2" customWidth="1"/>
    <col min="16" max="17" width="8.42578125" style="2" customWidth="1"/>
    <col min="18" max="18" width="7.5703125" style="2" customWidth="1"/>
    <col min="19" max="19" width="4.85546875" style="2" customWidth="1"/>
    <col min="20" max="20" width="7.42578125" style="295" customWidth="1"/>
    <col min="21" max="21" width="8.7109375" style="2" customWidth="1"/>
    <col min="22" max="16384" width="9.140625" style="2"/>
  </cols>
  <sheetData>
    <row r="1" spans="1:21" ht="43.9" customHeight="1">
      <c r="A1" s="320"/>
      <c r="B1" s="355" t="s">
        <v>268</v>
      </c>
      <c r="C1" s="356" t="s">
        <v>269</v>
      </c>
      <c r="D1" s="357" t="s">
        <v>270</v>
      </c>
      <c r="E1" s="320" t="s">
        <v>271</v>
      </c>
      <c r="F1" s="320" t="s">
        <v>272</v>
      </c>
      <c r="G1" s="320" t="s">
        <v>273</v>
      </c>
      <c r="H1" s="320" t="s">
        <v>274</v>
      </c>
      <c r="I1" s="430" t="s">
        <v>275</v>
      </c>
      <c r="J1" s="431" t="s">
        <v>276</v>
      </c>
      <c r="K1" s="429" t="s">
        <v>277</v>
      </c>
      <c r="L1" s="409" t="s">
        <v>278</v>
      </c>
      <c r="M1" s="408" t="s">
        <v>279</v>
      </c>
      <c r="N1" s="409" t="s">
        <v>280</v>
      </c>
      <c r="O1" s="401" t="s">
        <v>281</v>
      </c>
      <c r="P1" s="410" t="s">
        <v>282</v>
      </c>
      <c r="Q1" s="411" t="s">
        <v>283</v>
      </c>
      <c r="R1" s="412" t="s">
        <v>284</v>
      </c>
      <c r="S1" s="413" t="s">
        <v>285</v>
      </c>
      <c r="T1" s="428" t="s">
        <v>286</v>
      </c>
      <c r="U1" s="2" t="s">
        <v>287</v>
      </c>
    </row>
    <row r="2" spans="1:21">
      <c r="C2" s="9" t="s">
        <v>288</v>
      </c>
      <c r="D2" s="7" t="s">
        <v>289</v>
      </c>
      <c r="E2" s="149"/>
      <c r="F2" s="2" t="s">
        <v>290</v>
      </c>
      <c r="H2" s="295" t="s">
        <v>291</v>
      </c>
      <c r="I2" s="2"/>
      <c r="J2" s="2"/>
      <c r="L2" s="427" t="s">
        <v>40</v>
      </c>
      <c r="M2" s="427" t="s">
        <v>40</v>
      </c>
      <c r="P2" s="427" t="s">
        <v>40</v>
      </c>
      <c r="R2" s="427" t="s">
        <v>40</v>
      </c>
      <c r="T2" s="295">
        <v>1</v>
      </c>
      <c r="U2" s="9" t="s">
        <v>287</v>
      </c>
    </row>
    <row r="3" spans="1:21">
      <c r="C3" s="9" t="s">
        <v>288</v>
      </c>
      <c r="D3" s="322" t="s">
        <v>292</v>
      </c>
      <c r="F3" s="422" t="s">
        <v>293</v>
      </c>
      <c r="H3" s="302" t="s">
        <v>291</v>
      </c>
      <c r="I3" s="433" t="s">
        <v>41</v>
      </c>
      <c r="J3" s="433" t="s">
        <v>41</v>
      </c>
      <c r="K3" s="295"/>
      <c r="L3" s="433" t="s">
        <v>41</v>
      </c>
      <c r="M3" s="433" t="s">
        <v>41</v>
      </c>
      <c r="N3" s="295"/>
      <c r="O3" s="295"/>
      <c r="P3" s="433" t="s">
        <v>41</v>
      </c>
      <c r="Q3" s="433" t="s">
        <v>41</v>
      </c>
      <c r="R3" s="433" t="s">
        <v>41</v>
      </c>
      <c r="T3" s="295">
        <v>1</v>
      </c>
      <c r="U3" s="9" t="s">
        <v>287</v>
      </c>
    </row>
    <row r="4" spans="1:21">
      <c r="A4"/>
      <c r="B4" s="156"/>
      <c r="C4" s="7" t="s">
        <v>294</v>
      </c>
      <c r="D4" s="7" t="s">
        <v>3</v>
      </c>
      <c r="E4" t="s">
        <v>295</v>
      </c>
      <c r="F4"/>
      <c r="G4">
        <v>44146</v>
      </c>
      <c r="H4" s="12" t="s">
        <v>296</v>
      </c>
      <c r="I4" s="295"/>
      <c r="J4" s="295"/>
      <c r="K4" s="14"/>
      <c r="L4" s="433" t="s">
        <v>41</v>
      </c>
      <c r="M4" s="433" t="s">
        <v>41</v>
      </c>
      <c r="N4" s="295"/>
      <c r="O4" s="295"/>
      <c r="P4" s="433" t="s">
        <v>41</v>
      </c>
      <c r="Q4" s="434"/>
      <c r="R4" s="435"/>
      <c r="T4" s="295">
        <v>9</v>
      </c>
      <c r="U4" s="9" t="s">
        <v>287</v>
      </c>
    </row>
    <row r="5" spans="1:21">
      <c r="A5"/>
      <c r="B5" s="156">
        <v>45193</v>
      </c>
      <c r="C5" s="7" t="s">
        <v>297</v>
      </c>
      <c r="D5" s="7" t="s">
        <v>298</v>
      </c>
      <c r="E5" t="s">
        <v>299</v>
      </c>
      <c r="F5" t="s">
        <v>300</v>
      </c>
      <c r="G5">
        <v>44105</v>
      </c>
      <c r="H5" s="12" t="s">
        <v>296</v>
      </c>
      <c r="I5" s="295"/>
      <c r="J5" s="295"/>
      <c r="K5" s="12"/>
      <c r="L5" s="436" t="s">
        <v>41</v>
      </c>
      <c r="M5" s="436" t="s">
        <v>41</v>
      </c>
      <c r="N5" s="12"/>
      <c r="O5" s="12"/>
      <c r="P5" s="436" t="s">
        <v>41</v>
      </c>
      <c r="Q5" s="12"/>
      <c r="R5" s="436" t="s">
        <v>41</v>
      </c>
      <c r="S5"/>
      <c r="T5" s="12">
        <v>9</v>
      </c>
      <c r="U5" s="2" t="s">
        <v>287</v>
      </c>
    </row>
    <row r="6" spans="1:21" ht="18">
      <c r="A6" s="218"/>
      <c r="C6" s="2" t="s">
        <v>301</v>
      </c>
      <c r="D6" s="7" t="s">
        <v>302</v>
      </c>
      <c r="I6" s="12"/>
      <c r="J6" s="12"/>
      <c r="K6" s="295"/>
      <c r="L6" s="433" t="s">
        <v>41</v>
      </c>
      <c r="M6" s="295"/>
      <c r="N6" s="295"/>
      <c r="O6" s="295"/>
      <c r="P6" s="433" t="s">
        <v>41</v>
      </c>
      <c r="Q6" s="295"/>
      <c r="R6" s="295"/>
      <c r="T6" s="295">
        <v>2</v>
      </c>
      <c r="U6" s="2" t="s">
        <v>287</v>
      </c>
    </row>
    <row r="7" spans="1:21">
      <c r="D7" s="7" t="s">
        <v>303</v>
      </c>
      <c r="E7" s="2" t="s">
        <v>304</v>
      </c>
      <c r="G7" s="2" t="s">
        <v>301</v>
      </c>
      <c r="H7" s="295" t="s">
        <v>305</v>
      </c>
      <c r="I7" s="12"/>
      <c r="J7" s="12"/>
      <c r="K7" s="295"/>
      <c r="L7" s="433" t="s">
        <v>41</v>
      </c>
      <c r="M7" s="295"/>
      <c r="N7" s="295"/>
      <c r="O7" s="295"/>
      <c r="P7" s="295"/>
      <c r="Q7" s="295"/>
      <c r="R7" s="295"/>
      <c r="T7" s="295">
        <v>3</v>
      </c>
      <c r="U7" s="2" t="s">
        <v>287</v>
      </c>
    </row>
    <row r="8" spans="1:21">
      <c r="A8" s="2" t="s">
        <v>306</v>
      </c>
      <c r="B8" s="297"/>
      <c r="C8" s="9" t="s">
        <v>288</v>
      </c>
      <c r="D8" s="322" t="s">
        <v>307</v>
      </c>
      <c r="E8" s="423" t="s">
        <v>308</v>
      </c>
      <c r="G8" s="9"/>
      <c r="H8" s="302" t="s">
        <v>296</v>
      </c>
      <c r="I8" s="437" t="s">
        <v>41</v>
      </c>
      <c r="J8" s="438" t="s">
        <v>41</v>
      </c>
      <c r="K8" s="295"/>
      <c r="L8" s="433" t="s">
        <v>41</v>
      </c>
      <c r="M8" s="433" t="s">
        <v>41</v>
      </c>
      <c r="N8" s="295"/>
      <c r="O8" s="295"/>
      <c r="P8" s="433" t="s">
        <v>41</v>
      </c>
      <c r="Q8" s="439" t="s">
        <v>41</v>
      </c>
      <c r="R8" s="433" t="s">
        <v>41</v>
      </c>
      <c r="T8" s="295">
        <v>1</v>
      </c>
      <c r="U8" s="9" t="s">
        <v>287</v>
      </c>
    </row>
    <row r="9" spans="1:21">
      <c r="B9" s="297"/>
      <c r="C9" s="9" t="s">
        <v>288</v>
      </c>
      <c r="D9" s="322" t="s">
        <v>309</v>
      </c>
      <c r="F9" s="2" t="s">
        <v>310</v>
      </c>
      <c r="G9" s="9"/>
      <c r="H9" s="295" t="s">
        <v>291</v>
      </c>
      <c r="I9" s="438" t="s">
        <v>41</v>
      </c>
      <c r="J9" s="433" t="s">
        <v>41</v>
      </c>
      <c r="K9" s="302"/>
      <c r="L9" s="433" t="s">
        <v>41</v>
      </c>
      <c r="M9" s="433" t="s">
        <v>41</v>
      </c>
      <c r="N9" s="295"/>
      <c r="O9" s="295"/>
      <c r="P9" s="433" t="s">
        <v>41</v>
      </c>
      <c r="Q9" s="440"/>
      <c r="R9" s="441" t="s">
        <v>41</v>
      </c>
      <c r="T9" s="295">
        <v>1</v>
      </c>
      <c r="U9" s="2" t="s">
        <v>287</v>
      </c>
    </row>
    <row r="10" spans="1:21">
      <c r="D10" s="7" t="s">
        <v>311</v>
      </c>
      <c r="E10" s="2" t="s">
        <v>312</v>
      </c>
      <c r="G10" s="2" t="s">
        <v>301</v>
      </c>
      <c r="H10" s="295" t="s">
        <v>305</v>
      </c>
      <c r="I10" s="12"/>
      <c r="J10" s="12"/>
      <c r="K10" s="295"/>
      <c r="L10" s="295"/>
      <c r="M10" s="433" t="s">
        <v>41</v>
      </c>
      <c r="N10" s="295"/>
      <c r="O10" s="295"/>
      <c r="P10" s="295"/>
      <c r="Q10" s="295"/>
      <c r="R10" s="433" t="s">
        <v>41</v>
      </c>
      <c r="T10" s="295">
        <v>6</v>
      </c>
      <c r="U10" s="2" t="s">
        <v>287</v>
      </c>
    </row>
    <row r="11" spans="1:21">
      <c r="D11" s="7" t="s">
        <v>313</v>
      </c>
      <c r="E11" s="2" t="s">
        <v>314</v>
      </c>
      <c r="G11" s="2" t="s">
        <v>301</v>
      </c>
      <c r="H11" s="295" t="s">
        <v>291</v>
      </c>
      <c r="L11" s="427" t="s">
        <v>41</v>
      </c>
      <c r="T11" s="295">
        <v>9</v>
      </c>
      <c r="U11" s="2" t="s">
        <v>287</v>
      </c>
    </row>
    <row r="12" spans="1:21">
      <c r="A12" s="9" t="s">
        <v>315</v>
      </c>
      <c r="B12" s="294">
        <v>44665</v>
      </c>
      <c r="C12" s="9" t="s">
        <v>288</v>
      </c>
      <c r="D12" s="7" t="s">
        <v>316</v>
      </c>
      <c r="E12" s="9" t="s">
        <v>317</v>
      </c>
      <c r="F12" s="9" t="s">
        <v>318</v>
      </c>
      <c r="G12" s="9">
        <v>44128</v>
      </c>
      <c r="H12" s="295" t="s">
        <v>296</v>
      </c>
      <c r="I12" s="427" t="s">
        <v>40</v>
      </c>
      <c r="J12" s="427" t="s">
        <v>40</v>
      </c>
      <c r="L12" s="427" t="s">
        <v>41</v>
      </c>
      <c r="M12" s="427" t="s">
        <v>41</v>
      </c>
      <c r="P12" s="427" t="s">
        <v>41</v>
      </c>
      <c r="Q12" s="427" t="s">
        <v>41</v>
      </c>
      <c r="R12" s="427" t="s">
        <v>41</v>
      </c>
      <c r="T12" s="295">
        <v>1</v>
      </c>
      <c r="U12" s="2" t="s">
        <v>287</v>
      </c>
    </row>
    <row r="13" spans="1:21">
      <c r="C13" s="21" t="s">
        <v>294</v>
      </c>
      <c r="D13" s="7" t="s">
        <v>319</v>
      </c>
      <c r="E13" s="387" t="s">
        <v>320</v>
      </c>
      <c r="H13" s="295" t="s">
        <v>291</v>
      </c>
      <c r="I13" s="2"/>
      <c r="J13" s="2"/>
      <c r="L13" s="427" t="s">
        <v>41</v>
      </c>
      <c r="M13" s="427" t="s">
        <v>41</v>
      </c>
      <c r="Q13" s="427" t="s">
        <v>41</v>
      </c>
      <c r="R13" s="427" t="s">
        <v>41</v>
      </c>
      <c r="T13" s="295">
        <v>1</v>
      </c>
      <c r="U13" s="2" t="s">
        <v>287</v>
      </c>
    </row>
    <row r="14" spans="1:21">
      <c r="C14" s="21" t="s">
        <v>294</v>
      </c>
      <c r="D14" s="322" t="s">
        <v>321</v>
      </c>
      <c r="E14" s="388" t="s">
        <v>322</v>
      </c>
      <c r="H14" s="295" t="s">
        <v>291</v>
      </c>
      <c r="I14" s="427" t="s">
        <v>41</v>
      </c>
      <c r="J14" s="293" t="s">
        <v>41</v>
      </c>
      <c r="L14" s="427" t="s">
        <v>41</v>
      </c>
      <c r="T14" s="295">
        <v>1</v>
      </c>
      <c r="U14" s="2" t="s">
        <v>287</v>
      </c>
    </row>
    <row r="15" spans="1:21" ht="15.75">
      <c r="A15" s="2" t="s">
        <v>323</v>
      </c>
      <c r="B15" s="297">
        <v>44627</v>
      </c>
      <c r="C15" s="9" t="s">
        <v>288</v>
      </c>
      <c r="D15" s="7" t="s">
        <v>324</v>
      </c>
      <c r="E15" s="2" t="s">
        <v>325</v>
      </c>
      <c r="F15" s="2" t="s">
        <v>326</v>
      </c>
      <c r="G15" s="2" t="s">
        <v>327</v>
      </c>
      <c r="H15" s="295" t="s">
        <v>296</v>
      </c>
      <c r="I15" s="2"/>
      <c r="J15" s="427" t="s">
        <v>41</v>
      </c>
      <c r="L15" s="293" t="s">
        <v>41</v>
      </c>
      <c r="M15" s="427" t="s">
        <v>41</v>
      </c>
      <c r="P15" s="427" t="s">
        <v>41</v>
      </c>
      <c r="Q15" s="427" t="s">
        <v>41</v>
      </c>
      <c r="T15" s="295">
        <v>2</v>
      </c>
      <c r="U15" s="2" t="s">
        <v>287</v>
      </c>
    </row>
    <row r="16" spans="1:21" ht="15.75">
      <c r="A16" s="2" t="s">
        <v>306</v>
      </c>
      <c r="C16" s="9" t="s">
        <v>288</v>
      </c>
      <c r="D16" s="322" t="s">
        <v>328</v>
      </c>
      <c r="E16" s="373" t="s">
        <v>329</v>
      </c>
      <c r="F16" s="2" t="s">
        <v>330</v>
      </c>
      <c r="G16" s="2" t="s">
        <v>301</v>
      </c>
      <c r="H16" s="295" t="s">
        <v>296</v>
      </c>
      <c r="I16" s="2"/>
      <c r="J16" s="2"/>
      <c r="T16" s="295">
        <v>1</v>
      </c>
      <c r="U16" s="9" t="s">
        <v>287</v>
      </c>
    </row>
    <row r="17" spans="1:25" ht="15.75">
      <c r="A17" s="2" t="s">
        <v>306</v>
      </c>
      <c r="C17" s="9" t="s">
        <v>288</v>
      </c>
      <c r="D17" s="322" t="s">
        <v>328</v>
      </c>
      <c r="E17" s="373" t="s">
        <v>329</v>
      </c>
      <c r="F17" s="2" t="s">
        <v>330</v>
      </c>
      <c r="G17" s="2" t="s">
        <v>301</v>
      </c>
      <c r="H17" s="295" t="s">
        <v>296</v>
      </c>
      <c r="I17" s="2"/>
      <c r="J17" s="2"/>
      <c r="T17" s="295">
        <v>1</v>
      </c>
      <c r="U17" s="9" t="s">
        <v>287</v>
      </c>
    </row>
    <row r="18" spans="1:25">
      <c r="A18" s="2" t="s">
        <v>331</v>
      </c>
      <c r="B18" s="297">
        <v>44596</v>
      </c>
      <c r="C18" s="9" t="s">
        <v>288</v>
      </c>
      <c r="D18" s="7" t="s">
        <v>332</v>
      </c>
      <c r="E18" s="2" t="s">
        <v>333</v>
      </c>
      <c r="F18" s="2" t="s">
        <v>334</v>
      </c>
      <c r="G18" s="2" t="s">
        <v>327</v>
      </c>
      <c r="H18" s="295" t="s">
        <v>296</v>
      </c>
      <c r="I18" s="427" t="s">
        <v>40</v>
      </c>
      <c r="J18" s="427" t="s">
        <v>40</v>
      </c>
      <c r="L18" s="427" t="s">
        <v>40</v>
      </c>
      <c r="M18" s="427" t="s">
        <v>40</v>
      </c>
      <c r="P18" s="427" t="s">
        <v>40</v>
      </c>
      <c r="Q18" s="427" t="s">
        <v>40</v>
      </c>
      <c r="T18" s="295">
        <v>2</v>
      </c>
      <c r="U18" s="9" t="s">
        <v>287</v>
      </c>
    </row>
    <row r="19" spans="1:25">
      <c r="D19" s="7" t="s">
        <v>335</v>
      </c>
      <c r="T19" s="295">
        <v>2</v>
      </c>
      <c r="U19" s="2" t="s">
        <v>287</v>
      </c>
    </row>
    <row r="20" spans="1:25">
      <c r="C20" s="9" t="s">
        <v>288</v>
      </c>
      <c r="D20" s="7" t="s">
        <v>336</v>
      </c>
      <c r="E20" s="422" t="s">
        <v>337</v>
      </c>
      <c r="H20" s="295" t="s">
        <v>296</v>
      </c>
      <c r="I20" s="293" t="s">
        <v>41</v>
      </c>
      <c r="J20" s="427" t="s">
        <v>41</v>
      </c>
      <c r="L20" s="427" t="s">
        <v>41</v>
      </c>
      <c r="T20" s="295">
        <v>1</v>
      </c>
      <c r="U20" s="9" t="s">
        <v>287</v>
      </c>
    </row>
    <row r="21" spans="1:25">
      <c r="B21" s="297"/>
      <c r="C21" s="9" t="s">
        <v>288</v>
      </c>
      <c r="D21" s="322" t="s">
        <v>338</v>
      </c>
      <c r="E21" s="2" t="s">
        <v>339</v>
      </c>
      <c r="G21" s="9"/>
      <c r="H21" s="295" t="s">
        <v>296</v>
      </c>
      <c r="I21" s="427" t="s">
        <v>340</v>
      </c>
      <c r="J21" s="427" t="s">
        <v>340</v>
      </c>
      <c r="K21" s="9"/>
      <c r="L21" s="427" t="s">
        <v>340</v>
      </c>
      <c r="M21" s="427" t="s">
        <v>340</v>
      </c>
      <c r="Q21" s="298"/>
      <c r="R21" s="300"/>
      <c r="T21" s="295">
        <v>1</v>
      </c>
      <c r="U21" s="9" t="s">
        <v>287</v>
      </c>
    </row>
    <row r="22" spans="1:25">
      <c r="B22" s="297"/>
      <c r="C22" s="21" t="s">
        <v>294</v>
      </c>
      <c r="D22" s="322" t="s">
        <v>341</v>
      </c>
      <c r="E22" s="389" t="s">
        <v>342</v>
      </c>
      <c r="G22" s="9"/>
      <c r="H22" s="295" t="s">
        <v>291</v>
      </c>
      <c r="I22" s="427" t="s">
        <v>41</v>
      </c>
      <c r="J22" s="427" t="s">
        <v>41</v>
      </c>
      <c r="K22" s="452" t="s">
        <v>41</v>
      </c>
      <c r="L22" s="450" t="s">
        <v>41</v>
      </c>
      <c r="M22" s="450" t="s">
        <v>41</v>
      </c>
      <c r="N22"/>
      <c r="O22"/>
      <c r="P22" s="450" t="s">
        <v>41</v>
      </c>
      <c r="Q22" s="451" t="s">
        <v>41</v>
      </c>
      <c r="R22" s="427" t="s">
        <v>41</v>
      </c>
      <c r="S22"/>
      <c r="T22" s="12">
        <v>1</v>
      </c>
      <c r="U22" s="2" t="s">
        <v>287</v>
      </c>
    </row>
    <row r="23" spans="1:25">
      <c r="D23" s="7" t="s">
        <v>343</v>
      </c>
      <c r="E23" s="2" t="s">
        <v>344</v>
      </c>
      <c r="G23" s="2" t="s">
        <v>301</v>
      </c>
      <c r="H23" s="295" t="s">
        <v>305</v>
      </c>
      <c r="L23" s="427" t="s">
        <v>41</v>
      </c>
      <c r="T23" s="295">
        <v>1</v>
      </c>
      <c r="U23" s="2" t="s">
        <v>287</v>
      </c>
    </row>
    <row r="24" spans="1:25">
      <c r="B24" s="297"/>
      <c r="C24" s="9" t="s">
        <v>288</v>
      </c>
      <c r="D24" s="7" t="s">
        <v>345</v>
      </c>
      <c r="E24" s="2" t="s">
        <v>346</v>
      </c>
      <c r="F24" s="2" t="s">
        <v>347</v>
      </c>
      <c r="G24" s="9">
        <v>44134</v>
      </c>
      <c r="H24" s="295" t="s">
        <v>291</v>
      </c>
      <c r="I24" s="427" t="s">
        <v>41</v>
      </c>
      <c r="J24" s="427" t="s">
        <v>40</v>
      </c>
      <c r="K24" s="9"/>
      <c r="L24" s="427" t="s">
        <v>40</v>
      </c>
      <c r="M24" s="427" t="s">
        <v>40</v>
      </c>
      <c r="P24" s="427" t="s">
        <v>40</v>
      </c>
      <c r="Q24" s="427" t="s">
        <v>40</v>
      </c>
      <c r="T24" s="295">
        <v>1</v>
      </c>
      <c r="U24" s="2" t="s">
        <v>287</v>
      </c>
    </row>
    <row r="25" spans="1:25">
      <c r="C25" s="9" t="s">
        <v>288</v>
      </c>
      <c r="D25" s="322" t="s">
        <v>348</v>
      </c>
      <c r="E25" s="380"/>
      <c r="F25" s="2" t="s">
        <v>349</v>
      </c>
      <c r="H25" s="295" t="s">
        <v>291</v>
      </c>
      <c r="I25" s="427" t="s">
        <v>41</v>
      </c>
      <c r="J25" s="427" t="s">
        <v>41</v>
      </c>
      <c r="L25" s="427" t="s">
        <v>41</v>
      </c>
      <c r="M25" s="427" t="s">
        <v>41</v>
      </c>
      <c r="P25" s="427" t="s">
        <v>41</v>
      </c>
      <c r="Q25" s="427" t="s">
        <v>41</v>
      </c>
      <c r="R25" s="427" t="s">
        <v>41</v>
      </c>
      <c r="T25" s="295">
        <v>1</v>
      </c>
      <c r="U25" s="2" t="s">
        <v>287</v>
      </c>
    </row>
    <row r="26" spans="1:25">
      <c r="C26" s="9" t="s">
        <v>288</v>
      </c>
      <c r="D26" s="7" t="s">
        <v>350</v>
      </c>
      <c r="E26" s="376" t="s">
        <v>351</v>
      </c>
      <c r="H26" s="295" t="s">
        <v>296</v>
      </c>
      <c r="I26" s="2"/>
      <c r="J26" s="2"/>
      <c r="L26" s="427" t="s">
        <v>41</v>
      </c>
      <c r="M26" s="427" t="s">
        <v>41</v>
      </c>
      <c r="P26" s="427" t="s">
        <v>41</v>
      </c>
      <c r="R26" s="427" t="s">
        <v>41</v>
      </c>
      <c r="T26" s="295">
        <v>2</v>
      </c>
      <c r="U26" s="9" t="s">
        <v>287</v>
      </c>
    </row>
    <row r="27" spans="1:25">
      <c r="B27" s="9" t="s">
        <v>352</v>
      </c>
      <c r="C27" s="9" t="s">
        <v>288</v>
      </c>
      <c r="D27" s="322" t="s">
        <v>353</v>
      </c>
      <c r="E27" s="381" t="s">
        <v>354</v>
      </c>
      <c r="H27" s="295" t="s">
        <v>291</v>
      </c>
      <c r="I27" s="427" t="s">
        <v>41</v>
      </c>
      <c r="J27" s="293" t="s">
        <v>41</v>
      </c>
      <c r="L27" s="427" t="s">
        <v>41</v>
      </c>
      <c r="P27" s="427" t="s">
        <v>41</v>
      </c>
      <c r="Q27" s="427" t="s">
        <v>41</v>
      </c>
      <c r="R27" s="427" t="s">
        <v>41</v>
      </c>
      <c r="T27" s="295">
        <v>1</v>
      </c>
      <c r="U27" s="2" t="s">
        <v>287</v>
      </c>
      <c r="X27" s="9"/>
      <c r="Y27" s="9"/>
    </row>
    <row r="28" spans="1:25">
      <c r="A28" s="2" t="s">
        <v>355</v>
      </c>
      <c r="B28" s="297">
        <v>44908</v>
      </c>
      <c r="C28" s="9" t="s">
        <v>288</v>
      </c>
      <c r="D28" s="7" t="s">
        <v>356</v>
      </c>
      <c r="E28" s="2" t="s">
        <v>357</v>
      </c>
      <c r="F28" s="2" t="s">
        <v>326</v>
      </c>
      <c r="G28" s="2" t="s">
        <v>327</v>
      </c>
      <c r="H28" s="295" t="s">
        <v>291</v>
      </c>
      <c r="I28" s="2"/>
      <c r="J28" s="2"/>
      <c r="T28" s="295">
        <v>1</v>
      </c>
      <c r="U28" s="2" t="s">
        <v>287</v>
      </c>
    </row>
    <row r="29" spans="1:25">
      <c r="D29" s="7" t="s">
        <v>358</v>
      </c>
      <c r="E29" s="2" t="s">
        <v>359</v>
      </c>
      <c r="H29" s="295" t="s">
        <v>291</v>
      </c>
      <c r="T29" s="295">
        <v>1</v>
      </c>
      <c r="U29" s="2" t="s">
        <v>287</v>
      </c>
    </row>
    <row r="30" spans="1:25">
      <c r="B30" s="297">
        <v>44640</v>
      </c>
      <c r="C30" s="9" t="s">
        <v>288</v>
      </c>
      <c r="D30" s="7" t="s">
        <v>360</v>
      </c>
      <c r="E30" s="2" t="s">
        <v>361</v>
      </c>
      <c r="F30" s="2" t="s">
        <v>326</v>
      </c>
      <c r="G30" s="2" t="s">
        <v>327</v>
      </c>
      <c r="H30" s="295" t="s">
        <v>291</v>
      </c>
      <c r="I30" s="427" t="s">
        <v>41</v>
      </c>
      <c r="J30" s="427" t="s">
        <v>41</v>
      </c>
      <c r="L30" s="427" t="s">
        <v>41</v>
      </c>
      <c r="M30" s="427" t="s">
        <v>41</v>
      </c>
      <c r="T30" s="295">
        <v>2</v>
      </c>
      <c r="U30" s="2" t="s">
        <v>287</v>
      </c>
    </row>
    <row r="31" spans="1:25">
      <c r="A31"/>
      <c r="B31" s="156">
        <v>45241</v>
      </c>
      <c r="C31" s="7" t="s">
        <v>297</v>
      </c>
      <c r="D31" s="7" t="s">
        <v>362</v>
      </c>
      <c r="E31" t="s">
        <v>363</v>
      </c>
      <c r="F31" t="s">
        <v>364</v>
      </c>
      <c r="G31">
        <v>44128</v>
      </c>
      <c r="H31" s="12" t="s">
        <v>365</v>
      </c>
      <c r="I31" s="2"/>
      <c r="J31" s="2"/>
      <c r="K31"/>
      <c r="L31" s="450" t="s">
        <v>40</v>
      </c>
      <c r="M31" s="450" t="s">
        <v>40</v>
      </c>
      <c r="N31"/>
      <c r="O31"/>
      <c r="P31"/>
      <c r="Q31"/>
      <c r="R31"/>
      <c r="S31"/>
      <c r="T31" s="12">
        <v>2</v>
      </c>
      <c r="U31" s="2" t="s">
        <v>287</v>
      </c>
    </row>
    <row r="32" spans="1:25">
      <c r="C32" s="390" t="s">
        <v>366</v>
      </c>
      <c r="D32" s="322" t="s">
        <v>367</v>
      </c>
      <c r="E32" s="391" t="s">
        <v>368</v>
      </c>
      <c r="H32" s="295" t="s">
        <v>291</v>
      </c>
      <c r="I32" s="2"/>
      <c r="J32" s="2"/>
      <c r="T32" s="295">
        <v>9</v>
      </c>
      <c r="U32" s="2" t="s">
        <v>287</v>
      </c>
    </row>
    <row r="33" spans="1:22">
      <c r="C33" s="21" t="s">
        <v>294</v>
      </c>
      <c r="D33" s="322" t="s">
        <v>369</v>
      </c>
      <c r="E33" s="386" t="s">
        <v>370</v>
      </c>
      <c r="H33" s="295" t="s">
        <v>296</v>
      </c>
      <c r="I33" s="293" t="s">
        <v>41</v>
      </c>
      <c r="J33" s="293" t="s">
        <v>41</v>
      </c>
      <c r="L33" s="450" t="s">
        <v>41</v>
      </c>
      <c r="M33"/>
      <c r="N33"/>
      <c r="O33"/>
      <c r="P33" s="450" t="s">
        <v>41</v>
      </c>
      <c r="S33"/>
      <c r="T33" s="12">
        <v>2</v>
      </c>
      <c r="U33" s="2" t="s">
        <v>287</v>
      </c>
    </row>
    <row r="34" spans="1:22">
      <c r="A34" s="2" t="s">
        <v>359</v>
      </c>
      <c r="B34" s="297">
        <v>44921</v>
      </c>
      <c r="C34" s="9" t="s">
        <v>288</v>
      </c>
      <c r="D34" s="7" t="s">
        <v>371</v>
      </c>
      <c r="E34" s="2" t="s">
        <v>372</v>
      </c>
      <c r="F34" s="2" t="s">
        <v>373</v>
      </c>
      <c r="G34" s="2" t="s">
        <v>327</v>
      </c>
      <c r="H34" s="295" t="s">
        <v>296</v>
      </c>
      <c r="I34" s="427" t="s">
        <v>40</v>
      </c>
      <c r="J34" s="427" t="s">
        <v>40</v>
      </c>
      <c r="L34" s="427" t="s">
        <v>40</v>
      </c>
      <c r="M34" s="427" t="s">
        <v>40</v>
      </c>
      <c r="T34" s="295">
        <v>1</v>
      </c>
      <c r="U34" s="9" t="s">
        <v>287</v>
      </c>
    </row>
    <row r="35" spans="1:22">
      <c r="A35" s="9"/>
      <c r="B35" s="294">
        <v>44856</v>
      </c>
      <c r="C35" s="9" t="s">
        <v>288</v>
      </c>
      <c r="D35" s="7" t="s">
        <v>374</v>
      </c>
      <c r="E35" s="9" t="s">
        <v>375</v>
      </c>
      <c r="F35" s="9" t="s">
        <v>376</v>
      </c>
      <c r="G35" s="9">
        <v>44146</v>
      </c>
      <c r="H35" s="295" t="s">
        <v>291</v>
      </c>
      <c r="I35" s="2"/>
      <c r="J35" s="2"/>
      <c r="K35" s="452" t="s">
        <v>40</v>
      </c>
      <c r="L35" s="427" t="s">
        <v>40</v>
      </c>
      <c r="M35" s="427" t="s">
        <v>40</v>
      </c>
      <c r="P35" s="427" t="s">
        <v>40</v>
      </c>
      <c r="Q35" s="427" t="s">
        <v>40</v>
      </c>
      <c r="R35" s="427" t="s">
        <v>40</v>
      </c>
      <c r="T35" s="295">
        <v>1</v>
      </c>
      <c r="U35" s="2" t="s">
        <v>287</v>
      </c>
    </row>
    <row r="36" spans="1:22">
      <c r="A36" s="9"/>
      <c r="B36" s="294"/>
      <c r="C36" s="9" t="s">
        <v>288</v>
      </c>
      <c r="D36" s="323" t="s">
        <v>377</v>
      </c>
      <c r="E36" s="303" t="s">
        <v>378</v>
      </c>
      <c r="F36" s="9" t="s">
        <v>379</v>
      </c>
      <c r="G36" s="9">
        <v>44128</v>
      </c>
      <c r="H36" s="302" t="s">
        <v>380</v>
      </c>
      <c r="I36" s="293" t="s">
        <v>41</v>
      </c>
      <c r="J36" s="293" t="s">
        <v>41</v>
      </c>
      <c r="K36" s="295"/>
      <c r="Q36" s="9"/>
      <c r="R36" s="9"/>
      <c r="T36" s="295">
        <v>1</v>
      </c>
      <c r="U36" s="9" t="s">
        <v>287</v>
      </c>
    </row>
    <row r="37" spans="1:22">
      <c r="D37" s="7" t="s">
        <v>381</v>
      </c>
      <c r="E37" s="2" t="s">
        <v>382</v>
      </c>
      <c r="F37" s="2" t="s">
        <v>301</v>
      </c>
      <c r="H37" s="295" t="s">
        <v>291</v>
      </c>
      <c r="I37" s="284" t="s">
        <v>41</v>
      </c>
      <c r="J37" s="284" t="s">
        <v>41</v>
      </c>
      <c r="L37" s="427" t="s">
        <v>41</v>
      </c>
      <c r="Q37" s="427" t="s">
        <v>41</v>
      </c>
      <c r="T37" s="295">
        <v>1</v>
      </c>
      <c r="U37" s="2" t="s">
        <v>287</v>
      </c>
    </row>
    <row r="38" spans="1:22">
      <c r="A38" s="9"/>
      <c r="B38" s="294">
        <v>44914</v>
      </c>
      <c r="C38" s="9" t="s">
        <v>288</v>
      </c>
      <c r="D38" s="7" t="s">
        <v>383</v>
      </c>
      <c r="E38" s="9" t="s">
        <v>384</v>
      </c>
      <c r="F38" s="9" t="s">
        <v>385</v>
      </c>
      <c r="G38" s="9">
        <v>44111</v>
      </c>
      <c r="H38" s="295" t="s">
        <v>291</v>
      </c>
      <c r="I38" s="2"/>
      <c r="J38" s="2"/>
      <c r="L38" s="427" t="s">
        <v>41</v>
      </c>
      <c r="M38" s="427" t="s">
        <v>41</v>
      </c>
      <c r="P38" s="427" t="s">
        <v>41</v>
      </c>
      <c r="T38" s="295">
        <v>2</v>
      </c>
      <c r="U38" s="2" t="s">
        <v>287</v>
      </c>
    </row>
    <row r="39" spans="1:22">
      <c r="A39"/>
      <c r="B39" s="156"/>
      <c r="C39" s="7" t="s">
        <v>297</v>
      </c>
      <c r="D39" s="7" t="s">
        <v>386</v>
      </c>
      <c r="E39" t="s">
        <v>387</v>
      </c>
      <c r="F39" t="s">
        <v>388</v>
      </c>
      <c r="G39">
        <v>44143</v>
      </c>
      <c r="H39" s="12" t="s">
        <v>291</v>
      </c>
      <c r="I39" s="2"/>
      <c r="J39" s="2"/>
      <c r="K39"/>
      <c r="L39" s="427" t="s">
        <v>41</v>
      </c>
      <c r="M39" s="427" t="s">
        <v>41</v>
      </c>
      <c r="Q39"/>
      <c r="R39"/>
      <c r="T39" s="295">
        <v>1</v>
      </c>
      <c r="U39" s="2" t="s">
        <v>287</v>
      </c>
    </row>
    <row r="40" spans="1:22">
      <c r="C40" s="9" t="s">
        <v>288</v>
      </c>
      <c r="D40" s="7" t="s">
        <v>389</v>
      </c>
      <c r="E40" s="378" t="s">
        <v>390</v>
      </c>
      <c r="F40" s="2" t="s">
        <v>391</v>
      </c>
      <c r="H40" s="302" t="s">
        <v>392</v>
      </c>
      <c r="I40" s="427" t="s">
        <v>40</v>
      </c>
      <c r="J40" s="427" t="s">
        <v>40</v>
      </c>
      <c r="L40" s="427" t="s">
        <v>40</v>
      </c>
      <c r="T40" s="295">
        <v>1</v>
      </c>
      <c r="U40" s="2" t="s">
        <v>287</v>
      </c>
    </row>
    <row r="41" spans="1:22">
      <c r="B41" s="297">
        <v>44312</v>
      </c>
      <c r="C41" s="9" t="s">
        <v>288</v>
      </c>
      <c r="D41" s="7" t="s">
        <v>393</v>
      </c>
      <c r="E41" s="2" t="s">
        <v>394</v>
      </c>
      <c r="F41" s="2" t="s">
        <v>395</v>
      </c>
      <c r="G41" s="2" t="s">
        <v>327</v>
      </c>
      <c r="H41" s="295" t="s">
        <v>296</v>
      </c>
      <c r="I41" s="2"/>
      <c r="J41" s="2"/>
      <c r="L41" s="427" t="s">
        <v>40</v>
      </c>
      <c r="M41" s="427" t="s">
        <v>40</v>
      </c>
      <c r="P41" s="427" t="s">
        <v>40</v>
      </c>
      <c r="Q41" s="427" t="s">
        <v>40</v>
      </c>
      <c r="R41" s="427" t="s">
        <v>40</v>
      </c>
      <c r="T41" s="295">
        <v>1</v>
      </c>
      <c r="U41" s="9" t="s">
        <v>287</v>
      </c>
    </row>
    <row r="42" spans="1:22">
      <c r="A42"/>
      <c r="B42" s="156">
        <v>45193</v>
      </c>
      <c r="C42" s="7" t="s">
        <v>297</v>
      </c>
      <c r="D42" s="7" t="s">
        <v>396</v>
      </c>
      <c r="E42" t="s">
        <v>397</v>
      </c>
      <c r="F42" t="s">
        <v>398</v>
      </c>
      <c r="G42">
        <v>44118</v>
      </c>
      <c r="H42" s="12" t="s">
        <v>296</v>
      </c>
      <c r="I42" s="2"/>
      <c r="J42" s="2"/>
      <c r="K42"/>
      <c r="L42" s="450" t="s">
        <v>40</v>
      </c>
      <c r="M42"/>
      <c r="N42"/>
      <c r="O42"/>
      <c r="P42"/>
      <c r="Q42"/>
      <c r="R42" s="450" t="s">
        <v>40</v>
      </c>
      <c r="S42"/>
      <c r="T42" s="12">
        <v>1</v>
      </c>
      <c r="U42" s="2" t="s">
        <v>287</v>
      </c>
    </row>
    <row r="43" spans="1:22" ht="15.75">
      <c r="A43"/>
      <c r="B43" s="156"/>
      <c r="C43" s="7" t="s">
        <v>294</v>
      </c>
      <c r="D43" s="7" t="s">
        <v>399</v>
      </c>
      <c r="E43" t="s">
        <v>400</v>
      </c>
      <c r="F43" t="s">
        <v>379</v>
      </c>
      <c r="G43">
        <v>44128</v>
      </c>
      <c r="H43" s="12" t="s">
        <v>291</v>
      </c>
      <c r="I43" s="2"/>
      <c r="J43" s="2"/>
      <c r="K43"/>
      <c r="L43" s="427" t="s">
        <v>40</v>
      </c>
      <c r="M43" s="427" t="s">
        <v>40</v>
      </c>
      <c r="Q43"/>
      <c r="R43"/>
      <c r="T43" s="295">
        <v>1</v>
      </c>
      <c r="U43" s="2" t="s">
        <v>287</v>
      </c>
    </row>
    <row r="44" spans="1:22" ht="15.75">
      <c r="A44" s="445"/>
      <c r="B44" s="446">
        <v>45283</v>
      </c>
      <c r="C44" s="447" t="s">
        <v>297</v>
      </c>
      <c r="D44" s="447" t="s">
        <v>401</v>
      </c>
      <c r="E44" s="445" t="s">
        <v>402</v>
      </c>
      <c r="F44" s="445" t="s">
        <v>388</v>
      </c>
      <c r="G44" s="445">
        <v>44143</v>
      </c>
      <c r="H44" s="448" t="s">
        <v>392</v>
      </c>
      <c r="I44" s="449"/>
      <c r="J44" s="449"/>
      <c r="K44" s="445"/>
      <c r="L44" s="453" t="s">
        <v>40</v>
      </c>
      <c r="M44" s="453" t="s">
        <v>40</v>
      </c>
      <c r="N44" s="445"/>
      <c r="O44" s="445"/>
      <c r="P44" s="453" t="s">
        <v>40</v>
      </c>
      <c r="Q44" s="453" t="s">
        <v>40</v>
      </c>
      <c r="R44" s="453" t="s">
        <v>40</v>
      </c>
      <c r="S44" s="445"/>
      <c r="T44" s="448">
        <v>1</v>
      </c>
      <c r="U44" s="449" t="s">
        <v>287</v>
      </c>
      <c r="V44" s="449"/>
    </row>
    <row r="45" spans="1:22" ht="15.75">
      <c r="A45" s="9"/>
      <c r="B45" s="294">
        <v>44636</v>
      </c>
      <c r="C45" s="9" t="s">
        <v>288</v>
      </c>
      <c r="D45" s="7" t="s">
        <v>403</v>
      </c>
      <c r="E45" s="9" t="s">
        <v>404</v>
      </c>
      <c r="F45" s="9" t="s">
        <v>405</v>
      </c>
      <c r="G45" s="9">
        <v>44120</v>
      </c>
      <c r="H45" s="295" t="s">
        <v>291</v>
      </c>
      <c r="I45" s="2" t="s">
        <v>40</v>
      </c>
      <c r="J45" s="2" t="s">
        <v>40</v>
      </c>
      <c r="K45" s="2" t="s">
        <v>40</v>
      </c>
      <c r="L45" s="2" t="s">
        <v>40</v>
      </c>
      <c r="M45" s="2" t="s">
        <v>40</v>
      </c>
      <c r="N45" s="2" t="s">
        <v>43</v>
      </c>
      <c r="Q45" s="2" t="s">
        <v>40</v>
      </c>
      <c r="R45" s="2" t="s">
        <v>43</v>
      </c>
      <c r="S45" s="2" t="s">
        <v>40</v>
      </c>
      <c r="U45" s="2" t="s">
        <v>406</v>
      </c>
    </row>
    <row r="46" spans="1:22">
      <c r="A46" s="9"/>
      <c r="B46" s="294"/>
      <c r="C46" s="9" t="s">
        <v>288</v>
      </c>
      <c r="D46" s="7" t="s">
        <v>407</v>
      </c>
      <c r="E46" s="9"/>
      <c r="F46" s="9" t="s">
        <v>408</v>
      </c>
      <c r="G46" s="9">
        <v>44087</v>
      </c>
      <c r="H46" s="295" t="s">
        <v>291</v>
      </c>
      <c r="I46" s="2" t="s">
        <v>43</v>
      </c>
      <c r="J46" s="2" t="s">
        <v>43</v>
      </c>
      <c r="K46" s="2" t="s">
        <v>43</v>
      </c>
      <c r="L46" s="2" t="s">
        <v>40</v>
      </c>
      <c r="M46" s="2" t="s">
        <v>40</v>
      </c>
      <c r="P46" s="2" t="s">
        <v>40</v>
      </c>
      <c r="Q46" s="2" t="s">
        <v>40</v>
      </c>
      <c r="R46" s="296" t="s">
        <v>40</v>
      </c>
      <c r="U46" s="9" t="s">
        <v>406</v>
      </c>
    </row>
    <row r="47" spans="1:22">
      <c r="A47"/>
      <c r="B47" s="156">
        <v>45284</v>
      </c>
      <c r="C47" s="7" t="s">
        <v>297</v>
      </c>
      <c r="D47" s="7" t="s">
        <v>409</v>
      </c>
      <c r="E47" t="s">
        <v>410</v>
      </c>
      <c r="F47"/>
      <c r="G47">
        <v>44106</v>
      </c>
      <c r="H47" s="12" t="s">
        <v>291</v>
      </c>
      <c r="I47" s="2" t="s">
        <v>43</v>
      </c>
      <c r="J47" s="2" t="s">
        <v>43</v>
      </c>
      <c r="K47"/>
      <c r="L47" t="s">
        <v>40</v>
      </c>
      <c r="M47" t="s">
        <v>40</v>
      </c>
      <c r="N47"/>
      <c r="O47"/>
      <c r="P47" t="s">
        <v>40</v>
      </c>
      <c r="Q47" t="s">
        <v>40</v>
      </c>
      <c r="R47" t="s">
        <v>40</v>
      </c>
      <c r="S47"/>
      <c r="T47" s="12"/>
      <c r="U47" s="9" t="s">
        <v>406</v>
      </c>
    </row>
    <row r="48" spans="1:22">
      <c r="D48" s="7" t="s">
        <v>411</v>
      </c>
      <c r="U48" s="9" t="s">
        <v>406</v>
      </c>
    </row>
    <row r="49" spans="1:23">
      <c r="C49" s="2" t="s">
        <v>301</v>
      </c>
      <c r="D49" s="7" t="s">
        <v>412</v>
      </c>
      <c r="E49" s="2" t="s">
        <v>413</v>
      </c>
      <c r="F49" s="2" t="s">
        <v>301</v>
      </c>
      <c r="H49" s="295" t="s">
        <v>305</v>
      </c>
      <c r="I49" t="s">
        <v>43</v>
      </c>
      <c r="J49" t="s">
        <v>43</v>
      </c>
      <c r="K49" s="2" t="s">
        <v>43</v>
      </c>
      <c r="L49" s="2" t="s">
        <v>43</v>
      </c>
      <c r="M49" s="2" t="s">
        <v>43</v>
      </c>
      <c r="N49" s="2" t="s">
        <v>43</v>
      </c>
      <c r="P49" s="2" t="s">
        <v>43</v>
      </c>
      <c r="Q49" s="2" t="s">
        <v>43</v>
      </c>
      <c r="R49" s="2" t="s">
        <v>43</v>
      </c>
      <c r="S49" s="2" t="s">
        <v>43</v>
      </c>
      <c r="T49" s="295" t="s">
        <v>43</v>
      </c>
      <c r="U49" s="2" t="s">
        <v>406</v>
      </c>
    </row>
    <row r="50" spans="1:23">
      <c r="A50"/>
      <c r="B50" s="156"/>
      <c r="C50" s="7" t="s">
        <v>294</v>
      </c>
      <c r="D50" s="7" t="s">
        <v>414</v>
      </c>
      <c r="E50"/>
      <c r="F50"/>
      <c r="G50">
        <v>44146</v>
      </c>
      <c r="H50" s="12" t="s">
        <v>291</v>
      </c>
      <c r="I50" s="2" t="s">
        <v>43</v>
      </c>
      <c r="J50" s="2" t="s">
        <v>43</v>
      </c>
      <c r="K50" t="s">
        <v>43</v>
      </c>
      <c r="L50" s="2" t="s">
        <v>40</v>
      </c>
      <c r="M50" s="2" t="s">
        <v>40</v>
      </c>
      <c r="Q50" t="s">
        <v>44</v>
      </c>
      <c r="R50" t="s">
        <v>43</v>
      </c>
      <c r="S50" s="2" t="s">
        <v>40</v>
      </c>
      <c r="U50" s="2" t="s">
        <v>406</v>
      </c>
    </row>
    <row r="51" spans="1:23">
      <c r="A51"/>
      <c r="B51" s="156"/>
      <c r="C51" s="7" t="s">
        <v>297</v>
      </c>
      <c r="D51" s="7" t="s">
        <v>415</v>
      </c>
      <c r="E51" t="s">
        <v>416</v>
      </c>
      <c r="F51"/>
      <c r="G51">
        <v>44146</v>
      </c>
      <c r="H51" s="12" t="s">
        <v>296</v>
      </c>
      <c r="I51" s="2" t="s">
        <v>40</v>
      </c>
      <c r="J51" s="2" t="s">
        <v>40</v>
      </c>
      <c r="K51"/>
      <c r="L51" t="s">
        <v>40</v>
      </c>
      <c r="M51"/>
      <c r="N51"/>
      <c r="O51"/>
      <c r="P51" t="s">
        <v>40</v>
      </c>
      <c r="Q51" t="s">
        <v>44</v>
      </c>
      <c r="R51"/>
      <c r="S51"/>
      <c r="T51" s="12"/>
      <c r="U51" s="2" t="s">
        <v>406</v>
      </c>
    </row>
    <row r="52" spans="1:23">
      <c r="C52" s="21" t="s">
        <v>294</v>
      </c>
      <c r="D52" s="322" t="s">
        <v>417</v>
      </c>
      <c r="E52" s="385" t="s">
        <v>418</v>
      </c>
      <c r="H52" s="295" t="s">
        <v>296</v>
      </c>
      <c r="I52" s="2" t="s">
        <v>40</v>
      </c>
      <c r="J52" s="2" t="s">
        <v>40</v>
      </c>
      <c r="L52" s="2" t="s">
        <v>40</v>
      </c>
      <c r="M52" s="2" t="s">
        <v>43</v>
      </c>
      <c r="Q52" s="2" t="s">
        <v>43</v>
      </c>
      <c r="R52" s="2" t="s">
        <v>43</v>
      </c>
      <c r="S52" s="2" t="s">
        <v>43</v>
      </c>
      <c r="U52" s="9" t="s">
        <v>406</v>
      </c>
    </row>
    <row r="53" spans="1:23">
      <c r="A53"/>
      <c r="B53" s="156"/>
      <c r="C53" s="7" t="s">
        <v>297</v>
      </c>
      <c r="D53" s="7" t="s">
        <v>419</v>
      </c>
      <c r="E53"/>
      <c r="F53"/>
      <c r="G53">
        <v>44146</v>
      </c>
      <c r="H53" s="12" t="s">
        <v>291</v>
      </c>
      <c r="I53" s="2" t="s">
        <v>43</v>
      </c>
      <c r="J53" s="2" t="s">
        <v>43</v>
      </c>
      <c r="K53"/>
      <c r="L53" t="s">
        <v>43</v>
      </c>
      <c r="M53" t="s">
        <v>43</v>
      </c>
      <c r="N53"/>
      <c r="O53"/>
      <c r="P53" t="s">
        <v>43</v>
      </c>
      <c r="Q53" t="s">
        <v>44</v>
      </c>
      <c r="R53" t="s">
        <v>43</v>
      </c>
      <c r="S53"/>
      <c r="T53" s="12"/>
      <c r="U53" s="2" t="s">
        <v>406</v>
      </c>
    </row>
    <row r="54" spans="1:23">
      <c r="A54" s="9"/>
      <c r="B54" s="294">
        <v>44526</v>
      </c>
      <c r="C54" s="9" t="s">
        <v>288</v>
      </c>
      <c r="D54" s="7" t="s">
        <v>420</v>
      </c>
      <c r="E54" s="9" t="s">
        <v>421</v>
      </c>
      <c r="F54" s="9" t="s">
        <v>422</v>
      </c>
      <c r="G54" s="9">
        <v>44121</v>
      </c>
      <c r="H54" s="302" t="s">
        <v>296</v>
      </c>
      <c r="I54" s="2" t="s">
        <v>43</v>
      </c>
      <c r="J54" s="2" t="s">
        <v>43</v>
      </c>
      <c r="K54" s="2" t="s">
        <v>43</v>
      </c>
      <c r="L54" s="2" t="s">
        <v>40</v>
      </c>
      <c r="M54" s="2" t="s">
        <v>43</v>
      </c>
      <c r="Q54" s="9" t="s">
        <v>40</v>
      </c>
      <c r="R54" s="2" t="s">
        <v>43</v>
      </c>
      <c r="S54" s="2" t="s">
        <v>43</v>
      </c>
      <c r="U54" s="9" t="s">
        <v>406</v>
      </c>
    </row>
    <row r="55" spans="1:23">
      <c r="B55" s="297"/>
      <c r="C55" s="21"/>
      <c r="D55" s="7" t="s">
        <v>423</v>
      </c>
      <c r="E55" s="392" t="s">
        <v>424</v>
      </c>
      <c r="F55" s="2" t="s">
        <v>379</v>
      </c>
      <c r="G55" s="9">
        <v>44128</v>
      </c>
      <c r="H55" s="295" t="s">
        <v>425</v>
      </c>
      <c r="I55" s="2" t="s">
        <v>43</v>
      </c>
      <c r="J55" s="2" t="s">
        <v>43</v>
      </c>
      <c r="K55" s="9" t="s">
        <v>43</v>
      </c>
      <c r="L55" s="2" t="s">
        <v>43</v>
      </c>
      <c r="M55" s="2" t="s">
        <v>43</v>
      </c>
      <c r="N55" s="2" t="s">
        <v>43</v>
      </c>
      <c r="P55" s="2" t="s">
        <v>43</v>
      </c>
      <c r="Q55" s="298" t="s">
        <v>43</v>
      </c>
      <c r="R55" s="2" t="s">
        <v>43</v>
      </c>
      <c r="S55" s="2" t="s">
        <v>43</v>
      </c>
      <c r="T55" s="295" t="s">
        <v>43</v>
      </c>
      <c r="U55" s="2" t="s">
        <v>406</v>
      </c>
    </row>
    <row r="56" spans="1:23">
      <c r="A56"/>
      <c r="B56" s="156">
        <v>45172</v>
      </c>
      <c r="C56" s="7" t="s">
        <v>297</v>
      </c>
      <c r="D56" s="7" t="s">
        <v>426</v>
      </c>
      <c r="E56" t="s">
        <v>427</v>
      </c>
      <c r="F56" t="s">
        <v>364</v>
      </c>
      <c r="G56">
        <v>44120</v>
      </c>
      <c r="H56" s="12" t="s">
        <v>296</v>
      </c>
      <c r="I56" s="2" t="s">
        <v>43</v>
      </c>
      <c r="J56" s="2" t="s">
        <v>43</v>
      </c>
      <c r="K56"/>
      <c r="L56" t="s">
        <v>43</v>
      </c>
      <c r="M56" t="s">
        <v>43</v>
      </c>
      <c r="N56"/>
      <c r="O56"/>
      <c r="P56" t="s">
        <v>43</v>
      </c>
      <c r="Q56" t="s">
        <v>44</v>
      </c>
      <c r="R56" t="s">
        <v>43</v>
      </c>
      <c r="S56"/>
      <c r="T56" s="12"/>
      <c r="U56" s="2" t="s">
        <v>406</v>
      </c>
    </row>
    <row r="57" spans="1:23">
      <c r="A57"/>
      <c r="B57" s="156"/>
      <c r="C57" s="7" t="s">
        <v>294</v>
      </c>
      <c r="D57" s="322" t="s">
        <v>428</v>
      </c>
      <c r="E57" t="s">
        <v>429</v>
      </c>
      <c r="F57"/>
      <c r="G57"/>
      <c r="H57" s="12" t="s">
        <v>291</v>
      </c>
      <c r="I57" s="2" t="s">
        <v>40</v>
      </c>
      <c r="J57" s="2" t="s">
        <v>40</v>
      </c>
      <c r="K57" s="7" t="s">
        <v>43</v>
      </c>
      <c r="L57" t="s">
        <v>40</v>
      </c>
      <c r="M57" t="s">
        <v>40</v>
      </c>
      <c r="N57"/>
      <c r="O57"/>
      <c r="P57"/>
      <c r="Q57" s="279" t="s">
        <v>44</v>
      </c>
      <c r="R57" s="281" t="s">
        <v>43</v>
      </c>
      <c r="S57" t="s">
        <v>40</v>
      </c>
      <c r="T57" s="12" t="s">
        <v>43</v>
      </c>
      <c r="U57" s="2" t="s">
        <v>406</v>
      </c>
    </row>
    <row r="58" spans="1:23">
      <c r="C58" s="2" t="s">
        <v>294</v>
      </c>
      <c r="D58" s="7" t="s">
        <v>430</v>
      </c>
      <c r="E58" s="2" t="s">
        <v>431</v>
      </c>
      <c r="F58" s="2" t="s">
        <v>301</v>
      </c>
      <c r="I58" t="s">
        <v>43</v>
      </c>
      <c r="J58" t="s">
        <v>43</v>
      </c>
      <c r="K58" s="2" t="s">
        <v>43</v>
      </c>
      <c r="L58" s="2" t="s">
        <v>43</v>
      </c>
      <c r="M58" s="2" t="s">
        <v>43</v>
      </c>
      <c r="N58" s="2" t="s">
        <v>43</v>
      </c>
      <c r="P58" s="2" t="s">
        <v>43</v>
      </c>
      <c r="Q58" s="2" t="s">
        <v>43</v>
      </c>
      <c r="R58" s="2" t="s">
        <v>43</v>
      </c>
      <c r="S58" s="2" t="s">
        <v>43</v>
      </c>
      <c r="T58" s="295" t="s">
        <v>43</v>
      </c>
      <c r="U58" s="2" t="s">
        <v>406</v>
      </c>
    </row>
    <row r="59" spans="1:23">
      <c r="A59"/>
      <c r="B59" s="156">
        <v>45226</v>
      </c>
      <c r="C59" s="7" t="s">
        <v>432</v>
      </c>
      <c r="D59" s="7" t="s">
        <v>433</v>
      </c>
      <c r="E59" t="s">
        <v>434</v>
      </c>
      <c r="F59" t="s">
        <v>435</v>
      </c>
      <c r="G59">
        <v>44120</v>
      </c>
      <c r="H59" s="12" t="s">
        <v>296</v>
      </c>
      <c r="I59" s="2" t="s">
        <v>40</v>
      </c>
      <c r="J59" s="2" t="s">
        <v>40</v>
      </c>
      <c r="K59" t="s">
        <v>40</v>
      </c>
      <c r="L59" t="s">
        <v>40</v>
      </c>
      <c r="M59" t="s">
        <v>43</v>
      </c>
      <c r="N59"/>
      <c r="O59"/>
      <c r="P59" t="s">
        <v>40</v>
      </c>
      <c r="Q59" t="s">
        <v>40</v>
      </c>
      <c r="R59" t="s">
        <v>43</v>
      </c>
      <c r="S59"/>
      <c r="T59" s="12"/>
      <c r="U59" s="2" t="s">
        <v>406</v>
      </c>
    </row>
    <row r="60" spans="1:23">
      <c r="B60" s="297"/>
      <c r="C60" s="9" t="s">
        <v>288</v>
      </c>
      <c r="D60" s="277" t="s">
        <v>436</v>
      </c>
      <c r="E60" s="304"/>
      <c r="G60" s="304" t="s">
        <v>327</v>
      </c>
      <c r="H60" s="305" t="s">
        <v>296</v>
      </c>
      <c r="I60" s="2" t="s">
        <v>40</v>
      </c>
      <c r="J60" s="2" t="s">
        <v>40</v>
      </c>
      <c r="K60" s="295" t="s">
        <v>40</v>
      </c>
      <c r="L60" s="2" t="s">
        <v>40</v>
      </c>
      <c r="M60" s="2" t="s">
        <v>40</v>
      </c>
      <c r="Q60" s="304" t="s">
        <v>40</v>
      </c>
      <c r="R60" s="295" t="s">
        <v>43</v>
      </c>
      <c r="U60" s="9" t="s">
        <v>406</v>
      </c>
    </row>
    <row r="61" spans="1:23" ht="15.75">
      <c r="A61" s="2" t="s">
        <v>331</v>
      </c>
      <c r="B61" s="297">
        <v>44598</v>
      </c>
      <c r="C61" s="9" t="s">
        <v>288</v>
      </c>
      <c r="D61" s="7" t="s">
        <v>437</v>
      </c>
      <c r="E61" s="2" t="s">
        <v>438</v>
      </c>
      <c r="F61" s="2" t="s">
        <v>439</v>
      </c>
      <c r="G61" s="2" t="s">
        <v>327</v>
      </c>
      <c r="H61" s="295" t="s">
        <v>296</v>
      </c>
      <c r="I61" s="9" t="s">
        <v>40</v>
      </c>
      <c r="J61" s="9" t="s">
        <v>40</v>
      </c>
      <c r="K61" s="9" t="s">
        <v>40</v>
      </c>
      <c r="L61" s="9" t="s">
        <v>40</v>
      </c>
      <c r="M61" s="9" t="s">
        <v>40</v>
      </c>
      <c r="N61" s="9" t="s">
        <v>40</v>
      </c>
      <c r="O61" s="9"/>
      <c r="P61" s="9" t="s">
        <v>40</v>
      </c>
      <c r="Q61" s="9" t="s">
        <v>40</v>
      </c>
      <c r="R61" s="9" t="s">
        <v>40</v>
      </c>
      <c r="S61" s="9" t="s">
        <v>40</v>
      </c>
      <c r="U61" s="9" t="s">
        <v>406</v>
      </c>
    </row>
    <row r="62" spans="1:23" ht="15.75">
      <c r="C62" s="9" t="s">
        <v>288</v>
      </c>
      <c r="D62" s="322" t="s">
        <v>440</v>
      </c>
      <c r="E62" s="379" t="s">
        <v>354</v>
      </c>
      <c r="H62" s="295" t="s">
        <v>291</v>
      </c>
      <c r="I62" s="9"/>
      <c r="J62" s="9"/>
      <c r="K62" s="9"/>
      <c r="L62" s="9"/>
      <c r="M62" s="9"/>
      <c r="N62" s="9"/>
      <c r="O62" s="9"/>
      <c r="P62" s="9"/>
      <c r="Q62" s="9"/>
      <c r="R62" s="9"/>
      <c r="S62" s="9"/>
      <c r="T62" s="295">
        <v>9</v>
      </c>
      <c r="U62" s="9" t="s">
        <v>406</v>
      </c>
    </row>
    <row r="63" spans="1:23" ht="15.75">
      <c r="C63" s="2" t="s">
        <v>441</v>
      </c>
      <c r="D63" s="7" t="s">
        <v>442</v>
      </c>
      <c r="E63" s="2" t="s">
        <v>443</v>
      </c>
      <c r="F63" s="2" t="s">
        <v>327</v>
      </c>
      <c r="T63" s="295">
        <v>9</v>
      </c>
      <c r="U63" s="2" t="s">
        <v>406</v>
      </c>
    </row>
    <row r="64" spans="1:23" ht="15.75">
      <c r="A64" s="320"/>
      <c r="B64" s="355"/>
      <c r="C64" s="356"/>
      <c r="D64" s="357" t="s">
        <v>444</v>
      </c>
      <c r="E64" s="432"/>
      <c r="F64" s="320"/>
      <c r="G64" s="320"/>
      <c r="H64" s="320"/>
      <c r="I64" s="2"/>
      <c r="J64" s="2"/>
      <c r="K64" s="424"/>
      <c r="L64" s="9"/>
      <c r="M64" s="9"/>
      <c r="N64" s="9"/>
      <c r="O64" s="9"/>
      <c r="P64" s="9"/>
      <c r="Q64" s="425"/>
      <c r="R64" s="425"/>
      <c r="S64" s="9"/>
      <c r="T64" s="302"/>
      <c r="U64" s="9"/>
      <c r="V64" s="9"/>
      <c r="W64" s="9"/>
    </row>
    <row r="65" spans="1:20">
      <c r="B65" s="156"/>
      <c r="C65" s="7"/>
      <c r="D65" s="7" t="s">
        <v>445</v>
      </c>
      <c r="E65" s="2">
        <v>118</v>
      </c>
      <c r="H65" s="302"/>
      <c r="I65" s="2" t="s">
        <v>446</v>
      </c>
      <c r="J65" s="2"/>
      <c r="L65"/>
      <c r="M65"/>
      <c r="N65"/>
      <c r="O65"/>
      <c r="P65"/>
      <c r="S65"/>
      <c r="T65" s="12"/>
    </row>
    <row r="66" spans="1:20" ht="18">
      <c r="A66" s="406"/>
      <c r="D66" s="7" t="s">
        <v>447</v>
      </c>
      <c r="E66" s="2">
        <v>69</v>
      </c>
    </row>
    <row r="67" spans="1:20">
      <c r="D67" s="7" t="s">
        <v>448</v>
      </c>
      <c r="E67" s="2">
        <v>13</v>
      </c>
      <c r="I67">
        <f>E66-E67</f>
        <v>56</v>
      </c>
    </row>
    <row r="68" spans="1:20">
      <c r="D68" s="7" t="s">
        <v>449</v>
      </c>
      <c r="E68" s="2">
        <v>26</v>
      </c>
      <c r="I68">
        <f>I67-E68</f>
        <v>30</v>
      </c>
    </row>
    <row r="69" spans="1:20">
      <c r="D69" s="7" t="s">
        <v>450</v>
      </c>
      <c r="E69" s="304">
        <v>3</v>
      </c>
      <c r="I69">
        <f>+I68-E69</f>
        <v>27</v>
      </c>
    </row>
    <row r="70" spans="1:20">
      <c r="A70"/>
      <c r="B70" s="156"/>
      <c r="C70" s="7"/>
      <c r="D70" s="7" t="s">
        <v>451</v>
      </c>
      <c r="E70">
        <f>E66-E67-E68-E69</f>
        <v>27</v>
      </c>
      <c r="F70"/>
      <c r="G70"/>
      <c r="H70" s="12"/>
      <c r="I70" s="2"/>
      <c r="J70" s="2"/>
      <c r="K70"/>
      <c r="L70"/>
      <c r="M70"/>
      <c r="N70"/>
      <c r="O70"/>
      <c r="P70"/>
      <c r="Q70"/>
      <c r="R70"/>
      <c r="S70"/>
      <c r="T70" s="12"/>
    </row>
    <row r="71" spans="1:20">
      <c r="D71" s="7" t="s">
        <v>452</v>
      </c>
      <c r="E71" s="2">
        <v>78</v>
      </c>
    </row>
    <row r="72" spans="1:20">
      <c r="C72" s="390"/>
      <c r="D72" s="7" t="s">
        <v>453</v>
      </c>
      <c r="E72" s="2">
        <v>1</v>
      </c>
      <c r="H72" s="295" t="s">
        <v>454</v>
      </c>
      <c r="I72" s="2"/>
      <c r="J72" s="2"/>
      <c r="L72"/>
      <c r="M72"/>
      <c r="N72"/>
      <c r="O72"/>
      <c r="P72"/>
      <c r="S72"/>
      <c r="T72" s="12"/>
    </row>
    <row r="73" spans="1:20" ht="18">
      <c r="A73" s="218"/>
      <c r="D73" s="7" t="s">
        <v>455</v>
      </c>
      <c r="E73" s="2">
        <f>E71-E72</f>
        <v>77</v>
      </c>
    </row>
    <row r="74" spans="1:20" ht="18">
      <c r="A74" s="400"/>
      <c r="D74" s="7" t="s">
        <v>456</v>
      </c>
      <c r="E74" s="2">
        <f>E73-E75</f>
        <v>77</v>
      </c>
    </row>
    <row r="75" spans="1:20" ht="18">
      <c r="A75" s="406"/>
    </row>
    <row r="76" spans="1:20" ht="18">
      <c r="A76" s="406"/>
    </row>
    <row r="77" spans="1:20" ht="21">
      <c r="A77" s="442"/>
    </row>
    <row r="78" spans="1:20" ht="18">
      <c r="A78" s="406"/>
    </row>
    <row r="79" spans="1:20" ht="18">
      <c r="A79" s="406"/>
    </row>
    <row r="80" spans="1:20" ht="18">
      <c r="A80" s="406"/>
    </row>
    <row r="81" spans="1:20" ht="18">
      <c r="A81" s="406"/>
    </row>
    <row r="82" spans="1:20" ht="18">
      <c r="A82" s="404"/>
    </row>
    <row r="87" spans="1:20">
      <c r="C87" s="9"/>
      <c r="D87" s="322"/>
      <c r="E87"/>
      <c r="F87" s="371"/>
      <c r="I87" s="2"/>
      <c r="J87" s="2"/>
    </row>
    <row r="88" spans="1:20">
      <c r="A88" s="9"/>
      <c r="B88" s="294"/>
      <c r="C88" s="9"/>
      <c r="E88" s="9"/>
      <c r="F88" s="9"/>
      <c r="G88" s="9"/>
      <c r="I88" s="426"/>
      <c r="J88" s="426"/>
      <c r="K88" s="426"/>
      <c r="L88" s="426"/>
      <c r="M88" s="426"/>
      <c r="N88" s="426"/>
      <c r="O88" s="426"/>
      <c r="P88" s="426"/>
      <c r="Q88" s="426"/>
      <c r="R88" s="426"/>
      <c r="S88" s="426"/>
    </row>
    <row r="89" spans="1:20">
      <c r="A89"/>
      <c r="B89" s="156"/>
      <c r="C89" s="7"/>
      <c r="E89"/>
      <c r="F89"/>
      <c r="G89"/>
      <c r="H89" s="12"/>
      <c r="I89" s="2"/>
      <c r="J89" s="2"/>
    </row>
    <row r="90" spans="1:20">
      <c r="A90"/>
      <c r="B90" s="156"/>
      <c r="C90" s="7"/>
      <c r="D90" s="322"/>
      <c r="E90"/>
      <c r="F90"/>
      <c r="G90"/>
      <c r="H90" s="12"/>
      <c r="I90" s="2"/>
      <c r="J90" s="2"/>
      <c r="K90" s="7"/>
      <c r="L90"/>
      <c r="M90"/>
      <c r="N90"/>
      <c r="O90"/>
      <c r="P90"/>
      <c r="Q90" s="279"/>
      <c r="R90" s="281"/>
      <c r="S90"/>
      <c r="T90" s="12"/>
    </row>
    <row r="121" spans="1:1">
      <c r="A121" s="394"/>
    </row>
    <row r="122" spans="1:1" ht="18">
      <c r="A122" s="395"/>
    </row>
    <row r="123" spans="1:1" ht="18">
      <c r="A123" s="216"/>
    </row>
    <row r="124" spans="1:1" ht="18">
      <c r="A124" s="396"/>
    </row>
    <row r="125" spans="1:1" ht="18">
      <c r="A125" s="397"/>
    </row>
    <row r="126" spans="1:1">
      <c r="A126" s="398"/>
    </row>
    <row r="127" spans="1:1" ht="18">
      <c r="A127" s="393"/>
    </row>
    <row r="128" spans="1:1" ht="18">
      <c r="A128" s="399"/>
    </row>
    <row r="129" spans="1:1" ht="18">
      <c r="A129" s="406"/>
    </row>
    <row r="130" spans="1:1" ht="18">
      <c r="A130" s="218"/>
    </row>
    <row r="131" spans="1:1" ht="18">
      <c r="A131" s="218"/>
    </row>
    <row r="132" spans="1:1" ht="18">
      <c r="A132" s="400"/>
    </row>
    <row r="133" spans="1:1" ht="18">
      <c r="A133" s="406"/>
    </row>
    <row r="134" spans="1:1" ht="18">
      <c r="A134" s="406"/>
    </row>
    <row r="135" spans="1:1" ht="18">
      <c r="A135" s="406"/>
    </row>
    <row r="136" spans="1:1" ht="21">
      <c r="A136" s="442"/>
    </row>
    <row r="137" spans="1:1" ht="18">
      <c r="A137" s="406"/>
    </row>
    <row r="138" spans="1:1" ht="18">
      <c r="A138" s="406"/>
    </row>
    <row r="139" spans="1:1" ht="18">
      <c r="A139" s="406"/>
    </row>
    <row r="140" spans="1:1" ht="18">
      <c r="A140" s="406"/>
    </row>
    <row r="141" spans="1:1" ht="18">
      <c r="A141" s="404"/>
    </row>
    <row r="142" spans="1:1" ht="15.75"/>
    <row r="143" spans="1:1" ht="15.75"/>
  </sheetData>
  <sortState xmlns:xlrd2="http://schemas.microsoft.com/office/spreadsheetml/2017/richdata2" ref="A1:U149">
    <sortCondition ref="U2:U149"/>
    <sortCondition ref="D2:D149"/>
  </sortState>
  <printOptions verticalCentered="1" headings="1" gridLines="1"/>
  <pageMargins left="0.16" right="0.18" top="0.22" bottom="0.37" header="0.17" footer="0.17"/>
  <pageSetup fitToWidth="0" fitToHeight="0" orientation="landscape" r:id="rId1"/>
  <headerFooter>
    <oddFooter>&amp;L&amp;D &amp;T&amp;C&amp;A&amp;R&amp;F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EE0EF-1CF6-4D90-A3ED-E25F6F19D0FB}">
  <dimension ref="A1:Z149"/>
  <sheetViews>
    <sheetView tabSelected="1" view="pageBreakPreview" zoomScaleNormal="100" zoomScaleSheetLayoutView="100" workbookViewId="0">
      <pane xSplit="4" ySplit="1" topLeftCell="E2" activePane="bottomRight" state="frozen"/>
      <selection pane="bottomRight" activeCell="P7" sqref="P7"/>
      <selection pane="bottomLeft" activeCell="A69" sqref="A49:A69"/>
      <selection pane="topRight" activeCell="A69" sqref="A49:A69"/>
    </sheetView>
  </sheetViews>
  <sheetFormatPr defaultColWidth="9.140625" defaultRowHeight="15.6"/>
  <cols>
    <col min="1" max="1" width="4.5703125" style="2" customWidth="1"/>
    <col min="2" max="2" width="9.7109375" style="2" customWidth="1"/>
    <col min="3" max="3" width="6.85546875" style="2" customWidth="1"/>
    <col min="4" max="4" width="18" style="7" customWidth="1"/>
    <col min="5" max="5" width="18.28515625" style="2" customWidth="1"/>
    <col min="6" max="6" width="4.85546875" style="2" customWidth="1"/>
    <col min="7" max="7" width="6.7109375" style="2" customWidth="1"/>
    <col min="8" max="8" width="6.7109375" style="295" customWidth="1"/>
    <col min="9" max="9" width="11.85546875" customWidth="1"/>
    <col min="10" max="10" width="11.28515625" customWidth="1"/>
    <col min="11" max="11" width="6.28515625" style="2" customWidth="1"/>
    <col min="12" max="12" width="5.28515625" style="2" customWidth="1"/>
    <col min="13" max="13" width="8.140625" style="2" customWidth="1"/>
    <col min="14" max="14" width="6.140625" style="2" customWidth="1"/>
    <col min="15" max="15" width="7.85546875" style="2" customWidth="1"/>
    <col min="16" max="16" width="5.85546875" style="2" customWidth="1"/>
    <col min="17" max="18" width="6.85546875" style="2" customWidth="1"/>
    <col min="19" max="20" width="9.140625" style="2"/>
    <col min="21" max="21" width="17.7109375" style="2" bestFit="1" customWidth="1"/>
    <col min="22" max="16384" width="9.140625" style="2"/>
  </cols>
  <sheetData>
    <row r="1" spans="1:26" ht="43.9" customHeight="1">
      <c r="A1" s="320"/>
      <c r="B1" s="355" t="s">
        <v>268</v>
      </c>
      <c r="C1" s="356" t="s">
        <v>269</v>
      </c>
      <c r="D1" s="357" t="s">
        <v>270</v>
      </c>
      <c r="E1" s="320" t="s">
        <v>271</v>
      </c>
      <c r="F1" s="320" t="s">
        <v>272</v>
      </c>
      <c r="G1" s="320" t="s">
        <v>273</v>
      </c>
      <c r="H1" s="320" t="s">
        <v>274</v>
      </c>
      <c r="I1" s="414" t="s">
        <v>275</v>
      </c>
      <c r="J1" s="407" t="s">
        <v>457</v>
      </c>
      <c r="K1" s="149" t="s">
        <v>458</v>
      </c>
      <c r="L1" s="401" t="s">
        <v>459</v>
      </c>
      <c r="M1" s="409" t="s">
        <v>278</v>
      </c>
      <c r="N1" s="408" t="s">
        <v>460</v>
      </c>
      <c r="O1" s="409" t="s">
        <v>280</v>
      </c>
      <c r="P1" s="410" t="s">
        <v>282</v>
      </c>
      <c r="Q1" s="411" t="s">
        <v>283</v>
      </c>
      <c r="R1" s="412" t="s">
        <v>284</v>
      </c>
      <c r="S1" s="413" t="s">
        <v>285</v>
      </c>
      <c r="T1" s="413"/>
      <c r="U1" s="2" t="s">
        <v>287</v>
      </c>
    </row>
    <row r="2" spans="1:26">
      <c r="A2" s="9"/>
      <c r="B2" s="294"/>
      <c r="C2" s="9" t="s">
        <v>288</v>
      </c>
      <c r="D2" s="7" t="s">
        <v>407</v>
      </c>
      <c r="E2" s="9"/>
      <c r="F2" s="9" t="s">
        <v>408</v>
      </c>
      <c r="G2" s="9">
        <v>44087</v>
      </c>
      <c r="H2" s="295" t="s">
        <v>291</v>
      </c>
      <c r="I2" s="2" t="s">
        <v>43</v>
      </c>
      <c r="J2" s="2" t="s">
        <v>43</v>
      </c>
      <c r="K2" s="2" t="s">
        <v>43</v>
      </c>
      <c r="L2" s="2" t="s">
        <v>43</v>
      </c>
      <c r="M2" s="2" t="s">
        <v>40</v>
      </c>
      <c r="N2" s="2" t="s">
        <v>40</v>
      </c>
      <c r="P2" s="2" t="s">
        <v>40</v>
      </c>
      <c r="Q2" s="2" t="s">
        <v>40</v>
      </c>
      <c r="R2" s="296" t="s">
        <v>40</v>
      </c>
      <c r="U2" s="9" t="s">
        <v>287</v>
      </c>
      <c r="Y2" s="343"/>
      <c r="Z2" s="343"/>
    </row>
    <row r="3" spans="1:26">
      <c r="C3" s="9" t="s">
        <v>288</v>
      </c>
      <c r="D3" s="7" t="s">
        <v>289</v>
      </c>
      <c r="E3" s="149"/>
      <c r="F3" s="2" t="s">
        <v>290</v>
      </c>
      <c r="H3" s="295" t="s">
        <v>291</v>
      </c>
      <c r="I3" s="2" t="s">
        <v>43</v>
      </c>
      <c r="J3" s="2" t="s">
        <v>43</v>
      </c>
      <c r="K3" s="2" t="s">
        <v>43</v>
      </c>
      <c r="L3" s="2" t="s">
        <v>43</v>
      </c>
      <c r="M3" s="2" t="s">
        <v>40</v>
      </c>
      <c r="N3" s="2" t="s">
        <v>40</v>
      </c>
      <c r="O3" s="2" t="s">
        <v>40</v>
      </c>
      <c r="P3" s="2" t="s">
        <v>40</v>
      </c>
      <c r="Q3" s="2" t="s">
        <v>40</v>
      </c>
      <c r="R3" s="2" t="s">
        <v>40</v>
      </c>
      <c r="U3" s="9" t="s">
        <v>287</v>
      </c>
      <c r="V3" s="343"/>
      <c r="W3" s="343"/>
      <c r="X3" s="343"/>
      <c r="Y3" s="343"/>
      <c r="Z3" s="343"/>
    </row>
    <row r="4" spans="1:26" s="343" customFormat="1">
      <c r="A4" s="294"/>
      <c r="B4" s="294">
        <v>44920</v>
      </c>
      <c r="C4" s="9" t="s">
        <v>288</v>
      </c>
      <c r="D4" s="7" t="s">
        <v>461</v>
      </c>
      <c r="E4" s="9" t="s">
        <v>462</v>
      </c>
      <c r="F4" s="9" t="s">
        <v>463</v>
      </c>
      <c r="G4" s="9">
        <v>44134</v>
      </c>
      <c r="H4" s="295" t="s">
        <v>291</v>
      </c>
      <c r="I4" s="370" t="s">
        <v>464</v>
      </c>
      <c r="J4" s="370" t="str">
        <f>TRIM(Q4)</f>
        <v>PAID</v>
      </c>
      <c r="K4" s="370" t="s">
        <v>464</v>
      </c>
      <c r="L4" s="370" t="s">
        <v>464</v>
      </c>
      <c r="M4" s="370" t="s">
        <v>464</v>
      </c>
      <c r="N4" s="370" t="s">
        <v>464</v>
      </c>
      <c r="O4" s="370" t="s">
        <v>464</v>
      </c>
      <c r="P4" s="370" t="s">
        <v>464</v>
      </c>
      <c r="Q4" s="370" t="s">
        <v>464</v>
      </c>
      <c r="R4" s="370" t="s">
        <v>464</v>
      </c>
      <c r="S4" s="370" t="s">
        <v>464</v>
      </c>
      <c r="T4" s="2"/>
      <c r="U4" s="9" t="s">
        <v>287</v>
      </c>
      <c r="V4" s="335"/>
      <c r="W4" s="335"/>
      <c r="X4" s="335"/>
      <c r="Y4" s="335"/>
      <c r="Z4" s="335"/>
    </row>
    <row r="5" spans="1:26">
      <c r="C5" s="9"/>
      <c r="D5" s="322" t="s">
        <v>465</v>
      </c>
      <c r="E5" t="s">
        <v>466</v>
      </c>
      <c r="F5" s="371"/>
      <c r="H5" s="295" t="s">
        <v>392</v>
      </c>
      <c r="I5" s="405" t="s">
        <v>43</v>
      </c>
      <c r="J5" s="405" t="s">
        <v>43</v>
      </c>
      <c r="K5" s="405" t="s">
        <v>43</v>
      </c>
      <c r="L5" s="405" t="s">
        <v>43</v>
      </c>
      <c r="M5" s="405" t="s">
        <v>43</v>
      </c>
      <c r="N5" s="405" t="s">
        <v>43</v>
      </c>
      <c r="O5" s="405" t="s">
        <v>43</v>
      </c>
      <c r="P5" s="405" t="s">
        <v>43</v>
      </c>
      <c r="Q5" s="405" t="s">
        <v>43</v>
      </c>
      <c r="R5" s="405" t="s">
        <v>43</v>
      </c>
      <c r="S5" s="405"/>
      <c r="T5" s="405"/>
      <c r="U5" s="9" t="s">
        <v>287</v>
      </c>
    </row>
    <row r="6" spans="1:26">
      <c r="A6" s="343"/>
      <c r="B6" s="343"/>
      <c r="C6" s="344" t="s">
        <v>288</v>
      </c>
      <c r="D6" s="402" t="s">
        <v>292</v>
      </c>
      <c r="E6" s="374" t="s">
        <v>293</v>
      </c>
      <c r="F6" s="343"/>
      <c r="G6" s="343"/>
      <c r="H6" s="302" t="s">
        <v>291</v>
      </c>
      <c r="I6" s="335" t="s">
        <v>40</v>
      </c>
      <c r="J6" s="335" t="s">
        <v>40</v>
      </c>
      <c r="K6" s="343" t="s">
        <v>40</v>
      </c>
      <c r="L6" s="343" t="s">
        <v>43</v>
      </c>
      <c r="M6" s="343" t="s">
        <v>40</v>
      </c>
      <c r="N6" s="343" t="s">
        <v>40</v>
      </c>
      <c r="O6" s="343" t="s">
        <v>40</v>
      </c>
      <c r="P6" s="343"/>
      <c r="Q6" s="343" t="s">
        <v>40</v>
      </c>
      <c r="R6" s="343"/>
      <c r="S6" s="343"/>
      <c r="T6" s="343"/>
      <c r="U6" s="9" t="s">
        <v>287</v>
      </c>
    </row>
    <row r="7" spans="1:26" s="343" customFormat="1">
      <c r="A7"/>
      <c r="B7" s="156"/>
      <c r="C7" s="7" t="s">
        <v>294</v>
      </c>
      <c r="D7" s="7" t="s">
        <v>3</v>
      </c>
      <c r="E7" t="s">
        <v>295</v>
      </c>
      <c r="F7"/>
      <c r="G7">
        <v>44146</v>
      </c>
      <c r="H7" s="12" t="s">
        <v>296</v>
      </c>
      <c r="I7" s="2" t="s">
        <v>43</v>
      </c>
      <c r="J7" s="2" t="s">
        <v>43</v>
      </c>
      <c r="K7" s="7" t="s">
        <v>43</v>
      </c>
      <c r="L7" s="326" t="s">
        <v>43</v>
      </c>
      <c r="M7" s="326" t="s">
        <v>40</v>
      </c>
      <c r="N7" s="326" t="s">
        <v>40</v>
      </c>
      <c r="O7" s="326"/>
      <c r="P7" s="326"/>
      <c r="Q7" s="384" t="s">
        <v>44</v>
      </c>
      <c r="R7" s="281" t="s">
        <v>40</v>
      </c>
      <c r="S7" s="326" t="s">
        <v>40</v>
      </c>
      <c r="T7" s="326"/>
      <c r="U7" s="9" t="s">
        <v>287</v>
      </c>
      <c r="V7" s="2"/>
      <c r="W7" s="2"/>
      <c r="X7" s="2"/>
      <c r="Y7" s="2"/>
      <c r="Z7" s="2"/>
    </row>
    <row r="8" spans="1:26">
      <c r="A8"/>
      <c r="B8" s="156">
        <v>45284</v>
      </c>
      <c r="C8" s="7" t="s">
        <v>297</v>
      </c>
      <c r="D8" s="7" t="s">
        <v>409</v>
      </c>
      <c r="E8" t="s">
        <v>410</v>
      </c>
      <c r="F8"/>
      <c r="G8">
        <v>44106</v>
      </c>
      <c r="H8" s="12" t="s">
        <v>291</v>
      </c>
      <c r="I8" s="2" t="s">
        <v>43</v>
      </c>
      <c r="J8" s="2" t="s">
        <v>43</v>
      </c>
      <c r="K8"/>
      <c r="L8"/>
      <c r="M8" t="s">
        <v>40</v>
      </c>
      <c r="N8" t="s">
        <v>40</v>
      </c>
      <c r="O8"/>
      <c r="P8" t="s">
        <v>40</v>
      </c>
      <c r="Q8" t="s">
        <v>40</v>
      </c>
      <c r="R8" t="s">
        <v>40</v>
      </c>
      <c r="S8"/>
      <c r="T8"/>
      <c r="U8" s="9" t="s">
        <v>287</v>
      </c>
      <c r="V8" s="343"/>
      <c r="W8" s="343"/>
      <c r="X8" s="343"/>
      <c r="Y8" s="343"/>
      <c r="Z8" s="343"/>
    </row>
    <row r="9" spans="1:26" s="343" customFormat="1">
      <c r="A9" s="2"/>
      <c r="B9" s="2"/>
      <c r="C9" s="2"/>
      <c r="D9" s="7" t="s">
        <v>411</v>
      </c>
      <c r="E9" s="2"/>
      <c r="F9" s="2"/>
      <c r="G9" s="2"/>
      <c r="H9" s="295"/>
      <c r="I9"/>
      <c r="J9"/>
      <c r="K9" s="2"/>
      <c r="L9" s="2"/>
      <c r="M9" s="2"/>
      <c r="N9" s="2"/>
      <c r="O9" s="2"/>
      <c r="P9" s="2"/>
      <c r="Q9" s="2"/>
      <c r="R9" s="2"/>
      <c r="S9" s="2"/>
      <c r="T9" s="2"/>
      <c r="U9" s="9" t="s">
        <v>287</v>
      </c>
      <c r="V9" s="2"/>
      <c r="W9" s="2"/>
      <c r="X9" s="2"/>
      <c r="Y9" s="2"/>
      <c r="Z9" s="2"/>
    </row>
    <row r="10" spans="1:26" s="326" customFormat="1">
      <c r="A10" s="2"/>
      <c r="B10" s="297"/>
      <c r="C10" s="9" t="s">
        <v>288</v>
      </c>
      <c r="D10" s="322" t="s">
        <v>467</v>
      </c>
      <c r="E10" s="2" t="s">
        <v>468</v>
      </c>
      <c r="F10" s="2"/>
      <c r="G10" s="9"/>
      <c r="H10" s="295" t="s">
        <v>291</v>
      </c>
      <c r="I10" s="343" t="s">
        <v>40</v>
      </c>
      <c r="J10" s="343" t="s">
        <v>40</v>
      </c>
      <c r="K10" s="9"/>
      <c r="L10" s="2"/>
      <c r="M10" s="2" t="s">
        <v>40</v>
      </c>
      <c r="N10" s="2" t="s">
        <v>43</v>
      </c>
      <c r="O10" s="2"/>
      <c r="P10" s="2" t="s">
        <v>40</v>
      </c>
      <c r="Q10" s="375" t="s">
        <v>20</v>
      </c>
      <c r="R10" s="300" t="s">
        <v>43</v>
      </c>
      <c r="S10" s="2"/>
      <c r="T10" s="2"/>
      <c r="U10" s="2" t="s">
        <v>287</v>
      </c>
      <c r="V10" s="2"/>
      <c r="W10" s="2"/>
      <c r="X10" s="2"/>
      <c r="Y10" s="2"/>
      <c r="Z10" s="2"/>
    </row>
    <row r="11" spans="1:26">
      <c r="C11" s="2" t="s">
        <v>301</v>
      </c>
      <c r="D11" s="7" t="s">
        <v>412</v>
      </c>
      <c r="E11" s="2" t="s">
        <v>413</v>
      </c>
      <c r="F11" s="2" t="s">
        <v>301</v>
      </c>
      <c r="H11" s="295" t="s">
        <v>305</v>
      </c>
      <c r="I11" t="s">
        <v>43</v>
      </c>
      <c r="J11" t="s">
        <v>43</v>
      </c>
      <c r="K11" s="2" t="s">
        <v>43</v>
      </c>
      <c r="L11" s="2" t="s">
        <v>43</v>
      </c>
      <c r="M11" s="2" t="s">
        <v>43</v>
      </c>
      <c r="N11" s="2" t="s">
        <v>43</v>
      </c>
      <c r="O11" s="2" t="s">
        <v>43</v>
      </c>
      <c r="P11" s="2" t="s">
        <v>43</v>
      </c>
      <c r="Q11" s="2" t="s">
        <v>43</v>
      </c>
      <c r="R11" s="2" t="s">
        <v>43</v>
      </c>
      <c r="S11" s="2" t="s">
        <v>43</v>
      </c>
      <c r="T11" s="2" t="s">
        <v>43</v>
      </c>
      <c r="U11" s="2" t="s">
        <v>287</v>
      </c>
    </row>
    <row r="12" spans="1:26" s="335" customFormat="1">
      <c r="A12" s="163"/>
      <c r="B12" s="163">
        <v>45207</v>
      </c>
      <c r="C12" s="164" t="s">
        <v>297</v>
      </c>
      <c r="D12" s="164" t="s">
        <v>469</v>
      </c>
      <c r="E12" s="162" t="s">
        <v>470</v>
      </c>
      <c r="F12" s="162" t="s">
        <v>471</v>
      </c>
      <c r="G12" s="162">
        <v>44105</v>
      </c>
      <c r="H12" s="334" t="s">
        <v>296</v>
      </c>
      <c r="I12" s="405" t="s">
        <v>43</v>
      </c>
      <c r="J12" s="405" t="s">
        <v>43</v>
      </c>
      <c r="K12" s="405" t="s">
        <v>43</v>
      </c>
      <c r="L12" s="405" t="s">
        <v>43</v>
      </c>
      <c r="M12" s="405" t="s">
        <v>43</v>
      </c>
      <c r="N12" s="405" t="s">
        <v>43</v>
      </c>
      <c r="O12" s="405" t="s">
        <v>43</v>
      </c>
      <c r="P12" s="405" t="s">
        <v>43</v>
      </c>
      <c r="Q12" s="405" t="s">
        <v>43</v>
      </c>
      <c r="R12" s="405" t="s">
        <v>43</v>
      </c>
      <c r="S12" s="405" t="s">
        <v>472</v>
      </c>
      <c r="T12" s="405"/>
      <c r="U12" s="2" t="s">
        <v>287</v>
      </c>
      <c r="V12" s="2"/>
      <c r="W12" s="2"/>
      <c r="X12" s="2"/>
      <c r="Y12" s="2"/>
      <c r="Z12" s="2"/>
    </row>
    <row r="13" spans="1:26">
      <c r="A13"/>
      <c r="B13" s="156"/>
      <c r="C13" s="7" t="s">
        <v>294</v>
      </c>
      <c r="D13" s="7" t="s">
        <v>414</v>
      </c>
      <c r="E13"/>
      <c r="F13"/>
      <c r="G13">
        <v>44146</v>
      </c>
      <c r="H13" s="12" t="s">
        <v>291</v>
      </c>
      <c r="I13" s="2" t="s">
        <v>43</v>
      </c>
      <c r="J13" s="2" t="s">
        <v>43</v>
      </c>
      <c r="K13" t="s">
        <v>43</v>
      </c>
      <c r="L13" s="2" t="s">
        <v>43</v>
      </c>
      <c r="M13" s="2" t="s">
        <v>40</v>
      </c>
      <c r="N13" s="2" t="s">
        <v>40</v>
      </c>
      <c r="Q13" t="s">
        <v>44</v>
      </c>
      <c r="R13" t="s">
        <v>43</v>
      </c>
      <c r="S13" s="2" t="s">
        <v>40</v>
      </c>
      <c r="U13" s="2" t="s">
        <v>287</v>
      </c>
      <c r="Y13" s="343"/>
      <c r="Z13" s="343"/>
    </row>
    <row r="14" spans="1:26">
      <c r="A14"/>
      <c r="B14" s="156">
        <v>45193</v>
      </c>
      <c r="C14" s="7" t="s">
        <v>297</v>
      </c>
      <c r="D14" s="7" t="s">
        <v>298</v>
      </c>
      <c r="E14" t="s">
        <v>299</v>
      </c>
      <c r="F14" t="s">
        <v>300</v>
      </c>
      <c r="G14">
        <v>44105</v>
      </c>
      <c r="H14" s="12" t="s">
        <v>296</v>
      </c>
      <c r="I14" s="2" t="s">
        <v>43</v>
      </c>
      <c r="J14" s="2" t="s">
        <v>43</v>
      </c>
      <c r="K14"/>
      <c r="L14" s="162"/>
      <c r="M14" s="162" t="s">
        <v>43</v>
      </c>
      <c r="N14" s="162" t="s">
        <v>40</v>
      </c>
      <c r="O14" s="162"/>
      <c r="P14" s="162" t="s">
        <v>40</v>
      </c>
      <c r="Q14" t="s">
        <v>40</v>
      </c>
      <c r="R14" t="s">
        <v>40</v>
      </c>
      <c r="S14" s="162"/>
      <c r="T14" s="162"/>
      <c r="U14" s="335" t="s">
        <v>287</v>
      </c>
      <c r="V14" s="343"/>
      <c r="W14" s="343"/>
      <c r="X14" s="343"/>
    </row>
    <row r="15" spans="1:26" s="335" customFormat="1">
      <c r="A15" s="162"/>
      <c r="B15" s="163"/>
      <c r="C15" s="164" t="s">
        <v>297</v>
      </c>
      <c r="D15" s="164" t="s">
        <v>415</v>
      </c>
      <c r="E15" s="162" t="s">
        <v>416</v>
      </c>
      <c r="F15" s="162"/>
      <c r="G15" s="162">
        <v>44146</v>
      </c>
      <c r="H15" s="334" t="s">
        <v>296</v>
      </c>
      <c r="I15" s="2" t="s">
        <v>40</v>
      </c>
      <c r="J15" s="2" t="s">
        <v>40</v>
      </c>
      <c r="K15" s="162"/>
      <c r="L15"/>
      <c r="M15" t="s">
        <v>40</v>
      </c>
      <c r="N15"/>
      <c r="O15"/>
      <c r="P15" t="s">
        <v>40</v>
      </c>
      <c r="Q15" s="162" t="s">
        <v>44</v>
      </c>
      <c r="R15" s="162"/>
      <c r="S15"/>
      <c r="T15"/>
      <c r="U15" s="2" t="s">
        <v>287</v>
      </c>
      <c r="V15" s="2"/>
      <c r="W15" s="2"/>
      <c r="X15" s="2"/>
      <c r="Y15" s="2"/>
      <c r="Z15" s="2"/>
    </row>
    <row r="16" spans="1:26" s="343" customFormat="1" ht="18">
      <c r="A16" s="218"/>
      <c r="B16" s="2"/>
      <c r="C16" s="2" t="s">
        <v>301</v>
      </c>
      <c r="D16" s="7" t="s">
        <v>302</v>
      </c>
      <c r="E16" s="2"/>
      <c r="F16" s="2"/>
      <c r="G16" s="2"/>
      <c r="H16" s="295"/>
      <c r="I16"/>
      <c r="J16"/>
      <c r="K16" s="2"/>
      <c r="L16" s="2"/>
      <c r="M16" s="2"/>
      <c r="N16" s="2"/>
      <c r="O16" s="2"/>
      <c r="P16" s="2"/>
      <c r="Q16" s="2"/>
      <c r="R16" s="2"/>
      <c r="S16" s="2"/>
      <c r="T16" s="2"/>
      <c r="U16" s="2" t="s">
        <v>287</v>
      </c>
      <c r="V16" s="405"/>
      <c r="W16" s="2"/>
      <c r="X16" s="2"/>
      <c r="Y16" s="2"/>
      <c r="Z16" s="2"/>
    </row>
    <row r="17" spans="1:26">
      <c r="C17" s="341" t="s">
        <v>294</v>
      </c>
      <c r="D17" s="322" t="s">
        <v>417</v>
      </c>
      <c r="E17" s="385" t="s">
        <v>418</v>
      </c>
      <c r="H17" s="295" t="s">
        <v>296</v>
      </c>
      <c r="I17" s="2" t="s">
        <v>40</v>
      </c>
      <c r="J17" s="2" t="s">
        <v>40</v>
      </c>
      <c r="M17" s="2" t="s">
        <v>40</v>
      </c>
      <c r="N17" s="2" t="s">
        <v>43</v>
      </c>
      <c r="Q17" s="2" t="s">
        <v>43</v>
      </c>
      <c r="R17" s="2" t="s">
        <v>43</v>
      </c>
      <c r="S17" s="2" t="s">
        <v>43</v>
      </c>
      <c r="U17" s="2" t="s">
        <v>287</v>
      </c>
    </row>
    <row r="18" spans="1:26">
      <c r="D18" s="7" t="s">
        <v>303</v>
      </c>
      <c r="E18" s="2" t="s">
        <v>304</v>
      </c>
      <c r="F18" s="2" t="s">
        <v>301</v>
      </c>
      <c r="H18" s="295" t="s">
        <v>305</v>
      </c>
      <c r="I18" t="s">
        <v>43</v>
      </c>
      <c r="J18" t="s">
        <v>43</v>
      </c>
      <c r="K18" s="2" t="s">
        <v>43</v>
      </c>
      <c r="L18" s="2" t="s">
        <v>43</v>
      </c>
      <c r="M18" s="2" t="s">
        <v>40</v>
      </c>
      <c r="N18" s="2" t="s">
        <v>43</v>
      </c>
      <c r="O18" s="2" t="s">
        <v>43</v>
      </c>
      <c r="P18" s="2" t="s">
        <v>43</v>
      </c>
      <c r="Q18" s="2" t="s">
        <v>43</v>
      </c>
      <c r="R18" s="2" t="s">
        <v>43</v>
      </c>
      <c r="S18" s="2" t="s">
        <v>43</v>
      </c>
      <c r="T18" s="2" t="s">
        <v>43</v>
      </c>
      <c r="U18" s="2" t="s">
        <v>287</v>
      </c>
    </row>
    <row r="19" spans="1:26">
      <c r="A19" s="343" t="s">
        <v>306</v>
      </c>
      <c r="B19" s="346"/>
      <c r="C19" s="344" t="s">
        <v>288</v>
      </c>
      <c r="D19" s="402" t="s">
        <v>307</v>
      </c>
      <c r="E19" s="372" t="s">
        <v>308</v>
      </c>
      <c r="F19" s="343"/>
      <c r="G19" s="344"/>
      <c r="H19" s="302" t="s">
        <v>296</v>
      </c>
      <c r="I19" s="344" t="s">
        <v>40</v>
      </c>
      <c r="J19" s="343" t="s">
        <v>40</v>
      </c>
      <c r="K19" s="343" t="s">
        <v>43</v>
      </c>
      <c r="L19" s="2" t="s">
        <v>43</v>
      </c>
      <c r="M19" s="2" t="s">
        <v>40</v>
      </c>
      <c r="N19" s="343" t="s">
        <v>40</v>
      </c>
      <c r="O19" s="343"/>
      <c r="P19" s="343"/>
      <c r="Q19" s="349" t="s">
        <v>40</v>
      </c>
      <c r="R19" s="343" t="s">
        <v>43</v>
      </c>
      <c r="S19" s="343" t="s">
        <v>43</v>
      </c>
      <c r="T19" s="343"/>
      <c r="U19" s="9" t="s">
        <v>287</v>
      </c>
    </row>
    <row r="20" spans="1:26" s="335" customFormat="1">
      <c r="A20" s="9"/>
      <c r="B20" s="294">
        <v>44636</v>
      </c>
      <c r="C20" s="9" t="s">
        <v>288</v>
      </c>
      <c r="D20" s="7" t="s">
        <v>403</v>
      </c>
      <c r="E20" s="9" t="s">
        <v>404</v>
      </c>
      <c r="F20" s="9" t="s">
        <v>405</v>
      </c>
      <c r="G20" s="9">
        <v>44120</v>
      </c>
      <c r="H20" s="295" t="s">
        <v>291</v>
      </c>
      <c r="I20" s="2" t="s">
        <v>40</v>
      </c>
      <c r="J20" s="2" t="s">
        <v>40</v>
      </c>
      <c r="K20" s="2" t="s">
        <v>40</v>
      </c>
      <c r="L20" s="2" t="s">
        <v>40</v>
      </c>
      <c r="M20" s="2" t="s">
        <v>40</v>
      </c>
      <c r="N20" s="2" t="s">
        <v>40</v>
      </c>
      <c r="O20" s="2" t="s">
        <v>43</v>
      </c>
      <c r="P20" s="2"/>
      <c r="Q20" s="2" t="s">
        <v>40</v>
      </c>
      <c r="R20" s="2" t="s">
        <v>43</v>
      </c>
      <c r="S20" s="2" t="s">
        <v>40</v>
      </c>
      <c r="T20" s="2"/>
      <c r="U20" s="2" t="s">
        <v>287</v>
      </c>
      <c r="V20" s="343"/>
      <c r="W20" s="343"/>
      <c r="X20" s="343"/>
      <c r="Y20" s="343"/>
      <c r="Z20" s="343"/>
    </row>
    <row r="21" spans="1:26">
      <c r="B21" s="297"/>
      <c r="C21" s="9" t="s">
        <v>288</v>
      </c>
      <c r="D21" s="322" t="s">
        <v>309</v>
      </c>
      <c r="F21" s="2" t="s">
        <v>310</v>
      </c>
      <c r="G21" s="9"/>
      <c r="H21" s="295" t="s">
        <v>291</v>
      </c>
      <c r="I21" s="335" t="s">
        <v>40</v>
      </c>
      <c r="J21" s="335" t="s">
        <v>40</v>
      </c>
      <c r="K21" s="9" t="s">
        <v>40</v>
      </c>
      <c r="L21" s="2" t="s">
        <v>43</v>
      </c>
      <c r="M21" s="2" t="s">
        <v>40</v>
      </c>
      <c r="N21" s="2" t="s">
        <v>40</v>
      </c>
      <c r="O21" s="2" t="s">
        <v>43</v>
      </c>
      <c r="Q21" s="375" t="s">
        <v>40</v>
      </c>
      <c r="R21" s="300" t="s">
        <v>40</v>
      </c>
      <c r="S21" s="2" t="s">
        <v>40</v>
      </c>
      <c r="U21" s="2" t="s">
        <v>287</v>
      </c>
      <c r="V21" s="326"/>
      <c r="W21" s="326"/>
      <c r="X21" s="326"/>
    </row>
    <row r="22" spans="1:26">
      <c r="D22" s="7" t="s">
        <v>311</v>
      </c>
      <c r="E22" s="2" t="s">
        <v>312</v>
      </c>
      <c r="F22" s="2" t="s">
        <v>301</v>
      </c>
      <c r="H22" s="295" t="s">
        <v>305</v>
      </c>
      <c r="I22" t="s">
        <v>43</v>
      </c>
      <c r="J22" t="s">
        <v>43</v>
      </c>
      <c r="N22" s="2" t="s">
        <v>40</v>
      </c>
      <c r="Q22" s="2" t="s">
        <v>40</v>
      </c>
      <c r="S22" s="2" t="s">
        <v>40</v>
      </c>
      <c r="U22" s="2" t="s">
        <v>287</v>
      </c>
    </row>
    <row r="23" spans="1:26" s="335" customFormat="1">
      <c r="A23" s="2"/>
      <c r="B23" s="2"/>
      <c r="C23" s="2"/>
      <c r="D23" s="7" t="s">
        <v>313</v>
      </c>
      <c r="E23" s="2" t="s">
        <v>314</v>
      </c>
      <c r="F23" s="2" t="s">
        <v>301</v>
      </c>
      <c r="G23" s="2"/>
      <c r="H23" s="295" t="s">
        <v>291</v>
      </c>
      <c r="I23" t="s">
        <v>43</v>
      </c>
      <c r="J23" t="s">
        <v>43</v>
      </c>
      <c r="K23" s="2" t="s">
        <v>43</v>
      </c>
      <c r="L23" s="2" t="s">
        <v>43</v>
      </c>
      <c r="M23" s="2" t="s">
        <v>43</v>
      </c>
      <c r="N23" s="2" t="s">
        <v>43</v>
      </c>
      <c r="O23" s="2" t="s">
        <v>43</v>
      </c>
      <c r="P23" s="2" t="s">
        <v>43</v>
      </c>
      <c r="Q23" s="2" t="s">
        <v>43</v>
      </c>
      <c r="R23" s="2" t="s">
        <v>43</v>
      </c>
      <c r="S23" s="2" t="s">
        <v>43</v>
      </c>
      <c r="T23" s="2" t="s">
        <v>43</v>
      </c>
      <c r="U23" s="2" t="s">
        <v>287</v>
      </c>
      <c r="V23" s="2"/>
      <c r="W23" s="2"/>
      <c r="X23" s="2"/>
      <c r="Y23" s="2"/>
      <c r="Z23" s="2"/>
    </row>
    <row r="24" spans="1:26">
      <c r="A24"/>
      <c r="B24" s="156"/>
      <c r="C24" s="7" t="s">
        <v>297</v>
      </c>
      <c r="D24" s="7" t="s">
        <v>419</v>
      </c>
      <c r="E24"/>
      <c r="F24"/>
      <c r="G24">
        <v>44146</v>
      </c>
      <c r="H24" s="12" t="s">
        <v>291</v>
      </c>
      <c r="I24" s="2" t="s">
        <v>43</v>
      </c>
      <c r="J24" s="2" t="s">
        <v>43</v>
      </c>
      <c r="K24"/>
      <c r="L24"/>
      <c r="M24" t="s">
        <v>43</v>
      </c>
      <c r="N24" t="s">
        <v>43</v>
      </c>
      <c r="O24"/>
      <c r="P24" t="s">
        <v>43</v>
      </c>
      <c r="Q24" t="s">
        <v>44</v>
      </c>
      <c r="R24" t="s">
        <v>43</v>
      </c>
      <c r="S24"/>
      <c r="T24"/>
      <c r="U24" s="2" t="s">
        <v>287</v>
      </c>
    </row>
    <row r="25" spans="1:26">
      <c r="A25" s="344" t="s">
        <v>315</v>
      </c>
      <c r="B25" s="353">
        <v>44665</v>
      </c>
      <c r="C25" s="344" t="s">
        <v>288</v>
      </c>
      <c r="D25" s="350" t="s">
        <v>316</v>
      </c>
      <c r="E25" s="344" t="s">
        <v>317</v>
      </c>
      <c r="F25" s="344" t="s">
        <v>318</v>
      </c>
      <c r="G25" s="344">
        <v>44128</v>
      </c>
      <c r="H25" s="348" t="s">
        <v>296</v>
      </c>
      <c r="I25" s="2" t="s">
        <v>40</v>
      </c>
      <c r="J25" s="2" t="s">
        <v>40</v>
      </c>
      <c r="K25" s="343" t="s">
        <v>40</v>
      </c>
      <c r="L25" s="343" t="s">
        <v>43</v>
      </c>
      <c r="M25" s="343" t="s">
        <v>40</v>
      </c>
      <c r="N25" s="343" t="s">
        <v>40</v>
      </c>
      <c r="O25" s="343"/>
      <c r="P25" s="343"/>
      <c r="Q25" s="343" t="s">
        <v>40</v>
      </c>
      <c r="R25" s="343" t="s">
        <v>43</v>
      </c>
      <c r="S25" s="343" t="s">
        <v>40</v>
      </c>
      <c r="T25" s="343"/>
      <c r="U25" s="343" t="s">
        <v>287</v>
      </c>
      <c r="Y25" s="335"/>
      <c r="Z25" s="335"/>
    </row>
    <row r="26" spans="1:26">
      <c r="C26" s="328" t="s">
        <v>294</v>
      </c>
      <c r="D26" s="7" t="s">
        <v>319</v>
      </c>
      <c r="E26" s="387" t="s">
        <v>320</v>
      </c>
      <c r="H26" s="295" t="s">
        <v>291</v>
      </c>
      <c r="I26" s="2"/>
      <c r="J26" s="2"/>
      <c r="K26" s="2" t="s">
        <v>40</v>
      </c>
      <c r="M26" s="2" t="s">
        <v>40</v>
      </c>
      <c r="N26" s="2" t="s">
        <v>40</v>
      </c>
      <c r="R26" s="2" t="s">
        <v>40</v>
      </c>
      <c r="S26" s="2" t="s">
        <v>40</v>
      </c>
      <c r="U26" s="2" t="s">
        <v>287</v>
      </c>
    </row>
    <row r="27" spans="1:26" s="335" customFormat="1">
      <c r="A27" s="2"/>
      <c r="B27" s="2"/>
      <c r="C27" s="341" t="s">
        <v>294</v>
      </c>
      <c r="D27" s="322" t="s">
        <v>321</v>
      </c>
      <c r="E27" s="388" t="s">
        <v>322</v>
      </c>
      <c r="F27" s="2"/>
      <c r="G27" s="2"/>
      <c r="H27" s="295" t="s">
        <v>291</v>
      </c>
      <c r="I27" s="2" t="s">
        <v>40</v>
      </c>
      <c r="J27" s="2" t="s">
        <v>40</v>
      </c>
      <c r="K27" s="2" t="s">
        <v>40</v>
      </c>
      <c r="L27" s="2"/>
      <c r="M27" s="2" t="s">
        <v>40</v>
      </c>
      <c r="N27" s="2" t="s">
        <v>43</v>
      </c>
      <c r="O27" s="2"/>
      <c r="P27" s="2"/>
      <c r="Q27" s="2" t="s">
        <v>43</v>
      </c>
      <c r="R27" s="2" t="s">
        <v>43</v>
      </c>
      <c r="S27" s="2"/>
      <c r="T27" s="2"/>
      <c r="U27" s="2" t="s">
        <v>287</v>
      </c>
      <c r="V27" s="2"/>
      <c r="W27" s="2"/>
      <c r="X27" s="2"/>
      <c r="Y27" s="2"/>
      <c r="Z27" s="2"/>
    </row>
    <row r="28" spans="1:26">
      <c r="A28" s="335" t="s">
        <v>323</v>
      </c>
      <c r="B28" s="338">
        <v>44627</v>
      </c>
      <c r="C28" s="9" t="s">
        <v>288</v>
      </c>
      <c r="D28" s="164" t="s">
        <v>324</v>
      </c>
      <c r="E28" s="335" t="s">
        <v>325</v>
      </c>
      <c r="F28" s="335" t="s">
        <v>326</v>
      </c>
      <c r="G28" s="335" t="s">
        <v>327</v>
      </c>
      <c r="H28" s="337" t="s">
        <v>296</v>
      </c>
      <c r="I28" s="343" t="s">
        <v>40</v>
      </c>
      <c r="J28" s="343" t="s">
        <v>40</v>
      </c>
      <c r="K28" s="335" t="s">
        <v>40</v>
      </c>
      <c r="L28" s="335" t="s">
        <v>43</v>
      </c>
      <c r="M28" s="335" t="s">
        <v>40</v>
      </c>
      <c r="N28" s="335" t="s">
        <v>40</v>
      </c>
      <c r="O28" s="335"/>
      <c r="P28" s="335"/>
      <c r="Q28" s="335" t="s">
        <v>40</v>
      </c>
      <c r="R28" s="335" t="s">
        <v>40</v>
      </c>
      <c r="S28" s="335" t="s">
        <v>40</v>
      </c>
      <c r="T28" s="335"/>
      <c r="U28" s="9" t="s">
        <v>287</v>
      </c>
    </row>
    <row r="29" spans="1:26" s="343" customFormat="1">
      <c r="A29" s="2" t="s">
        <v>323</v>
      </c>
      <c r="B29" s="297">
        <v>44629</v>
      </c>
      <c r="C29" s="9" t="s">
        <v>288</v>
      </c>
      <c r="D29" s="7" t="s">
        <v>473</v>
      </c>
      <c r="E29" s="2" t="s">
        <v>474</v>
      </c>
      <c r="F29" s="2" t="s">
        <v>475</v>
      </c>
      <c r="G29" s="2" t="s">
        <v>327</v>
      </c>
      <c r="H29" s="295" t="s">
        <v>296</v>
      </c>
      <c r="I29" s="2" t="s">
        <v>40</v>
      </c>
      <c r="J29" s="2" t="s">
        <v>40</v>
      </c>
      <c r="K29" s="2"/>
      <c r="L29" s="2" t="s">
        <v>43</v>
      </c>
      <c r="M29" s="2" t="s">
        <v>40</v>
      </c>
      <c r="N29" s="2" t="s">
        <v>43</v>
      </c>
      <c r="O29" s="2"/>
      <c r="P29" s="2"/>
      <c r="Q29" s="2" t="s">
        <v>40</v>
      </c>
      <c r="R29" s="2" t="s">
        <v>40</v>
      </c>
      <c r="S29" s="2" t="s">
        <v>43</v>
      </c>
      <c r="T29" s="2"/>
      <c r="U29" s="9" t="s">
        <v>287</v>
      </c>
      <c r="V29" s="2"/>
      <c r="W29" s="2"/>
      <c r="X29" s="2"/>
      <c r="Y29" s="293"/>
      <c r="Z29" s="293"/>
    </row>
    <row r="30" spans="1:26">
      <c r="C30" s="9" t="s">
        <v>288</v>
      </c>
      <c r="D30" s="322" t="s">
        <v>440</v>
      </c>
      <c r="E30" s="379" t="s">
        <v>354</v>
      </c>
      <c r="H30" s="295" t="s">
        <v>291</v>
      </c>
      <c r="I30" s="344" t="s">
        <v>40</v>
      </c>
      <c r="J30" s="344" t="s">
        <v>40</v>
      </c>
      <c r="K30" s="344" t="s">
        <v>40</v>
      </c>
      <c r="L30" s="344" t="s">
        <v>40</v>
      </c>
      <c r="M30" s="344" t="s">
        <v>40</v>
      </c>
      <c r="N30" s="344" t="s">
        <v>40</v>
      </c>
      <c r="O30" s="344" t="s">
        <v>40</v>
      </c>
      <c r="P30" s="344" t="s">
        <v>40</v>
      </c>
      <c r="Q30" s="344" t="s">
        <v>40</v>
      </c>
      <c r="R30" s="344" t="s">
        <v>40</v>
      </c>
      <c r="S30" s="344" t="s">
        <v>40</v>
      </c>
      <c r="U30" s="2" t="s">
        <v>287</v>
      </c>
      <c r="Y30" s="343"/>
      <c r="Z30" s="343"/>
    </row>
    <row r="31" spans="1:26">
      <c r="A31" s="2" t="s">
        <v>306</v>
      </c>
      <c r="C31" s="9" t="s">
        <v>288</v>
      </c>
      <c r="D31" s="322" t="s">
        <v>328</v>
      </c>
      <c r="E31" s="373" t="s">
        <v>329</v>
      </c>
      <c r="F31" s="2" t="s">
        <v>330</v>
      </c>
      <c r="G31" s="2" t="s">
        <v>301</v>
      </c>
      <c r="H31" s="295" t="s">
        <v>296</v>
      </c>
      <c r="I31" s="2" t="s">
        <v>43</v>
      </c>
      <c r="J31" s="2" t="s">
        <v>43</v>
      </c>
      <c r="K31" s="2" t="s">
        <v>43</v>
      </c>
      <c r="L31" s="2" t="s">
        <v>43</v>
      </c>
      <c r="M31" s="2" t="s">
        <v>43</v>
      </c>
      <c r="N31" s="2" t="s">
        <v>43</v>
      </c>
      <c r="Q31" s="2" t="s">
        <v>40</v>
      </c>
      <c r="R31" s="2" t="s">
        <v>43</v>
      </c>
      <c r="S31" s="2" t="s">
        <v>43</v>
      </c>
      <c r="U31" s="9" t="s">
        <v>287</v>
      </c>
    </row>
    <row r="32" spans="1:26" s="343" customFormat="1">
      <c r="A32" s="2" t="s">
        <v>331</v>
      </c>
      <c r="B32" s="297">
        <v>44596</v>
      </c>
      <c r="C32" s="9" t="s">
        <v>288</v>
      </c>
      <c r="D32" s="7" t="s">
        <v>332</v>
      </c>
      <c r="E32" s="2" t="s">
        <v>333</v>
      </c>
      <c r="F32" s="2" t="s">
        <v>334</v>
      </c>
      <c r="G32" s="2" t="s">
        <v>327</v>
      </c>
      <c r="H32" s="295" t="s">
        <v>296</v>
      </c>
      <c r="I32" s="343" t="s">
        <v>40</v>
      </c>
      <c r="J32" s="343" t="s">
        <v>40</v>
      </c>
      <c r="K32" s="2" t="s">
        <v>40</v>
      </c>
      <c r="L32" s="2" t="s">
        <v>43</v>
      </c>
      <c r="M32" s="2" t="s">
        <v>40</v>
      </c>
      <c r="N32" s="2" t="s">
        <v>40</v>
      </c>
      <c r="O32" s="2"/>
      <c r="P32" s="2"/>
      <c r="Q32" s="2" t="s">
        <v>40</v>
      </c>
      <c r="R32" s="2" t="s">
        <v>43</v>
      </c>
      <c r="S32" s="2" t="s">
        <v>40</v>
      </c>
      <c r="T32" s="2"/>
      <c r="U32" s="9" t="s">
        <v>287</v>
      </c>
      <c r="V32" s="2"/>
      <c r="W32" s="2"/>
      <c r="X32" s="2"/>
      <c r="Y32" s="9"/>
      <c r="Z32" s="9"/>
    </row>
    <row r="33" spans="1:26">
      <c r="D33" s="7" t="s">
        <v>335</v>
      </c>
      <c r="U33" s="2" t="s">
        <v>287</v>
      </c>
    </row>
    <row r="34" spans="1:26">
      <c r="A34" s="343"/>
      <c r="B34" s="343"/>
      <c r="C34" s="344" t="s">
        <v>288</v>
      </c>
      <c r="D34" s="350" t="s">
        <v>336</v>
      </c>
      <c r="E34" s="374" t="s">
        <v>337</v>
      </c>
      <c r="F34" s="343"/>
      <c r="G34" s="343"/>
      <c r="H34" s="348" t="s">
        <v>296</v>
      </c>
      <c r="I34" s="2" t="s">
        <v>40</v>
      </c>
      <c r="J34" s="2" t="s">
        <v>40</v>
      </c>
      <c r="K34" s="343" t="s">
        <v>43</v>
      </c>
      <c r="L34" s="343" t="s">
        <v>43</v>
      </c>
      <c r="M34" s="343" t="s">
        <v>40</v>
      </c>
      <c r="N34" s="343" t="s">
        <v>43</v>
      </c>
      <c r="O34" s="343"/>
      <c r="P34" s="343"/>
      <c r="Q34" s="343" t="s">
        <v>40</v>
      </c>
      <c r="R34" s="343" t="s">
        <v>43</v>
      </c>
      <c r="S34" s="343" t="s">
        <v>43</v>
      </c>
      <c r="T34" s="343"/>
      <c r="U34" s="9" t="s">
        <v>287</v>
      </c>
    </row>
    <row r="35" spans="1:26">
      <c r="B35" s="297"/>
      <c r="C35" s="9" t="s">
        <v>288</v>
      </c>
      <c r="D35" s="322" t="s">
        <v>338</v>
      </c>
      <c r="E35" s="2" t="s">
        <v>339</v>
      </c>
      <c r="G35" s="9"/>
      <c r="H35" s="295" t="s">
        <v>296</v>
      </c>
      <c r="I35" s="2" t="s">
        <v>40</v>
      </c>
      <c r="J35" s="2" t="s">
        <v>40</v>
      </c>
      <c r="K35" s="9" t="s">
        <v>43</v>
      </c>
      <c r="L35" s="2" t="s">
        <v>43</v>
      </c>
      <c r="M35" s="2" t="s">
        <v>40</v>
      </c>
      <c r="N35" s="2" t="s">
        <v>43</v>
      </c>
      <c r="Q35" s="375" t="s">
        <v>40</v>
      </c>
      <c r="R35" s="300" t="s">
        <v>43</v>
      </c>
      <c r="S35" s="2" t="s">
        <v>43</v>
      </c>
      <c r="U35" s="9" t="s">
        <v>287</v>
      </c>
      <c r="Y35" s="335"/>
      <c r="Z35" s="335"/>
    </row>
    <row r="36" spans="1:26">
      <c r="B36" s="297"/>
      <c r="C36" s="341" t="s">
        <v>294</v>
      </c>
      <c r="D36" s="322" t="s">
        <v>341</v>
      </c>
      <c r="E36" s="389" t="s">
        <v>342</v>
      </c>
      <c r="G36" s="9"/>
      <c r="H36" s="295" t="s">
        <v>291</v>
      </c>
      <c r="I36" s="2" t="s">
        <v>40</v>
      </c>
      <c r="J36" s="2" t="s">
        <v>40</v>
      </c>
      <c r="K36" s="9" t="s">
        <v>43</v>
      </c>
      <c r="L36" t="s">
        <v>43</v>
      </c>
      <c r="M36" t="s">
        <v>40</v>
      </c>
      <c r="N36" t="s">
        <v>40</v>
      </c>
      <c r="O36"/>
      <c r="P36"/>
      <c r="Q36" s="375" t="s">
        <v>40</v>
      </c>
      <c r="R36" s="2" t="s">
        <v>40</v>
      </c>
      <c r="S36" t="s">
        <v>43</v>
      </c>
      <c r="T36" t="s">
        <v>43</v>
      </c>
      <c r="U36" s="2" t="s">
        <v>287</v>
      </c>
      <c r="V36" s="343"/>
      <c r="W36" s="343"/>
      <c r="X36" s="343"/>
    </row>
    <row r="37" spans="1:26">
      <c r="D37" s="7" t="s">
        <v>343</v>
      </c>
      <c r="E37" s="2" t="s">
        <v>344</v>
      </c>
      <c r="F37" s="2" t="s">
        <v>301</v>
      </c>
      <c r="H37" s="295" t="s">
        <v>305</v>
      </c>
      <c r="I37" t="s">
        <v>43</v>
      </c>
      <c r="J37" t="s">
        <v>43</v>
      </c>
      <c r="K37" s="2" t="s">
        <v>43</v>
      </c>
      <c r="L37" s="2" t="s">
        <v>43</v>
      </c>
      <c r="M37" s="2" t="s">
        <v>43</v>
      </c>
      <c r="N37" s="2" t="s">
        <v>43</v>
      </c>
      <c r="O37" s="2" t="s">
        <v>43</v>
      </c>
      <c r="P37" s="2" t="s">
        <v>43</v>
      </c>
      <c r="Q37" s="2" t="s">
        <v>43</v>
      </c>
      <c r="R37" s="2" t="s">
        <v>43</v>
      </c>
      <c r="S37" s="2" t="s">
        <v>43</v>
      </c>
      <c r="U37" s="2" t="s">
        <v>287</v>
      </c>
      <c r="Y37" s="335"/>
      <c r="Z37" s="335"/>
    </row>
    <row r="38" spans="1:26">
      <c r="B38" s="297"/>
      <c r="C38" s="9" t="s">
        <v>288</v>
      </c>
      <c r="D38" s="7" t="s">
        <v>345</v>
      </c>
      <c r="E38" s="2" t="s">
        <v>346</v>
      </c>
      <c r="F38" s="2" t="s">
        <v>347</v>
      </c>
      <c r="G38" s="9">
        <v>44134</v>
      </c>
      <c r="H38" s="295" t="s">
        <v>291</v>
      </c>
      <c r="I38" s="2" t="s">
        <v>40</v>
      </c>
      <c r="J38" s="2" t="s">
        <v>40</v>
      </c>
      <c r="K38" s="9" t="s">
        <v>40</v>
      </c>
      <c r="L38" s="2" t="s">
        <v>43</v>
      </c>
      <c r="M38" s="2" t="s">
        <v>40</v>
      </c>
      <c r="N38" s="2" t="s">
        <v>40</v>
      </c>
      <c r="O38" s="2" t="s">
        <v>43</v>
      </c>
      <c r="P38" s="2" t="s">
        <v>43</v>
      </c>
      <c r="Q38" s="2">
        <v>5555</v>
      </c>
      <c r="R38" s="2" t="s">
        <v>40</v>
      </c>
      <c r="S38" s="2" t="s">
        <v>43</v>
      </c>
      <c r="U38" s="2" t="s">
        <v>287</v>
      </c>
    </row>
    <row r="39" spans="1:26">
      <c r="C39" s="9" t="s">
        <v>288</v>
      </c>
      <c r="D39" s="322" t="s">
        <v>348</v>
      </c>
      <c r="E39" s="380"/>
      <c r="F39" s="2" t="s">
        <v>349</v>
      </c>
      <c r="H39" s="295" t="s">
        <v>291</v>
      </c>
      <c r="I39" s="335" t="s">
        <v>40</v>
      </c>
      <c r="J39" s="335" t="s">
        <v>40</v>
      </c>
      <c r="K39" s="2" t="s">
        <v>40</v>
      </c>
      <c r="L39" s="2" t="s">
        <v>43</v>
      </c>
      <c r="M39" s="2" t="s">
        <v>40</v>
      </c>
      <c r="N39" s="2" t="s">
        <v>40</v>
      </c>
      <c r="O39" s="2" t="s">
        <v>43</v>
      </c>
      <c r="Q39" s="2" t="s">
        <v>40</v>
      </c>
      <c r="R39" s="2" t="s">
        <v>43</v>
      </c>
      <c r="S39" s="2" t="s">
        <v>40</v>
      </c>
      <c r="U39" s="2" t="s">
        <v>287</v>
      </c>
    </row>
    <row r="40" spans="1:26">
      <c r="C40" s="9" t="s">
        <v>288</v>
      </c>
      <c r="D40" s="7" t="s">
        <v>350</v>
      </c>
      <c r="E40" s="376" t="s">
        <v>351</v>
      </c>
      <c r="H40" s="295" t="s">
        <v>296</v>
      </c>
      <c r="I40" s="343" t="s">
        <v>43</v>
      </c>
      <c r="J40" s="343" t="s">
        <v>43</v>
      </c>
      <c r="K40" s="2" t="s">
        <v>43</v>
      </c>
      <c r="L40" s="2" t="s">
        <v>43</v>
      </c>
      <c r="M40" s="2" t="s">
        <v>40</v>
      </c>
      <c r="N40" s="2" t="s">
        <v>40</v>
      </c>
      <c r="Q40" s="2" t="s">
        <v>40</v>
      </c>
      <c r="R40" s="2" t="s">
        <v>43</v>
      </c>
      <c r="S40" s="2" t="s">
        <v>40</v>
      </c>
      <c r="U40" s="9" t="s">
        <v>287</v>
      </c>
    </row>
    <row r="41" spans="1:26">
      <c r="B41" s="342" t="s">
        <v>352</v>
      </c>
      <c r="C41" s="342" t="s">
        <v>288</v>
      </c>
      <c r="D41" s="322" t="s">
        <v>353</v>
      </c>
      <c r="E41" s="381" t="s">
        <v>354</v>
      </c>
      <c r="H41" s="295" t="s">
        <v>291</v>
      </c>
      <c r="I41" s="2" t="s">
        <v>43</v>
      </c>
      <c r="J41" s="2" t="s">
        <v>43</v>
      </c>
      <c r="K41" s="2" t="s">
        <v>40</v>
      </c>
      <c r="L41" s="2" t="s">
        <v>43</v>
      </c>
      <c r="M41" s="2" t="s">
        <v>40</v>
      </c>
      <c r="N41" s="2" t="s">
        <v>40</v>
      </c>
      <c r="O41" s="2" t="s">
        <v>43</v>
      </c>
      <c r="P41" s="2" t="s">
        <v>40</v>
      </c>
      <c r="Q41" s="2" t="s">
        <v>40</v>
      </c>
      <c r="R41" s="2" t="s">
        <v>40</v>
      </c>
      <c r="S41" s="2" t="s">
        <v>43</v>
      </c>
      <c r="U41" s="2" t="s">
        <v>287</v>
      </c>
      <c r="V41" s="335"/>
      <c r="W41" s="335"/>
      <c r="X41" s="335"/>
    </row>
    <row r="42" spans="1:26">
      <c r="A42" s="2" t="s">
        <v>355</v>
      </c>
      <c r="B42" s="297">
        <v>44908</v>
      </c>
      <c r="C42" s="9" t="s">
        <v>288</v>
      </c>
      <c r="D42" s="7" t="s">
        <v>476</v>
      </c>
      <c r="E42" s="2" t="s">
        <v>357</v>
      </c>
      <c r="F42" s="2" t="s">
        <v>326</v>
      </c>
      <c r="G42" s="2" t="s">
        <v>327</v>
      </c>
      <c r="H42" s="295" t="s">
        <v>291</v>
      </c>
      <c r="I42" s="2" t="s">
        <v>40</v>
      </c>
      <c r="J42" s="2" t="s">
        <v>40</v>
      </c>
      <c r="K42" s="2" t="s">
        <v>40</v>
      </c>
      <c r="L42" s="2" t="s">
        <v>43</v>
      </c>
      <c r="M42" s="2" t="s">
        <v>40</v>
      </c>
      <c r="N42" s="2" t="s">
        <v>40</v>
      </c>
      <c r="P42" s="2" t="s">
        <v>40</v>
      </c>
      <c r="Q42" s="2" t="s">
        <v>40</v>
      </c>
      <c r="R42" s="2" t="s">
        <v>40</v>
      </c>
      <c r="U42" s="2" t="s">
        <v>287</v>
      </c>
    </row>
    <row r="43" spans="1:26">
      <c r="D43" s="7" t="s">
        <v>477</v>
      </c>
      <c r="E43" s="2" t="s">
        <v>359</v>
      </c>
      <c r="H43" s="295" t="s">
        <v>291</v>
      </c>
      <c r="I43" t="s">
        <v>43</v>
      </c>
      <c r="J43" t="s">
        <v>43</v>
      </c>
      <c r="K43" s="2" t="s">
        <v>43</v>
      </c>
      <c r="L43" s="2" t="s">
        <v>43</v>
      </c>
      <c r="M43" s="2" t="s">
        <v>43</v>
      </c>
      <c r="N43" s="2" t="s">
        <v>43</v>
      </c>
      <c r="O43" s="2" t="s">
        <v>43</v>
      </c>
      <c r="P43" s="2" t="s">
        <v>43</v>
      </c>
      <c r="Q43" s="2" t="s">
        <v>43</v>
      </c>
      <c r="R43" s="2" t="s">
        <v>43</v>
      </c>
      <c r="S43" s="2" t="s">
        <v>43</v>
      </c>
      <c r="T43" s="2" t="s">
        <v>43</v>
      </c>
      <c r="U43" s="2" t="s">
        <v>287</v>
      </c>
    </row>
    <row r="44" spans="1:26">
      <c r="A44" s="9"/>
      <c r="B44" s="294">
        <v>44526</v>
      </c>
      <c r="C44" s="9" t="s">
        <v>288</v>
      </c>
      <c r="D44" s="7" t="s">
        <v>420</v>
      </c>
      <c r="E44" s="9" t="s">
        <v>421</v>
      </c>
      <c r="F44" s="9" t="s">
        <v>422</v>
      </c>
      <c r="G44" s="9">
        <v>44121</v>
      </c>
      <c r="H44" s="302" t="s">
        <v>296</v>
      </c>
      <c r="I44" s="326" t="s">
        <v>43</v>
      </c>
      <c r="J44" s="326" t="s">
        <v>43</v>
      </c>
      <c r="K44" s="2" t="s">
        <v>43</v>
      </c>
      <c r="L44" s="2" t="s">
        <v>43</v>
      </c>
      <c r="M44" s="2" t="s">
        <v>40</v>
      </c>
      <c r="N44" s="2" t="s">
        <v>43</v>
      </c>
      <c r="Q44" s="9" t="s">
        <v>40</v>
      </c>
      <c r="R44" s="2" t="s">
        <v>43</v>
      </c>
      <c r="S44" s="2" t="s">
        <v>43</v>
      </c>
      <c r="U44" s="9" t="s">
        <v>287</v>
      </c>
    </row>
    <row r="45" spans="1:26">
      <c r="B45" s="297">
        <v>44640</v>
      </c>
      <c r="C45" s="9" t="s">
        <v>288</v>
      </c>
      <c r="D45" s="7" t="s">
        <v>360</v>
      </c>
      <c r="E45" s="2" t="s">
        <v>361</v>
      </c>
      <c r="F45" s="2" t="s">
        <v>326</v>
      </c>
      <c r="G45" s="2" t="s">
        <v>327</v>
      </c>
      <c r="H45" s="295" t="s">
        <v>291</v>
      </c>
      <c r="I45" s="343" t="s">
        <v>40</v>
      </c>
      <c r="J45" s="343" t="s">
        <v>40</v>
      </c>
      <c r="K45" s="2" t="s">
        <v>40</v>
      </c>
      <c r="L45" s="293"/>
      <c r="M45" s="293" t="s">
        <v>40</v>
      </c>
      <c r="N45" s="293" t="s">
        <v>40</v>
      </c>
      <c r="O45" s="293"/>
      <c r="P45" s="293" t="s">
        <v>40</v>
      </c>
      <c r="Q45" s="2" t="s">
        <v>40</v>
      </c>
      <c r="R45" s="2" t="s">
        <v>40</v>
      </c>
      <c r="S45" s="293"/>
      <c r="T45" s="293"/>
      <c r="U45" s="293" t="s">
        <v>287</v>
      </c>
    </row>
    <row r="46" spans="1:26">
      <c r="A46"/>
      <c r="B46" s="156">
        <v>45241</v>
      </c>
      <c r="C46" s="7" t="s">
        <v>297</v>
      </c>
      <c r="D46" s="7" t="s">
        <v>362</v>
      </c>
      <c r="E46" t="s">
        <v>363</v>
      </c>
      <c r="F46" t="s">
        <v>364</v>
      </c>
      <c r="G46">
        <v>44128</v>
      </c>
      <c r="H46" s="12" t="s">
        <v>365</v>
      </c>
      <c r="I46" s="2" t="s">
        <v>43</v>
      </c>
      <c r="J46" s="2" t="s">
        <v>43</v>
      </c>
      <c r="K46"/>
      <c r="L46"/>
      <c r="M46" t="s">
        <v>40</v>
      </c>
      <c r="N46" t="s">
        <v>40</v>
      </c>
      <c r="O46"/>
      <c r="P46" t="s">
        <v>40</v>
      </c>
      <c r="Q46">
        <v>11</v>
      </c>
      <c r="R46" t="s">
        <v>40</v>
      </c>
      <c r="S46"/>
      <c r="T46"/>
      <c r="U46" s="2" t="s">
        <v>287</v>
      </c>
    </row>
    <row r="47" spans="1:26">
      <c r="C47" s="390" t="s">
        <v>366</v>
      </c>
      <c r="D47" s="322" t="s">
        <v>367</v>
      </c>
      <c r="E47" s="391" t="s">
        <v>368</v>
      </c>
      <c r="H47" s="295" t="s">
        <v>291</v>
      </c>
      <c r="I47" s="2" t="s">
        <v>43</v>
      </c>
      <c r="J47" s="2" t="s">
        <v>43</v>
      </c>
      <c r="K47" s="2" t="s">
        <v>43</v>
      </c>
      <c r="L47" s="2" t="s">
        <v>43</v>
      </c>
      <c r="M47" s="2" t="s">
        <v>43</v>
      </c>
      <c r="N47" s="2" t="s">
        <v>43</v>
      </c>
      <c r="O47" s="2" t="s">
        <v>43</v>
      </c>
      <c r="P47" s="2" t="s">
        <v>43</v>
      </c>
      <c r="Q47" s="2" t="s">
        <v>43</v>
      </c>
      <c r="R47" s="2" t="s">
        <v>43</v>
      </c>
      <c r="S47" s="2" t="s">
        <v>43</v>
      </c>
      <c r="T47" s="2" t="s">
        <v>43</v>
      </c>
      <c r="U47" s="2" t="s">
        <v>287</v>
      </c>
      <c r="Y47" s="326"/>
      <c r="Z47" s="326"/>
    </row>
    <row r="48" spans="1:26">
      <c r="C48" s="341" t="s">
        <v>294</v>
      </c>
      <c r="D48" s="322" t="s">
        <v>369</v>
      </c>
      <c r="E48" s="386" t="s">
        <v>370</v>
      </c>
      <c r="H48" s="295" t="s">
        <v>296</v>
      </c>
      <c r="I48" s="2" t="s">
        <v>43</v>
      </c>
      <c r="J48" s="2" t="s">
        <v>43</v>
      </c>
      <c r="L48"/>
      <c r="M48" t="s">
        <v>40</v>
      </c>
      <c r="N48" t="s">
        <v>43</v>
      </c>
      <c r="O48"/>
      <c r="P48"/>
      <c r="Q48" s="2" t="s">
        <v>40</v>
      </c>
      <c r="R48" s="2" t="s">
        <v>43</v>
      </c>
      <c r="S48" t="s">
        <v>43</v>
      </c>
      <c r="T48"/>
      <c r="U48" s="2" t="s">
        <v>287</v>
      </c>
    </row>
    <row r="49" spans="1:24">
      <c r="A49" s="2" t="s">
        <v>359</v>
      </c>
      <c r="B49" s="297">
        <v>44921</v>
      </c>
      <c r="C49" s="9" t="s">
        <v>288</v>
      </c>
      <c r="D49" s="7" t="s">
        <v>371</v>
      </c>
      <c r="E49" s="2" t="s">
        <v>372</v>
      </c>
      <c r="F49" s="2" t="s">
        <v>373</v>
      </c>
      <c r="G49" s="2" t="s">
        <v>327</v>
      </c>
      <c r="H49" s="295" t="s">
        <v>296</v>
      </c>
      <c r="I49" s="2" t="s">
        <v>40</v>
      </c>
      <c r="J49" s="2" t="s">
        <v>40</v>
      </c>
      <c r="M49" s="2" t="s">
        <v>40</v>
      </c>
      <c r="N49" s="2" t="s">
        <v>40</v>
      </c>
      <c r="Q49" s="2" t="s">
        <v>40</v>
      </c>
      <c r="R49" s="2" t="s">
        <v>43</v>
      </c>
      <c r="S49" s="2" t="s">
        <v>40</v>
      </c>
      <c r="U49" s="9" t="s">
        <v>287</v>
      </c>
    </row>
    <row r="50" spans="1:24">
      <c r="A50" s="9"/>
      <c r="B50" s="294">
        <v>44856</v>
      </c>
      <c r="C50" s="9" t="s">
        <v>288</v>
      </c>
      <c r="D50" s="7" t="s">
        <v>374</v>
      </c>
      <c r="E50" s="9" t="s">
        <v>375</v>
      </c>
      <c r="F50" s="9" t="s">
        <v>376</v>
      </c>
      <c r="G50" s="9">
        <v>44146</v>
      </c>
      <c r="H50" s="295" t="s">
        <v>291</v>
      </c>
      <c r="I50" s="2"/>
      <c r="J50" s="2"/>
      <c r="K50" s="9"/>
      <c r="M50" s="2" t="s">
        <v>40</v>
      </c>
      <c r="N50" s="2" t="s">
        <v>40</v>
      </c>
      <c r="O50" s="2" t="s">
        <v>40</v>
      </c>
      <c r="P50" s="2" t="s">
        <v>40</v>
      </c>
      <c r="Q50" s="2">
        <v>12000</v>
      </c>
      <c r="R50" s="2" t="s">
        <v>40</v>
      </c>
      <c r="U50" s="2" t="s">
        <v>287</v>
      </c>
    </row>
    <row r="51" spans="1:24">
      <c r="A51" s="9"/>
      <c r="B51" s="294"/>
      <c r="C51" s="9" t="s">
        <v>288</v>
      </c>
      <c r="D51" s="323" t="s">
        <v>478</v>
      </c>
      <c r="E51" s="303" t="s">
        <v>378</v>
      </c>
      <c r="F51" s="9" t="s">
        <v>379</v>
      </c>
      <c r="G51" s="9">
        <v>44128</v>
      </c>
      <c r="H51" s="302" t="s">
        <v>380</v>
      </c>
      <c r="I51" s="335"/>
      <c r="J51" s="335"/>
      <c r="K51" s="295"/>
      <c r="Q51" s="9" t="s">
        <v>40</v>
      </c>
      <c r="R51" s="9"/>
      <c r="U51" s="9" t="s">
        <v>287</v>
      </c>
    </row>
    <row r="52" spans="1:24">
      <c r="D52" s="7" t="s">
        <v>381</v>
      </c>
      <c r="E52" s="2" t="s">
        <v>382</v>
      </c>
      <c r="F52" s="2" t="s">
        <v>301</v>
      </c>
      <c r="H52" s="295" t="s">
        <v>291</v>
      </c>
      <c r="I52" t="s">
        <v>40</v>
      </c>
      <c r="J52" t="s">
        <v>40</v>
      </c>
      <c r="R52" s="2" t="s">
        <v>40</v>
      </c>
      <c r="U52" s="2" t="s">
        <v>287</v>
      </c>
    </row>
    <row r="53" spans="1:24">
      <c r="B53" s="297"/>
      <c r="C53" s="21"/>
      <c r="D53" s="7" t="s">
        <v>423</v>
      </c>
      <c r="E53" s="392" t="s">
        <v>424</v>
      </c>
      <c r="F53" s="2" t="s">
        <v>379</v>
      </c>
      <c r="G53" s="9">
        <v>44128</v>
      </c>
      <c r="H53" s="295" t="s">
        <v>425</v>
      </c>
      <c r="I53" s="2" t="s">
        <v>43</v>
      </c>
      <c r="J53" s="2" t="s">
        <v>43</v>
      </c>
      <c r="K53" s="9" t="s">
        <v>43</v>
      </c>
      <c r="L53" s="2" t="s">
        <v>43</v>
      </c>
      <c r="M53" s="2" t="s">
        <v>43</v>
      </c>
      <c r="N53" s="2" t="s">
        <v>43</v>
      </c>
      <c r="O53" s="2" t="s">
        <v>43</v>
      </c>
      <c r="P53" s="2" t="s">
        <v>43</v>
      </c>
      <c r="Q53" s="375" t="s">
        <v>43</v>
      </c>
      <c r="R53" s="2" t="s">
        <v>43</v>
      </c>
      <c r="S53" s="2" t="s">
        <v>43</v>
      </c>
      <c r="T53" s="2" t="s">
        <v>43</v>
      </c>
      <c r="U53" s="2" t="s">
        <v>287</v>
      </c>
    </row>
    <row r="54" spans="1:24">
      <c r="A54" s="344"/>
      <c r="B54" s="353">
        <v>44914</v>
      </c>
      <c r="C54" s="344" t="s">
        <v>288</v>
      </c>
      <c r="D54" s="350" t="s">
        <v>383</v>
      </c>
      <c r="E54" s="344" t="s">
        <v>384</v>
      </c>
      <c r="F54" s="344" t="s">
        <v>385</v>
      </c>
      <c r="G54" s="344">
        <v>44111</v>
      </c>
      <c r="H54" s="348" t="s">
        <v>291</v>
      </c>
      <c r="I54" s="2"/>
      <c r="J54" s="2"/>
      <c r="K54" s="343"/>
      <c r="L54" s="343"/>
      <c r="M54" s="343" t="s">
        <v>40</v>
      </c>
      <c r="N54" s="343" t="s">
        <v>40</v>
      </c>
      <c r="O54" s="343"/>
      <c r="P54" s="343" t="s">
        <v>40</v>
      </c>
      <c r="Q54" s="343">
        <v>4499</v>
      </c>
      <c r="R54" s="343" t="s">
        <v>40</v>
      </c>
      <c r="S54" s="343"/>
      <c r="T54" s="343"/>
      <c r="U54" s="343" t="s">
        <v>287</v>
      </c>
    </row>
    <row r="55" spans="1:24">
      <c r="A55"/>
      <c r="B55" s="156"/>
      <c r="C55" s="7" t="s">
        <v>297</v>
      </c>
      <c r="D55" s="7" t="s">
        <v>386</v>
      </c>
      <c r="E55" t="s">
        <v>387</v>
      </c>
      <c r="F55" t="s">
        <v>388</v>
      </c>
      <c r="G55">
        <v>44143</v>
      </c>
      <c r="H55" s="12" t="s">
        <v>291</v>
      </c>
      <c r="I55" s="2" t="s">
        <v>43</v>
      </c>
      <c r="J55" s="2" t="s">
        <v>43</v>
      </c>
      <c r="K55"/>
      <c r="M55" s="2" t="s">
        <v>40</v>
      </c>
      <c r="N55" s="2" t="s">
        <v>40</v>
      </c>
      <c r="Q55" t="s">
        <v>40</v>
      </c>
      <c r="R55" t="s">
        <v>40</v>
      </c>
      <c r="U55" s="2" t="s">
        <v>287</v>
      </c>
      <c r="V55" s="343"/>
      <c r="W55" s="343"/>
      <c r="X55" s="343"/>
    </row>
    <row r="56" spans="1:24">
      <c r="A56" s="162"/>
      <c r="B56" s="163">
        <v>45172</v>
      </c>
      <c r="C56" s="164" t="s">
        <v>297</v>
      </c>
      <c r="D56" s="164" t="s">
        <v>426</v>
      </c>
      <c r="E56" s="162" t="s">
        <v>427</v>
      </c>
      <c r="F56" s="162" t="s">
        <v>364</v>
      </c>
      <c r="G56" s="162">
        <v>44120</v>
      </c>
      <c r="H56" s="12" t="s">
        <v>296</v>
      </c>
      <c r="I56" s="2" t="s">
        <v>43</v>
      </c>
      <c r="J56" s="2" t="s">
        <v>43</v>
      </c>
      <c r="K56"/>
      <c r="L56"/>
      <c r="M56" t="s">
        <v>43</v>
      </c>
      <c r="N56" t="s">
        <v>43</v>
      </c>
      <c r="O56"/>
      <c r="P56" t="s">
        <v>43</v>
      </c>
      <c r="Q56" t="s">
        <v>44</v>
      </c>
      <c r="R56" t="s">
        <v>43</v>
      </c>
      <c r="S56"/>
      <c r="T56"/>
      <c r="U56" s="2" t="s">
        <v>287</v>
      </c>
    </row>
    <row r="57" spans="1:24">
      <c r="A57"/>
      <c r="B57" s="156"/>
      <c r="C57" s="7" t="s">
        <v>294</v>
      </c>
      <c r="D57" s="322" t="s">
        <v>428</v>
      </c>
      <c r="E57" t="s">
        <v>429</v>
      </c>
      <c r="F57"/>
      <c r="G57"/>
      <c r="H57" s="12" t="s">
        <v>291</v>
      </c>
      <c r="I57" s="2" t="s">
        <v>40</v>
      </c>
      <c r="J57" s="2" t="s">
        <v>40</v>
      </c>
      <c r="K57" s="7" t="s">
        <v>43</v>
      </c>
      <c r="L57" t="s">
        <v>43</v>
      </c>
      <c r="M57" t="s">
        <v>40</v>
      </c>
      <c r="N57" t="s">
        <v>40</v>
      </c>
      <c r="O57"/>
      <c r="P57"/>
      <c r="Q57" s="384" t="s">
        <v>44</v>
      </c>
      <c r="R57" s="281" t="s">
        <v>43</v>
      </c>
      <c r="S57" t="s">
        <v>40</v>
      </c>
      <c r="T57" t="s">
        <v>43</v>
      </c>
      <c r="U57" s="2" t="s">
        <v>287</v>
      </c>
    </row>
    <row r="58" spans="1:24">
      <c r="C58" s="2" t="s">
        <v>294</v>
      </c>
      <c r="D58" s="7" t="s">
        <v>430</v>
      </c>
      <c r="E58" s="2" t="s">
        <v>431</v>
      </c>
      <c r="F58" s="2" t="s">
        <v>301</v>
      </c>
      <c r="I58" t="s">
        <v>43</v>
      </c>
      <c r="J58" t="s">
        <v>43</v>
      </c>
      <c r="K58" s="2" t="s">
        <v>43</v>
      </c>
      <c r="L58" s="2" t="s">
        <v>43</v>
      </c>
      <c r="M58" s="2" t="s">
        <v>43</v>
      </c>
      <c r="N58" s="2" t="s">
        <v>43</v>
      </c>
      <c r="O58" s="2" t="s">
        <v>43</v>
      </c>
      <c r="P58" s="2" t="s">
        <v>43</v>
      </c>
      <c r="Q58" s="2" t="s">
        <v>43</v>
      </c>
      <c r="R58" s="2" t="s">
        <v>43</v>
      </c>
      <c r="S58" s="2" t="s">
        <v>43</v>
      </c>
      <c r="T58" s="2" t="s">
        <v>43</v>
      </c>
      <c r="U58" s="2" t="s">
        <v>287</v>
      </c>
    </row>
    <row r="59" spans="1:24">
      <c r="A59" s="162"/>
      <c r="B59" s="163">
        <v>45226</v>
      </c>
      <c r="C59" s="164" t="s">
        <v>432</v>
      </c>
      <c r="D59" s="164" t="s">
        <v>433</v>
      </c>
      <c r="E59" s="162" t="s">
        <v>434</v>
      </c>
      <c r="F59" s="162" t="s">
        <v>435</v>
      </c>
      <c r="G59" s="162">
        <v>44120</v>
      </c>
      <c r="H59" s="12" t="s">
        <v>296</v>
      </c>
      <c r="I59" s="2" t="s">
        <v>40</v>
      </c>
      <c r="J59" s="2" t="s">
        <v>40</v>
      </c>
      <c r="K59" t="s">
        <v>40</v>
      </c>
      <c r="L59"/>
      <c r="M59" t="s">
        <v>40</v>
      </c>
      <c r="N59" t="s">
        <v>43</v>
      </c>
      <c r="O59"/>
      <c r="P59" t="s">
        <v>40</v>
      </c>
      <c r="Q59" t="s">
        <v>40</v>
      </c>
      <c r="R59" t="s">
        <v>43</v>
      </c>
      <c r="S59"/>
      <c r="T59"/>
      <c r="U59" s="2" t="s">
        <v>287</v>
      </c>
    </row>
    <row r="60" spans="1:24">
      <c r="B60" s="297"/>
      <c r="C60" s="9" t="s">
        <v>288</v>
      </c>
      <c r="D60" s="277" t="s">
        <v>436</v>
      </c>
      <c r="E60" s="304"/>
      <c r="F60" s="304" t="s">
        <v>327</v>
      </c>
      <c r="G60" s="296">
        <v>33333</v>
      </c>
      <c r="H60" s="305" t="s">
        <v>296</v>
      </c>
      <c r="I60" s="335" t="s">
        <v>40</v>
      </c>
      <c r="J60" s="335" t="s">
        <v>40</v>
      </c>
      <c r="K60" s="295" t="s">
        <v>40</v>
      </c>
      <c r="L60" s="2" t="s">
        <v>43</v>
      </c>
      <c r="M60" s="2" t="s">
        <v>40</v>
      </c>
      <c r="N60" s="2" t="s">
        <v>40</v>
      </c>
      <c r="Q60" s="304" t="s">
        <v>40</v>
      </c>
      <c r="R60" s="295" t="s">
        <v>43</v>
      </c>
      <c r="S60" s="2" t="s">
        <v>40</v>
      </c>
      <c r="U60" s="9" t="s">
        <v>287</v>
      </c>
    </row>
    <row r="61" spans="1:24">
      <c r="C61" s="9" t="s">
        <v>288</v>
      </c>
      <c r="D61" s="7" t="s">
        <v>389</v>
      </c>
      <c r="E61" s="378" t="s">
        <v>390</v>
      </c>
      <c r="F61" s="2" t="s">
        <v>391</v>
      </c>
      <c r="H61" s="302" t="s">
        <v>392</v>
      </c>
      <c r="I61" s="2" t="s">
        <v>40</v>
      </c>
      <c r="J61" s="2" t="s">
        <v>40</v>
      </c>
      <c r="K61" s="2" t="s">
        <v>40</v>
      </c>
      <c r="M61" s="2" t="s">
        <v>40</v>
      </c>
      <c r="N61" s="2" t="s">
        <v>43</v>
      </c>
      <c r="O61" s="2" t="s">
        <v>43</v>
      </c>
      <c r="P61" s="2" t="s">
        <v>43</v>
      </c>
      <c r="Q61" s="2" t="s">
        <v>479</v>
      </c>
      <c r="R61" s="2" t="s">
        <v>43</v>
      </c>
      <c r="S61" s="2" t="s">
        <v>43</v>
      </c>
      <c r="U61" s="2" t="s">
        <v>287</v>
      </c>
    </row>
    <row r="62" spans="1:24">
      <c r="C62" s="2" t="s">
        <v>480</v>
      </c>
      <c r="D62" s="7" t="s">
        <v>481</v>
      </c>
      <c r="E62" s="2" t="s">
        <v>482</v>
      </c>
      <c r="F62" s="2" t="s">
        <v>301</v>
      </c>
      <c r="H62" s="295" t="s">
        <v>291</v>
      </c>
      <c r="I62" t="s">
        <v>43</v>
      </c>
      <c r="J62" t="s">
        <v>43</v>
      </c>
      <c r="M62" s="2" t="s">
        <v>40</v>
      </c>
      <c r="N62" s="2" t="s">
        <v>43</v>
      </c>
      <c r="O62" s="2" t="s">
        <v>43</v>
      </c>
      <c r="Q62" s="2" t="s">
        <v>40</v>
      </c>
      <c r="R62" s="2" t="s">
        <v>43</v>
      </c>
      <c r="S62" s="2" t="s">
        <v>43</v>
      </c>
      <c r="T62" s="2" t="s">
        <v>43</v>
      </c>
      <c r="U62" s="2" t="s">
        <v>287</v>
      </c>
    </row>
    <row r="63" spans="1:24">
      <c r="A63" s="343"/>
      <c r="B63" s="346">
        <v>44312</v>
      </c>
      <c r="C63" s="344" t="s">
        <v>288</v>
      </c>
      <c r="D63" s="350" t="s">
        <v>393</v>
      </c>
      <c r="E63" s="343" t="s">
        <v>394</v>
      </c>
      <c r="F63" s="343" t="s">
        <v>395</v>
      </c>
      <c r="G63" s="343" t="s">
        <v>327</v>
      </c>
      <c r="H63" s="348" t="s">
        <v>296</v>
      </c>
      <c r="I63" s="2"/>
      <c r="J63" s="2"/>
      <c r="K63" s="343"/>
      <c r="L63" s="343"/>
      <c r="M63" s="343" t="s">
        <v>40</v>
      </c>
      <c r="N63" s="343" t="s">
        <v>40</v>
      </c>
      <c r="O63" s="343"/>
      <c r="P63" s="343"/>
      <c r="Q63" s="343" t="s">
        <v>40</v>
      </c>
      <c r="R63" s="343" t="s">
        <v>40</v>
      </c>
      <c r="S63" s="343" t="s">
        <v>40</v>
      </c>
      <c r="T63" s="343"/>
      <c r="U63" s="9" t="s">
        <v>287</v>
      </c>
    </row>
    <row r="64" spans="1:24">
      <c r="A64"/>
      <c r="B64" s="156">
        <v>45193</v>
      </c>
      <c r="C64" s="7" t="s">
        <v>297</v>
      </c>
      <c r="D64" s="7" t="s">
        <v>396</v>
      </c>
      <c r="E64" t="s">
        <v>397</v>
      </c>
      <c r="F64" t="s">
        <v>398</v>
      </c>
      <c r="G64">
        <v>44118</v>
      </c>
      <c r="H64" s="12" t="s">
        <v>296</v>
      </c>
      <c r="I64" s="2" t="s">
        <v>43</v>
      </c>
      <c r="J64" s="2" t="s">
        <v>43</v>
      </c>
      <c r="K64"/>
      <c r="L64"/>
      <c r="M64" t="s">
        <v>40</v>
      </c>
      <c r="N64" t="s">
        <v>40</v>
      </c>
      <c r="O64"/>
      <c r="P64" t="s">
        <v>43</v>
      </c>
      <c r="Q64" t="s">
        <v>40</v>
      </c>
      <c r="R64" t="s">
        <v>40</v>
      </c>
      <c r="S64"/>
      <c r="T64"/>
      <c r="U64" s="2" t="s">
        <v>287</v>
      </c>
    </row>
    <row r="65" spans="1:24">
      <c r="A65"/>
      <c r="B65" s="156">
        <v>45264</v>
      </c>
      <c r="C65" s="7" t="s">
        <v>297</v>
      </c>
      <c r="D65" s="7" t="s">
        <v>483</v>
      </c>
      <c r="E65" t="s">
        <v>484</v>
      </c>
      <c r="F65" t="s">
        <v>485</v>
      </c>
      <c r="G65">
        <v>44146</v>
      </c>
      <c r="H65" s="12" t="s">
        <v>296</v>
      </c>
      <c r="I65" s="405" t="s">
        <v>472</v>
      </c>
      <c r="J65" s="405" t="s">
        <v>472</v>
      </c>
      <c r="K65" s="405" t="s">
        <v>472</v>
      </c>
      <c r="L65" s="405" t="s">
        <v>472</v>
      </c>
      <c r="M65" s="405" t="s">
        <v>472</v>
      </c>
      <c r="N65" s="405" t="s">
        <v>472</v>
      </c>
      <c r="O65" s="405" t="s">
        <v>472</v>
      </c>
      <c r="P65" s="405" t="s">
        <v>472</v>
      </c>
      <c r="Q65" s="405" t="s">
        <v>472</v>
      </c>
      <c r="R65" s="405" t="s">
        <v>472</v>
      </c>
      <c r="S65" s="405" t="s">
        <v>472</v>
      </c>
      <c r="T65" s="405"/>
      <c r="U65" s="405" t="s">
        <v>287</v>
      </c>
    </row>
    <row r="66" spans="1:24">
      <c r="A66" s="2" t="s">
        <v>331</v>
      </c>
      <c r="B66" s="297">
        <v>44598</v>
      </c>
      <c r="C66" s="9" t="s">
        <v>288</v>
      </c>
      <c r="D66" s="7" t="s">
        <v>437</v>
      </c>
      <c r="E66" s="2" t="s">
        <v>438</v>
      </c>
      <c r="F66" s="2" t="s">
        <v>439</v>
      </c>
      <c r="G66" s="2" t="s">
        <v>327</v>
      </c>
      <c r="H66" s="295" t="s">
        <v>296</v>
      </c>
      <c r="I66" s="344" t="s">
        <v>40</v>
      </c>
      <c r="J66" s="344" t="s">
        <v>40</v>
      </c>
      <c r="K66" s="344" t="s">
        <v>40</v>
      </c>
      <c r="L66" s="344" t="s">
        <v>40</v>
      </c>
      <c r="M66" s="344" t="s">
        <v>40</v>
      </c>
      <c r="N66" s="344" t="s">
        <v>40</v>
      </c>
      <c r="O66" s="344" t="s">
        <v>40</v>
      </c>
      <c r="P66" s="344" t="s">
        <v>40</v>
      </c>
      <c r="Q66" s="344" t="s">
        <v>40</v>
      </c>
      <c r="R66" s="344" t="s">
        <v>40</v>
      </c>
      <c r="S66" s="344" t="s">
        <v>40</v>
      </c>
      <c r="U66" s="9" t="s">
        <v>287</v>
      </c>
      <c r="V66" s="405"/>
    </row>
    <row r="67" spans="1:24">
      <c r="A67"/>
      <c r="B67" s="156"/>
      <c r="C67" s="7" t="s">
        <v>294</v>
      </c>
      <c r="D67" s="7" t="s">
        <v>399</v>
      </c>
      <c r="E67" t="s">
        <v>486</v>
      </c>
      <c r="F67" t="s">
        <v>379</v>
      </c>
      <c r="G67">
        <v>44128</v>
      </c>
      <c r="H67" s="12" t="s">
        <v>392</v>
      </c>
      <c r="I67" s="2" t="s">
        <v>43</v>
      </c>
      <c r="J67" s="2" t="s">
        <v>43</v>
      </c>
      <c r="K67" s="7" t="s">
        <v>43</v>
      </c>
      <c r="L67" t="s">
        <v>43</v>
      </c>
      <c r="M67" t="s">
        <v>40</v>
      </c>
      <c r="N67" t="s">
        <v>43</v>
      </c>
      <c r="O67"/>
      <c r="P67"/>
      <c r="Q67" s="384">
        <v>0</v>
      </c>
      <c r="R67" s="281" t="s">
        <v>43</v>
      </c>
      <c r="S67" t="s">
        <v>43</v>
      </c>
      <c r="T67" t="s">
        <v>43</v>
      </c>
      <c r="U67" s="2" t="s">
        <v>287</v>
      </c>
    </row>
    <row r="68" spans="1:24">
      <c r="A68"/>
      <c r="B68" s="156"/>
      <c r="C68" s="7" t="s">
        <v>294</v>
      </c>
      <c r="D68" s="7" t="s">
        <v>399</v>
      </c>
      <c r="E68" t="s">
        <v>400</v>
      </c>
      <c r="F68" t="s">
        <v>379</v>
      </c>
      <c r="G68">
        <v>44128</v>
      </c>
      <c r="H68" s="12" t="s">
        <v>291</v>
      </c>
      <c r="I68" s="2" t="s">
        <v>43</v>
      </c>
      <c r="J68" s="2" t="s">
        <v>43</v>
      </c>
      <c r="K68" t="s">
        <v>43</v>
      </c>
      <c r="L68" s="2" t="s">
        <v>43</v>
      </c>
      <c r="M68" s="2" t="s">
        <v>40</v>
      </c>
      <c r="N68" s="2" t="s">
        <v>40</v>
      </c>
      <c r="Q68" t="s">
        <v>40</v>
      </c>
      <c r="R68" t="s">
        <v>43</v>
      </c>
      <c r="S68" s="2" t="s">
        <v>43</v>
      </c>
      <c r="T68" s="2" t="s">
        <v>43</v>
      </c>
      <c r="U68" s="2" t="s">
        <v>287</v>
      </c>
    </row>
    <row r="69" spans="1:24">
      <c r="B69" s="297"/>
      <c r="C69" s="9" t="s">
        <v>288</v>
      </c>
      <c r="D69" s="322" t="s">
        <v>487</v>
      </c>
      <c r="E69" s="377" t="s">
        <v>488</v>
      </c>
      <c r="F69" s="2" t="s">
        <v>408</v>
      </c>
      <c r="G69" s="9"/>
      <c r="H69" s="295" t="s">
        <v>489</v>
      </c>
      <c r="I69" s="405" t="s">
        <v>472</v>
      </c>
      <c r="J69" s="405" t="s">
        <v>472</v>
      </c>
      <c r="K69" s="405" t="s">
        <v>472</v>
      </c>
      <c r="L69" s="405" t="s">
        <v>472</v>
      </c>
      <c r="M69" s="405" t="s">
        <v>472</v>
      </c>
      <c r="N69" s="405" t="s">
        <v>472</v>
      </c>
      <c r="O69" s="405" t="s">
        <v>472</v>
      </c>
      <c r="P69" s="405" t="s">
        <v>472</v>
      </c>
      <c r="Q69" s="405" t="s">
        <v>472</v>
      </c>
      <c r="R69" s="405" t="s">
        <v>472</v>
      </c>
      <c r="S69" s="405" t="s">
        <v>472</v>
      </c>
      <c r="T69" s="405"/>
      <c r="U69" s="9" t="s">
        <v>287</v>
      </c>
      <c r="V69" s="335"/>
      <c r="W69" s="335"/>
      <c r="X69" s="335"/>
    </row>
    <row r="70" spans="1:24">
      <c r="C70" s="2" t="s">
        <v>441</v>
      </c>
      <c r="D70" s="7" t="s">
        <v>442</v>
      </c>
      <c r="E70" s="2" t="s">
        <v>443</v>
      </c>
      <c r="F70" s="2" t="s">
        <v>327</v>
      </c>
      <c r="I70" t="s">
        <v>43</v>
      </c>
      <c r="J70" t="s">
        <v>43</v>
      </c>
      <c r="K70" s="2" t="s">
        <v>43</v>
      </c>
      <c r="L70" s="2" t="s">
        <v>43</v>
      </c>
      <c r="M70" s="2" t="s">
        <v>43</v>
      </c>
      <c r="N70" s="2" t="s">
        <v>43</v>
      </c>
      <c r="O70" s="2" t="s">
        <v>43</v>
      </c>
      <c r="P70" s="2" t="s">
        <v>43</v>
      </c>
      <c r="Q70" s="2" t="s">
        <v>43</v>
      </c>
      <c r="R70" s="2" t="s">
        <v>43</v>
      </c>
      <c r="S70" s="2" t="s">
        <v>43</v>
      </c>
      <c r="T70" s="2" t="s">
        <v>43</v>
      </c>
      <c r="U70" s="2" t="s">
        <v>287</v>
      </c>
    </row>
    <row r="71" spans="1:24">
      <c r="A71"/>
      <c r="B71" s="156">
        <v>45283</v>
      </c>
      <c r="C71" s="7" t="s">
        <v>297</v>
      </c>
      <c r="D71" s="7" t="s">
        <v>401</v>
      </c>
      <c r="E71" t="s">
        <v>402</v>
      </c>
      <c r="F71" t="s">
        <v>388</v>
      </c>
      <c r="G71">
        <v>44143</v>
      </c>
      <c r="H71" s="12" t="s">
        <v>392</v>
      </c>
      <c r="I71" s="2" t="s">
        <v>43</v>
      </c>
      <c r="J71" s="2" t="s">
        <v>472</v>
      </c>
      <c r="K71"/>
      <c r="L71" s="162" t="s">
        <v>43</v>
      </c>
      <c r="M71" s="162" t="s">
        <v>40</v>
      </c>
      <c r="N71" s="162" t="s">
        <v>40</v>
      </c>
      <c r="O71" s="162"/>
      <c r="P71" s="162" t="s">
        <v>43</v>
      </c>
      <c r="Q71" t="s">
        <v>43</v>
      </c>
      <c r="R71" t="s">
        <v>40</v>
      </c>
      <c r="S71" s="162"/>
      <c r="T71" s="162"/>
      <c r="U71" s="335" t="s">
        <v>287</v>
      </c>
    </row>
    <row r="72" spans="1:24">
      <c r="A72" s="320"/>
      <c r="B72" s="355"/>
      <c r="C72" s="356"/>
      <c r="D72" s="357" t="s">
        <v>444</v>
      </c>
      <c r="E72" s="320"/>
      <c r="F72" s="320"/>
      <c r="G72" s="320"/>
      <c r="H72" s="320"/>
      <c r="I72" s="343"/>
      <c r="J72" s="343"/>
      <c r="K72" s="361"/>
      <c r="L72" s="9"/>
      <c r="M72" s="9"/>
      <c r="N72" s="9"/>
      <c r="O72" s="9"/>
      <c r="P72" s="9"/>
      <c r="Q72" s="358"/>
      <c r="R72" s="359"/>
      <c r="S72" s="9"/>
      <c r="T72" s="9"/>
      <c r="U72" s="9"/>
      <c r="V72" s="9"/>
      <c r="W72" s="9"/>
      <c r="X72" s="9"/>
    </row>
    <row r="73" spans="1:24">
      <c r="B73" s="163"/>
      <c r="C73" s="164"/>
      <c r="D73" s="7" t="s">
        <v>445</v>
      </c>
      <c r="E73" s="2">
        <v>118</v>
      </c>
      <c r="H73" s="302"/>
      <c r="I73" s="2" t="s">
        <v>446</v>
      </c>
      <c r="J73" s="2"/>
      <c r="L73"/>
      <c r="M73"/>
      <c r="N73"/>
      <c r="O73"/>
      <c r="P73"/>
      <c r="S73"/>
      <c r="T73"/>
    </row>
    <row r="74" spans="1:24">
      <c r="D74" s="7" t="s">
        <v>448</v>
      </c>
      <c r="E74" s="2">
        <v>13</v>
      </c>
      <c r="I74">
        <f>E73-E74</f>
        <v>105</v>
      </c>
    </row>
    <row r="75" spans="1:24">
      <c r="D75" s="7" t="s">
        <v>449</v>
      </c>
      <c r="E75" s="2">
        <v>26</v>
      </c>
      <c r="I75">
        <f>I74-E75</f>
        <v>79</v>
      </c>
    </row>
    <row r="76" spans="1:24">
      <c r="D76" s="7" t="s">
        <v>450</v>
      </c>
      <c r="E76" s="304">
        <v>3</v>
      </c>
      <c r="I76">
        <f>+I75-E76</f>
        <v>76</v>
      </c>
    </row>
    <row r="77" spans="1:24">
      <c r="A77"/>
      <c r="B77" s="156"/>
      <c r="C77" s="7"/>
      <c r="D77" s="7" t="s">
        <v>451</v>
      </c>
      <c r="E77">
        <f>E73-E74-E75-E76</f>
        <v>76</v>
      </c>
      <c r="F77"/>
      <c r="G77"/>
      <c r="H77" s="12"/>
      <c r="I77" s="2"/>
      <c r="J77" s="2"/>
      <c r="K77"/>
      <c r="L77"/>
      <c r="M77"/>
      <c r="N77"/>
      <c r="O77"/>
      <c r="P77"/>
      <c r="Q77"/>
      <c r="R77"/>
      <c r="S77"/>
      <c r="T77"/>
    </row>
    <row r="78" spans="1:24">
      <c r="D78" s="7" t="s">
        <v>452</v>
      </c>
      <c r="E78" s="2">
        <v>78</v>
      </c>
    </row>
    <row r="79" spans="1:24">
      <c r="C79" s="390"/>
      <c r="D79" s="7" t="s">
        <v>453</v>
      </c>
      <c r="E79" s="2">
        <v>1</v>
      </c>
      <c r="H79" s="295" t="s">
        <v>454</v>
      </c>
      <c r="I79" s="2"/>
      <c r="J79" s="2"/>
      <c r="L79" s="284"/>
      <c r="M79" s="284"/>
      <c r="N79" s="284"/>
      <c r="O79" s="284"/>
      <c r="P79" s="284"/>
      <c r="S79" s="284"/>
      <c r="T79" s="284"/>
    </row>
    <row r="80" spans="1:24" ht="18">
      <c r="A80" s="218"/>
      <c r="D80" s="7" t="s">
        <v>455</v>
      </c>
      <c r="E80" s="2">
        <f>E78-E79</f>
        <v>77</v>
      </c>
    </row>
    <row r="81" spans="1:23" ht="18">
      <c r="A81" s="400"/>
      <c r="D81" s="7" t="s">
        <v>456</v>
      </c>
      <c r="E81" s="421">
        <f>E80-E82</f>
        <v>8</v>
      </c>
    </row>
    <row r="82" spans="1:23" ht="18">
      <c r="A82" s="406"/>
      <c r="D82" s="7" t="s">
        <v>447</v>
      </c>
      <c r="E82" s="2">
        <v>69</v>
      </c>
    </row>
    <row r="83" spans="1:23" ht="18">
      <c r="A83" s="406"/>
    </row>
    <row r="84" spans="1:23" ht="18">
      <c r="A84" s="406"/>
    </row>
    <row r="85" spans="1:23" ht="21">
      <c r="A85" s="443"/>
    </row>
    <row r="86" spans="1:23" ht="18">
      <c r="A86" s="406"/>
    </row>
    <row r="87" spans="1:23" ht="18">
      <c r="A87" s="406"/>
    </row>
    <row r="88" spans="1:23" ht="18">
      <c r="A88" s="406"/>
    </row>
    <row r="89" spans="1:23" ht="18">
      <c r="A89" s="406"/>
    </row>
    <row r="90" spans="1:23" ht="18">
      <c r="A90" s="404"/>
    </row>
    <row r="95" spans="1:23">
      <c r="C95" s="9"/>
      <c r="D95" s="322"/>
      <c r="E95"/>
      <c r="F95" s="371"/>
      <c r="I95" s="405"/>
      <c r="J95" s="405"/>
      <c r="K95" s="405"/>
      <c r="L95" s="405"/>
      <c r="M95" s="405"/>
      <c r="N95" s="405"/>
      <c r="O95" s="405"/>
      <c r="P95" s="405"/>
      <c r="Q95" s="405"/>
      <c r="R95" s="405"/>
      <c r="S95" s="405"/>
      <c r="T95" s="405"/>
      <c r="U95" s="405"/>
      <c r="V95" s="405"/>
      <c r="W95" s="405"/>
    </row>
    <row r="96" spans="1:23">
      <c r="A96" s="9"/>
      <c r="B96" s="294"/>
      <c r="C96" s="9"/>
      <c r="E96" s="9"/>
      <c r="F96" s="9"/>
      <c r="G96" s="9"/>
      <c r="I96" s="370"/>
      <c r="J96" s="370"/>
      <c r="K96" s="370"/>
      <c r="L96" s="370"/>
      <c r="M96" s="370"/>
      <c r="N96" s="370"/>
      <c r="O96" s="370"/>
      <c r="P96" s="370"/>
      <c r="Q96" s="370"/>
      <c r="R96" s="370"/>
      <c r="S96" s="370"/>
    </row>
    <row r="97" spans="1:22">
      <c r="A97" s="162"/>
      <c r="B97" s="163"/>
      <c r="C97" s="164"/>
      <c r="D97" s="164"/>
      <c r="E97" s="162"/>
      <c r="F97" s="162"/>
      <c r="G97" s="162"/>
      <c r="H97" s="334"/>
      <c r="I97" s="405"/>
      <c r="J97" s="405"/>
      <c r="K97" s="405"/>
      <c r="L97" s="405"/>
      <c r="M97" s="405"/>
      <c r="N97" s="405"/>
      <c r="O97" s="405"/>
      <c r="P97" s="405"/>
      <c r="Q97" s="405"/>
      <c r="R97" s="405"/>
      <c r="S97" s="405"/>
      <c r="T97" s="405"/>
      <c r="U97" s="405"/>
      <c r="V97" s="405"/>
    </row>
    <row r="98" spans="1:22">
      <c r="A98"/>
      <c r="B98" s="156"/>
      <c r="C98" s="7"/>
      <c r="D98" s="322"/>
      <c r="E98"/>
      <c r="F98"/>
      <c r="G98"/>
      <c r="H98" s="12"/>
      <c r="I98" s="2"/>
      <c r="J98" s="2"/>
      <c r="K98" s="7"/>
      <c r="L98"/>
      <c r="M98"/>
      <c r="N98"/>
      <c r="O98"/>
      <c r="P98"/>
      <c r="Q98" s="384"/>
      <c r="R98" s="281"/>
      <c r="S98"/>
      <c r="T98"/>
    </row>
    <row r="129" spans="1:1">
      <c r="A129" s="394"/>
    </row>
    <row r="130" spans="1:1" ht="18">
      <c r="A130" s="395"/>
    </row>
    <row r="131" spans="1:1" ht="18">
      <c r="A131" s="216"/>
    </row>
    <row r="132" spans="1:1" ht="18">
      <c r="A132" s="396"/>
    </row>
    <row r="133" spans="1:1" ht="18">
      <c r="A133" s="397"/>
    </row>
    <row r="134" spans="1:1">
      <c r="A134" s="398"/>
    </row>
    <row r="135" spans="1:1" ht="18">
      <c r="A135" s="393"/>
    </row>
    <row r="136" spans="1:1" ht="18">
      <c r="A136" s="399"/>
    </row>
    <row r="137" spans="1:1" ht="18">
      <c r="A137" s="406"/>
    </row>
    <row r="138" spans="1:1" ht="18">
      <c r="A138" s="218"/>
    </row>
    <row r="139" spans="1:1" ht="18">
      <c r="A139" s="218"/>
    </row>
    <row r="140" spans="1:1" ht="18">
      <c r="A140" s="400"/>
    </row>
    <row r="141" spans="1:1" ht="18">
      <c r="A141" s="406"/>
    </row>
    <row r="142" spans="1:1" ht="18">
      <c r="A142" s="406"/>
    </row>
    <row r="143" spans="1:1" ht="18">
      <c r="A143" s="406"/>
    </row>
    <row r="144" spans="1:1" ht="21">
      <c r="A144" s="443"/>
    </row>
    <row r="145" spans="1:1" ht="18">
      <c r="A145" s="406"/>
    </row>
    <row r="146" spans="1:1" ht="18">
      <c r="A146" s="406"/>
    </row>
    <row r="147" spans="1:1" ht="18">
      <c r="A147" s="406"/>
    </row>
    <row r="148" spans="1:1" ht="18">
      <c r="A148" s="406"/>
    </row>
    <row r="149" spans="1:1" ht="18">
      <c r="A149" s="404"/>
    </row>
  </sheetData>
  <sortState xmlns:xlrd2="http://schemas.microsoft.com/office/spreadsheetml/2017/richdata2" ref="A2:U149">
    <sortCondition ref="D2:D149"/>
  </sortState>
  <printOptions verticalCentered="1" headings="1" gridLines="1"/>
  <pageMargins left="0.25" right="0.18" top="0.22" bottom="0.37" header="0.17" footer="0.17"/>
  <pageSetup fitToWidth="0" fitToHeight="0" orientation="landscape" r:id="rId1"/>
  <headerFooter>
    <oddFooter>&amp;L&amp;D &amp;T&amp;C&amp;A&amp;R&amp;F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D0A2A-1CE9-48A7-B7E3-5E05C262CA26}">
  <dimension ref="A1:J22"/>
  <sheetViews>
    <sheetView workbookViewId="0">
      <selection activeCell="A69" sqref="A49:A69"/>
    </sheetView>
  </sheetViews>
  <sheetFormatPr defaultRowHeight="14.45"/>
  <sheetData>
    <row r="1" spans="1:10" ht="15.6">
      <c r="A1" s="416" t="s">
        <v>490</v>
      </c>
      <c r="B1" s="9"/>
      <c r="C1" s="9"/>
      <c r="D1" s="7"/>
      <c r="E1" s="9"/>
      <c r="F1" s="9"/>
      <c r="G1" s="9"/>
      <c r="H1" s="302"/>
      <c r="I1" s="7"/>
      <c r="J1" s="7"/>
    </row>
    <row r="2" spans="1:10" ht="23.45">
      <c r="A2" s="395" t="s">
        <v>491</v>
      </c>
      <c r="B2" s="395"/>
      <c r="C2" s="395"/>
      <c r="D2" s="395"/>
      <c r="E2" s="395"/>
      <c r="F2" s="395"/>
      <c r="G2" s="395"/>
      <c r="H2" s="395"/>
      <c r="I2" s="395"/>
      <c r="J2" s="7"/>
    </row>
    <row r="3" spans="1:10" ht="18">
      <c r="A3" s="417" t="s">
        <v>492</v>
      </c>
      <c r="B3" s="417"/>
      <c r="C3" s="417"/>
      <c r="D3" s="417"/>
      <c r="E3" s="417"/>
      <c r="F3" s="417"/>
      <c r="G3" s="417"/>
      <c r="H3" s="417"/>
      <c r="I3" s="7"/>
      <c r="J3" s="7"/>
    </row>
    <row r="4" spans="1:10" ht="18">
      <c r="A4" s="396" t="s">
        <v>493</v>
      </c>
      <c r="B4" s="396"/>
      <c r="C4" s="396"/>
      <c r="D4" s="396"/>
      <c r="E4" s="396"/>
      <c r="F4" s="396"/>
      <c r="G4" s="396"/>
      <c r="H4" s="302"/>
      <c r="I4" s="7"/>
      <c r="J4" s="7"/>
    </row>
    <row r="5" spans="1:10" ht="18">
      <c r="A5" s="397" t="s">
        <v>494</v>
      </c>
      <c r="B5" s="397"/>
      <c r="C5" s="397"/>
      <c r="D5" s="397"/>
      <c r="E5" s="397"/>
      <c r="F5" s="397"/>
      <c r="G5" s="397"/>
      <c r="H5" s="397"/>
      <c r="I5" s="397"/>
      <c r="J5" s="397"/>
    </row>
    <row r="6" spans="1:10" ht="15.6">
      <c r="A6" s="398" t="s">
        <v>495</v>
      </c>
      <c r="B6" s="398"/>
      <c r="C6" s="398"/>
      <c r="D6" s="398"/>
      <c r="E6" s="398"/>
      <c r="F6" s="398"/>
      <c r="G6" s="398"/>
      <c r="H6" s="398"/>
      <c r="I6" s="398"/>
      <c r="J6" s="398"/>
    </row>
    <row r="7" spans="1:10" ht="18">
      <c r="A7" s="393" t="s">
        <v>496</v>
      </c>
      <c r="B7" s="393"/>
      <c r="C7" s="393"/>
      <c r="D7" s="393"/>
      <c r="E7" s="393"/>
      <c r="F7" s="9"/>
      <c r="G7" s="9"/>
      <c r="H7" s="302"/>
      <c r="I7" s="7"/>
      <c r="J7" s="7"/>
    </row>
    <row r="8" spans="1:10" ht="18">
      <c r="A8" s="444" t="s">
        <v>497</v>
      </c>
      <c r="B8" s="444"/>
      <c r="C8" s="444"/>
      <c r="D8" s="444"/>
      <c r="E8" s="9"/>
      <c r="F8" s="9"/>
      <c r="G8" s="9"/>
      <c r="H8" s="302"/>
      <c r="I8" s="7"/>
      <c r="J8" s="7"/>
    </row>
    <row r="9" spans="1:10" ht="18">
      <c r="A9" s="406" t="s">
        <v>498</v>
      </c>
      <c r="B9" s="406"/>
      <c r="C9" s="406"/>
      <c r="D9" s="406"/>
      <c r="E9" s="9"/>
      <c r="F9" s="9"/>
      <c r="G9" s="9"/>
      <c r="H9" s="302"/>
      <c r="I9" s="7"/>
      <c r="J9" s="7"/>
    </row>
    <row r="10" spans="1:10" ht="18">
      <c r="A10" s="406" t="s">
        <v>499</v>
      </c>
      <c r="B10" s="406"/>
      <c r="C10" s="406"/>
      <c r="D10" s="406"/>
      <c r="E10" s="9"/>
      <c r="F10" s="9"/>
      <c r="G10" s="9"/>
      <c r="H10" s="302"/>
      <c r="I10" s="7"/>
      <c r="J10" s="7"/>
    </row>
    <row r="11" spans="1:10" ht="18">
      <c r="A11" s="406" t="s">
        <v>500</v>
      </c>
      <c r="B11" s="406"/>
      <c r="C11" s="9"/>
      <c r="D11" s="7"/>
      <c r="E11" s="9"/>
      <c r="F11" s="9"/>
      <c r="G11" s="9"/>
      <c r="H11" s="302"/>
      <c r="I11" s="7"/>
      <c r="J11" s="7"/>
    </row>
    <row r="12" spans="1:10" ht="18">
      <c r="A12" s="418" t="s">
        <v>501</v>
      </c>
      <c r="B12" s="418"/>
      <c r="C12" s="418"/>
      <c r="D12" s="418"/>
      <c r="E12" s="418"/>
      <c r="F12" s="418"/>
      <c r="G12" s="418"/>
      <c r="H12" s="302"/>
      <c r="I12" s="7"/>
      <c r="J12" s="7"/>
    </row>
    <row r="13" spans="1:10" ht="18">
      <c r="A13" s="406" t="s">
        <v>502</v>
      </c>
      <c r="B13" s="406"/>
      <c r="C13" s="406"/>
      <c r="D13" s="406"/>
      <c r="E13" s="406"/>
      <c r="F13" s="9"/>
      <c r="G13" s="9"/>
      <c r="H13" s="302"/>
      <c r="I13" s="7"/>
      <c r="J13" s="7"/>
    </row>
    <row r="14" spans="1:10" ht="18">
      <c r="A14" s="406" t="s">
        <v>503</v>
      </c>
      <c r="B14" s="406"/>
      <c r="C14" s="406"/>
      <c r="D14" s="406"/>
      <c r="E14" s="9"/>
      <c r="F14" s="9"/>
      <c r="G14" s="9"/>
      <c r="H14" s="302"/>
      <c r="I14" s="7"/>
      <c r="J14" s="7"/>
    </row>
    <row r="15" spans="1:10" ht="18">
      <c r="A15" s="406" t="s">
        <v>504</v>
      </c>
      <c r="B15" s="406"/>
      <c r="C15" s="406"/>
      <c r="D15" s="406"/>
      <c r="E15" s="9"/>
      <c r="F15" s="9"/>
      <c r="G15" s="9"/>
      <c r="H15" s="302"/>
      <c r="I15" s="7"/>
      <c r="J15" s="7"/>
    </row>
    <row r="16" spans="1:10" ht="23.45">
      <c r="A16" s="419" t="s">
        <v>505</v>
      </c>
      <c r="B16" s="9"/>
      <c r="C16" s="9"/>
      <c r="D16" s="7"/>
      <c r="E16" s="9"/>
      <c r="F16" s="9"/>
      <c r="G16" s="9"/>
      <c r="H16" s="302"/>
      <c r="I16" s="7"/>
      <c r="J16" s="7"/>
    </row>
    <row r="17" spans="1:10" ht="18">
      <c r="A17" s="406" t="s">
        <v>506</v>
      </c>
      <c r="B17" s="406"/>
      <c r="C17" s="406"/>
      <c r="D17" s="406"/>
      <c r="E17" s="9"/>
      <c r="F17" s="9"/>
      <c r="G17" s="9"/>
      <c r="H17" s="302"/>
      <c r="I17" s="7"/>
      <c r="J17" s="7"/>
    </row>
    <row r="18" spans="1:10" ht="18">
      <c r="A18" s="406" t="s">
        <v>507</v>
      </c>
      <c r="B18" s="406"/>
      <c r="C18" s="406"/>
      <c r="D18" s="406"/>
      <c r="E18" s="9"/>
      <c r="F18" s="9"/>
      <c r="G18" s="9"/>
      <c r="H18" s="302"/>
      <c r="I18" s="7"/>
      <c r="J18" s="7"/>
    </row>
    <row r="19" spans="1:10" ht="18">
      <c r="A19" s="406" t="s">
        <v>508</v>
      </c>
      <c r="B19" s="406"/>
      <c r="C19" s="406"/>
      <c r="D19" s="406"/>
      <c r="E19" s="9"/>
      <c r="F19" s="9"/>
      <c r="G19" s="9"/>
      <c r="H19" s="302"/>
      <c r="I19" s="7"/>
      <c r="J19" s="7"/>
    </row>
    <row r="20" spans="1:10" ht="18">
      <c r="A20" s="406" t="s">
        <v>509</v>
      </c>
      <c r="B20" s="406"/>
      <c r="C20" s="406"/>
      <c r="D20" s="406"/>
      <c r="E20" s="9"/>
      <c r="F20" s="9"/>
      <c r="G20" s="9"/>
      <c r="H20" s="302"/>
      <c r="I20" s="7"/>
      <c r="J20" s="7"/>
    </row>
    <row r="21" spans="1:10" ht="18">
      <c r="A21" s="404" t="s">
        <v>510</v>
      </c>
      <c r="B21" s="404"/>
      <c r="C21" s="404"/>
      <c r="D21" s="404"/>
      <c r="E21" s="404"/>
      <c r="F21" s="404"/>
      <c r="G21" s="404"/>
      <c r="H21" s="302"/>
      <c r="I21" s="7"/>
      <c r="J21" s="7"/>
    </row>
    <row r="22" spans="1:10" ht="15.6">
      <c r="A22" s="9"/>
      <c r="B22" s="9"/>
      <c r="C22" s="9"/>
      <c r="D22" s="7"/>
      <c r="E22" s="9"/>
      <c r="F22" s="9"/>
      <c r="G22" s="9"/>
      <c r="H22" s="302"/>
      <c r="I22" s="7"/>
      <c r="J22"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533B2-47F1-4BF1-858E-6A0EF3A6778D}">
  <dimension ref="A1:AR68"/>
  <sheetViews>
    <sheetView view="pageBreakPreview" zoomScaleNormal="100" zoomScaleSheetLayoutView="100" workbookViewId="0">
      <pane ySplit="1" topLeftCell="A2" activePane="bottomLeft" state="frozen"/>
      <selection pane="bottomLeft" activeCell="K2" sqref="K2"/>
      <selection activeCell="D1" sqref="D1"/>
    </sheetView>
  </sheetViews>
  <sheetFormatPr defaultColWidth="9.140625" defaultRowHeight="15.6"/>
  <cols>
    <col min="1" max="1" width="6" style="2" customWidth="1"/>
    <col min="2" max="2" width="9.7109375" style="2" customWidth="1"/>
    <col min="3" max="3" width="6.85546875" style="2" customWidth="1"/>
    <col min="4" max="4" width="22.28515625" style="7" customWidth="1"/>
    <col min="5" max="5" width="18.28515625" style="2" customWidth="1"/>
    <col min="6" max="6" width="9.140625" style="2" customWidth="1"/>
    <col min="7" max="7" width="6.7109375" style="2" customWidth="1"/>
    <col min="8" max="8" width="6.7109375" style="295" customWidth="1"/>
    <col min="9" max="10" width="9.140625" style="2"/>
    <col min="11" max="11" width="7.85546875" style="2" customWidth="1"/>
    <col min="12" max="12" width="9.140625" style="2"/>
    <col min="13" max="13" width="6.7109375" style="2" customWidth="1"/>
    <col min="14" max="14" width="7.5703125" style="2" customWidth="1"/>
    <col min="15" max="15" width="7.28515625" style="2" customWidth="1"/>
    <col min="16" max="20" width="9.140625" style="2"/>
    <col min="21" max="21" width="6.42578125" style="2" bestFit="1" customWidth="1"/>
    <col min="22" max="26" width="9.140625" style="2"/>
    <col min="27" max="27" width="29.42578125" style="2" customWidth="1"/>
    <col min="28" max="16384" width="9.140625" style="2"/>
  </cols>
  <sheetData>
    <row r="1" spans="1:44">
      <c r="A1" s="320" t="s">
        <v>511</v>
      </c>
      <c r="B1" s="355" t="s">
        <v>268</v>
      </c>
      <c r="C1" s="356" t="s">
        <v>269</v>
      </c>
      <c r="D1" s="357" t="s">
        <v>270</v>
      </c>
      <c r="E1" s="320" t="s">
        <v>271</v>
      </c>
      <c r="F1" s="320" t="s">
        <v>272</v>
      </c>
      <c r="G1" s="320" t="s">
        <v>273</v>
      </c>
      <c r="H1" s="320" t="s">
        <v>274</v>
      </c>
      <c r="I1" s="358" t="s">
        <v>296</v>
      </c>
      <c r="J1" s="358" t="s">
        <v>512</v>
      </c>
      <c r="K1" s="358" t="s">
        <v>513</v>
      </c>
      <c r="L1" s="358" t="s">
        <v>46</v>
      </c>
      <c r="M1" s="358" t="s">
        <v>514</v>
      </c>
      <c r="N1" s="359" t="s">
        <v>515</v>
      </c>
      <c r="O1" s="359" t="s">
        <v>516</v>
      </c>
      <c r="P1" s="360" t="s">
        <v>517</v>
      </c>
      <c r="Q1" s="361" t="s">
        <v>518</v>
      </c>
      <c r="R1" s="361" t="s">
        <v>519</v>
      </c>
      <c r="S1" s="361" t="s">
        <v>520</v>
      </c>
      <c r="T1" s="362" t="s">
        <v>521</v>
      </c>
      <c r="U1" s="361" t="s">
        <v>522</v>
      </c>
      <c r="V1" s="361" t="s">
        <v>523</v>
      </c>
      <c r="W1" s="363" t="s">
        <v>524</v>
      </c>
      <c r="X1" s="364" t="s">
        <v>525</v>
      </c>
      <c r="Y1" s="320" t="s">
        <v>271</v>
      </c>
      <c r="AA1" s="320" t="s">
        <v>271</v>
      </c>
      <c r="AB1" s="358" t="s">
        <v>526</v>
      </c>
      <c r="AC1" s="358" t="s">
        <v>527</v>
      </c>
    </row>
    <row r="2" spans="1:44">
      <c r="C2" s="9" t="s">
        <v>288</v>
      </c>
      <c r="D2" s="321" t="s">
        <v>528</v>
      </c>
      <c r="E2" s="315" t="s">
        <v>529</v>
      </c>
      <c r="H2" s="295" t="s">
        <v>392</v>
      </c>
      <c r="I2" s="2" t="str">
        <f t="shared" ref="I2:I9" si="0">IF(H2="RFG","OPEN","N/A")</f>
        <v>N/A</v>
      </c>
      <c r="K2" s="369" t="s">
        <v>464</v>
      </c>
      <c r="M2" s="9" t="s">
        <v>530</v>
      </c>
      <c r="AA2" s="315" t="s">
        <v>531</v>
      </c>
    </row>
    <row r="3" spans="1:44">
      <c r="A3" s="343"/>
      <c r="B3" s="346"/>
      <c r="C3" s="344" t="s">
        <v>288</v>
      </c>
      <c r="D3" s="345" t="s">
        <v>307</v>
      </c>
      <c r="E3" s="347" t="s">
        <v>308</v>
      </c>
      <c r="F3" s="343"/>
      <c r="G3" s="344"/>
      <c r="H3" s="302" t="s">
        <v>296</v>
      </c>
      <c r="I3" s="2" t="str">
        <f t="shared" si="0"/>
        <v>OPEN</v>
      </c>
      <c r="J3" s="343"/>
      <c r="K3" s="349"/>
      <c r="L3" s="349"/>
      <c r="M3" s="9" t="s">
        <v>530</v>
      </c>
      <c r="N3" s="343"/>
      <c r="O3" s="343"/>
      <c r="P3" s="344"/>
      <c r="Q3" s="343"/>
      <c r="R3" s="344"/>
      <c r="S3" s="344"/>
      <c r="T3" s="343"/>
      <c r="U3" s="344"/>
      <c r="V3" s="344"/>
      <c r="W3" s="343"/>
      <c r="X3" s="344">
        <f>1+DONE!Y58</f>
        <v>4</v>
      </c>
      <c r="Y3" s="343"/>
      <c r="Z3" s="343"/>
      <c r="AA3" s="347" t="s">
        <v>532</v>
      </c>
      <c r="AB3" s="344"/>
      <c r="AC3" s="343"/>
      <c r="AD3" s="343"/>
      <c r="AE3" s="343"/>
      <c r="AF3" s="343"/>
      <c r="AG3" s="343"/>
      <c r="AH3" s="343"/>
      <c r="AI3" s="343"/>
      <c r="AJ3" s="343"/>
      <c r="AK3" s="343"/>
      <c r="AL3" s="343"/>
      <c r="AM3" s="343"/>
      <c r="AN3" s="343"/>
      <c r="AO3" s="343"/>
      <c r="AP3" s="343"/>
      <c r="AQ3" s="343"/>
      <c r="AR3" s="343"/>
    </row>
    <row r="4" spans="1:44">
      <c r="A4" s="344" t="s">
        <v>315</v>
      </c>
      <c r="B4" s="353">
        <v>44665</v>
      </c>
      <c r="C4" s="344" t="s">
        <v>288</v>
      </c>
      <c r="D4" s="350" t="s">
        <v>316</v>
      </c>
      <c r="E4" s="344" t="s">
        <v>317</v>
      </c>
      <c r="F4" s="344" t="s">
        <v>318</v>
      </c>
      <c r="G4" s="344">
        <v>44128</v>
      </c>
      <c r="H4" s="348" t="s">
        <v>296</v>
      </c>
      <c r="I4" s="2" t="str">
        <f t="shared" si="0"/>
        <v>OPEN</v>
      </c>
      <c r="J4" s="343" t="s">
        <v>464</v>
      </c>
      <c r="K4" s="343">
        <v>8888</v>
      </c>
      <c r="L4" s="343">
        <v>6666</v>
      </c>
      <c r="M4" s="343" t="s">
        <v>44</v>
      </c>
      <c r="N4" s="343"/>
      <c r="O4" s="343"/>
      <c r="P4" s="343" t="s">
        <v>44</v>
      </c>
      <c r="Q4" s="344"/>
      <c r="R4" s="361" t="s">
        <v>519</v>
      </c>
      <c r="S4" s="343" t="s">
        <v>43</v>
      </c>
      <c r="T4" s="344"/>
      <c r="U4" s="343" t="e">
        <f>IF(#REF!=1,"N/A","OPEN")</f>
        <v>#REF!</v>
      </c>
      <c r="V4" s="343" t="e">
        <f>IF(#REF!="N","N/A","OPEN")</f>
        <v>#REF!</v>
      </c>
      <c r="W4" s="344"/>
      <c r="X4" s="344"/>
      <c r="Y4" s="344"/>
      <c r="Z4" s="343" t="s">
        <v>533</v>
      </c>
      <c r="AA4" s="344" t="s">
        <v>317</v>
      </c>
      <c r="AB4" s="343" t="e">
        <f>IF(#REF!="RFG","OPEN","N/A")</f>
        <v>#REF!</v>
      </c>
      <c r="AC4" s="343" t="s">
        <v>43</v>
      </c>
      <c r="AD4" s="343"/>
      <c r="AE4" s="343"/>
      <c r="AF4" s="343"/>
      <c r="AG4" s="343"/>
      <c r="AH4" s="343"/>
      <c r="AI4" s="343"/>
      <c r="AJ4" s="343"/>
      <c r="AK4" s="343"/>
      <c r="AL4" s="343"/>
      <c r="AM4" s="343"/>
      <c r="AN4" s="343"/>
      <c r="AO4" s="343"/>
      <c r="AP4" s="343"/>
      <c r="AQ4" s="343"/>
      <c r="AR4" s="343"/>
    </row>
    <row r="5" spans="1:44" s="343" customFormat="1">
      <c r="A5" s="335" t="s">
        <v>534</v>
      </c>
      <c r="B5" s="338">
        <v>44627</v>
      </c>
      <c r="C5" s="9" t="s">
        <v>288</v>
      </c>
      <c r="D5" s="164" t="s">
        <v>324</v>
      </c>
      <c r="E5" s="335" t="s">
        <v>325</v>
      </c>
      <c r="F5" s="335" t="s">
        <v>326</v>
      </c>
      <c r="G5" s="335" t="s">
        <v>327</v>
      </c>
      <c r="H5" s="337" t="s">
        <v>296</v>
      </c>
      <c r="I5" s="2" t="str">
        <f t="shared" si="0"/>
        <v>OPEN</v>
      </c>
      <c r="J5" s="335">
        <v>6666</v>
      </c>
      <c r="K5" s="335">
        <v>5555</v>
      </c>
      <c r="L5" s="335">
        <v>4444</v>
      </c>
      <c r="M5" s="9" t="s">
        <v>530</v>
      </c>
      <c r="N5" s="335"/>
      <c r="O5" s="335"/>
      <c r="P5" s="335" t="s">
        <v>43</v>
      </c>
      <c r="Q5" s="335"/>
      <c r="R5" s="361" t="s">
        <v>519</v>
      </c>
      <c r="S5" s="335" t="s">
        <v>43</v>
      </c>
      <c r="T5" s="335"/>
      <c r="U5" s="335" t="e">
        <f>IF(#REF!=1,"N/A","OPEN")</f>
        <v>#REF!</v>
      </c>
      <c r="V5" s="335" t="e">
        <f>IF(#REF!="N","N/A","OPEN")</f>
        <v>#REF!</v>
      </c>
      <c r="W5" s="335"/>
      <c r="X5" s="336">
        <f>1+X4</f>
        <v>1</v>
      </c>
      <c r="Y5" s="335">
        <v>310</v>
      </c>
      <c r="Z5" s="335" t="s">
        <v>535</v>
      </c>
      <c r="AA5" s="335" t="s">
        <v>325</v>
      </c>
      <c r="AB5" s="335" t="e">
        <f>IF(#REF!="RFG","OPEN","N/A")</f>
        <v>#REF!</v>
      </c>
      <c r="AC5" s="335" t="s">
        <v>43</v>
      </c>
      <c r="AD5" s="335"/>
      <c r="AE5" s="335"/>
      <c r="AF5" s="335"/>
      <c r="AG5" s="335"/>
      <c r="AH5" s="335"/>
      <c r="AI5" s="335"/>
      <c r="AJ5" s="335"/>
      <c r="AK5" s="335"/>
      <c r="AL5" s="335"/>
      <c r="AM5" s="335"/>
      <c r="AN5" s="335"/>
      <c r="AO5" s="335"/>
      <c r="AP5" s="335"/>
      <c r="AQ5" s="335"/>
      <c r="AR5" s="335"/>
    </row>
    <row r="6" spans="1:44">
      <c r="B6" s="297">
        <v>44629</v>
      </c>
      <c r="C6" s="9" t="s">
        <v>288</v>
      </c>
      <c r="D6" s="7" t="s">
        <v>473</v>
      </c>
      <c r="E6" s="2" t="s">
        <v>474</v>
      </c>
      <c r="F6" s="2" t="s">
        <v>475</v>
      </c>
      <c r="G6" s="2" t="s">
        <v>327</v>
      </c>
      <c r="H6" s="295" t="s">
        <v>296</v>
      </c>
      <c r="I6" s="2" t="str">
        <f t="shared" si="0"/>
        <v>OPEN</v>
      </c>
      <c r="J6" s="2">
        <v>6666</v>
      </c>
      <c r="K6" s="2">
        <v>3333</v>
      </c>
      <c r="L6" s="2">
        <v>1</v>
      </c>
      <c r="M6" s="9" t="s">
        <v>530</v>
      </c>
      <c r="P6" s="2" t="s">
        <v>43</v>
      </c>
      <c r="R6" s="361" t="s">
        <v>519</v>
      </c>
      <c r="S6" s="2" t="s">
        <v>43</v>
      </c>
      <c r="U6" s="2" t="e">
        <f>IF(#REF!=1,"N/A","OPEN")</f>
        <v>#REF!</v>
      </c>
      <c r="V6" s="2" t="e">
        <f>IF(#REF!="N","N/A","OPEN")</f>
        <v>#REF!</v>
      </c>
      <c r="X6" s="9">
        <f>1+X5</f>
        <v>2</v>
      </c>
      <c r="Y6" s="2">
        <v>215</v>
      </c>
      <c r="Z6" s="2" t="s">
        <v>536</v>
      </c>
      <c r="AA6" s="2" t="s">
        <v>474</v>
      </c>
      <c r="AB6" s="2" t="e">
        <f>IF(#REF!="RFG","OPEN","N/A")</f>
        <v>#REF!</v>
      </c>
      <c r="AC6" s="2" t="s">
        <v>43</v>
      </c>
    </row>
    <row r="7" spans="1:44">
      <c r="C7" s="9" t="s">
        <v>288</v>
      </c>
      <c r="D7" s="321" t="s">
        <v>328</v>
      </c>
      <c r="E7" s="316" t="s">
        <v>329</v>
      </c>
      <c r="F7" s="2" t="s">
        <v>330</v>
      </c>
      <c r="G7" s="2" t="s">
        <v>301</v>
      </c>
      <c r="H7" s="295" t="s">
        <v>296</v>
      </c>
      <c r="I7" s="2" t="str">
        <f t="shared" si="0"/>
        <v>OPEN</v>
      </c>
      <c r="M7" s="343" t="s">
        <v>44</v>
      </c>
      <c r="AA7" s="316" t="s">
        <v>329</v>
      </c>
    </row>
    <row r="8" spans="1:44" s="343" customFormat="1">
      <c r="A8" s="2" t="s">
        <v>331</v>
      </c>
      <c r="B8" s="297">
        <v>44596</v>
      </c>
      <c r="C8" s="9" t="s">
        <v>288</v>
      </c>
      <c r="D8" s="7" t="s">
        <v>332</v>
      </c>
      <c r="E8" s="2" t="s">
        <v>333</v>
      </c>
      <c r="F8" s="2" t="s">
        <v>334</v>
      </c>
      <c r="G8" s="2" t="s">
        <v>327</v>
      </c>
      <c r="H8" s="295" t="s">
        <v>296</v>
      </c>
      <c r="I8" s="2" t="str">
        <f t="shared" si="0"/>
        <v>OPEN</v>
      </c>
      <c r="J8" s="2">
        <v>3333</v>
      </c>
      <c r="K8" s="2">
        <v>5555</v>
      </c>
      <c r="L8" s="2">
        <v>3333</v>
      </c>
      <c r="M8" s="2" t="s">
        <v>44</v>
      </c>
      <c r="N8" s="2"/>
      <c r="O8" s="2"/>
      <c r="P8" s="2" t="s">
        <v>43</v>
      </c>
      <c r="Q8" s="2"/>
      <c r="R8" s="361" t="s">
        <v>519</v>
      </c>
      <c r="S8" s="2" t="s">
        <v>43</v>
      </c>
      <c r="T8" s="2"/>
      <c r="U8" s="2" t="e">
        <f>IF(#REF!=1,"N/A","OPEN")</f>
        <v>#REF!</v>
      </c>
      <c r="V8" s="2" t="e">
        <f>IF(#REF!="N","N/A","OPEN")</f>
        <v>#REF!</v>
      </c>
      <c r="W8" s="2"/>
      <c r="X8" s="9">
        <f>1+X7</f>
        <v>1</v>
      </c>
      <c r="Y8" s="2">
        <v>2756</v>
      </c>
      <c r="Z8" s="2" t="s">
        <v>537</v>
      </c>
      <c r="AA8" s="2" t="s">
        <v>333</v>
      </c>
      <c r="AB8" s="2" t="e">
        <f>IF(#REF!="RFG","OPEN","N/A")</f>
        <v>#REF!</v>
      </c>
      <c r="AC8" s="2" t="s">
        <v>43</v>
      </c>
      <c r="AD8" s="2"/>
      <c r="AE8" s="2"/>
      <c r="AF8" s="2"/>
      <c r="AG8" s="2"/>
      <c r="AH8" s="2"/>
      <c r="AI8" s="2"/>
      <c r="AJ8" s="2"/>
      <c r="AK8" s="2"/>
      <c r="AL8" s="2"/>
      <c r="AM8" s="2"/>
      <c r="AN8" s="2"/>
      <c r="AO8" s="2"/>
      <c r="AP8" s="2"/>
      <c r="AQ8" s="2"/>
      <c r="AR8" s="2"/>
    </row>
    <row r="9" spans="1:44">
      <c r="A9" s="343"/>
      <c r="B9" s="343"/>
      <c r="C9" s="344" t="s">
        <v>288</v>
      </c>
      <c r="D9" s="350" t="s">
        <v>336</v>
      </c>
      <c r="E9" s="365" t="s">
        <v>337</v>
      </c>
      <c r="F9" s="343"/>
      <c r="G9" s="343"/>
      <c r="H9" s="348" t="s">
        <v>296</v>
      </c>
      <c r="I9" s="2" t="str">
        <f t="shared" si="0"/>
        <v>OPEN</v>
      </c>
      <c r="J9" s="343"/>
      <c r="K9" s="343"/>
      <c r="L9" s="343"/>
      <c r="M9" s="2" t="s">
        <v>44</v>
      </c>
      <c r="N9" s="343"/>
      <c r="O9" s="343"/>
      <c r="P9" s="343"/>
      <c r="Q9" s="343"/>
      <c r="R9" s="343"/>
      <c r="S9" s="343"/>
      <c r="T9" s="343"/>
      <c r="U9" s="343"/>
      <c r="V9" s="343"/>
      <c r="W9" s="343"/>
      <c r="X9" s="343"/>
      <c r="Y9" s="343"/>
      <c r="Z9" s="343"/>
      <c r="AA9" s="365" t="s">
        <v>337</v>
      </c>
      <c r="AB9" s="343"/>
      <c r="AC9" s="343"/>
      <c r="AD9" s="343"/>
      <c r="AE9" s="343"/>
      <c r="AF9" s="343"/>
      <c r="AG9" s="343"/>
      <c r="AH9" s="343"/>
      <c r="AI9" s="343"/>
      <c r="AJ9" s="343"/>
      <c r="AK9" s="343"/>
      <c r="AL9" s="343"/>
      <c r="AM9" s="343"/>
      <c r="AN9" s="343"/>
      <c r="AO9" s="343"/>
      <c r="AP9" s="343"/>
      <c r="AQ9" s="343"/>
      <c r="AR9" s="343"/>
    </row>
    <row r="10" spans="1:44">
      <c r="B10" s="297"/>
      <c r="C10" s="9" t="s">
        <v>288</v>
      </c>
      <c r="D10" s="322" t="s">
        <v>338</v>
      </c>
      <c r="E10" s="2" t="s">
        <v>339</v>
      </c>
      <c r="G10" s="9"/>
      <c r="H10" s="295" t="s">
        <v>296</v>
      </c>
      <c r="I10" s="2" t="str">
        <f>IF(H10="RFG","OPEN","N/A")</f>
        <v>OPEN</v>
      </c>
      <c r="K10" s="298"/>
      <c r="L10" s="298" t="s">
        <v>44</v>
      </c>
      <c r="M10" s="2" t="s">
        <v>44</v>
      </c>
      <c r="N10" s="300"/>
      <c r="O10" s="300"/>
      <c r="P10" s="9"/>
      <c r="R10" s="301" t="e">
        <f>#REF!</f>
        <v>#REF!</v>
      </c>
      <c r="S10" s="301" t="e">
        <f>#REF!</f>
        <v>#REF!</v>
      </c>
      <c r="U10" s="9" t="str">
        <f>IF(L10=1,"N/A","OPEN")</f>
        <v>OPEN</v>
      </c>
      <c r="V10" s="2" t="s">
        <v>44</v>
      </c>
      <c r="W10" s="2" t="s">
        <v>44</v>
      </c>
      <c r="X10" s="9" t="e">
        <f>1+#REF!</f>
        <v>#REF!</v>
      </c>
      <c r="AA10" s="2" t="s">
        <v>339</v>
      </c>
      <c r="AB10" s="2" t="str">
        <f>IF(H10="RFG","OPEN","N/A")</f>
        <v>OPEN</v>
      </c>
      <c r="AC10" s="2" t="e">
        <f>#REF!</f>
        <v>#REF!</v>
      </c>
    </row>
    <row r="11" spans="1:44" s="343" customFormat="1">
      <c r="A11" s="2"/>
      <c r="B11" s="2"/>
      <c r="C11" s="9" t="s">
        <v>288</v>
      </c>
      <c r="D11" s="7" t="s">
        <v>350</v>
      </c>
      <c r="E11" s="366" t="s">
        <v>351</v>
      </c>
      <c r="F11" s="2"/>
      <c r="G11" s="2"/>
      <c r="H11" s="295" t="s">
        <v>296</v>
      </c>
      <c r="I11" s="2" t="str">
        <f t="shared" ref="I11:I66" si="1">IF(H11="RFG","OPEN","N/A")</f>
        <v>OPEN</v>
      </c>
      <c r="J11" s="2"/>
      <c r="K11" s="2"/>
      <c r="L11" s="2"/>
      <c r="M11" s="2" t="s">
        <v>44</v>
      </c>
      <c r="N11" s="2"/>
      <c r="O11" s="2"/>
      <c r="P11" s="2"/>
      <c r="Q11" s="2"/>
      <c r="R11" s="2"/>
      <c r="S11" s="2"/>
      <c r="T11" s="2"/>
      <c r="U11" s="2"/>
      <c r="V11" s="2"/>
      <c r="W11" s="2"/>
      <c r="X11" s="2"/>
      <c r="Y11" s="2"/>
      <c r="Z11" s="2"/>
      <c r="AA11" s="366" t="s">
        <v>351</v>
      </c>
      <c r="AB11" s="2"/>
      <c r="AC11" s="2"/>
      <c r="AD11" s="2"/>
      <c r="AE11" s="2"/>
      <c r="AF11" s="2"/>
      <c r="AG11" s="2"/>
      <c r="AH11" s="2"/>
      <c r="AI11" s="2"/>
      <c r="AJ11" s="2"/>
      <c r="AK11" s="2"/>
      <c r="AL11" s="2"/>
      <c r="AM11" s="2"/>
      <c r="AN11" s="2"/>
      <c r="AO11" s="2"/>
      <c r="AP11" s="2"/>
      <c r="AQ11" s="2"/>
      <c r="AR11" s="2"/>
    </row>
    <row r="12" spans="1:44" s="326" customFormat="1">
      <c r="A12" s="9"/>
      <c r="B12" s="294">
        <v>44526</v>
      </c>
      <c r="C12" s="9" t="s">
        <v>288</v>
      </c>
      <c r="D12" s="7" t="s">
        <v>420</v>
      </c>
      <c r="E12" s="9" t="s">
        <v>421</v>
      </c>
      <c r="F12" s="9" t="s">
        <v>422</v>
      </c>
      <c r="G12" s="9">
        <v>44121</v>
      </c>
      <c r="H12" s="302" t="s">
        <v>296</v>
      </c>
      <c r="I12" s="2" t="str">
        <f t="shared" si="1"/>
        <v>OPEN</v>
      </c>
      <c r="J12" s="9">
        <v>1</v>
      </c>
      <c r="K12" s="2">
        <v>1</v>
      </c>
      <c r="L12" s="9">
        <v>0</v>
      </c>
      <c r="M12" s="2" t="s">
        <v>44</v>
      </c>
      <c r="N12" s="2"/>
      <c r="O12" s="2"/>
      <c r="P12" s="2" t="s">
        <v>43</v>
      </c>
      <c r="Q12" s="2"/>
      <c r="R12" s="2" t="e">
        <f>IF(#REF!="RFG","OPEN","N/A")</f>
        <v>#REF!</v>
      </c>
      <c r="S12" s="2" t="s">
        <v>43</v>
      </c>
      <c r="T12" s="2"/>
      <c r="U12" s="2" t="e">
        <f>IF(#REF!=1,"N/A","OPEN")</f>
        <v>#REF!</v>
      </c>
      <c r="V12" s="2" t="e">
        <f>IF(#REF!="N","N/A","OPEN")</f>
        <v>#REF!</v>
      </c>
      <c r="W12" s="2"/>
      <c r="X12" s="9">
        <f>1+X11</f>
        <v>1</v>
      </c>
      <c r="Y12" s="9">
        <v>3789</v>
      </c>
      <c r="Z12" s="2" t="s">
        <v>538</v>
      </c>
      <c r="AA12" s="9" t="s">
        <v>421</v>
      </c>
      <c r="AB12" s="2" t="e">
        <f>IF(#REF!="RFG","OPEN","N/A")</f>
        <v>#REF!</v>
      </c>
      <c r="AC12" s="2" t="s">
        <v>43</v>
      </c>
      <c r="AD12" s="2"/>
      <c r="AE12" s="2"/>
      <c r="AF12" s="2"/>
      <c r="AG12" s="2"/>
      <c r="AH12" s="2"/>
      <c r="AI12" s="2"/>
      <c r="AJ12" s="2"/>
      <c r="AK12" s="2"/>
      <c r="AL12" s="2"/>
      <c r="AM12" s="2"/>
      <c r="AN12" s="2"/>
      <c r="AO12" s="2"/>
      <c r="AP12" s="2"/>
      <c r="AQ12" s="2"/>
      <c r="AR12" s="2"/>
    </row>
    <row r="13" spans="1:44">
      <c r="A13" s="2" t="s">
        <v>359</v>
      </c>
      <c r="B13" s="297">
        <v>44921</v>
      </c>
      <c r="C13" s="9" t="s">
        <v>288</v>
      </c>
      <c r="D13" s="7" t="s">
        <v>371</v>
      </c>
      <c r="E13" s="2" t="s">
        <v>372</v>
      </c>
      <c r="F13" s="2" t="s">
        <v>373</v>
      </c>
      <c r="G13" s="2" t="s">
        <v>327</v>
      </c>
      <c r="H13" s="295" t="s">
        <v>296</v>
      </c>
      <c r="I13" s="2" t="str">
        <f t="shared" si="1"/>
        <v>OPEN</v>
      </c>
      <c r="J13" s="2" t="s">
        <v>539</v>
      </c>
      <c r="K13" s="2">
        <v>6666</v>
      </c>
      <c r="L13" s="2">
        <v>5555</v>
      </c>
      <c r="M13" s="2" t="s">
        <v>44</v>
      </c>
      <c r="P13" s="2" t="s">
        <v>43</v>
      </c>
      <c r="R13" s="2" t="e">
        <f>IF(#REF!="RFG","OPEN","N/A")</f>
        <v>#REF!</v>
      </c>
      <c r="S13" s="2" t="s">
        <v>43</v>
      </c>
      <c r="U13" s="2" t="e">
        <f>IF(#REF!=1,"N/A","OPEN")</f>
        <v>#REF!</v>
      </c>
      <c r="V13" s="2" t="e">
        <f>IF(#REF!="N","N/A","OPEN")</f>
        <v>#REF!</v>
      </c>
      <c r="X13" s="9" t="e">
        <f>1+#REF!</f>
        <v>#REF!</v>
      </c>
      <c r="Y13" s="2">
        <v>2528</v>
      </c>
      <c r="Z13" s="2" t="s">
        <v>540</v>
      </c>
      <c r="AA13" s="2" t="s">
        <v>372</v>
      </c>
      <c r="AB13" s="2" t="e">
        <f>IF(#REF!="RFG","OPEN","N/A")</f>
        <v>#REF!</v>
      </c>
      <c r="AC13" s="2" t="s">
        <v>43</v>
      </c>
    </row>
    <row r="14" spans="1:44" s="335" customFormat="1">
      <c r="A14" s="2"/>
      <c r="B14" s="297"/>
      <c r="C14" s="9" t="s">
        <v>288</v>
      </c>
      <c r="D14" s="277" t="s">
        <v>436</v>
      </c>
      <c r="E14" s="304"/>
      <c r="F14" s="304" t="s">
        <v>327</v>
      </c>
      <c r="G14" s="296">
        <v>33333</v>
      </c>
      <c r="H14" s="305" t="s">
        <v>296</v>
      </c>
      <c r="I14" s="2" t="str">
        <f t="shared" si="1"/>
        <v>OPEN</v>
      </c>
      <c r="J14" s="370" t="s">
        <v>464</v>
      </c>
      <c r="K14" s="296">
        <v>6666</v>
      </c>
      <c r="L14" s="304">
        <v>7777</v>
      </c>
      <c r="M14" s="2" t="s">
        <v>530</v>
      </c>
      <c r="N14" s="295"/>
      <c r="O14" s="295"/>
      <c r="P14" s="296" t="s">
        <v>44</v>
      </c>
      <c r="Q14" s="295" t="s">
        <v>20</v>
      </c>
      <c r="R14" s="295" t="s">
        <v>20</v>
      </c>
      <c r="S14" s="295" t="s">
        <v>20</v>
      </c>
      <c r="T14" s="295" t="s">
        <v>20</v>
      </c>
      <c r="U14" s="295" t="s">
        <v>20</v>
      </c>
      <c r="V14" s="295" t="s">
        <v>20</v>
      </c>
      <c r="W14" s="295" t="s">
        <v>20</v>
      </c>
      <c r="X14" s="9">
        <f>1+DONE!Y56</f>
        <v>2</v>
      </c>
      <c r="Y14" s="304"/>
      <c r="Z14" s="2"/>
      <c r="AA14" s="304"/>
      <c r="AB14" s="2" t="s">
        <v>464</v>
      </c>
      <c r="AC14" s="296" t="s">
        <v>20</v>
      </c>
      <c r="AD14" s="2"/>
      <c r="AE14" s="2"/>
      <c r="AF14" s="2"/>
      <c r="AG14" s="2"/>
      <c r="AH14" s="2"/>
      <c r="AI14" s="2"/>
      <c r="AJ14" s="2"/>
      <c r="AK14" s="2"/>
      <c r="AL14" s="2"/>
      <c r="AM14" s="2"/>
      <c r="AN14" s="2"/>
      <c r="AO14" s="2"/>
      <c r="AP14" s="2"/>
      <c r="AQ14" s="2"/>
      <c r="AR14" s="2"/>
    </row>
    <row r="15" spans="1:44">
      <c r="A15" s="343"/>
      <c r="B15" s="346">
        <v>44312</v>
      </c>
      <c r="C15" s="344" t="s">
        <v>288</v>
      </c>
      <c r="D15" s="350" t="s">
        <v>393</v>
      </c>
      <c r="E15" s="343" t="s">
        <v>394</v>
      </c>
      <c r="F15" s="343" t="s">
        <v>395</v>
      </c>
      <c r="G15" s="343" t="s">
        <v>327</v>
      </c>
      <c r="H15" s="348" t="s">
        <v>296</v>
      </c>
      <c r="I15" s="2" t="str">
        <f t="shared" si="1"/>
        <v>OPEN</v>
      </c>
      <c r="J15" s="343">
        <v>3333</v>
      </c>
      <c r="K15" s="343">
        <v>5555</v>
      </c>
      <c r="L15" s="343">
        <v>4444</v>
      </c>
      <c r="M15" s="343" t="s">
        <v>44</v>
      </c>
      <c r="N15" s="343"/>
      <c r="O15" s="343"/>
      <c r="P15" s="343" t="s">
        <v>43</v>
      </c>
      <c r="Q15" s="343"/>
      <c r="R15" s="343" t="e">
        <f>IF(#REF!="RFG","OPEN","N/A")</f>
        <v>#REF!</v>
      </c>
      <c r="S15" s="343" t="s">
        <v>43</v>
      </c>
      <c r="T15" s="343"/>
      <c r="U15" s="343" t="e">
        <f>IF(#REF!=1,"N/A","OPEN")</f>
        <v>#REF!</v>
      </c>
      <c r="V15" s="343" t="e">
        <f>IF(#REF!="N","N/A","OPEN")</f>
        <v>#REF!</v>
      </c>
      <c r="W15" s="343"/>
      <c r="X15" s="344">
        <f>1+X14</f>
        <v>3</v>
      </c>
      <c r="Y15" s="343">
        <v>287</v>
      </c>
      <c r="Z15" s="343" t="s">
        <v>541</v>
      </c>
      <c r="AA15" s="343" t="s">
        <v>394</v>
      </c>
      <c r="AB15" s="343" t="e">
        <f>IF(#REF!="RFG","OPEN","N/A")</f>
        <v>#REF!</v>
      </c>
      <c r="AC15" s="343" t="s">
        <v>43</v>
      </c>
      <c r="AD15" s="343"/>
      <c r="AE15" s="343"/>
      <c r="AF15" s="343"/>
      <c r="AG15" s="343"/>
      <c r="AH15" s="343"/>
      <c r="AI15" s="343"/>
      <c r="AJ15" s="343"/>
      <c r="AK15" s="343"/>
      <c r="AL15" s="343"/>
      <c r="AM15" s="343"/>
      <c r="AN15" s="343"/>
      <c r="AO15" s="343"/>
      <c r="AP15" s="343"/>
      <c r="AQ15" s="343"/>
      <c r="AR15" s="343"/>
    </row>
    <row r="16" spans="1:44">
      <c r="A16" s="2" t="s">
        <v>331</v>
      </c>
      <c r="B16" s="297">
        <v>44598</v>
      </c>
      <c r="C16" s="9" t="s">
        <v>288</v>
      </c>
      <c r="D16" s="7" t="s">
        <v>437</v>
      </c>
      <c r="E16" s="2" t="s">
        <v>438</v>
      </c>
      <c r="F16" s="2" t="s">
        <v>439</v>
      </c>
      <c r="G16" s="2" t="s">
        <v>327</v>
      </c>
      <c r="H16" s="295" t="s">
        <v>296</v>
      </c>
      <c r="I16" s="2" t="str">
        <f t="shared" si="1"/>
        <v>OPEN</v>
      </c>
      <c r="J16" s="2">
        <v>15000</v>
      </c>
      <c r="K16" s="2">
        <v>5555</v>
      </c>
      <c r="L16" s="2">
        <v>6666</v>
      </c>
      <c r="M16" s="2" t="s">
        <v>44</v>
      </c>
      <c r="P16" s="2" t="s">
        <v>43</v>
      </c>
      <c r="R16" s="2" t="e">
        <f>IF(#REF!="RFG","OPEN","N/A")</f>
        <v>#REF!</v>
      </c>
      <c r="S16" s="2" t="s">
        <v>43</v>
      </c>
      <c r="U16" s="2" t="e">
        <f>IF(#REF!=1,"N/A","OPEN")</f>
        <v>#REF!</v>
      </c>
      <c r="V16" s="2" t="e">
        <f>IF(#REF!="N","N/A","OPEN")</f>
        <v>#REF!</v>
      </c>
      <c r="X16" s="9">
        <f>1+X15</f>
        <v>4</v>
      </c>
      <c r="Y16" s="2">
        <v>1201</v>
      </c>
      <c r="Z16" s="2" t="s">
        <v>542</v>
      </c>
      <c r="AA16" s="2" t="s">
        <v>438</v>
      </c>
      <c r="AB16" s="2" t="e">
        <f>IF(#REF!="RFG","OPEN","N/A")</f>
        <v>#REF!</v>
      </c>
      <c r="AC16" s="2" t="s">
        <v>43</v>
      </c>
    </row>
    <row r="17" spans="1:44" s="335" customFormat="1">
      <c r="A17" s="9"/>
      <c r="B17" s="294"/>
      <c r="C17" s="9" t="s">
        <v>288</v>
      </c>
      <c r="D17" s="323" t="s">
        <v>478</v>
      </c>
      <c r="E17" s="303" t="s">
        <v>378</v>
      </c>
      <c r="F17" s="9" t="s">
        <v>379</v>
      </c>
      <c r="G17" s="9">
        <v>44128</v>
      </c>
      <c r="H17" s="302" t="s">
        <v>380</v>
      </c>
      <c r="I17" s="2" t="str">
        <f t="shared" si="1"/>
        <v>N/A</v>
      </c>
      <c r="J17" s="9">
        <v>1</v>
      </c>
      <c r="K17" s="369" t="s">
        <v>464</v>
      </c>
      <c r="L17" s="9">
        <v>7777</v>
      </c>
      <c r="M17" s="2" t="s">
        <v>44</v>
      </c>
      <c r="N17" s="9"/>
      <c r="O17" s="9"/>
      <c r="P17" s="2" t="s">
        <v>43</v>
      </c>
      <c r="Q17" s="9"/>
      <c r="R17" s="295" t="e">
        <f>IF(#REF!="RFG","OPEN","N/A")</f>
        <v>#REF!</v>
      </c>
      <c r="S17" s="2" t="s">
        <v>43</v>
      </c>
      <c r="T17" s="9"/>
      <c r="U17" s="295" t="e">
        <f>IF(#REF!=1,"N/A","OPEN")</f>
        <v>#REF!</v>
      </c>
      <c r="V17" s="2" t="e">
        <f>IF(#REF!="N","N/A","OPEN")</f>
        <v>#REF!</v>
      </c>
      <c r="W17" s="9"/>
      <c r="X17" s="9">
        <f>1+X16</f>
        <v>5</v>
      </c>
      <c r="Y17" s="303">
        <v>160</v>
      </c>
      <c r="Z17" s="2" t="s">
        <v>543</v>
      </c>
      <c r="AA17" s="303" t="s">
        <v>378</v>
      </c>
      <c r="AB17" s="2" t="e">
        <f>IF(#REF!="RFG","OPEN","N/A")</f>
        <v>#REF!</v>
      </c>
      <c r="AC17" s="2" t="s">
        <v>43</v>
      </c>
      <c r="AD17" s="2"/>
      <c r="AE17" s="2"/>
      <c r="AF17" s="2"/>
      <c r="AG17" s="2"/>
      <c r="AH17" s="2"/>
      <c r="AI17" s="2"/>
      <c r="AJ17" s="2"/>
      <c r="AK17" s="2"/>
      <c r="AL17" s="2"/>
      <c r="AM17" s="2"/>
      <c r="AN17" s="2"/>
      <c r="AO17" s="2"/>
      <c r="AP17" s="2"/>
      <c r="AQ17" s="2"/>
      <c r="AR17" s="2"/>
    </row>
    <row r="18" spans="1:44" s="343" customFormat="1">
      <c r="A18" s="2"/>
      <c r="B18" s="297"/>
      <c r="C18" s="9" t="s">
        <v>288</v>
      </c>
      <c r="D18" s="321" t="s">
        <v>487</v>
      </c>
      <c r="E18" s="310" t="s">
        <v>488</v>
      </c>
      <c r="F18" s="2" t="s">
        <v>408</v>
      </c>
      <c r="G18" s="9"/>
      <c r="H18" s="295" t="s">
        <v>489</v>
      </c>
      <c r="I18" s="2" t="str">
        <f t="shared" si="1"/>
        <v>N/A</v>
      </c>
      <c r="J18" s="2"/>
      <c r="K18" s="298"/>
      <c r="L18" s="298"/>
      <c r="M18" s="2" t="s">
        <v>44</v>
      </c>
      <c r="N18" s="2"/>
      <c r="O18" s="2"/>
      <c r="P18" s="9"/>
      <c r="Q18" s="2"/>
      <c r="R18" s="9"/>
      <c r="S18" s="9"/>
      <c r="T18" s="2"/>
      <c r="U18" s="9"/>
      <c r="V18" s="9"/>
      <c r="W18" s="2"/>
      <c r="X18" s="9">
        <f>1+X17</f>
        <v>6</v>
      </c>
      <c r="Y18" s="2"/>
      <c r="Z18" s="2"/>
      <c r="AA18" s="310" t="s">
        <v>544</v>
      </c>
      <c r="AB18" s="9"/>
      <c r="AC18" s="2"/>
      <c r="AD18" s="2"/>
      <c r="AE18" s="2"/>
      <c r="AF18" s="2"/>
      <c r="AG18" s="2"/>
      <c r="AH18" s="2"/>
      <c r="AI18" s="2"/>
      <c r="AJ18" s="2"/>
      <c r="AK18" s="2"/>
      <c r="AL18" s="2"/>
      <c r="AM18" s="2"/>
      <c r="AN18" s="2"/>
      <c r="AO18" s="2"/>
      <c r="AP18" s="2"/>
      <c r="AQ18" s="2"/>
      <c r="AR18" s="2"/>
    </row>
    <row r="19" spans="1:44">
      <c r="A19" s="9"/>
      <c r="B19" s="294"/>
      <c r="C19" s="9" t="s">
        <v>288</v>
      </c>
      <c r="D19" s="7" t="s">
        <v>407</v>
      </c>
      <c r="E19" s="9"/>
      <c r="F19" s="9" t="s">
        <v>408</v>
      </c>
      <c r="G19" s="9">
        <v>44087</v>
      </c>
      <c r="H19" s="295" t="s">
        <v>291</v>
      </c>
      <c r="I19" s="2" t="str">
        <f t="shared" si="1"/>
        <v>N/A</v>
      </c>
      <c r="J19" s="2">
        <v>4444</v>
      </c>
      <c r="K19" s="369" t="s">
        <v>464</v>
      </c>
      <c r="L19" s="2">
        <v>5555</v>
      </c>
      <c r="M19" s="2" t="s">
        <v>44</v>
      </c>
      <c r="N19" s="296"/>
      <c r="O19" s="296"/>
      <c r="P19" s="2" t="s">
        <v>44</v>
      </c>
      <c r="Q19" s="296"/>
      <c r="R19" s="2" t="e">
        <f>IF(#REF!="RFG","OPEN","N/A")</f>
        <v>#REF!</v>
      </c>
      <c r="S19" s="2" t="s">
        <v>43</v>
      </c>
      <c r="T19" s="296"/>
      <c r="U19" s="2" t="e">
        <f>IF(#REF!=1,"N/A","OPEN")</f>
        <v>#REF!</v>
      </c>
      <c r="V19" s="2" t="e">
        <f>IF(#REF!="N","N/A","OPEN")</f>
        <v>#REF!</v>
      </c>
      <c r="W19" s="296"/>
      <c r="X19" s="9" t="e">
        <f>+#REF!+1</f>
        <v>#REF!</v>
      </c>
      <c r="Y19" s="9"/>
      <c r="AA19" s="9"/>
      <c r="AB19" s="2" t="e">
        <f>IF(#REF!="RFG","OPEN","N/A")</f>
        <v>#REF!</v>
      </c>
      <c r="AC19" s="2" t="s">
        <v>43</v>
      </c>
    </row>
    <row r="20" spans="1:44">
      <c r="C20" s="9" t="s">
        <v>288</v>
      </c>
      <c r="D20" s="7" t="s">
        <v>289</v>
      </c>
      <c r="E20" s="149"/>
      <c r="F20" s="2" t="s">
        <v>290</v>
      </c>
      <c r="H20" s="295" t="s">
        <v>291</v>
      </c>
      <c r="I20" s="2" t="str">
        <f t="shared" si="1"/>
        <v>N/A</v>
      </c>
      <c r="M20" s="2" t="s">
        <v>44</v>
      </c>
      <c r="AA20" s="149" t="s">
        <v>545</v>
      </c>
    </row>
    <row r="21" spans="1:44">
      <c r="A21" s="9"/>
      <c r="B21" s="294">
        <v>44920</v>
      </c>
      <c r="C21" s="9" t="s">
        <v>288</v>
      </c>
      <c r="D21" s="7" t="s">
        <v>461</v>
      </c>
      <c r="E21" s="9" t="s">
        <v>462</v>
      </c>
      <c r="F21" s="9" t="s">
        <v>463</v>
      </c>
      <c r="G21" s="9">
        <v>44134</v>
      </c>
      <c r="H21" s="295" t="s">
        <v>291</v>
      </c>
      <c r="I21" s="2" t="str">
        <f t="shared" si="1"/>
        <v>N/A</v>
      </c>
      <c r="J21" s="370" t="s">
        <v>464</v>
      </c>
      <c r="K21" s="2">
        <v>7777</v>
      </c>
      <c r="L21" s="370" t="s">
        <v>464</v>
      </c>
      <c r="M21" s="369" t="s">
        <v>464</v>
      </c>
      <c r="P21" s="2" t="s">
        <v>44</v>
      </c>
      <c r="R21" s="296" t="e">
        <f>IF(#REF!="RFG","OPEN","N/A")</f>
        <v>#REF!</v>
      </c>
      <c r="S21" s="2" t="s">
        <v>43</v>
      </c>
      <c r="U21" s="296" t="e">
        <f>IF(#REF!=1,"N/A","OPEN")</f>
        <v>#REF!</v>
      </c>
      <c r="V21" s="2" t="e">
        <f>IF(#REF!="N","N/A","OPEN")</f>
        <v>#REF!</v>
      </c>
      <c r="X21" s="9">
        <f>1+X20</f>
        <v>1</v>
      </c>
      <c r="Y21" s="9">
        <v>771</v>
      </c>
      <c r="Z21" s="2" t="s">
        <v>546</v>
      </c>
      <c r="AA21" s="9" t="s">
        <v>462</v>
      </c>
      <c r="AB21" s="2" t="e">
        <f>IF(#REF!="RFG","OPEN","N/A")</f>
        <v>#REF!</v>
      </c>
      <c r="AC21" s="2" t="s">
        <v>43</v>
      </c>
    </row>
    <row r="22" spans="1:44" s="335" customFormat="1">
      <c r="A22" s="343"/>
      <c r="B22" s="343"/>
      <c r="C22" s="344" t="s">
        <v>288</v>
      </c>
      <c r="D22" s="345" t="s">
        <v>292</v>
      </c>
      <c r="E22" s="365" t="s">
        <v>293</v>
      </c>
      <c r="F22" s="343"/>
      <c r="G22" s="343"/>
      <c r="H22" s="302" t="s">
        <v>291</v>
      </c>
      <c r="I22" s="2" t="str">
        <f t="shared" si="1"/>
        <v>N/A</v>
      </c>
      <c r="J22" s="343"/>
      <c r="K22" s="343"/>
      <c r="L22" s="343"/>
      <c r="M22" s="2" t="s">
        <v>44</v>
      </c>
      <c r="N22" s="343"/>
      <c r="O22" s="343"/>
      <c r="P22" s="343"/>
      <c r="Q22" s="343"/>
      <c r="R22" s="343"/>
      <c r="S22" s="343"/>
      <c r="T22" s="343"/>
      <c r="U22" s="343"/>
      <c r="V22" s="343"/>
      <c r="W22" s="343"/>
      <c r="X22" s="343"/>
      <c r="Y22" s="343"/>
      <c r="Z22" s="343"/>
      <c r="AA22" s="365" t="s">
        <v>293</v>
      </c>
      <c r="AB22" s="343"/>
      <c r="AC22" s="343"/>
      <c r="AD22" s="343"/>
      <c r="AE22" s="343"/>
      <c r="AF22" s="343"/>
      <c r="AG22" s="343"/>
      <c r="AH22" s="343"/>
      <c r="AI22" s="343"/>
      <c r="AJ22" s="343"/>
      <c r="AK22" s="343"/>
      <c r="AL22" s="343"/>
      <c r="AM22" s="343"/>
      <c r="AN22" s="343"/>
      <c r="AO22" s="343"/>
      <c r="AP22" s="343"/>
      <c r="AQ22" s="343"/>
      <c r="AR22" s="343"/>
    </row>
    <row r="23" spans="1:44">
      <c r="C23" s="9" t="s">
        <v>288</v>
      </c>
      <c r="D23" s="7" t="s">
        <v>389</v>
      </c>
      <c r="E23" s="318" t="s">
        <v>390</v>
      </c>
      <c r="F23" s="2" t="s">
        <v>391</v>
      </c>
      <c r="H23" s="302" t="s">
        <v>392</v>
      </c>
      <c r="I23" s="2" t="str">
        <f t="shared" si="1"/>
        <v>N/A</v>
      </c>
      <c r="M23" s="2" t="s">
        <v>44</v>
      </c>
      <c r="AA23" s="318" t="s">
        <v>390</v>
      </c>
    </row>
    <row r="24" spans="1:44">
      <c r="A24" s="9"/>
      <c r="B24" s="294">
        <v>44636</v>
      </c>
      <c r="C24" s="9" t="s">
        <v>288</v>
      </c>
      <c r="D24" s="7" t="s">
        <v>403</v>
      </c>
      <c r="E24" s="9" t="s">
        <v>404</v>
      </c>
      <c r="F24" s="9" t="s">
        <v>405</v>
      </c>
      <c r="G24" s="9">
        <v>44120</v>
      </c>
      <c r="H24" s="295" t="s">
        <v>291</v>
      </c>
      <c r="I24" s="2" t="str">
        <f t="shared" si="1"/>
        <v>N/A</v>
      </c>
      <c r="J24" s="2">
        <v>4444</v>
      </c>
      <c r="K24" s="9">
        <v>7777</v>
      </c>
      <c r="L24" s="2">
        <v>4444</v>
      </c>
      <c r="M24" s="2" t="s">
        <v>44</v>
      </c>
      <c r="P24" s="9" t="s">
        <v>44</v>
      </c>
      <c r="R24" s="2" t="e">
        <f>IF(#REF!="RFG","OPEN","N/A")</f>
        <v>#REF!</v>
      </c>
      <c r="S24" s="9" t="s">
        <v>43</v>
      </c>
      <c r="U24" s="2" t="e">
        <f>IF(#REF!=1,"N/A","OPEN")</f>
        <v>#REF!</v>
      </c>
      <c r="V24" s="2" t="e">
        <f>IF(#REF!="N","N/A","OPEN")</f>
        <v>#REF!</v>
      </c>
      <c r="X24" s="9">
        <f>1+X23</f>
        <v>1</v>
      </c>
      <c r="Y24" s="9">
        <v>13700</v>
      </c>
      <c r="Z24" s="2" t="s">
        <v>547</v>
      </c>
      <c r="AA24" s="9" t="s">
        <v>404</v>
      </c>
      <c r="AB24" s="2" t="e">
        <f>IF(#REF!="RFG","OPEN","N/A")</f>
        <v>#REF!</v>
      </c>
      <c r="AC24" s="9" t="s">
        <v>43</v>
      </c>
    </row>
    <row r="25" spans="1:44" s="335" customFormat="1">
      <c r="A25" s="2"/>
      <c r="B25" s="297"/>
      <c r="C25" s="9" t="s">
        <v>288</v>
      </c>
      <c r="D25" s="322" t="s">
        <v>309</v>
      </c>
      <c r="E25" s="2"/>
      <c r="F25" s="2" t="s">
        <v>310</v>
      </c>
      <c r="G25" s="9"/>
      <c r="H25" s="295" t="s">
        <v>291</v>
      </c>
      <c r="I25" s="2" t="str">
        <f t="shared" si="1"/>
        <v>N/A</v>
      </c>
      <c r="J25" s="2"/>
      <c r="K25" s="298"/>
      <c r="L25" s="298" t="s">
        <v>44</v>
      </c>
      <c r="M25" s="2" t="s">
        <v>44</v>
      </c>
      <c r="N25" s="300"/>
      <c r="O25" s="300"/>
      <c r="P25" s="9"/>
      <c r="Q25" s="2"/>
      <c r="R25" s="301" t="e">
        <f>#REF!</f>
        <v>#REF!</v>
      </c>
      <c r="S25" s="301" t="e">
        <f>#REF!</f>
        <v>#REF!</v>
      </c>
      <c r="T25" s="2"/>
      <c r="U25" s="9" t="str">
        <f>IF(L25=1,"N/A","OPEN")</f>
        <v>OPEN</v>
      </c>
      <c r="V25" s="2" t="s">
        <v>44</v>
      </c>
      <c r="W25" s="2" t="s">
        <v>44</v>
      </c>
      <c r="X25" s="9" t="e">
        <f>1+#REF!</f>
        <v>#REF!</v>
      </c>
      <c r="Y25" s="2"/>
      <c r="Z25" s="2"/>
      <c r="AA25" s="2"/>
      <c r="AB25" s="2" t="str">
        <f>IF(H25="RFG","OPEN","N/A")</f>
        <v>N/A</v>
      </c>
      <c r="AC25" s="2" t="e">
        <f>#REF!</f>
        <v>#REF!</v>
      </c>
      <c r="AD25" s="2"/>
      <c r="AE25" s="2"/>
      <c r="AF25" s="2"/>
      <c r="AG25" s="2"/>
      <c r="AH25" s="2"/>
      <c r="AI25" s="2"/>
      <c r="AJ25" s="2"/>
      <c r="AK25" s="2"/>
      <c r="AL25" s="2"/>
      <c r="AM25" s="2"/>
      <c r="AN25" s="2"/>
      <c r="AO25" s="2"/>
      <c r="AP25" s="2"/>
      <c r="AQ25" s="2"/>
      <c r="AR25" s="2"/>
    </row>
    <row r="26" spans="1:44">
      <c r="C26" s="9" t="s">
        <v>288</v>
      </c>
      <c r="D26" s="321" t="s">
        <v>440</v>
      </c>
      <c r="E26" s="367" t="s">
        <v>354</v>
      </c>
      <c r="H26" s="295" t="s">
        <v>291</v>
      </c>
      <c r="I26" s="2" t="str">
        <f t="shared" si="1"/>
        <v>N/A</v>
      </c>
      <c r="J26" s="370" t="s">
        <v>464</v>
      </c>
      <c r="M26" s="370" t="s">
        <v>464</v>
      </c>
      <c r="AA26" s="367" t="s">
        <v>354</v>
      </c>
    </row>
    <row r="27" spans="1:44">
      <c r="A27" s="335"/>
      <c r="B27" s="335"/>
      <c r="C27" s="9" t="s">
        <v>288</v>
      </c>
      <c r="D27" s="339" t="s">
        <v>548</v>
      </c>
      <c r="E27" s="335" t="s">
        <v>549</v>
      </c>
      <c r="F27" s="335"/>
      <c r="G27" s="335"/>
      <c r="H27" s="337" t="s">
        <v>291</v>
      </c>
      <c r="I27" s="2" t="str">
        <f t="shared" si="1"/>
        <v>N/A</v>
      </c>
      <c r="J27" s="335"/>
      <c r="K27" s="335"/>
      <c r="L27" s="335"/>
      <c r="M27" s="2" t="s">
        <v>44</v>
      </c>
      <c r="N27" s="335"/>
      <c r="O27" s="335"/>
      <c r="P27" s="335"/>
      <c r="Q27" s="335"/>
      <c r="R27" s="335"/>
      <c r="S27" s="335"/>
      <c r="T27" s="335"/>
      <c r="U27" s="335"/>
      <c r="V27" s="335"/>
      <c r="W27" s="335"/>
      <c r="X27" s="335"/>
      <c r="Y27" s="335"/>
      <c r="Z27" s="335"/>
      <c r="AA27" s="335" t="s">
        <v>550</v>
      </c>
      <c r="AB27" s="335"/>
      <c r="AC27" s="335"/>
      <c r="AD27" s="335"/>
      <c r="AE27" s="335"/>
      <c r="AF27" s="335"/>
      <c r="AG27" s="335"/>
      <c r="AH27" s="335"/>
      <c r="AI27" s="335"/>
      <c r="AJ27" s="335"/>
      <c r="AK27" s="335"/>
      <c r="AL27" s="335"/>
      <c r="AM27" s="335"/>
      <c r="AN27" s="335"/>
      <c r="AO27" s="335"/>
      <c r="AP27" s="335"/>
      <c r="AQ27" s="335"/>
      <c r="AR27" s="335"/>
    </row>
    <row r="28" spans="1:44">
      <c r="B28" s="297"/>
      <c r="C28" s="9" t="s">
        <v>288</v>
      </c>
      <c r="D28" s="7" t="s">
        <v>345</v>
      </c>
      <c r="E28" s="2" t="s">
        <v>346</v>
      </c>
      <c r="F28" s="2" t="s">
        <v>347</v>
      </c>
      <c r="G28" s="9">
        <v>44134</v>
      </c>
      <c r="H28" s="295" t="s">
        <v>291</v>
      </c>
      <c r="I28" s="2" t="str">
        <f t="shared" si="1"/>
        <v>N/A</v>
      </c>
      <c r="J28" s="370" t="s">
        <v>464</v>
      </c>
      <c r="K28" s="9">
        <v>6666</v>
      </c>
      <c r="L28" s="2">
        <v>5555</v>
      </c>
      <c r="M28" s="2" t="s">
        <v>44</v>
      </c>
      <c r="P28" s="9" t="s">
        <v>44</v>
      </c>
      <c r="R28" s="9" t="e">
        <f>IF(#REF!="RFG","OPEN","N/A")</f>
        <v>#REF!</v>
      </c>
      <c r="S28" s="9" t="s">
        <v>43</v>
      </c>
      <c r="U28" s="9" t="e">
        <f>IF(#REF!=1,"N/A","OPEN")</f>
        <v>#REF!</v>
      </c>
      <c r="V28" s="2" t="e">
        <f>IF(#REF!="N","N/A","OPEN")</f>
        <v>#REF!</v>
      </c>
      <c r="W28" s="2" t="s">
        <v>40</v>
      </c>
      <c r="X28" s="9">
        <f>1+X27</f>
        <v>1</v>
      </c>
      <c r="Y28" s="2" t="s">
        <v>346</v>
      </c>
      <c r="Z28" s="2" t="s">
        <v>346</v>
      </c>
      <c r="AA28" s="2" t="s">
        <v>346</v>
      </c>
      <c r="AB28" s="2" t="e">
        <f>IF(#REF!="RFG","OPEN","N/A")</f>
        <v>#REF!</v>
      </c>
      <c r="AC28" s="9" t="s">
        <v>43</v>
      </c>
    </row>
    <row r="29" spans="1:44" s="335" customFormat="1">
      <c r="A29" s="2"/>
      <c r="B29" s="2"/>
      <c r="C29" s="9" t="s">
        <v>288</v>
      </c>
      <c r="D29" s="321" t="s">
        <v>348</v>
      </c>
      <c r="E29" s="317"/>
      <c r="F29" s="2" t="s">
        <v>349</v>
      </c>
      <c r="G29" s="2"/>
      <c r="H29" s="295" t="s">
        <v>291</v>
      </c>
      <c r="I29" s="2" t="str">
        <f t="shared" si="1"/>
        <v>N/A</v>
      </c>
      <c r="J29" s="2"/>
      <c r="K29" s="2"/>
      <c r="L29" s="2"/>
      <c r="M29" s="2" t="s">
        <v>44</v>
      </c>
      <c r="N29" s="2"/>
      <c r="O29" s="2"/>
      <c r="P29" s="2"/>
      <c r="Q29" s="2"/>
      <c r="R29" s="2"/>
      <c r="S29" s="2"/>
      <c r="T29" s="2"/>
      <c r="U29" s="2"/>
      <c r="V29" s="2"/>
      <c r="W29" s="2"/>
      <c r="X29" s="2"/>
      <c r="Y29" s="2"/>
      <c r="Z29" s="2"/>
      <c r="AA29" s="317" t="s">
        <v>551</v>
      </c>
      <c r="AB29" s="2"/>
      <c r="AC29" s="2"/>
      <c r="AD29" s="2"/>
      <c r="AE29" s="2"/>
      <c r="AF29" s="2"/>
      <c r="AG29" s="2"/>
      <c r="AH29" s="2"/>
      <c r="AI29" s="2"/>
      <c r="AJ29" s="2"/>
      <c r="AK29" s="2"/>
      <c r="AL29" s="2"/>
      <c r="AM29" s="2"/>
      <c r="AN29" s="2"/>
      <c r="AO29" s="2"/>
      <c r="AP29" s="2"/>
      <c r="AQ29" s="2"/>
      <c r="AR29" s="2"/>
    </row>
    <row r="30" spans="1:44">
      <c r="B30" s="342" t="s">
        <v>352</v>
      </c>
      <c r="C30" s="342" t="s">
        <v>288</v>
      </c>
      <c r="D30" s="321" t="s">
        <v>353</v>
      </c>
      <c r="E30" s="314" t="s">
        <v>354</v>
      </c>
      <c r="H30" s="295" t="s">
        <v>291</v>
      </c>
      <c r="I30" s="2" t="str">
        <f t="shared" si="1"/>
        <v>N/A</v>
      </c>
      <c r="J30" s="370" t="s">
        <v>464</v>
      </c>
      <c r="M30" s="370" t="s">
        <v>464</v>
      </c>
      <c r="AA30" s="314" t="s">
        <v>552</v>
      </c>
    </row>
    <row r="31" spans="1:44">
      <c r="A31" s="2" t="s">
        <v>355</v>
      </c>
      <c r="B31" s="297">
        <v>44908</v>
      </c>
      <c r="C31" s="9" t="s">
        <v>288</v>
      </c>
      <c r="D31" s="7" t="s">
        <v>476</v>
      </c>
      <c r="E31" s="2" t="s">
        <v>357</v>
      </c>
      <c r="F31" s="2" t="s">
        <v>326</v>
      </c>
      <c r="G31" s="2" t="s">
        <v>327</v>
      </c>
      <c r="H31" s="295" t="s">
        <v>291</v>
      </c>
      <c r="I31" s="2" t="str">
        <f t="shared" si="1"/>
        <v>N/A</v>
      </c>
      <c r="J31" s="2">
        <v>2222</v>
      </c>
      <c r="K31" s="2">
        <v>5555</v>
      </c>
      <c r="L31" s="2">
        <v>5555</v>
      </c>
      <c r="M31" s="2" t="s">
        <v>44</v>
      </c>
      <c r="P31" s="2" t="s">
        <v>43</v>
      </c>
      <c r="R31" s="2" t="e">
        <f>IF(#REF!="RFG","OPEN","N/A")</f>
        <v>#REF!</v>
      </c>
      <c r="S31" s="2" t="s">
        <v>43</v>
      </c>
      <c r="U31" s="2" t="e">
        <f>IF(#REF!=1,"N/A","OPEN")</f>
        <v>#REF!</v>
      </c>
      <c r="V31" s="2" t="e">
        <f>IF(#REF!="N","N/A","OPEN")</f>
        <v>#REF!</v>
      </c>
      <c r="X31" s="9">
        <f t="shared" ref="X31:X36" si="2">1+X30</f>
        <v>1</v>
      </c>
      <c r="Y31" s="2">
        <v>395</v>
      </c>
      <c r="Z31" s="2" t="s">
        <v>553</v>
      </c>
      <c r="AA31" s="2" t="s">
        <v>357</v>
      </c>
      <c r="AB31" s="2" t="e">
        <f>IF(#REF!="RFG","OPEN","N/A")</f>
        <v>#REF!</v>
      </c>
      <c r="AC31" s="2" t="s">
        <v>43</v>
      </c>
    </row>
    <row r="32" spans="1:44" s="343" customFormat="1">
      <c r="A32" s="2"/>
      <c r="B32" s="297">
        <v>44640</v>
      </c>
      <c r="C32" s="9" t="s">
        <v>288</v>
      </c>
      <c r="D32" s="7" t="s">
        <v>360</v>
      </c>
      <c r="E32" s="2" t="s">
        <v>361</v>
      </c>
      <c r="F32" s="2" t="s">
        <v>326</v>
      </c>
      <c r="G32" s="2" t="s">
        <v>327</v>
      </c>
      <c r="H32" s="295" t="s">
        <v>291</v>
      </c>
      <c r="I32" s="2" t="str">
        <f t="shared" si="1"/>
        <v>N/A</v>
      </c>
      <c r="J32" s="2" t="s">
        <v>554</v>
      </c>
      <c r="K32" s="369" t="s">
        <v>464</v>
      </c>
      <c r="L32" s="2">
        <v>11111</v>
      </c>
      <c r="M32" s="2" t="s">
        <v>44</v>
      </c>
      <c r="N32" s="2"/>
      <c r="O32" s="2"/>
      <c r="P32" s="2" t="s">
        <v>43</v>
      </c>
      <c r="Q32" s="2"/>
      <c r="R32" s="2" t="e">
        <f>IF(#REF!="RFG","OPEN","N/A")</f>
        <v>#REF!</v>
      </c>
      <c r="S32" s="2" t="s">
        <v>43</v>
      </c>
      <c r="T32" s="2"/>
      <c r="U32" s="2" t="e">
        <f>IF(#REF!=1,"N/A","OPEN")</f>
        <v>#REF!</v>
      </c>
      <c r="V32" s="2" t="e">
        <f>IF(#REF!="N","N/A","OPEN")</f>
        <v>#REF!</v>
      </c>
      <c r="W32" s="2"/>
      <c r="X32" s="9">
        <f t="shared" si="2"/>
        <v>2</v>
      </c>
      <c r="Y32" s="2">
        <v>255</v>
      </c>
      <c r="Z32" s="2" t="s">
        <v>555</v>
      </c>
      <c r="AA32" s="2" t="s">
        <v>361</v>
      </c>
      <c r="AB32" s="2" t="e">
        <f>IF(#REF!="RFG","OPEN","N/A")</f>
        <v>#REF!</v>
      </c>
      <c r="AC32" s="2" t="s">
        <v>43</v>
      </c>
      <c r="AD32" s="293"/>
      <c r="AE32" s="293"/>
      <c r="AF32" s="293"/>
      <c r="AG32" s="293"/>
      <c r="AH32" s="293"/>
      <c r="AI32" s="293"/>
      <c r="AJ32" s="293"/>
      <c r="AK32" s="293"/>
      <c r="AL32" s="293"/>
      <c r="AM32" s="293"/>
      <c r="AN32" s="293"/>
      <c r="AO32" s="293"/>
      <c r="AP32" s="293"/>
      <c r="AQ32" s="293"/>
      <c r="AR32" s="293"/>
    </row>
    <row r="33" spans="1:44">
      <c r="A33" s="9"/>
      <c r="B33" s="294">
        <v>44856</v>
      </c>
      <c r="C33" s="9" t="s">
        <v>288</v>
      </c>
      <c r="D33" s="7" t="s">
        <v>374</v>
      </c>
      <c r="E33" s="9" t="s">
        <v>375</v>
      </c>
      <c r="F33" s="9" t="s">
        <v>376</v>
      </c>
      <c r="G33" s="9">
        <v>44146</v>
      </c>
      <c r="H33" s="295" t="s">
        <v>291</v>
      </c>
      <c r="I33" s="2" t="str">
        <f t="shared" si="1"/>
        <v>N/A</v>
      </c>
      <c r="J33" s="370" t="s">
        <v>464</v>
      </c>
      <c r="K33" s="2">
        <v>15000</v>
      </c>
      <c r="L33" s="2">
        <v>12000</v>
      </c>
      <c r="M33" s="2" t="s">
        <v>44</v>
      </c>
      <c r="P33" s="2" t="s">
        <v>40</v>
      </c>
      <c r="R33" s="9" t="e">
        <f>IF(#REF!="RFG","OPEN","N/A")</f>
        <v>#REF!</v>
      </c>
      <c r="S33" s="2" t="s">
        <v>43</v>
      </c>
      <c r="U33" s="9" t="e">
        <f>IF(#REF!=1,"N/A","OPEN")</f>
        <v>#REF!</v>
      </c>
      <c r="V33" s="2" t="e">
        <f>IF(#REF!="N","N/A","OPEN")</f>
        <v>#REF!</v>
      </c>
      <c r="X33" s="9">
        <f t="shared" si="2"/>
        <v>3</v>
      </c>
      <c r="Y33" s="9">
        <v>5697</v>
      </c>
      <c r="Z33" s="2" t="s">
        <v>556</v>
      </c>
      <c r="AA33" s="9" t="s">
        <v>375</v>
      </c>
      <c r="AB33" s="2" t="e">
        <f>IF(#REF!="RFG","OPEN","N/A")</f>
        <v>#REF!</v>
      </c>
      <c r="AC33" s="2" t="s">
        <v>20</v>
      </c>
    </row>
    <row r="34" spans="1:44">
      <c r="A34" s="344"/>
      <c r="B34" s="353">
        <v>44914</v>
      </c>
      <c r="C34" s="344" t="s">
        <v>288</v>
      </c>
      <c r="D34" s="350" t="s">
        <v>383</v>
      </c>
      <c r="E34" s="344" t="s">
        <v>384</v>
      </c>
      <c r="F34" s="344" t="s">
        <v>385</v>
      </c>
      <c r="G34" s="344">
        <v>44111</v>
      </c>
      <c r="H34" s="348" t="s">
        <v>291</v>
      </c>
      <c r="I34" s="2" t="str">
        <f t="shared" si="1"/>
        <v>N/A</v>
      </c>
      <c r="J34" s="343" t="s">
        <v>464</v>
      </c>
      <c r="K34" s="343">
        <v>7777</v>
      </c>
      <c r="L34" s="343">
        <v>4499</v>
      </c>
      <c r="M34" s="2" t="s">
        <v>44</v>
      </c>
      <c r="N34" s="343"/>
      <c r="O34" s="343"/>
      <c r="P34" s="343" t="s">
        <v>43</v>
      </c>
      <c r="Q34" s="344"/>
      <c r="R34" s="343" t="e">
        <f>IF(#REF!="RFG","OPEN","N/A")</f>
        <v>#REF!</v>
      </c>
      <c r="S34" s="343" t="s">
        <v>43</v>
      </c>
      <c r="T34" s="344"/>
      <c r="U34" s="343" t="e">
        <f>IF(#REF!=1,"N/A","OPEN")</f>
        <v>#REF!</v>
      </c>
      <c r="V34" s="343" t="e">
        <f>IF(#REF!="N","N/A","OPEN")</f>
        <v>#REF!</v>
      </c>
      <c r="W34" s="344" t="s">
        <v>40</v>
      </c>
      <c r="X34" s="344">
        <f t="shared" si="2"/>
        <v>4</v>
      </c>
      <c r="Y34" s="344">
        <v>841</v>
      </c>
      <c r="Z34" s="343" t="s">
        <v>557</v>
      </c>
      <c r="AA34" s="344" t="s">
        <v>384</v>
      </c>
      <c r="AB34" s="343" t="e">
        <f>IF(#REF!="RFG","OPEN","N/A")</f>
        <v>#REF!</v>
      </c>
      <c r="AC34" s="343" t="s">
        <v>43</v>
      </c>
      <c r="AD34" s="343"/>
      <c r="AE34" s="343"/>
      <c r="AF34" s="343"/>
      <c r="AG34" s="343"/>
      <c r="AH34" s="343"/>
      <c r="AI34" s="343"/>
      <c r="AJ34" s="343"/>
      <c r="AK34" s="343"/>
      <c r="AL34" s="343"/>
      <c r="AM34" s="343"/>
      <c r="AN34" s="343"/>
      <c r="AO34" s="343"/>
      <c r="AP34" s="343"/>
      <c r="AQ34" s="343"/>
      <c r="AR34" s="343"/>
    </row>
    <row r="35" spans="1:44">
      <c r="C35" s="9" t="s">
        <v>288</v>
      </c>
      <c r="D35" s="321" t="s">
        <v>558</v>
      </c>
      <c r="E35" s="312" t="s">
        <v>559</v>
      </c>
      <c r="H35" s="295" t="s">
        <v>291</v>
      </c>
      <c r="I35" s="2" t="str">
        <f t="shared" si="1"/>
        <v>N/A</v>
      </c>
      <c r="M35" s="2" t="s">
        <v>44</v>
      </c>
      <c r="X35">
        <f t="shared" si="2"/>
        <v>5</v>
      </c>
      <c r="AA35" s="312" t="s">
        <v>560</v>
      </c>
    </row>
    <row r="36" spans="1:44" s="343" customFormat="1">
      <c r="A36" s="2"/>
      <c r="B36" s="297"/>
      <c r="C36" s="9" t="s">
        <v>288</v>
      </c>
      <c r="D36" s="322" t="s">
        <v>561</v>
      </c>
      <c r="E36" s="2" t="s">
        <v>468</v>
      </c>
      <c r="F36" s="2"/>
      <c r="G36" s="9"/>
      <c r="H36" s="295" t="s">
        <v>291</v>
      </c>
      <c r="I36" s="2" t="str">
        <f t="shared" si="1"/>
        <v>N/A</v>
      </c>
      <c r="J36" s="2"/>
      <c r="K36" s="298"/>
      <c r="L36" s="298" t="s">
        <v>20</v>
      </c>
      <c r="M36" s="9" t="s">
        <v>530</v>
      </c>
      <c r="N36" s="300"/>
      <c r="O36" s="300"/>
      <c r="P36" s="9"/>
      <c r="Q36" s="2"/>
      <c r="R36" s="301" t="e">
        <f>#REF!</f>
        <v>#REF!</v>
      </c>
      <c r="S36" s="301" t="e">
        <f>#REF!</f>
        <v>#REF!</v>
      </c>
      <c r="T36" s="2"/>
      <c r="U36" s="9" t="str">
        <f>IF(L36=1,"N/A","OPEN")</f>
        <v>OPEN</v>
      </c>
      <c r="V36" s="2" t="s">
        <v>44</v>
      </c>
      <c r="W36" s="2" t="s">
        <v>44</v>
      </c>
      <c r="X36" s="9">
        <f t="shared" si="2"/>
        <v>6</v>
      </c>
      <c r="Y36" s="2"/>
      <c r="Z36" s="2"/>
      <c r="AA36" s="2"/>
      <c r="AB36" s="2" t="str">
        <f>IF(H36="RFG","OPEN","N/A")</f>
        <v>N/A</v>
      </c>
      <c r="AC36" s="2" t="e">
        <f>#REF!</f>
        <v>#REF!</v>
      </c>
      <c r="AD36" s="2"/>
      <c r="AE36" s="2"/>
      <c r="AF36" s="2"/>
      <c r="AG36" s="2"/>
      <c r="AH36" s="2"/>
      <c r="AI36" s="2"/>
      <c r="AJ36" s="2"/>
      <c r="AK36" s="2"/>
      <c r="AL36" s="2"/>
      <c r="AM36" s="2"/>
      <c r="AN36" s="2"/>
      <c r="AO36" s="2"/>
      <c r="AP36" s="2"/>
      <c r="AQ36" s="2"/>
      <c r="AR36" s="2"/>
    </row>
    <row r="37" spans="1:44" s="343" customFormat="1">
      <c r="A37" s="320" t="s">
        <v>511</v>
      </c>
      <c r="B37" s="355" t="s">
        <v>268</v>
      </c>
      <c r="C37" s="356" t="s">
        <v>269</v>
      </c>
      <c r="D37" s="357" t="s">
        <v>270</v>
      </c>
      <c r="E37" s="320" t="s">
        <v>271</v>
      </c>
      <c r="F37" s="320" t="s">
        <v>272</v>
      </c>
      <c r="G37" s="320" t="s">
        <v>273</v>
      </c>
      <c r="H37" s="320" t="s">
        <v>274</v>
      </c>
      <c r="I37" s="358" t="s">
        <v>296</v>
      </c>
      <c r="J37" s="358" t="s">
        <v>512</v>
      </c>
      <c r="K37" s="358" t="s">
        <v>513</v>
      </c>
      <c r="L37" s="358" t="s">
        <v>46</v>
      </c>
      <c r="M37" s="358" t="s">
        <v>514</v>
      </c>
      <c r="N37" s="359" t="s">
        <v>515</v>
      </c>
      <c r="O37" s="359" t="s">
        <v>516</v>
      </c>
      <c r="P37" s="360" t="s">
        <v>517</v>
      </c>
      <c r="Q37" s="361" t="s">
        <v>518</v>
      </c>
      <c r="R37" s="361" t="s">
        <v>519</v>
      </c>
      <c r="S37" s="361" t="s">
        <v>520</v>
      </c>
      <c r="T37" s="362" t="s">
        <v>521</v>
      </c>
      <c r="U37" s="361" t="s">
        <v>522</v>
      </c>
      <c r="V37" s="361" t="s">
        <v>523</v>
      </c>
      <c r="W37" s="363" t="s">
        <v>524</v>
      </c>
      <c r="X37" s="364" t="s">
        <v>525</v>
      </c>
      <c r="Y37" s="320" t="s">
        <v>271</v>
      </c>
      <c r="Z37" s="9"/>
      <c r="AA37" s="320" t="s">
        <v>271</v>
      </c>
      <c r="AB37" s="358" t="s">
        <v>526</v>
      </c>
      <c r="AC37" s="358" t="s">
        <v>527</v>
      </c>
      <c r="AD37" s="9"/>
      <c r="AE37" s="9"/>
      <c r="AF37" s="9"/>
      <c r="AG37" s="9"/>
      <c r="AH37" s="9"/>
      <c r="AI37" s="9"/>
      <c r="AJ37" s="9"/>
      <c r="AK37" s="9"/>
      <c r="AL37" s="9"/>
      <c r="AM37" s="9"/>
      <c r="AN37" s="9"/>
      <c r="AO37" s="9"/>
      <c r="AP37" s="9"/>
      <c r="AQ37" s="9"/>
      <c r="AR37" s="9"/>
    </row>
    <row r="38" spans="1:44">
      <c r="B38" s="163">
        <v>45226</v>
      </c>
      <c r="C38" s="164" t="s">
        <v>432</v>
      </c>
      <c r="H38" s="302" t="s">
        <v>454</v>
      </c>
      <c r="I38" s="2" t="str">
        <f t="shared" si="1"/>
        <v>N/A</v>
      </c>
      <c r="AD38"/>
      <c r="AE38"/>
      <c r="AF38"/>
      <c r="AG38"/>
      <c r="AH38"/>
      <c r="AI38"/>
      <c r="AJ38"/>
      <c r="AK38"/>
      <c r="AL38"/>
    </row>
    <row r="39" spans="1:44">
      <c r="A39" s="162"/>
      <c r="B39" s="163">
        <v>45226</v>
      </c>
      <c r="C39" s="164" t="s">
        <v>432</v>
      </c>
      <c r="D39" s="164" t="s">
        <v>562</v>
      </c>
      <c r="E39" s="162" t="s">
        <v>434</v>
      </c>
      <c r="F39" s="162" t="s">
        <v>435</v>
      </c>
      <c r="G39" s="162">
        <v>44120</v>
      </c>
      <c r="H39" s="12" t="s">
        <v>296</v>
      </c>
      <c r="I39" s="2" t="str">
        <f t="shared" si="1"/>
        <v>OPEN</v>
      </c>
      <c r="J39" s="370" t="s">
        <v>464</v>
      </c>
      <c r="K39" t="s">
        <v>40</v>
      </c>
      <c r="L39" t="s">
        <v>40</v>
      </c>
      <c r="M39" s="9" t="s">
        <v>530</v>
      </c>
      <c r="N39"/>
      <c r="O39"/>
      <c r="P39" t="s">
        <v>20</v>
      </c>
      <c r="Q39"/>
      <c r="R39" t="s">
        <v>40</v>
      </c>
      <c r="S39" t="s">
        <v>40</v>
      </c>
      <c r="T39" t="s">
        <v>20</v>
      </c>
      <c r="U39" t="s">
        <v>20</v>
      </c>
      <c r="V39" t="s">
        <v>20</v>
      </c>
      <c r="W39"/>
      <c r="X39" s="7">
        <v>2201</v>
      </c>
      <c r="Y39" s="162">
        <v>3581</v>
      </c>
      <c r="Z39" t="s">
        <v>563</v>
      </c>
      <c r="AA39" s="162" t="s">
        <v>434</v>
      </c>
      <c r="AB39" t="s">
        <v>40</v>
      </c>
      <c r="AC39" t="s">
        <v>20</v>
      </c>
      <c r="AD39"/>
      <c r="AE39"/>
      <c r="AF39"/>
      <c r="AG39"/>
      <c r="AH39"/>
      <c r="AI39"/>
      <c r="AJ39"/>
      <c r="AK39"/>
      <c r="AL39"/>
    </row>
    <row r="40" spans="1:44">
      <c r="A40"/>
      <c r="B40" s="156">
        <v>45283</v>
      </c>
      <c r="C40" s="7" t="s">
        <v>297</v>
      </c>
      <c r="D40" s="7" t="s">
        <v>401</v>
      </c>
      <c r="E40" t="s">
        <v>402</v>
      </c>
      <c r="F40" t="s">
        <v>388</v>
      </c>
      <c r="G40">
        <v>44143</v>
      </c>
      <c r="H40" s="12" t="s">
        <v>392</v>
      </c>
      <c r="I40" s="2" t="str">
        <f t="shared" si="1"/>
        <v>N/A</v>
      </c>
      <c r="J40" s="370" t="s">
        <v>464</v>
      </c>
      <c r="K40" t="s">
        <v>40</v>
      </c>
      <c r="L40" t="s">
        <v>40</v>
      </c>
      <c r="M40" s="370" t="s">
        <v>464</v>
      </c>
      <c r="N40"/>
      <c r="O40"/>
      <c r="P40" t="s">
        <v>40</v>
      </c>
      <c r="Q40"/>
      <c r="R40" t="s">
        <v>20</v>
      </c>
      <c r="S40" t="s">
        <v>20</v>
      </c>
      <c r="T40"/>
      <c r="U40" t="s">
        <v>40</v>
      </c>
      <c r="V40" t="s">
        <v>40</v>
      </c>
      <c r="W40"/>
      <c r="X40" s="7">
        <f t="shared" ref="X40:X51" si="3">1+X39</f>
        <v>2202</v>
      </c>
      <c r="Y40">
        <v>331</v>
      </c>
      <c r="Z40" t="s">
        <v>564</v>
      </c>
      <c r="AA40" t="s">
        <v>402</v>
      </c>
      <c r="AB40" t="s">
        <v>20</v>
      </c>
      <c r="AC40" t="s">
        <v>20</v>
      </c>
      <c r="AD40" s="162"/>
      <c r="AE40" s="162"/>
      <c r="AF40" s="162"/>
      <c r="AG40" s="162"/>
      <c r="AH40" s="162"/>
      <c r="AI40" s="162"/>
      <c r="AJ40" s="162"/>
      <c r="AK40" s="162"/>
      <c r="AL40" s="162"/>
      <c r="AM40" s="335"/>
      <c r="AN40" s="335"/>
      <c r="AO40" s="335"/>
      <c r="AP40" s="335"/>
      <c r="AQ40" s="335"/>
      <c r="AR40" s="335"/>
    </row>
    <row r="41" spans="1:44">
      <c r="A41" s="162"/>
      <c r="B41" s="163">
        <v>45207</v>
      </c>
      <c r="C41" s="164" t="s">
        <v>297</v>
      </c>
      <c r="D41" s="164" t="s">
        <v>469</v>
      </c>
      <c r="E41" s="162" t="s">
        <v>470</v>
      </c>
      <c r="F41" s="162" t="s">
        <v>471</v>
      </c>
      <c r="G41" s="162">
        <v>44105</v>
      </c>
      <c r="H41" s="334" t="s">
        <v>296</v>
      </c>
      <c r="I41" s="370" t="s">
        <v>464</v>
      </c>
      <c r="J41" s="162">
        <v>32</v>
      </c>
      <c r="K41" s="162" t="s">
        <v>40</v>
      </c>
      <c r="L41" s="162" t="s">
        <v>20</v>
      </c>
      <c r="M41" s="9" t="s">
        <v>530</v>
      </c>
      <c r="N41" s="162"/>
      <c r="O41" s="162"/>
      <c r="P41" s="162" t="s">
        <v>20</v>
      </c>
      <c r="Q41" s="162"/>
      <c r="R41" s="162" t="s">
        <v>40</v>
      </c>
      <c r="S41" s="162">
        <v>25</v>
      </c>
      <c r="T41" s="162"/>
      <c r="U41" s="162" t="s">
        <v>20</v>
      </c>
      <c r="V41" s="162" t="s">
        <v>20</v>
      </c>
      <c r="W41" s="162"/>
      <c r="X41" s="164">
        <f t="shared" si="3"/>
        <v>2203</v>
      </c>
      <c r="Y41" s="162">
        <v>3626</v>
      </c>
      <c r="Z41" s="162" t="s">
        <v>565</v>
      </c>
      <c r="AA41" s="162" t="s">
        <v>470</v>
      </c>
      <c r="AB41" s="162" t="s">
        <v>40</v>
      </c>
      <c r="AC41" s="162">
        <v>45</v>
      </c>
      <c r="AD41"/>
      <c r="AE41"/>
      <c r="AF41"/>
      <c r="AG41"/>
      <c r="AH41"/>
      <c r="AI41"/>
      <c r="AJ41"/>
      <c r="AK41"/>
      <c r="AL41"/>
    </row>
    <row r="42" spans="1:44">
      <c r="A42"/>
      <c r="B42" s="156">
        <v>45193</v>
      </c>
      <c r="C42" s="7" t="s">
        <v>297</v>
      </c>
      <c r="D42" s="7" t="s">
        <v>298</v>
      </c>
      <c r="E42" t="s">
        <v>299</v>
      </c>
      <c r="F42" t="s">
        <v>300</v>
      </c>
      <c r="G42">
        <v>44105</v>
      </c>
      <c r="H42" s="12" t="s">
        <v>296</v>
      </c>
      <c r="I42" s="370" t="s">
        <v>464</v>
      </c>
      <c r="J42" t="s">
        <v>40</v>
      </c>
      <c r="K42" t="s">
        <v>40</v>
      </c>
      <c r="L42" t="s">
        <v>40</v>
      </c>
      <c r="M42" t="s">
        <v>44</v>
      </c>
      <c r="N42"/>
      <c r="O42"/>
      <c r="P42" t="s">
        <v>44</v>
      </c>
      <c r="Q42"/>
      <c r="R42" t="s">
        <v>40</v>
      </c>
      <c r="S42" t="s">
        <v>40</v>
      </c>
      <c r="T42"/>
      <c r="U42" t="s">
        <v>44</v>
      </c>
      <c r="V42" t="s">
        <v>44</v>
      </c>
      <c r="W42"/>
      <c r="X42" s="7">
        <f t="shared" si="3"/>
        <v>2204</v>
      </c>
      <c r="Y42">
        <v>4514</v>
      </c>
      <c r="Z42" t="s">
        <v>566</v>
      </c>
      <c r="AA42" t="s">
        <v>299</v>
      </c>
      <c r="AB42" t="s">
        <v>40</v>
      </c>
      <c r="AC42" t="s">
        <v>20</v>
      </c>
      <c r="AD42" s="162"/>
      <c r="AE42" s="162"/>
      <c r="AF42" s="162"/>
      <c r="AG42" s="162"/>
      <c r="AH42" s="162"/>
      <c r="AI42" s="162"/>
      <c r="AJ42" s="162"/>
      <c r="AK42" s="162"/>
      <c r="AL42" s="162"/>
      <c r="AM42" s="335"/>
      <c r="AN42" s="335"/>
      <c r="AO42" s="335"/>
      <c r="AP42" s="335"/>
      <c r="AQ42" s="335"/>
      <c r="AR42" s="335"/>
    </row>
    <row r="43" spans="1:44">
      <c r="A43" s="162"/>
      <c r="B43" s="163"/>
      <c r="C43" s="164" t="s">
        <v>297</v>
      </c>
      <c r="D43" s="164" t="s">
        <v>415</v>
      </c>
      <c r="E43" s="162" t="s">
        <v>416</v>
      </c>
      <c r="F43" s="162"/>
      <c r="G43" s="162">
        <v>44146</v>
      </c>
      <c r="H43" s="334" t="s">
        <v>296</v>
      </c>
      <c r="I43" s="370" t="s">
        <v>464</v>
      </c>
      <c r="J43" s="162" t="s">
        <v>40</v>
      </c>
      <c r="K43" s="162" t="s">
        <v>40</v>
      </c>
      <c r="L43" s="162" t="s">
        <v>44</v>
      </c>
      <c r="M43" s="162" t="s">
        <v>44</v>
      </c>
      <c r="N43" s="162"/>
      <c r="O43" s="162"/>
      <c r="P43" s="162" t="s">
        <v>44</v>
      </c>
      <c r="Q43" s="162"/>
      <c r="R43" s="162" t="s">
        <v>44</v>
      </c>
      <c r="S43" s="162" t="s">
        <v>40</v>
      </c>
      <c r="T43" s="162"/>
      <c r="U43" s="162" t="s">
        <v>44</v>
      </c>
      <c r="V43" s="162" t="s">
        <v>44</v>
      </c>
      <c r="W43" s="162"/>
      <c r="X43" s="164">
        <f t="shared" si="3"/>
        <v>2205</v>
      </c>
      <c r="Y43" s="162" t="s">
        <v>416</v>
      </c>
      <c r="Z43" s="162" t="s">
        <v>416</v>
      </c>
      <c r="AA43" s="162" t="s">
        <v>416</v>
      </c>
      <c r="AB43" s="162" t="s">
        <v>44</v>
      </c>
      <c r="AC43" s="162">
        <v>19</v>
      </c>
      <c r="AD43"/>
      <c r="AE43"/>
      <c r="AF43"/>
      <c r="AG43"/>
      <c r="AH43"/>
      <c r="AI43"/>
      <c r="AJ43"/>
      <c r="AK43"/>
      <c r="AL43"/>
    </row>
    <row r="44" spans="1:44">
      <c r="A44" s="162"/>
      <c r="B44" s="163">
        <v>45172</v>
      </c>
      <c r="C44" s="164" t="s">
        <v>297</v>
      </c>
      <c r="D44" s="164" t="s">
        <v>426</v>
      </c>
      <c r="E44" s="162" t="s">
        <v>427</v>
      </c>
      <c r="F44" s="162" t="s">
        <v>364</v>
      </c>
      <c r="G44" s="162">
        <v>44120</v>
      </c>
      <c r="H44" s="12" t="s">
        <v>296</v>
      </c>
      <c r="I44" s="370" t="s">
        <v>464</v>
      </c>
      <c r="J44" t="s">
        <v>40</v>
      </c>
      <c r="K44" t="s">
        <v>40</v>
      </c>
      <c r="L44" t="s">
        <v>44</v>
      </c>
      <c r="M44" t="s">
        <v>44</v>
      </c>
      <c r="N44"/>
      <c r="O44"/>
      <c r="P44" t="s">
        <v>44</v>
      </c>
      <c r="Q44"/>
      <c r="R44">
        <v>9</v>
      </c>
      <c r="S44">
        <v>41</v>
      </c>
      <c r="T44"/>
      <c r="U44" t="s">
        <v>44</v>
      </c>
      <c r="V44" t="s">
        <v>44</v>
      </c>
      <c r="W44"/>
      <c r="X44" s="7">
        <f t="shared" si="3"/>
        <v>2206</v>
      </c>
      <c r="Y44" s="162">
        <v>3889</v>
      </c>
      <c r="Z44" t="s">
        <v>567</v>
      </c>
      <c r="AA44" s="162" t="s">
        <v>427</v>
      </c>
      <c r="AB44">
        <v>9</v>
      </c>
      <c r="AC44"/>
      <c r="AD44"/>
      <c r="AE44"/>
      <c r="AF44"/>
      <c r="AG44"/>
      <c r="AH44"/>
      <c r="AI44"/>
      <c r="AJ44"/>
      <c r="AK44"/>
      <c r="AL44"/>
    </row>
    <row r="45" spans="1:44">
      <c r="A45"/>
      <c r="B45" s="156">
        <v>45193</v>
      </c>
      <c r="C45" s="7" t="s">
        <v>297</v>
      </c>
      <c r="D45" s="7" t="s">
        <v>396</v>
      </c>
      <c r="E45" t="s">
        <v>397</v>
      </c>
      <c r="F45" t="s">
        <v>398</v>
      </c>
      <c r="G45">
        <v>44118</v>
      </c>
      <c r="H45" s="12" t="s">
        <v>296</v>
      </c>
      <c r="I45" s="370" t="s">
        <v>464</v>
      </c>
      <c r="J45">
        <v>29</v>
      </c>
      <c r="K45" t="s">
        <v>40</v>
      </c>
      <c r="L45" t="s">
        <v>40</v>
      </c>
      <c r="M45" t="s">
        <v>44</v>
      </c>
      <c r="N45"/>
      <c r="O45"/>
      <c r="P45" t="s">
        <v>44</v>
      </c>
      <c r="Q45"/>
      <c r="R45" t="s">
        <v>40</v>
      </c>
      <c r="S45" t="s">
        <v>40</v>
      </c>
      <c r="T45"/>
      <c r="U45" t="s">
        <v>44</v>
      </c>
      <c r="V45" t="s">
        <v>44</v>
      </c>
      <c r="W45"/>
      <c r="X45" s="7">
        <f t="shared" si="3"/>
        <v>2207</v>
      </c>
      <c r="Y45">
        <v>1620</v>
      </c>
      <c r="Z45" t="s">
        <v>568</v>
      </c>
      <c r="AA45" t="s">
        <v>397</v>
      </c>
      <c r="AB45" t="s">
        <v>40</v>
      </c>
      <c r="AC45" t="s">
        <v>40</v>
      </c>
      <c r="AD45"/>
      <c r="AE45"/>
      <c r="AF45"/>
      <c r="AG45"/>
      <c r="AH45"/>
      <c r="AI45"/>
      <c r="AJ45"/>
      <c r="AK45"/>
      <c r="AL45"/>
    </row>
    <row r="46" spans="1:44">
      <c r="A46"/>
      <c r="B46" s="156">
        <v>45264</v>
      </c>
      <c r="C46" s="7" t="s">
        <v>297</v>
      </c>
      <c r="D46" s="7" t="s">
        <v>483</v>
      </c>
      <c r="E46" t="s">
        <v>484</v>
      </c>
      <c r="F46" t="s">
        <v>485</v>
      </c>
      <c r="G46">
        <v>44146</v>
      </c>
      <c r="H46" s="12" t="s">
        <v>296</v>
      </c>
      <c r="I46" s="370" t="s">
        <v>464</v>
      </c>
      <c r="J46">
        <v>21</v>
      </c>
      <c r="K46" t="s">
        <v>40</v>
      </c>
      <c r="L46" t="s">
        <v>20</v>
      </c>
      <c r="M46" s="9" t="s">
        <v>530</v>
      </c>
      <c r="N46"/>
      <c r="O46"/>
      <c r="P46" t="s">
        <v>20</v>
      </c>
      <c r="Q46"/>
      <c r="R46" t="s">
        <v>40</v>
      </c>
      <c r="S46" t="s">
        <v>40</v>
      </c>
      <c r="T46"/>
      <c r="U46" t="s">
        <v>40</v>
      </c>
      <c r="V46" t="s">
        <v>20</v>
      </c>
      <c r="W46"/>
      <c r="X46" s="7">
        <f t="shared" si="3"/>
        <v>2208</v>
      </c>
      <c r="Y46">
        <v>6280</v>
      </c>
      <c r="Z46" t="s">
        <v>569</v>
      </c>
      <c r="AA46" t="s">
        <v>484</v>
      </c>
      <c r="AB46" t="s">
        <v>40</v>
      </c>
      <c r="AC46" t="s">
        <v>40</v>
      </c>
      <c r="AD46"/>
      <c r="AE46"/>
      <c r="AF46"/>
      <c r="AG46"/>
      <c r="AH46"/>
      <c r="AI46"/>
      <c r="AJ46"/>
      <c r="AK46"/>
      <c r="AL46"/>
    </row>
    <row r="47" spans="1:44">
      <c r="A47"/>
      <c r="B47" s="156">
        <v>45260</v>
      </c>
      <c r="C47" s="7" t="s">
        <v>297</v>
      </c>
      <c r="D47" s="7" t="s">
        <v>570</v>
      </c>
      <c r="E47" t="s">
        <v>571</v>
      </c>
      <c r="F47" t="s">
        <v>485</v>
      </c>
      <c r="G47">
        <v>44146</v>
      </c>
      <c r="H47" s="12" t="s">
        <v>365</v>
      </c>
      <c r="I47" s="370" t="s">
        <v>464</v>
      </c>
      <c r="J47" s="370" t="s">
        <v>464</v>
      </c>
      <c r="K47" t="s">
        <v>40</v>
      </c>
      <c r="L47" t="s">
        <v>40</v>
      </c>
      <c r="M47" s="9" t="s">
        <v>530</v>
      </c>
      <c r="N47"/>
      <c r="O47"/>
      <c r="P47" t="s">
        <v>44</v>
      </c>
      <c r="Q47"/>
      <c r="R47">
        <v>8</v>
      </c>
      <c r="S47" t="s">
        <v>40</v>
      </c>
      <c r="T47"/>
      <c r="U47" t="s">
        <v>40</v>
      </c>
      <c r="V47" t="s">
        <v>44</v>
      </c>
      <c r="W47"/>
      <c r="X47" s="7">
        <f t="shared" si="3"/>
        <v>2209</v>
      </c>
      <c r="Y47">
        <v>7297</v>
      </c>
      <c r="Z47" t="s">
        <v>572</v>
      </c>
      <c r="AA47" t="s">
        <v>571</v>
      </c>
      <c r="AB47">
        <v>8</v>
      </c>
      <c r="AC47" t="s">
        <v>40</v>
      </c>
      <c r="AD47"/>
      <c r="AE47"/>
      <c r="AF47"/>
      <c r="AG47"/>
      <c r="AH47"/>
      <c r="AI47"/>
      <c r="AJ47"/>
      <c r="AK47"/>
      <c r="AL47"/>
    </row>
    <row r="48" spans="1:44">
      <c r="A48"/>
      <c r="B48" s="156">
        <v>45241</v>
      </c>
      <c r="C48" s="7" t="s">
        <v>297</v>
      </c>
      <c r="D48" s="7" t="s">
        <v>362</v>
      </c>
      <c r="E48" t="s">
        <v>363</v>
      </c>
      <c r="F48" t="s">
        <v>364</v>
      </c>
      <c r="G48">
        <v>44128</v>
      </c>
      <c r="H48" s="12" t="s">
        <v>365</v>
      </c>
      <c r="I48" s="370" t="s">
        <v>464</v>
      </c>
      <c r="J48" t="s">
        <v>40</v>
      </c>
      <c r="K48" t="s">
        <v>40</v>
      </c>
      <c r="L48">
        <v>11</v>
      </c>
      <c r="M48" s="370" t="s">
        <v>464</v>
      </c>
      <c r="N48"/>
      <c r="O48"/>
      <c r="P48" t="s">
        <v>40</v>
      </c>
      <c r="Q48"/>
      <c r="R48">
        <v>16</v>
      </c>
      <c r="S48" t="s">
        <v>40</v>
      </c>
      <c r="T48"/>
      <c r="U48" t="s">
        <v>40</v>
      </c>
      <c r="V48" t="s">
        <v>40</v>
      </c>
      <c r="W48"/>
      <c r="X48" s="7">
        <f t="shared" si="3"/>
        <v>2210</v>
      </c>
      <c r="Y48">
        <v>4492</v>
      </c>
      <c r="Z48" t="s">
        <v>573</v>
      </c>
      <c r="AA48" t="s">
        <v>363</v>
      </c>
      <c r="AB48">
        <v>16</v>
      </c>
      <c r="AC48" t="s">
        <v>40</v>
      </c>
      <c r="AD48"/>
      <c r="AE48"/>
      <c r="AF48"/>
      <c r="AG48"/>
      <c r="AH48"/>
      <c r="AI48"/>
      <c r="AJ48"/>
      <c r="AK48"/>
      <c r="AL48"/>
    </row>
    <row r="49" spans="1:44">
      <c r="A49"/>
      <c r="B49" s="156">
        <v>45284</v>
      </c>
      <c r="C49" s="7" t="s">
        <v>297</v>
      </c>
      <c r="D49" s="7" t="s">
        <v>409</v>
      </c>
      <c r="E49" t="s">
        <v>410</v>
      </c>
      <c r="F49"/>
      <c r="G49">
        <v>44106</v>
      </c>
      <c r="H49" s="12" t="s">
        <v>291</v>
      </c>
      <c r="I49" s="2" t="str">
        <f t="shared" si="1"/>
        <v>N/A</v>
      </c>
      <c r="J49">
        <v>36</v>
      </c>
      <c r="K49" t="s">
        <v>40</v>
      </c>
      <c r="L49" t="s">
        <v>40</v>
      </c>
      <c r="M49" s="9" t="s">
        <v>44</v>
      </c>
      <c r="N49"/>
      <c r="O49"/>
      <c r="P49" t="s">
        <v>44</v>
      </c>
      <c r="Q49"/>
      <c r="R49" t="s">
        <v>20</v>
      </c>
      <c r="S49" t="s">
        <v>20</v>
      </c>
      <c r="T49"/>
      <c r="U49" t="s">
        <v>40</v>
      </c>
      <c r="V49" t="s">
        <v>44</v>
      </c>
      <c r="W49"/>
      <c r="X49" s="7">
        <f t="shared" si="3"/>
        <v>2211</v>
      </c>
      <c r="Y49" t="s">
        <v>410</v>
      </c>
      <c r="Z49" t="s">
        <v>410</v>
      </c>
      <c r="AA49" t="s">
        <v>410</v>
      </c>
      <c r="AB49" t="s">
        <v>20</v>
      </c>
      <c r="AC49" t="s">
        <v>20</v>
      </c>
      <c r="AD49"/>
      <c r="AE49"/>
      <c r="AF49"/>
      <c r="AG49"/>
      <c r="AH49"/>
      <c r="AI49"/>
      <c r="AJ49"/>
      <c r="AK49"/>
      <c r="AL49"/>
    </row>
    <row r="50" spans="1:44">
      <c r="A50"/>
      <c r="B50" s="156"/>
      <c r="C50" s="7" t="s">
        <v>297</v>
      </c>
      <c r="D50" s="7" t="s">
        <v>419</v>
      </c>
      <c r="E50"/>
      <c r="F50"/>
      <c r="G50">
        <v>44146</v>
      </c>
      <c r="H50" s="12" t="s">
        <v>291</v>
      </c>
      <c r="I50" s="2" t="str">
        <f t="shared" si="1"/>
        <v>N/A</v>
      </c>
      <c r="J50" t="s">
        <v>40</v>
      </c>
      <c r="K50" t="s">
        <v>40</v>
      </c>
      <c r="L50" t="s">
        <v>44</v>
      </c>
      <c r="M50" t="s">
        <v>44</v>
      </c>
      <c r="N50"/>
      <c r="O50"/>
      <c r="P50" t="s">
        <v>20</v>
      </c>
      <c r="Q50"/>
      <c r="R50" t="s">
        <v>20</v>
      </c>
      <c r="S50" t="s">
        <v>20</v>
      </c>
      <c r="T50"/>
      <c r="U50" t="s">
        <v>44</v>
      </c>
      <c r="V50" t="s">
        <v>20</v>
      </c>
      <c r="W50"/>
      <c r="X50" s="7">
        <f t="shared" si="3"/>
        <v>2212</v>
      </c>
      <c r="Y50"/>
      <c r="Z50"/>
      <c r="AA50"/>
      <c r="AB50" t="s">
        <v>20</v>
      </c>
      <c r="AC50" t="s">
        <v>40</v>
      </c>
      <c r="AD50"/>
      <c r="AE50"/>
      <c r="AF50"/>
      <c r="AG50"/>
      <c r="AH50"/>
      <c r="AI50"/>
      <c r="AJ50"/>
      <c r="AK50"/>
      <c r="AL50"/>
    </row>
    <row r="51" spans="1:44">
      <c r="A51"/>
      <c r="B51" s="156"/>
      <c r="C51" s="7" t="s">
        <v>297</v>
      </c>
      <c r="D51" s="7" t="s">
        <v>386</v>
      </c>
      <c r="E51" t="s">
        <v>387</v>
      </c>
      <c r="F51" t="s">
        <v>388</v>
      </c>
      <c r="G51">
        <v>44143</v>
      </c>
      <c r="H51" s="12" t="s">
        <v>291</v>
      </c>
      <c r="I51" s="2" t="str">
        <f t="shared" si="1"/>
        <v>N/A</v>
      </c>
      <c r="J51" s="370" t="s">
        <v>464</v>
      </c>
      <c r="K51" t="s">
        <v>40</v>
      </c>
      <c r="L51" t="s">
        <v>40</v>
      </c>
      <c r="M51" t="s">
        <v>44</v>
      </c>
      <c r="N51"/>
      <c r="O51"/>
      <c r="P51" t="s">
        <v>44</v>
      </c>
      <c r="Q51"/>
      <c r="R51" t="s">
        <v>20</v>
      </c>
      <c r="S51" t="s">
        <v>20</v>
      </c>
      <c r="T51"/>
      <c r="U51" t="s">
        <v>44</v>
      </c>
      <c r="V51" t="s">
        <v>44</v>
      </c>
      <c r="W51"/>
      <c r="X51" s="7">
        <f t="shared" si="3"/>
        <v>2213</v>
      </c>
      <c r="Y51" t="s">
        <v>387</v>
      </c>
      <c r="Z51" t="s">
        <v>387</v>
      </c>
      <c r="AA51" t="s">
        <v>387</v>
      </c>
      <c r="AB51" t="s">
        <v>20</v>
      </c>
      <c r="AC51" t="s">
        <v>20</v>
      </c>
    </row>
    <row r="52" spans="1:44">
      <c r="B52" s="297"/>
      <c r="C52" s="341" t="s">
        <v>294</v>
      </c>
      <c r="D52" s="321" t="s">
        <v>574</v>
      </c>
      <c r="E52" s="308" t="s">
        <v>575</v>
      </c>
      <c r="G52" s="9"/>
      <c r="H52" s="295" t="s">
        <v>392</v>
      </c>
      <c r="I52" s="2" t="str">
        <f t="shared" si="1"/>
        <v>N/A</v>
      </c>
      <c r="K52" s="298"/>
      <c r="L52" s="298"/>
      <c r="M52" s="9" t="s">
        <v>44</v>
      </c>
      <c r="P52" s="9"/>
      <c r="R52" s="9" t="e">
        <f>IF(#REF!="RFG","OPEN","N/A")</f>
        <v>#REF!</v>
      </c>
      <c r="S52" s="9"/>
      <c r="U52" s="9" t="e">
        <f>IF(#REF!=1,"N/A","OPEN")</f>
        <v>#REF!</v>
      </c>
      <c r="V52" s="9"/>
      <c r="X52" s="9" t="e">
        <f>1+DONE!Y53</f>
        <v>#REF!</v>
      </c>
      <c r="AA52" s="308" t="s">
        <v>576</v>
      </c>
      <c r="AB52" s="9"/>
      <c r="AC52" s="2" t="e">
        <f>#REF!</f>
        <v>#REF!</v>
      </c>
      <c r="AD52"/>
      <c r="AE52"/>
      <c r="AF52"/>
      <c r="AG52"/>
      <c r="AH52"/>
      <c r="AI52"/>
      <c r="AJ52"/>
      <c r="AK52"/>
      <c r="AL52"/>
    </row>
    <row r="53" spans="1:44">
      <c r="A53"/>
      <c r="B53" s="156"/>
      <c r="C53" s="9" t="s">
        <v>294</v>
      </c>
      <c r="D53" s="7" t="s">
        <v>399</v>
      </c>
      <c r="E53" t="s">
        <v>486</v>
      </c>
      <c r="F53" t="s">
        <v>379</v>
      </c>
      <c r="G53">
        <v>44128</v>
      </c>
      <c r="H53" s="12" t="s">
        <v>392</v>
      </c>
      <c r="I53" s="2" t="str">
        <f t="shared" si="1"/>
        <v>N/A</v>
      </c>
      <c r="J53"/>
      <c r="K53" s="279"/>
      <c r="L53" s="279">
        <v>0</v>
      </c>
      <c r="M53" s="9" t="s">
        <v>530</v>
      </c>
      <c r="N53" s="281"/>
      <c r="O53" s="281"/>
      <c r="P53" s="7"/>
      <c r="Q53"/>
      <c r="R53" s="7" t="str">
        <f>IF(H53="RFG","OPEN","N/A")</f>
        <v>N/A</v>
      </c>
      <c r="S53" s="7" t="e">
        <f>#REF!</f>
        <v>#REF!</v>
      </c>
      <c r="T53"/>
      <c r="U53" s="7" t="str">
        <f>IF(L53=1,"N/A","OPEN")</f>
        <v>OPEN</v>
      </c>
      <c r="V53" t="s">
        <v>44</v>
      </c>
      <c r="W53" t="s">
        <v>44</v>
      </c>
      <c r="X53" t="e">
        <f>1+X52</f>
        <v>#REF!</v>
      </c>
      <c r="Y53" t="s">
        <v>486</v>
      </c>
      <c r="Z53" t="s">
        <v>486</v>
      </c>
      <c r="AA53" t="s">
        <v>486</v>
      </c>
      <c r="AB53" t="str">
        <f>IF(H53="RFG","OPEN","N/A")</f>
        <v>N/A</v>
      </c>
      <c r="AC53" s="7" t="e">
        <f>#REF!</f>
        <v>#REF!</v>
      </c>
      <c r="AD53"/>
      <c r="AE53"/>
      <c r="AF53"/>
      <c r="AG53"/>
      <c r="AH53"/>
      <c r="AI53"/>
      <c r="AJ53"/>
      <c r="AK53"/>
      <c r="AL53"/>
    </row>
    <row r="54" spans="1:44">
      <c r="A54"/>
      <c r="B54" s="156"/>
      <c r="C54" s="9" t="s">
        <v>294</v>
      </c>
      <c r="D54" s="7" t="s">
        <v>3</v>
      </c>
      <c r="E54" t="s">
        <v>295</v>
      </c>
      <c r="F54"/>
      <c r="G54">
        <v>44146</v>
      </c>
      <c r="H54" s="12" t="s">
        <v>296</v>
      </c>
      <c r="I54" s="2" t="str">
        <f t="shared" si="1"/>
        <v>OPEN</v>
      </c>
      <c r="J54"/>
      <c r="K54" s="279"/>
      <c r="L54" s="279" t="s">
        <v>44</v>
      </c>
      <c r="M54" s="9" t="s">
        <v>44</v>
      </c>
      <c r="N54" s="281"/>
      <c r="O54" s="281"/>
      <c r="P54" s="7"/>
      <c r="Q54"/>
      <c r="R54" s="7" t="str">
        <f>IF(H54="RFG","OPEN","N/A")</f>
        <v>OPEN</v>
      </c>
      <c r="S54" s="7" t="e">
        <f>#REF!</f>
        <v>#REF!</v>
      </c>
      <c r="T54"/>
      <c r="U54" s="7" t="str">
        <f>IF(L54=1,"N/A","OPEN")</f>
        <v>OPEN</v>
      </c>
      <c r="V54" t="s">
        <v>44</v>
      </c>
      <c r="W54" t="s">
        <v>44</v>
      </c>
      <c r="X54" t="e">
        <f>1+#REF!</f>
        <v>#REF!</v>
      </c>
      <c r="Y54" t="s">
        <v>295</v>
      </c>
      <c r="Z54" t="s">
        <v>295</v>
      </c>
      <c r="AA54" t="s">
        <v>295</v>
      </c>
      <c r="AB54" t="str">
        <f>IF(H54="RFG","OPEN","N/A")</f>
        <v>OPEN</v>
      </c>
      <c r="AC54" s="7" t="e">
        <f>#REF!</f>
        <v>#REF!</v>
      </c>
      <c r="AD54" s="326"/>
      <c r="AE54" s="326"/>
      <c r="AF54" s="326"/>
      <c r="AG54" s="326"/>
      <c r="AH54" s="326"/>
      <c r="AI54" s="326"/>
      <c r="AJ54" s="326"/>
      <c r="AK54" s="326"/>
      <c r="AL54" s="326"/>
      <c r="AM54" s="326"/>
      <c r="AN54" s="326"/>
      <c r="AO54" s="326"/>
      <c r="AP54" s="326"/>
      <c r="AQ54" s="326"/>
      <c r="AR54" s="326"/>
    </row>
    <row r="55" spans="1:44">
      <c r="A55" s="326"/>
      <c r="B55" s="327"/>
      <c r="C55" s="328" t="s">
        <v>294</v>
      </c>
      <c r="D55" s="329" t="s">
        <v>577</v>
      </c>
      <c r="E55" s="330" t="s">
        <v>578</v>
      </c>
      <c r="F55" s="326" t="s">
        <v>579</v>
      </c>
      <c r="G55" s="331"/>
      <c r="H55" s="332" t="s">
        <v>296</v>
      </c>
      <c r="I55" s="370" t="s">
        <v>464</v>
      </c>
      <c r="J55" s="326"/>
      <c r="K55" s="333"/>
      <c r="L55" s="333"/>
      <c r="M55" s="9" t="s">
        <v>44</v>
      </c>
      <c r="N55" s="326"/>
      <c r="O55" s="326"/>
      <c r="P55" s="331"/>
      <c r="Q55" s="326"/>
      <c r="R55" s="331" t="e">
        <f>IF(#REF!="RFG","OPEN","N/A")</f>
        <v>#REF!</v>
      </c>
      <c r="S55" s="331"/>
      <c r="T55" s="326"/>
      <c r="U55" s="331" t="e">
        <f>IF(#REF!=1,"N/A","OPEN")</f>
        <v>#REF!</v>
      </c>
      <c r="V55" s="331"/>
      <c r="W55" s="326"/>
      <c r="X55" s="331" t="e">
        <f>1+#REF!</f>
        <v>#REF!</v>
      </c>
      <c r="Y55" s="326"/>
      <c r="Z55" s="326"/>
      <c r="AA55" s="330" t="s">
        <v>580</v>
      </c>
      <c r="AB55" s="331"/>
      <c r="AC55" s="331"/>
    </row>
    <row r="56" spans="1:44">
      <c r="C56" s="341" t="s">
        <v>294</v>
      </c>
      <c r="D56" s="321" t="s">
        <v>417</v>
      </c>
      <c r="E56" s="368" t="s">
        <v>418</v>
      </c>
      <c r="H56" s="295" t="s">
        <v>296</v>
      </c>
      <c r="I56" s="370" t="s">
        <v>464</v>
      </c>
      <c r="M56" s="9" t="s">
        <v>44</v>
      </c>
      <c r="X56" t="e">
        <f>1+X55</f>
        <v>#REF!</v>
      </c>
      <c r="AA56" s="368" t="s">
        <v>418</v>
      </c>
    </row>
    <row r="57" spans="1:44">
      <c r="C57" s="341" t="s">
        <v>294</v>
      </c>
      <c r="D57" s="321" t="s">
        <v>369</v>
      </c>
      <c r="E57" s="306" t="s">
        <v>370</v>
      </c>
      <c r="H57" s="295" t="s">
        <v>296</v>
      </c>
      <c r="I57" s="2" t="str">
        <f t="shared" si="1"/>
        <v>OPEN</v>
      </c>
      <c r="M57" s="9" t="s">
        <v>44</v>
      </c>
      <c r="AA57" s="306" t="s">
        <v>370</v>
      </c>
      <c r="AD57"/>
      <c r="AE57"/>
      <c r="AF57"/>
      <c r="AG57"/>
      <c r="AH57"/>
      <c r="AI57"/>
      <c r="AJ57"/>
      <c r="AK57"/>
      <c r="AL57"/>
    </row>
    <row r="58" spans="1:44">
      <c r="A58"/>
      <c r="B58" s="156"/>
      <c r="C58" s="9" t="s">
        <v>294</v>
      </c>
      <c r="D58" s="322" t="s">
        <v>581</v>
      </c>
      <c r="E58" t="s">
        <v>582</v>
      </c>
      <c r="F58"/>
      <c r="G58"/>
      <c r="H58" s="12" t="s">
        <v>296</v>
      </c>
      <c r="I58" s="2" t="str">
        <f t="shared" si="1"/>
        <v>OPEN</v>
      </c>
      <c r="J58"/>
      <c r="K58" s="279"/>
      <c r="L58" s="279" t="s">
        <v>44</v>
      </c>
      <c r="M58" s="9" t="s">
        <v>44</v>
      </c>
      <c r="N58" s="281"/>
      <c r="O58" s="281"/>
      <c r="P58" s="7"/>
      <c r="Q58"/>
      <c r="R58" s="7" t="str">
        <f>IF(H58="RFG","OPEN","N/A")</f>
        <v>OPEN</v>
      </c>
      <c r="S58" s="7" t="e">
        <f>#REF!</f>
        <v>#REF!</v>
      </c>
      <c r="T58"/>
      <c r="U58" s="7" t="str">
        <f>IF(L58=1,"N/A","OPEN")</f>
        <v>OPEN</v>
      </c>
      <c r="V58" t="s">
        <v>44</v>
      </c>
      <c r="W58" t="s">
        <v>44</v>
      </c>
      <c r="X58">
        <f>1+X57</f>
        <v>1</v>
      </c>
      <c r="Y58"/>
      <c r="Z58"/>
      <c r="AA58" t="s">
        <v>582</v>
      </c>
      <c r="AB58" t="s">
        <v>44</v>
      </c>
      <c r="AC58" s="7" t="e">
        <f>#REF!</f>
        <v>#REF!</v>
      </c>
      <c r="AD58"/>
      <c r="AE58"/>
      <c r="AF58"/>
      <c r="AG58"/>
      <c r="AH58"/>
      <c r="AI58"/>
      <c r="AJ58"/>
      <c r="AK58"/>
      <c r="AL58"/>
    </row>
    <row r="59" spans="1:44">
      <c r="A59"/>
      <c r="B59" s="156"/>
      <c r="C59" s="9" t="s">
        <v>294</v>
      </c>
      <c r="D59" s="7" t="s">
        <v>414</v>
      </c>
      <c r="E59"/>
      <c r="F59"/>
      <c r="G59">
        <v>44146</v>
      </c>
      <c r="H59" s="12" t="s">
        <v>291</v>
      </c>
      <c r="I59" s="2" t="str">
        <f t="shared" si="1"/>
        <v>N/A</v>
      </c>
      <c r="J59" t="s">
        <v>40</v>
      </c>
      <c r="K59" t="s">
        <v>40</v>
      </c>
      <c r="L59" t="s">
        <v>44</v>
      </c>
      <c r="M59" s="9" t="s">
        <v>44</v>
      </c>
      <c r="N59"/>
      <c r="O59"/>
      <c r="P59" t="s">
        <v>44</v>
      </c>
      <c r="Q59"/>
      <c r="R59" t="s">
        <v>44</v>
      </c>
      <c r="S59" t="s">
        <v>44</v>
      </c>
      <c r="T59"/>
      <c r="U59" t="s">
        <v>40</v>
      </c>
      <c r="V59" t="s">
        <v>44</v>
      </c>
      <c r="W59"/>
      <c r="X59" s="7">
        <f>1+X58</f>
        <v>2</v>
      </c>
      <c r="Y59"/>
      <c r="Z59"/>
      <c r="AA59"/>
      <c r="AB59" t="s">
        <v>44</v>
      </c>
      <c r="AC59" t="s">
        <v>20</v>
      </c>
    </row>
    <row r="60" spans="1:44">
      <c r="C60" s="328" t="s">
        <v>294</v>
      </c>
      <c r="D60" s="7" t="s">
        <v>319</v>
      </c>
      <c r="E60" s="319" t="s">
        <v>320</v>
      </c>
      <c r="H60" s="295" t="s">
        <v>291</v>
      </c>
      <c r="I60" s="2" t="str">
        <f t="shared" si="1"/>
        <v>N/A</v>
      </c>
      <c r="M60" s="9" t="s">
        <v>44</v>
      </c>
      <c r="AA60" s="319" t="s">
        <v>583</v>
      </c>
    </row>
    <row r="61" spans="1:44">
      <c r="C61" s="341" t="s">
        <v>294</v>
      </c>
      <c r="D61" s="321" t="s">
        <v>321</v>
      </c>
      <c r="E61" s="313" t="s">
        <v>322</v>
      </c>
      <c r="H61" s="295" t="s">
        <v>291</v>
      </c>
      <c r="I61" s="2" t="str">
        <f t="shared" si="1"/>
        <v>N/A</v>
      </c>
      <c r="M61" s="9" t="s">
        <v>44</v>
      </c>
      <c r="X61">
        <f>1+X60</f>
        <v>1</v>
      </c>
      <c r="AA61" s="313" t="s">
        <v>584</v>
      </c>
    </row>
    <row r="62" spans="1:44">
      <c r="B62" s="297"/>
      <c r="C62" s="341" t="s">
        <v>294</v>
      </c>
      <c r="D62" s="321" t="s">
        <v>341</v>
      </c>
      <c r="E62" s="309" t="s">
        <v>342</v>
      </c>
      <c r="G62" s="9"/>
      <c r="H62" s="295" t="s">
        <v>291</v>
      </c>
      <c r="I62" s="2" t="str">
        <f t="shared" si="1"/>
        <v>N/A</v>
      </c>
      <c r="K62" s="298"/>
      <c r="L62" s="298"/>
      <c r="M62" s="9" t="s">
        <v>44</v>
      </c>
      <c r="P62" s="9"/>
      <c r="R62" s="9"/>
      <c r="S62" s="9"/>
      <c r="U62" s="9"/>
      <c r="V62" s="9"/>
      <c r="X62" s="9">
        <f>1+X61</f>
        <v>2</v>
      </c>
      <c r="AA62" s="309" t="s">
        <v>585</v>
      </c>
      <c r="AB62" s="9"/>
      <c r="AD62"/>
      <c r="AE62"/>
      <c r="AF62"/>
      <c r="AG62"/>
      <c r="AH62"/>
      <c r="AI62"/>
      <c r="AJ62"/>
      <c r="AK62"/>
      <c r="AL62"/>
    </row>
    <row r="63" spans="1:44">
      <c r="A63"/>
      <c r="B63" s="156"/>
      <c r="C63" s="9" t="s">
        <v>294</v>
      </c>
      <c r="D63" s="322" t="s">
        <v>428</v>
      </c>
      <c r="E63" t="s">
        <v>429</v>
      </c>
      <c r="F63"/>
      <c r="G63"/>
      <c r="H63" s="12" t="s">
        <v>291</v>
      </c>
      <c r="I63" s="2" t="str">
        <f t="shared" si="1"/>
        <v>N/A</v>
      </c>
      <c r="J63"/>
      <c r="K63" s="279"/>
      <c r="L63" s="279" t="s">
        <v>44</v>
      </c>
      <c r="M63" s="9" t="s">
        <v>44</v>
      </c>
      <c r="N63" s="281"/>
      <c r="O63" s="281"/>
      <c r="P63" s="7"/>
      <c r="Q63"/>
      <c r="R63" s="7" t="str">
        <f>IF(H63="RFG","OPEN","N/A")</f>
        <v>N/A</v>
      </c>
      <c r="S63" s="7" t="e">
        <f>#REF!</f>
        <v>#REF!</v>
      </c>
      <c r="T63"/>
      <c r="U63" s="7" t="str">
        <f>IF(L63=1,"N/A","OPEN")</f>
        <v>OPEN</v>
      </c>
      <c r="V63" t="s">
        <v>44</v>
      </c>
      <c r="W63" t="s">
        <v>44</v>
      </c>
      <c r="X63" t="e">
        <f>1+DONE!Y55</f>
        <v>#REF!</v>
      </c>
      <c r="Y63"/>
      <c r="Z63"/>
      <c r="AA63"/>
      <c r="AB63" t="s">
        <v>44</v>
      </c>
      <c r="AC63" s="7" t="e">
        <f>#REF!</f>
        <v>#REF!</v>
      </c>
      <c r="AD63"/>
      <c r="AE63"/>
      <c r="AF63"/>
      <c r="AG63"/>
      <c r="AH63"/>
      <c r="AI63"/>
      <c r="AJ63"/>
      <c r="AK63"/>
      <c r="AL63"/>
    </row>
    <row r="64" spans="1:44">
      <c r="A64"/>
      <c r="B64" s="156"/>
      <c r="C64" s="9" t="s">
        <v>294</v>
      </c>
      <c r="D64" s="7" t="s">
        <v>399</v>
      </c>
      <c r="E64" t="s">
        <v>400</v>
      </c>
      <c r="F64" t="s">
        <v>379</v>
      </c>
      <c r="G64">
        <v>44128</v>
      </c>
      <c r="H64" s="12" t="s">
        <v>291</v>
      </c>
      <c r="I64" s="2" t="str">
        <f t="shared" si="1"/>
        <v>N/A</v>
      </c>
      <c r="J64" t="s">
        <v>40</v>
      </c>
      <c r="K64" t="s">
        <v>40</v>
      </c>
      <c r="L64" t="s">
        <v>40</v>
      </c>
      <c r="M64" s="9" t="s">
        <v>44</v>
      </c>
      <c r="N64"/>
      <c r="O64"/>
      <c r="P64" t="s">
        <v>44</v>
      </c>
      <c r="Q64"/>
      <c r="R64" t="s">
        <v>20</v>
      </c>
      <c r="S64" t="s">
        <v>20</v>
      </c>
      <c r="T64"/>
      <c r="U64" t="s">
        <v>40</v>
      </c>
      <c r="V64" t="s">
        <v>44</v>
      </c>
      <c r="W64"/>
      <c r="X64" s="7" t="e">
        <f>1+X63</f>
        <v>#REF!</v>
      </c>
      <c r="Y64" t="s">
        <v>400</v>
      </c>
      <c r="Z64" t="s">
        <v>400</v>
      </c>
      <c r="AA64" t="s">
        <v>400</v>
      </c>
      <c r="AB64" t="s">
        <v>20</v>
      </c>
      <c r="AC64" t="s">
        <v>20</v>
      </c>
    </row>
    <row r="65" spans="1:38">
      <c r="C65" s="415" t="s">
        <v>586</v>
      </c>
      <c r="H65" s="295" t="s">
        <v>454</v>
      </c>
      <c r="I65" s="2" t="str">
        <f t="shared" si="1"/>
        <v>N/A</v>
      </c>
      <c r="M65" s="9" t="s">
        <v>44</v>
      </c>
      <c r="AD65" s="284"/>
      <c r="AE65" s="284"/>
      <c r="AF65" s="284"/>
      <c r="AG65" s="284"/>
      <c r="AH65" s="284"/>
      <c r="AI65" s="284"/>
      <c r="AJ65" s="284"/>
      <c r="AK65" s="284"/>
      <c r="AL65" s="284"/>
    </row>
    <row r="66" spans="1:38">
      <c r="C66" s="415" t="s">
        <v>586</v>
      </c>
      <c r="D66" s="321" t="s">
        <v>367</v>
      </c>
      <c r="E66" s="311" t="s">
        <v>368</v>
      </c>
      <c r="H66" s="295" t="s">
        <v>291</v>
      </c>
      <c r="I66" s="2" t="str">
        <f t="shared" si="1"/>
        <v>N/A</v>
      </c>
      <c r="M66" s="9" t="s">
        <v>44</v>
      </c>
      <c r="X66">
        <f>1+X65</f>
        <v>1</v>
      </c>
      <c r="AA66" s="311" t="s">
        <v>368</v>
      </c>
    </row>
    <row r="67" spans="1:38" ht="18">
      <c r="A67" s="282"/>
      <c r="B67" s="283"/>
      <c r="C67" s="286"/>
      <c r="D67" s="324">
        <v>2023</v>
      </c>
      <c r="E67" s="285" t="s">
        <v>587</v>
      </c>
      <c r="F67" s="285"/>
      <c r="G67" s="285"/>
      <c r="H67" s="287"/>
      <c r="I67" s="288"/>
      <c r="J67" s="288"/>
      <c r="K67" s="288"/>
      <c r="L67" s="288"/>
      <c r="M67" s="9" t="s">
        <v>44</v>
      </c>
      <c r="N67" s="288"/>
      <c r="O67" s="288"/>
      <c r="P67" s="288"/>
      <c r="Q67" s="288"/>
      <c r="R67" s="289"/>
      <c r="S67" s="288"/>
      <c r="T67" s="288"/>
      <c r="U67" s="289"/>
      <c r="V67" s="288"/>
      <c r="W67" s="288"/>
      <c r="X67" t="e">
        <f>1+#REF!</f>
        <v>#REF!</v>
      </c>
      <c r="Y67" s="282"/>
      <c r="Z67" s="284"/>
      <c r="AA67" s="285"/>
      <c r="AB67" s="288"/>
      <c r="AC67" s="288"/>
    </row>
    <row r="68" spans="1:38">
      <c r="B68" s="297"/>
      <c r="C68" s="21"/>
      <c r="E68" s="307"/>
      <c r="G68" s="9"/>
      <c r="K68" s="298"/>
      <c r="L68" s="298"/>
      <c r="M68" s="299"/>
      <c r="P68" s="9"/>
      <c r="R68" s="9" t="e">
        <f>IF(#REF!="RFG","OPEN","N/A")</f>
        <v>#REF!</v>
      </c>
      <c r="S68" s="9"/>
      <c r="U68" s="9" t="e">
        <f>IF(#REF!=1,"N/A","OPEN")</f>
        <v>#REF!</v>
      </c>
      <c r="V68" s="9"/>
      <c r="X68" s="9" t="e">
        <f>1+#REF!</f>
        <v>#REF!</v>
      </c>
      <c r="AA68" s="307" t="s">
        <v>588</v>
      </c>
      <c r="AB68" s="9"/>
      <c r="AC68" s="2" t="e">
        <f>#REF!</f>
        <v>#REF!</v>
      </c>
    </row>
  </sheetData>
  <sortState xmlns:xlrd2="http://schemas.microsoft.com/office/spreadsheetml/2017/richdata2" ref="A2:AR69">
    <sortCondition ref="C2:C69"/>
    <sortCondition ref="H2:H69"/>
    <sortCondition ref="D2:D69"/>
  </sortState>
  <printOptions gridLines="1"/>
  <pageMargins left="0.25" right="0.18" top="0.22" bottom="0.37" header="0.17" footer="0.17"/>
  <pageSetup fitToWidth="0" fitToHeight="0" orientation="landscape" r:id="rId1"/>
  <headerFooter>
    <oddFooter>&amp;L&amp;D &amp;T&amp;C&amp;A&amp;R&amp;F</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BD45F-0267-4D7D-AE1F-B72740685F8A}">
  <dimension ref="A1:AG52"/>
  <sheetViews>
    <sheetView zoomScaleNormal="100" workbookViewId="0">
      <pane ySplit="2" topLeftCell="A3" activePane="bottomLeft" state="frozen"/>
      <selection pane="bottomLeft" activeCell="A3" sqref="A3"/>
      <selection activeCell="A69" sqref="A49:A69"/>
    </sheetView>
  </sheetViews>
  <sheetFormatPr defaultRowHeight="15.6"/>
  <cols>
    <col min="1" max="1" width="3.28515625" customWidth="1"/>
    <col min="2" max="2" width="6.7109375" style="156" customWidth="1"/>
    <col min="3" max="3" width="2.140625" customWidth="1"/>
    <col min="4" max="4" width="11.7109375" style="2" customWidth="1"/>
    <col min="5" max="5" width="12" customWidth="1"/>
    <col min="6" max="6" width="4.28515625" customWidth="1"/>
    <col min="7" max="8" width="6.140625" customWidth="1"/>
    <col min="9" max="12" width="4.7109375" customWidth="1"/>
    <col min="13" max="13" width="4.7109375" style="1" customWidth="1"/>
    <col min="14" max="23" width="4.7109375" customWidth="1"/>
    <col min="24" max="24" width="9.5703125" bestFit="1" customWidth="1"/>
  </cols>
  <sheetData>
    <row r="1" spans="1:23" s="18" customFormat="1" ht="12" customHeight="1">
      <c r="B1" s="161">
        <v>22</v>
      </c>
      <c r="D1" s="145"/>
      <c r="I1" s="139"/>
      <c r="M1" s="137"/>
      <c r="R1" s="464" t="s">
        <v>589</v>
      </c>
      <c r="S1" s="464"/>
      <c r="T1" s="464"/>
      <c r="U1" s="464"/>
      <c r="V1" s="464"/>
      <c r="W1" s="464"/>
    </row>
    <row r="2" spans="1:23" s="139" customFormat="1" ht="22.15" customHeight="1">
      <c r="A2" s="138" t="s">
        <v>511</v>
      </c>
      <c r="B2" s="160" t="s">
        <v>268</v>
      </c>
      <c r="C2" s="140" t="s">
        <v>269</v>
      </c>
      <c r="D2" s="146" t="s">
        <v>270</v>
      </c>
      <c r="E2" s="139" t="s">
        <v>271</v>
      </c>
      <c r="F2" s="139" t="s">
        <v>272</v>
      </c>
      <c r="G2" s="139" t="s">
        <v>273</v>
      </c>
      <c r="H2" s="139" t="s">
        <v>274</v>
      </c>
      <c r="I2" s="141" t="s">
        <v>526</v>
      </c>
      <c r="J2" s="141" t="s">
        <v>296</v>
      </c>
      <c r="K2" s="141" t="s">
        <v>527</v>
      </c>
      <c r="L2" s="141" t="s">
        <v>512</v>
      </c>
      <c r="M2" s="141" t="s">
        <v>513</v>
      </c>
      <c r="N2" s="142" t="s">
        <v>46</v>
      </c>
      <c r="O2" s="142" t="s">
        <v>514</v>
      </c>
      <c r="P2" s="142" t="s">
        <v>515</v>
      </c>
      <c r="Q2" s="143" t="s">
        <v>517</v>
      </c>
      <c r="R2" s="144" t="s">
        <v>513</v>
      </c>
      <c r="S2" s="144" t="s">
        <v>296</v>
      </c>
      <c r="T2" s="144" t="s">
        <v>527</v>
      </c>
      <c r="U2" s="144" t="s">
        <v>512</v>
      </c>
      <c r="V2" s="144" t="s">
        <v>46</v>
      </c>
      <c r="W2" s="144" t="s">
        <v>517</v>
      </c>
    </row>
    <row r="3" spans="1:23" ht="22.15" customHeight="1">
      <c r="B3" s="156">
        <v>44254</v>
      </c>
      <c r="C3" s="7" t="s">
        <v>297</v>
      </c>
      <c r="D3" s="2" t="s">
        <v>590</v>
      </c>
      <c r="E3" t="s">
        <v>591</v>
      </c>
      <c r="F3" t="s">
        <v>364</v>
      </c>
      <c r="G3">
        <v>44128</v>
      </c>
      <c r="H3" t="s">
        <v>291</v>
      </c>
      <c r="I3" t="s">
        <v>20</v>
      </c>
      <c r="J3" t="s">
        <v>20</v>
      </c>
      <c r="K3" t="s">
        <v>20</v>
      </c>
      <c r="L3">
        <v>155</v>
      </c>
      <c r="M3" s="1" t="s">
        <v>20</v>
      </c>
      <c r="N3" t="s">
        <v>20</v>
      </c>
      <c r="O3" t="s">
        <v>20</v>
      </c>
      <c r="Q3" s="7" t="s">
        <v>20</v>
      </c>
      <c r="R3" t="s">
        <v>20</v>
      </c>
      <c r="S3" t="s">
        <v>20</v>
      </c>
      <c r="T3" t="s">
        <v>20</v>
      </c>
      <c r="U3">
        <v>155</v>
      </c>
      <c r="V3" t="s">
        <v>20</v>
      </c>
      <c r="W3" t="s">
        <v>43</v>
      </c>
    </row>
    <row r="4" spans="1:23" ht="22.15" customHeight="1">
      <c r="B4" s="156">
        <v>44496</v>
      </c>
      <c r="C4" t="s">
        <v>432</v>
      </c>
      <c r="D4" s="9" t="s">
        <v>562</v>
      </c>
      <c r="E4" t="s">
        <v>434</v>
      </c>
      <c r="F4" t="s">
        <v>435</v>
      </c>
      <c r="G4">
        <v>44120</v>
      </c>
      <c r="H4" t="s">
        <v>296</v>
      </c>
      <c r="J4" t="s">
        <v>40</v>
      </c>
      <c r="K4" t="s">
        <v>20</v>
      </c>
      <c r="L4" t="s">
        <v>40</v>
      </c>
      <c r="M4" s="1" t="s">
        <v>40</v>
      </c>
      <c r="N4" t="s">
        <v>40</v>
      </c>
      <c r="O4" t="s">
        <v>20</v>
      </c>
      <c r="Q4" s="7" t="s">
        <v>20</v>
      </c>
      <c r="T4" t="s">
        <v>20</v>
      </c>
      <c r="V4" t="s">
        <v>20</v>
      </c>
      <c r="W4" t="s">
        <v>43</v>
      </c>
    </row>
    <row r="5" spans="1:23" ht="22.15" customHeight="1">
      <c r="B5" s="156">
        <v>44842</v>
      </c>
      <c r="C5" s="7" t="s">
        <v>297</v>
      </c>
      <c r="D5" s="9" t="s">
        <v>469</v>
      </c>
      <c r="E5" t="s">
        <v>470</v>
      </c>
      <c r="F5" s="7" t="s">
        <v>471</v>
      </c>
      <c r="G5" s="7">
        <v>44105</v>
      </c>
      <c r="H5" s="7" t="s">
        <v>296</v>
      </c>
      <c r="I5" s="12" t="s">
        <v>40</v>
      </c>
      <c r="J5" s="12">
        <v>25</v>
      </c>
      <c r="K5" s="12">
        <v>45</v>
      </c>
      <c r="L5" s="12">
        <v>32</v>
      </c>
      <c r="M5" s="16" t="s">
        <v>40</v>
      </c>
      <c r="N5" s="12" t="s">
        <v>20</v>
      </c>
      <c r="O5" s="12" t="s">
        <v>20</v>
      </c>
      <c r="P5" s="12"/>
      <c r="Q5" s="14" t="s">
        <v>20</v>
      </c>
      <c r="R5" s="12"/>
      <c r="S5" s="12"/>
      <c r="T5" s="12"/>
      <c r="U5" s="12"/>
      <c r="V5" s="12" t="s">
        <v>20</v>
      </c>
      <c r="W5" s="12"/>
    </row>
    <row r="6" spans="1:23" ht="22.15" customHeight="1">
      <c r="B6" s="156">
        <v>44807</v>
      </c>
      <c r="C6" s="7" t="s">
        <v>297</v>
      </c>
      <c r="D6" s="2" t="s">
        <v>426</v>
      </c>
      <c r="E6" t="s">
        <v>427</v>
      </c>
      <c r="F6" t="s">
        <v>364</v>
      </c>
      <c r="G6">
        <v>44120</v>
      </c>
      <c r="H6" t="s">
        <v>296</v>
      </c>
      <c r="I6">
        <v>9</v>
      </c>
      <c r="J6">
        <v>41</v>
      </c>
      <c r="L6" t="s">
        <v>40</v>
      </c>
      <c r="M6" s="1" t="s">
        <v>40</v>
      </c>
      <c r="N6" t="s">
        <v>40</v>
      </c>
      <c r="O6" t="s">
        <v>44</v>
      </c>
      <c r="Q6" s="7" t="s">
        <v>44</v>
      </c>
      <c r="V6" t="s">
        <v>44</v>
      </c>
    </row>
    <row r="7" spans="1:23" ht="22.15" customHeight="1">
      <c r="B7" s="156">
        <v>44828</v>
      </c>
      <c r="C7" s="7" t="s">
        <v>297</v>
      </c>
      <c r="D7" s="2" t="s">
        <v>298</v>
      </c>
      <c r="E7" t="s">
        <v>299</v>
      </c>
      <c r="F7" t="s">
        <v>300</v>
      </c>
      <c r="G7">
        <v>44105</v>
      </c>
      <c r="H7" t="s">
        <v>296</v>
      </c>
      <c r="J7" t="s">
        <v>40</v>
      </c>
      <c r="K7" t="s">
        <v>20</v>
      </c>
      <c r="L7" t="s">
        <v>40</v>
      </c>
      <c r="M7" s="1" t="s">
        <v>40</v>
      </c>
      <c r="N7" t="s">
        <v>40</v>
      </c>
      <c r="O7" t="s">
        <v>44</v>
      </c>
      <c r="Q7" s="7" t="s">
        <v>44</v>
      </c>
      <c r="V7" t="s">
        <v>44</v>
      </c>
    </row>
    <row r="8" spans="1:23" ht="22.15" customHeight="1">
      <c r="B8" s="156">
        <v>44828</v>
      </c>
      <c r="C8" t="s">
        <v>297</v>
      </c>
      <c r="D8" s="2" t="s">
        <v>396</v>
      </c>
      <c r="E8" t="s">
        <v>397</v>
      </c>
      <c r="F8" t="s">
        <v>398</v>
      </c>
      <c r="G8">
        <v>44118</v>
      </c>
      <c r="H8" t="s">
        <v>296</v>
      </c>
      <c r="J8" t="s">
        <v>40</v>
      </c>
      <c r="K8" t="s">
        <v>40</v>
      </c>
      <c r="L8">
        <v>29</v>
      </c>
      <c r="M8" s="1" t="s">
        <v>40</v>
      </c>
      <c r="N8" t="s">
        <v>40</v>
      </c>
      <c r="O8" t="s">
        <v>44</v>
      </c>
      <c r="Q8" s="7" t="s">
        <v>44</v>
      </c>
      <c r="V8" t="s">
        <v>44</v>
      </c>
    </row>
    <row r="9" spans="1:23" ht="22.15" customHeight="1">
      <c r="B9" s="156">
        <v>44846</v>
      </c>
      <c r="C9" s="7" t="s">
        <v>297</v>
      </c>
      <c r="D9" s="2" t="s">
        <v>592</v>
      </c>
      <c r="E9" t="s">
        <v>593</v>
      </c>
      <c r="F9" t="s">
        <v>364</v>
      </c>
      <c r="G9">
        <v>44120</v>
      </c>
      <c r="H9" t="s">
        <v>594</v>
      </c>
      <c r="J9" t="s">
        <v>20</v>
      </c>
      <c r="K9" t="s">
        <v>20</v>
      </c>
      <c r="L9">
        <v>181</v>
      </c>
      <c r="M9" s="1" t="s">
        <v>40</v>
      </c>
      <c r="N9" t="s">
        <v>20</v>
      </c>
      <c r="O9" t="s">
        <v>44</v>
      </c>
      <c r="Q9" s="7" t="s">
        <v>40</v>
      </c>
      <c r="V9" t="s">
        <v>44</v>
      </c>
    </row>
    <row r="10" spans="1:23" ht="22.15" customHeight="1">
      <c r="A10" s="7"/>
      <c r="B10" s="156">
        <v>44876</v>
      </c>
      <c r="C10" s="7" t="s">
        <v>297</v>
      </c>
      <c r="D10" s="9" t="s">
        <v>362</v>
      </c>
      <c r="E10" s="7" t="s">
        <v>363</v>
      </c>
      <c r="F10" s="7" t="s">
        <v>364</v>
      </c>
      <c r="G10" s="7">
        <v>44128</v>
      </c>
      <c r="H10" s="7" t="s">
        <v>365</v>
      </c>
      <c r="I10" s="7">
        <v>16</v>
      </c>
      <c r="J10" s="7" t="s">
        <v>40</v>
      </c>
      <c r="K10" t="s">
        <v>40</v>
      </c>
      <c r="L10" t="s">
        <v>40</v>
      </c>
      <c r="M10" s="1" t="s">
        <v>40</v>
      </c>
      <c r="N10">
        <v>11</v>
      </c>
      <c r="O10" t="s">
        <v>40</v>
      </c>
      <c r="Q10" s="7" t="s">
        <v>40</v>
      </c>
      <c r="V10" t="s">
        <v>40</v>
      </c>
    </row>
    <row r="11" spans="1:23" ht="22.15" customHeight="1">
      <c r="B11" s="156">
        <v>44895</v>
      </c>
      <c r="C11" s="7" t="s">
        <v>297</v>
      </c>
      <c r="D11" s="2" t="s">
        <v>570</v>
      </c>
      <c r="E11" t="s">
        <v>571</v>
      </c>
      <c r="F11" t="s">
        <v>485</v>
      </c>
      <c r="G11">
        <v>44146</v>
      </c>
      <c r="H11" t="s">
        <v>365</v>
      </c>
      <c r="I11">
        <v>8</v>
      </c>
      <c r="J11" t="s">
        <v>40</v>
      </c>
      <c r="K11" t="s">
        <v>40</v>
      </c>
      <c r="L11" t="s">
        <v>40</v>
      </c>
      <c r="M11" s="1" t="s">
        <v>40</v>
      </c>
      <c r="N11" t="s">
        <v>40</v>
      </c>
      <c r="O11" t="s">
        <v>40</v>
      </c>
      <c r="Q11" s="7" t="s">
        <v>44</v>
      </c>
      <c r="V11" t="s">
        <v>40</v>
      </c>
    </row>
    <row r="12" spans="1:23" ht="22.15" customHeight="1">
      <c r="B12" s="156">
        <v>44899</v>
      </c>
      <c r="C12" s="7" t="s">
        <v>297</v>
      </c>
      <c r="D12" s="2" t="s">
        <v>483</v>
      </c>
      <c r="E12" t="s">
        <v>484</v>
      </c>
      <c r="F12" t="s">
        <v>485</v>
      </c>
      <c r="G12">
        <v>44146</v>
      </c>
      <c r="H12" t="s">
        <v>296</v>
      </c>
      <c r="I12" t="s">
        <v>40</v>
      </c>
      <c r="J12" t="s">
        <v>40</v>
      </c>
      <c r="K12" t="s">
        <v>40</v>
      </c>
      <c r="L12">
        <v>21</v>
      </c>
      <c r="M12" s="1" t="s">
        <v>40</v>
      </c>
      <c r="N12" t="s">
        <v>20</v>
      </c>
      <c r="O12" t="s">
        <v>40</v>
      </c>
      <c r="Q12" s="7" t="s">
        <v>20</v>
      </c>
      <c r="V12" t="s">
        <v>40</v>
      </c>
    </row>
    <row r="13" spans="1:23" ht="22.15" customHeight="1">
      <c r="B13" s="156">
        <v>44918</v>
      </c>
      <c r="C13" s="7" t="s">
        <v>297</v>
      </c>
      <c r="D13" s="2" t="s">
        <v>401</v>
      </c>
      <c r="E13" t="s">
        <v>402</v>
      </c>
      <c r="F13" t="s">
        <v>388</v>
      </c>
      <c r="G13">
        <v>44143</v>
      </c>
      <c r="H13" t="s">
        <v>392</v>
      </c>
      <c r="I13" t="s">
        <v>20</v>
      </c>
      <c r="J13" t="s">
        <v>20</v>
      </c>
      <c r="K13" t="s">
        <v>20</v>
      </c>
      <c r="L13" t="s">
        <v>40</v>
      </c>
      <c r="M13" s="1" t="s">
        <v>40</v>
      </c>
      <c r="N13" t="s">
        <v>40</v>
      </c>
      <c r="O13" t="s">
        <v>40</v>
      </c>
      <c r="Q13" s="7" t="s">
        <v>40</v>
      </c>
      <c r="V13" t="s">
        <v>40</v>
      </c>
    </row>
    <row r="14" spans="1:23" ht="22.15" customHeight="1">
      <c r="B14" s="156">
        <v>44919</v>
      </c>
      <c r="C14" s="7" t="s">
        <v>297</v>
      </c>
      <c r="D14" s="151" t="s">
        <v>409</v>
      </c>
      <c r="E14" s="151" t="s">
        <v>410</v>
      </c>
      <c r="F14" s="19"/>
      <c r="G14">
        <v>44106</v>
      </c>
      <c r="H14" s="19" t="s">
        <v>291</v>
      </c>
      <c r="I14" t="s">
        <v>20</v>
      </c>
      <c r="J14" t="s">
        <v>20</v>
      </c>
      <c r="K14" t="s">
        <v>20</v>
      </c>
      <c r="L14">
        <v>36</v>
      </c>
      <c r="M14" s="1" t="s">
        <v>40</v>
      </c>
      <c r="N14" t="s">
        <v>40</v>
      </c>
      <c r="O14" t="s">
        <v>40</v>
      </c>
      <c r="Q14" s="7" t="s">
        <v>44</v>
      </c>
      <c r="V14" t="s">
        <v>40</v>
      </c>
    </row>
    <row r="15" spans="1:23" ht="22.15" customHeight="1">
      <c r="C15" s="7" t="s">
        <v>297</v>
      </c>
      <c r="D15" s="151" t="s">
        <v>415</v>
      </c>
      <c r="E15" s="151" t="s">
        <v>416</v>
      </c>
      <c r="F15" s="19"/>
      <c r="G15">
        <v>44146</v>
      </c>
      <c r="H15" s="19" t="s">
        <v>296</v>
      </c>
      <c r="I15" t="s">
        <v>44</v>
      </c>
      <c r="J15" t="s">
        <v>40</v>
      </c>
      <c r="K15">
        <v>19</v>
      </c>
      <c r="L15" t="s">
        <v>40</v>
      </c>
      <c r="M15" s="1" t="s">
        <v>40</v>
      </c>
      <c r="N15" t="s">
        <v>44</v>
      </c>
      <c r="O15" t="s">
        <v>44</v>
      </c>
      <c r="Q15" s="7" t="s">
        <v>44</v>
      </c>
      <c r="V15" t="s">
        <v>44</v>
      </c>
    </row>
    <row r="16" spans="1:23" ht="22.15" customHeight="1">
      <c r="C16" s="7" t="s">
        <v>297</v>
      </c>
      <c r="D16" s="151" t="s">
        <v>419</v>
      </c>
      <c r="E16" s="150"/>
      <c r="G16">
        <v>44146</v>
      </c>
      <c r="H16" t="s">
        <v>291</v>
      </c>
      <c r="I16" t="s">
        <v>20</v>
      </c>
      <c r="J16" t="s">
        <v>20</v>
      </c>
      <c r="K16" t="s">
        <v>40</v>
      </c>
      <c r="L16" t="s">
        <v>40</v>
      </c>
      <c r="M16" s="1" t="s">
        <v>40</v>
      </c>
      <c r="N16" t="s">
        <v>44</v>
      </c>
      <c r="O16" t="s">
        <v>44</v>
      </c>
      <c r="Q16" s="7" t="s">
        <v>20</v>
      </c>
      <c r="V16" t="s">
        <v>44</v>
      </c>
    </row>
    <row r="17" spans="1:33" ht="22.15" customHeight="1">
      <c r="C17" s="7" t="s">
        <v>297</v>
      </c>
      <c r="D17" s="151" t="s">
        <v>386</v>
      </c>
      <c r="E17" s="151" t="s">
        <v>387</v>
      </c>
      <c r="F17" s="151" t="s">
        <v>388</v>
      </c>
      <c r="G17">
        <v>44143</v>
      </c>
      <c r="H17" s="19" t="s">
        <v>291</v>
      </c>
      <c r="I17" s="151" t="s">
        <v>20</v>
      </c>
      <c r="J17" t="s">
        <v>20</v>
      </c>
      <c r="K17" t="s">
        <v>20</v>
      </c>
      <c r="L17" t="s">
        <v>40</v>
      </c>
      <c r="M17" s="1" t="s">
        <v>40</v>
      </c>
      <c r="N17" t="s">
        <v>40</v>
      </c>
      <c r="O17" t="s">
        <v>44</v>
      </c>
      <c r="Q17" s="7" t="s">
        <v>44</v>
      </c>
      <c r="V17" t="s">
        <v>44</v>
      </c>
    </row>
    <row r="18" spans="1:33" ht="22.15" customHeight="1">
      <c r="C18" s="7" t="s">
        <v>294</v>
      </c>
      <c r="D18" s="151" t="s">
        <v>399</v>
      </c>
      <c r="E18" s="151" t="s">
        <v>400</v>
      </c>
      <c r="F18" t="s">
        <v>379</v>
      </c>
      <c r="G18">
        <v>44128</v>
      </c>
      <c r="H18" t="s">
        <v>291</v>
      </c>
      <c r="I18" t="s">
        <v>20</v>
      </c>
      <c r="J18" t="s">
        <v>20</v>
      </c>
      <c r="K18" t="s">
        <v>20</v>
      </c>
      <c r="L18" t="s">
        <v>40</v>
      </c>
      <c r="M18" s="1" t="s">
        <v>40</v>
      </c>
      <c r="N18" t="s">
        <v>40</v>
      </c>
      <c r="O18" t="s">
        <v>40</v>
      </c>
      <c r="Q18" s="7" t="s">
        <v>44</v>
      </c>
      <c r="V18" t="s">
        <v>40</v>
      </c>
    </row>
    <row r="19" spans="1:33" ht="22.15" customHeight="1">
      <c r="C19" s="7" t="s">
        <v>294</v>
      </c>
      <c r="D19" s="152" t="s">
        <v>414</v>
      </c>
      <c r="E19" s="150"/>
      <c r="G19">
        <v>44146</v>
      </c>
      <c r="H19" t="s">
        <v>291</v>
      </c>
      <c r="I19" t="s">
        <v>44</v>
      </c>
      <c r="J19" t="s">
        <v>44</v>
      </c>
      <c r="K19" t="s">
        <v>20</v>
      </c>
      <c r="L19" t="s">
        <v>40</v>
      </c>
      <c r="M19" s="1" t="s">
        <v>40</v>
      </c>
      <c r="N19" t="s">
        <v>40</v>
      </c>
      <c r="O19" t="s">
        <v>40</v>
      </c>
      <c r="Q19" s="7" t="s">
        <v>44</v>
      </c>
      <c r="V19" t="s">
        <v>40</v>
      </c>
    </row>
    <row r="20" spans="1:33" ht="22.15" customHeight="1">
      <c r="C20" s="7" t="s">
        <v>294</v>
      </c>
      <c r="D20" s="151" t="s">
        <v>399</v>
      </c>
      <c r="E20" s="151" t="s">
        <v>486</v>
      </c>
      <c r="F20" t="s">
        <v>379</v>
      </c>
      <c r="G20">
        <v>44128</v>
      </c>
      <c r="H20" t="s">
        <v>392</v>
      </c>
      <c r="I20" t="s">
        <v>44</v>
      </c>
      <c r="J20" t="s">
        <v>44</v>
      </c>
      <c r="K20" t="s">
        <v>40</v>
      </c>
      <c r="L20" t="s">
        <v>40</v>
      </c>
      <c r="M20" s="1" t="s">
        <v>40</v>
      </c>
      <c r="N20" t="s">
        <v>44</v>
      </c>
      <c r="O20" t="s">
        <v>44</v>
      </c>
      <c r="Q20" s="7" t="s">
        <v>44</v>
      </c>
      <c r="V20" t="s">
        <v>44</v>
      </c>
    </row>
    <row r="21" spans="1:33" ht="22.15" customHeight="1">
      <c r="C21" s="7" t="s">
        <v>294</v>
      </c>
      <c r="D21" s="151" t="s">
        <v>3</v>
      </c>
      <c r="E21" s="151" t="s">
        <v>295</v>
      </c>
      <c r="G21">
        <v>44146</v>
      </c>
      <c r="H21" t="s">
        <v>296</v>
      </c>
      <c r="I21" t="s">
        <v>44</v>
      </c>
      <c r="J21" t="s">
        <v>40</v>
      </c>
      <c r="K21" t="s">
        <v>40</v>
      </c>
      <c r="L21" t="s">
        <v>40</v>
      </c>
      <c r="M21" s="1" t="s">
        <v>40</v>
      </c>
      <c r="N21" t="s">
        <v>40</v>
      </c>
      <c r="O21" t="s">
        <v>44</v>
      </c>
      <c r="Q21" s="7" t="s">
        <v>44</v>
      </c>
      <c r="V21" t="s">
        <v>44</v>
      </c>
    </row>
    <row r="22" spans="1:33" ht="22.15" customHeight="1"/>
    <row r="23" spans="1:33" ht="22.15" customHeight="1"/>
    <row r="24" spans="1:33" ht="22.15" customHeight="1"/>
    <row r="25" spans="1:33" ht="22.15" customHeight="1"/>
    <row r="27" spans="1:33" ht="12" customHeight="1">
      <c r="B27" s="157" t="s">
        <v>595</v>
      </c>
      <c r="R27" s="465" t="s">
        <v>589</v>
      </c>
      <c r="S27" s="465"/>
      <c r="T27" s="465"/>
      <c r="U27" s="465"/>
      <c r="V27" s="465"/>
      <c r="W27" s="465"/>
    </row>
    <row r="28" spans="1:33" s="130" customFormat="1" ht="22.15" customHeight="1">
      <c r="A28" s="129" t="s">
        <v>511</v>
      </c>
      <c r="B28" s="158" t="s">
        <v>268</v>
      </c>
      <c r="C28" s="131" t="s">
        <v>269</v>
      </c>
      <c r="D28" s="147" t="s">
        <v>270</v>
      </c>
      <c r="E28" s="130" t="s">
        <v>271</v>
      </c>
      <c r="F28" s="130" t="s">
        <v>272</v>
      </c>
      <c r="G28" s="130" t="s">
        <v>273</v>
      </c>
      <c r="H28" s="130" t="s">
        <v>274</v>
      </c>
      <c r="I28" s="132" t="s">
        <v>526</v>
      </c>
      <c r="J28" s="132" t="s">
        <v>296</v>
      </c>
      <c r="K28" s="132" t="s">
        <v>527</v>
      </c>
      <c r="L28" s="132" t="s">
        <v>512</v>
      </c>
      <c r="M28" s="132" t="s">
        <v>513</v>
      </c>
      <c r="N28" s="133" t="s">
        <v>46</v>
      </c>
      <c r="O28" s="133" t="s">
        <v>596</v>
      </c>
      <c r="P28" s="133"/>
      <c r="Q28" s="134" t="s">
        <v>517</v>
      </c>
      <c r="R28" s="135" t="s">
        <v>513</v>
      </c>
      <c r="S28" s="135" t="s">
        <v>296</v>
      </c>
      <c r="T28" s="135" t="s">
        <v>527</v>
      </c>
      <c r="U28" s="135" t="s">
        <v>512</v>
      </c>
      <c r="V28" s="136" t="s">
        <v>46</v>
      </c>
      <c r="W28" s="136" t="s">
        <v>517</v>
      </c>
    </row>
    <row r="29" spans="1:33" s="12" customFormat="1" ht="15" customHeight="1">
      <c r="A29" t="s">
        <v>44</v>
      </c>
      <c r="B29" s="156">
        <v>44665</v>
      </c>
      <c r="C29" t="s">
        <v>297</v>
      </c>
      <c r="D29" s="2" t="s">
        <v>597</v>
      </c>
      <c r="E29" t="s">
        <v>598</v>
      </c>
      <c r="F29"/>
      <c r="G29" t="s">
        <v>301</v>
      </c>
      <c r="H29" t="s">
        <v>599</v>
      </c>
      <c r="I29"/>
      <c r="J29"/>
      <c r="K29"/>
      <c r="L29"/>
      <c r="M29" s="1"/>
      <c r="N29"/>
      <c r="O29"/>
      <c r="P29"/>
      <c r="Q29"/>
      <c r="R29"/>
      <c r="S29"/>
      <c r="T29"/>
      <c r="U29"/>
      <c r="V29"/>
      <c r="W29"/>
      <c r="X29" s="15"/>
      <c r="Y29" s="15"/>
      <c r="Z29" s="15"/>
    </row>
    <row r="30" spans="1:33" ht="14.45" customHeight="1">
      <c r="A30" s="7" t="s">
        <v>44</v>
      </c>
      <c r="B30" s="159">
        <v>44794</v>
      </c>
      <c r="C30" s="7" t="s">
        <v>297</v>
      </c>
      <c r="D30" s="9" t="s">
        <v>600</v>
      </c>
      <c r="E30" s="7" t="s">
        <v>601</v>
      </c>
      <c r="F30" s="7" t="s">
        <v>602</v>
      </c>
      <c r="G30" s="7" t="s">
        <v>301</v>
      </c>
      <c r="H30" s="7"/>
      <c r="I30" s="12"/>
      <c r="J30" s="14" t="s">
        <v>20</v>
      </c>
      <c r="K30" s="14" t="s">
        <v>20</v>
      </c>
      <c r="L30" s="14" t="s">
        <v>20</v>
      </c>
      <c r="M30" s="17" t="s">
        <v>40</v>
      </c>
      <c r="N30" s="14" t="s">
        <v>20</v>
      </c>
      <c r="O30" s="14"/>
      <c r="P30" s="14"/>
      <c r="Q30" s="12"/>
      <c r="R30" s="12"/>
      <c r="S30" s="12"/>
      <c r="T30" s="12"/>
      <c r="U30" s="12"/>
      <c r="V30" s="12"/>
      <c r="W30" s="12"/>
      <c r="X30" s="12"/>
      <c r="Y30" s="12"/>
      <c r="Z30" s="12"/>
      <c r="AA30" s="12"/>
      <c r="AB30" s="12"/>
      <c r="AC30" s="12"/>
      <c r="AD30" s="12"/>
      <c r="AE30" s="12"/>
      <c r="AF30" s="12"/>
      <c r="AG30" s="12"/>
    </row>
    <row r="31" spans="1:33">
      <c r="A31" s="7" t="s">
        <v>44</v>
      </c>
      <c r="B31" s="156">
        <v>44853</v>
      </c>
      <c r="C31" t="s">
        <v>297</v>
      </c>
      <c r="D31" s="2" t="s">
        <v>603</v>
      </c>
      <c r="E31" t="s">
        <v>604</v>
      </c>
      <c r="F31" t="s">
        <v>364</v>
      </c>
      <c r="G31" t="s">
        <v>301</v>
      </c>
    </row>
    <row r="32" spans="1:33">
      <c r="A32" s="7" t="s">
        <v>44</v>
      </c>
      <c r="B32" s="156">
        <v>44723</v>
      </c>
      <c r="C32" s="7" t="s">
        <v>297</v>
      </c>
      <c r="D32" s="2" t="s">
        <v>605</v>
      </c>
      <c r="E32" t="s">
        <v>606</v>
      </c>
      <c r="F32" t="s">
        <v>364</v>
      </c>
      <c r="G32" t="s">
        <v>301</v>
      </c>
      <c r="H32" t="s">
        <v>607</v>
      </c>
    </row>
    <row r="33" spans="1:23">
      <c r="A33" s="7" t="s">
        <v>44</v>
      </c>
      <c r="B33" s="156">
        <v>44697</v>
      </c>
      <c r="C33" s="7" t="s">
        <v>297</v>
      </c>
      <c r="D33" s="9" t="s">
        <v>608</v>
      </c>
      <c r="E33" s="7" t="s">
        <v>609</v>
      </c>
      <c r="F33" s="7" t="s">
        <v>364</v>
      </c>
      <c r="G33" s="7"/>
      <c r="H33" s="7"/>
      <c r="I33" s="7"/>
    </row>
    <row r="34" spans="1:23">
      <c r="A34" s="7" t="s">
        <v>44</v>
      </c>
      <c r="C34" s="7" t="s">
        <v>297</v>
      </c>
      <c r="D34" s="19" t="s">
        <v>610</v>
      </c>
    </row>
    <row r="35" spans="1:23">
      <c r="A35" s="7" t="s">
        <v>44</v>
      </c>
      <c r="C35" s="7" t="s">
        <v>297</v>
      </c>
      <c r="D35" s="19" t="s">
        <v>611</v>
      </c>
      <c r="E35" t="s">
        <v>612</v>
      </c>
      <c r="F35" s="7" t="s">
        <v>613</v>
      </c>
    </row>
    <row r="36" spans="1:23">
      <c r="A36" s="7" t="s">
        <v>44</v>
      </c>
      <c r="B36" s="156">
        <v>44730</v>
      </c>
      <c r="C36" s="7" t="s">
        <v>297</v>
      </c>
      <c r="D36" s="2" t="s">
        <v>614</v>
      </c>
      <c r="E36" t="s">
        <v>612</v>
      </c>
      <c r="F36" t="s">
        <v>615</v>
      </c>
      <c r="G36" t="s">
        <v>301</v>
      </c>
      <c r="H36" t="s">
        <v>616</v>
      </c>
      <c r="N36" t="s">
        <v>40</v>
      </c>
    </row>
    <row r="37" spans="1:23">
      <c r="A37" s="7" t="s">
        <v>44</v>
      </c>
      <c r="C37" s="7" t="s">
        <v>297</v>
      </c>
      <c r="D37" s="9" t="s">
        <v>617</v>
      </c>
      <c r="E37" s="7" t="s">
        <v>618</v>
      </c>
      <c r="F37" s="7"/>
      <c r="G37" s="7"/>
      <c r="H37" s="7"/>
      <c r="I37" s="12" t="s">
        <v>20</v>
      </c>
      <c r="J37" s="12"/>
      <c r="K37" s="12"/>
      <c r="L37" s="12"/>
      <c r="M37" s="16"/>
      <c r="N37" s="12"/>
      <c r="O37" s="12"/>
      <c r="P37" s="12"/>
      <c r="Q37" s="12"/>
      <c r="R37" s="12"/>
      <c r="S37" s="12"/>
      <c r="T37" s="12"/>
      <c r="U37" s="12"/>
      <c r="V37" s="12"/>
      <c r="W37" s="12"/>
    </row>
    <row r="38" spans="1:23">
      <c r="A38" s="7" t="s">
        <v>44</v>
      </c>
      <c r="C38" s="7" t="s">
        <v>297</v>
      </c>
      <c r="D38" s="9" t="s">
        <v>619</v>
      </c>
      <c r="F38" t="s">
        <v>351</v>
      </c>
      <c r="I38" s="12"/>
      <c r="J38" s="12"/>
      <c r="K38" s="12"/>
      <c r="L38" s="12"/>
      <c r="M38" s="16"/>
      <c r="N38" s="12" t="s">
        <v>40</v>
      </c>
      <c r="O38" s="12"/>
      <c r="P38" s="12"/>
      <c r="Q38" s="12"/>
      <c r="R38" s="12"/>
      <c r="S38" s="12"/>
      <c r="T38" s="12"/>
      <c r="U38" s="12"/>
      <c r="V38" s="12"/>
      <c r="W38" s="12"/>
    </row>
    <row r="39" spans="1:23">
      <c r="A39" s="7" t="s">
        <v>44</v>
      </c>
      <c r="C39" s="7" t="s">
        <v>297</v>
      </c>
      <c r="D39" s="19" t="s">
        <v>620</v>
      </c>
      <c r="E39" s="19" t="s">
        <v>621</v>
      </c>
      <c r="F39" s="19" t="s">
        <v>622</v>
      </c>
      <c r="L39">
        <v>35</v>
      </c>
    </row>
    <row r="40" spans="1:23">
      <c r="A40" s="7" t="s">
        <v>44</v>
      </c>
      <c r="C40" s="7" t="s">
        <v>297</v>
      </c>
      <c r="D40" s="2" t="s">
        <v>623</v>
      </c>
      <c r="E40" t="s">
        <v>624</v>
      </c>
      <c r="F40" t="s">
        <v>471</v>
      </c>
      <c r="I40" s="14" t="s">
        <v>20</v>
      </c>
      <c r="J40" s="14" t="s">
        <v>20</v>
      </c>
      <c r="K40" s="14" t="s">
        <v>40</v>
      </c>
      <c r="L40" s="14" t="s">
        <v>20</v>
      </c>
      <c r="M40" s="17" t="s">
        <v>20</v>
      </c>
      <c r="N40" s="14" t="s">
        <v>20</v>
      </c>
      <c r="O40" s="14"/>
      <c r="P40" s="14"/>
      <c r="Q40" s="12"/>
      <c r="R40" s="12"/>
      <c r="S40" s="12"/>
      <c r="T40" s="12"/>
      <c r="U40" s="12"/>
      <c r="V40" s="12"/>
      <c r="W40" s="12"/>
    </row>
    <row r="41" spans="1:23">
      <c r="A41" s="7" t="s">
        <v>44</v>
      </c>
      <c r="C41" s="7" t="s">
        <v>297</v>
      </c>
      <c r="D41" s="9" t="s">
        <v>625</v>
      </c>
      <c r="E41" s="7" t="s">
        <v>626</v>
      </c>
      <c r="F41" s="7"/>
      <c r="G41" s="7"/>
      <c r="H41" s="7"/>
      <c r="I41" s="12" t="s">
        <v>20</v>
      </c>
      <c r="J41" s="12" t="s">
        <v>40</v>
      </c>
      <c r="K41" s="12">
        <v>25</v>
      </c>
      <c r="L41" s="12"/>
      <c r="M41" s="16"/>
      <c r="N41" s="12"/>
      <c r="O41" s="12"/>
      <c r="P41" s="12"/>
      <c r="Q41" s="12"/>
      <c r="R41" s="12"/>
      <c r="S41" s="12"/>
      <c r="T41" s="12"/>
      <c r="U41" s="12"/>
      <c r="V41" s="12"/>
      <c r="W41" s="12"/>
    </row>
    <row r="42" spans="1:23">
      <c r="A42" s="7" t="s">
        <v>44</v>
      </c>
      <c r="C42" s="7" t="s">
        <v>297</v>
      </c>
      <c r="D42" s="19" t="s">
        <v>627</v>
      </c>
      <c r="E42" s="19" t="s">
        <v>628</v>
      </c>
      <c r="F42" s="7"/>
      <c r="G42" s="7"/>
      <c r="H42" s="7"/>
      <c r="I42" s="7"/>
      <c r="J42">
        <v>87</v>
      </c>
    </row>
    <row r="43" spans="1:23">
      <c r="A43" t="s">
        <v>44</v>
      </c>
      <c r="B43" s="156">
        <v>44533</v>
      </c>
      <c r="C43" s="7" t="s">
        <v>297</v>
      </c>
      <c r="D43" s="2" t="s">
        <v>629</v>
      </c>
      <c r="E43" t="s">
        <v>630</v>
      </c>
      <c r="F43" t="s">
        <v>408</v>
      </c>
      <c r="G43" t="s">
        <v>301</v>
      </c>
      <c r="N43" t="s">
        <v>40</v>
      </c>
    </row>
    <row r="44" spans="1:23">
      <c r="A44" s="7" t="s">
        <v>44</v>
      </c>
      <c r="C44" t="s">
        <v>297</v>
      </c>
      <c r="D44" s="2" t="s">
        <v>631</v>
      </c>
      <c r="E44" t="s">
        <v>632</v>
      </c>
      <c r="F44" t="s">
        <v>633</v>
      </c>
      <c r="G44" t="s">
        <v>301</v>
      </c>
      <c r="N44" t="s">
        <v>40</v>
      </c>
    </row>
    <row r="45" spans="1:23">
      <c r="A45" s="7" t="s">
        <v>44</v>
      </c>
      <c r="C45" s="7" t="s">
        <v>297</v>
      </c>
      <c r="D45" s="148" t="s">
        <v>634</v>
      </c>
      <c r="E45" s="11" t="s">
        <v>635</v>
      </c>
      <c r="F45" s="11"/>
      <c r="G45" s="11"/>
      <c r="H45" s="11"/>
      <c r="I45" s="12" t="s">
        <v>20</v>
      </c>
      <c r="J45" s="12"/>
      <c r="K45" s="12"/>
      <c r="L45" s="12"/>
      <c r="M45" s="16"/>
      <c r="N45" s="12"/>
      <c r="O45" s="12"/>
      <c r="P45" s="12"/>
      <c r="Q45" s="12"/>
      <c r="R45" s="12"/>
      <c r="S45" s="12"/>
      <c r="T45" s="12"/>
      <c r="U45" s="12"/>
      <c r="V45" s="12"/>
      <c r="W45" s="12"/>
    </row>
    <row r="46" spans="1:23" ht="17.45">
      <c r="A46" s="7" t="s">
        <v>44</v>
      </c>
      <c r="C46" s="7" t="s">
        <v>297</v>
      </c>
      <c r="D46" s="9" t="s">
        <v>636</v>
      </c>
      <c r="E46" s="7" t="s">
        <v>637</v>
      </c>
      <c r="F46" s="7" t="s">
        <v>638</v>
      </c>
      <c r="G46" s="7">
        <v>44128</v>
      </c>
      <c r="H46" s="7"/>
      <c r="I46" s="12" t="s">
        <v>20</v>
      </c>
      <c r="J46" s="12"/>
      <c r="K46" s="12">
        <v>26</v>
      </c>
      <c r="L46" s="12"/>
      <c r="M46" s="16"/>
      <c r="N46" s="12"/>
      <c r="O46" s="12"/>
      <c r="P46" s="12"/>
      <c r="Q46" s="12"/>
      <c r="R46" s="13"/>
      <c r="S46" s="12"/>
      <c r="T46" s="12"/>
      <c r="U46" s="12"/>
      <c r="V46" s="12"/>
      <c r="W46" s="12"/>
    </row>
    <row r="47" spans="1:23" ht="17.45">
      <c r="A47" s="7" t="s">
        <v>44</v>
      </c>
      <c r="C47" s="7" t="s">
        <v>297</v>
      </c>
      <c r="D47" s="9" t="s">
        <v>636</v>
      </c>
      <c r="E47" s="7" t="s">
        <v>639</v>
      </c>
      <c r="F47" s="7"/>
      <c r="G47" s="7"/>
      <c r="H47" s="7"/>
      <c r="I47" s="12"/>
      <c r="J47" s="12"/>
      <c r="K47" s="12">
        <v>21</v>
      </c>
      <c r="L47" s="12"/>
      <c r="M47" s="16"/>
      <c r="N47" s="12"/>
      <c r="O47" s="12"/>
      <c r="P47" s="12"/>
      <c r="Q47" s="12"/>
      <c r="R47" s="13"/>
      <c r="S47" s="12"/>
      <c r="T47" s="12"/>
      <c r="U47" s="12"/>
      <c r="V47" s="12"/>
      <c r="W47" s="12"/>
    </row>
    <row r="48" spans="1:23">
      <c r="A48" s="7" t="s">
        <v>44</v>
      </c>
      <c r="B48" s="156">
        <v>44785</v>
      </c>
      <c r="C48" s="7" t="s">
        <v>297</v>
      </c>
      <c r="D48" s="2" t="s">
        <v>636</v>
      </c>
      <c r="E48" t="s">
        <v>640</v>
      </c>
      <c r="F48" t="s">
        <v>641</v>
      </c>
      <c r="G48" t="s">
        <v>301</v>
      </c>
      <c r="N48" s="12"/>
      <c r="O48" s="12"/>
      <c r="P48" s="12"/>
    </row>
    <row r="49" spans="1:18">
      <c r="A49" s="7" t="s">
        <v>44</v>
      </c>
      <c r="C49" s="7" t="s">
        <v>297</v>
      </c>
      <c r="D49" s="19" t="s">
        <v>636</v>
      </c>
      <c r="E49" s="19" t="s">
        <v>642</v>
      </c>
      <c r="F49" s="19"/>
      <c r="J49">
        <v>31</v>
      </c>
    </row>
    <row r="50" spans="1:18" ht="46.9">
      <c r="A50" t="s">
        <v>44</v>
      </c>
      <c r="B50" s="156">
        <v>44790</v>
      </c>
      <c r="C50" s="7" t="s">
        <v>297</v>
      </c>
      <c r="D50" s="149" t="s">
        <v>643</v>
      </c>
      <c r="E50" t="s">
        <v>644</v>
      </c>
      <c r="K50">
        <v>31</v>
      </c>
    </row>
    <row r="51" spans="1:18">
      <c r="A51" s="7" t="s">
        <v>44</v>
      </c>
      <c r="B51" s="156">
        <v>44762</v>
      </c>
      <c r="C51" s="7" t="s">
        <v>297</v>
      </c>
      <c r="D51" s="2" t="s">
        <v>645</v>
      </c>
      <c r="E51" t="s">
        <v>646</v>
      </c>
      <c r="F51" t="s">
        <v>364</v>
      </c>
      <c r="G51" t="s">
        <v>301</v>
      </c>
    </row>
    <row r="52" spans="1:18">
      <c r="A52" s="7" t="s">
        <v>44</v>
      </c>
      <c r="B52" s="156">
        <v>44784</v>
      </c>
      <c r="C52" s="7" t="s">
        <v>297</v>
      </c>
      <c r="D52" s="9" t="s">
        <v>647</v>
      </c>
      <c r="E52" s="7" t="s">
        <v>648</v>
      </c>
      <c r="F52" s="7" t="s">
        <v>318</v>
      </c>
      <c r="G52" s="7" t="s">
        <v>301</v>
      </c>
      <c r="H52" s="7" t="s">
        <v>616</v>
      </c>
      <c r="I52" s="7"/>
      <c r="M52" s="1">
        <v>17</v>
      </c>
      <c r="N52" t="s">
        <v>40</v>
      </c>
      <c r="Q52" t="s">
        <v>40</v>
      </c>
      <c r="R52" t="s">
        <v>40</v>
      </c>
    </row>
  </sheetData>
  <sortState xmlns:xlrd2="http://schemas.microsoft.com/office/spreadsheetml/2017/richdata2" ref="A3:W17">
    <sortCondition ref="B3:B17"/>
    <sortCondition ref="D3:D17"/>
  </sortState>
  <mergeCells count="2">
    <mergeCell ref="R1:W1"/>
    <mergeCell ref="R27:W27"/>
  </mergeCells>
  <pageMargins left="0.17" right="0.17" top="0.42" bottom="0.17" header="0.3" footer="0.3"/>
  <pageSetup orientation="landscape" r:id="rId1"/>
  <headerFooter>
    <oddFooter>&amp;L&amp;D&amp;C&amp;A&amp;R&amp;F</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75978-DA0F-4D9F-A393-84FC909919B3}">
  <dimension ref="B1:F34"/>
  <sheetViews>
    <sheetView zoomScaleNormal="100" workbookViewId="0">
      <selection activeCell="A69" sqref="A49:A69"/>
    </sheetView>
  </sheetViews>
  <sheetFormatPr defaultColWidth="8.85546875" defaultRowHeight="22.5" customHeight="1"/>
  <cols>
    <col min="1" max="1" width="3.42578125" customWidth="1"/>
    <col min="2" max="2" width="12.5703125" style="34" customWidth="1"/>
    <col min="3" max="3" width="41" bestFit="1" customWidth="1"/>
    <col min="4" max="4" width="22.85546875" customWidth="1"/>
    <col min="5" max="5" width="15" customWidth="1"/>
  </cols>
  <sheetData>
    <row r="1" spans="2:6" ht="22.5" customHeight="1">
      <c r="C1" s="18" t="s">
        <v>649</v>
      </c>
      <c r="D1" s="18" t="s">
        <v>650</v>
      </c>
      <c r="E1" s="18"/>
      <c r="F1" s="18"/>
    </row>
    <row r="2" spans="2:6" ht="22.5" customHeight="1" thickBot="1">
      <c r="B2" s="77" t="s">
        <v>651</v>
      </c>
      <c r="C2" s="74" t="s">
        <v>652</v>
      </c>
      <c r="D2" t="s">
        <v>653</v>
      </c>
      <c r="E2" s="61" t="s">
        <v>654</v>
      </c>
    </row>
    <row r="3" spans="2:6" ht="22.5" customHeight="1" thickTop="1" thickBot="1">
      <c r="B3" s="70" t="s">
        <v>655</v>
      </c>
      <c r="C3" s="3" t="s">
        <v>656</v>
      </c>
      <c r="D3" t="s">
        <v>657</v>
      </c>
      <c r="E3" s="61" t="s">
        <v>654</v>
      </c>
    </row>
    <row r="4" spans="2:6" ht="22.5" customHeight="1" thickTop="1" thickBot="1">
      <c r="B4" s="76" t="s">
        <v>658</v>
      </c>
      <c r="C4" t="s">
        <v>659</v>
      </c>
      <c r="D4" t="s">
        <v>660</v>
      </c>
      <c r="E4" s="61" t="s">
        <v>661</v>
      </c>
    </row>
    <row r="5" spans="2:6" ht="22.5" customHeight="1" thickTop="1" thickBot="1">
      <c r="B5" s="70" t="s">
        <v>464</v>
      </c>
      <c r="C5" s="5" t="s">
        <v>662</v>
      </c>
      <c r="D5" s="7" t="s">
        <v>663</v>
      </c>
      <c r="E5" s="61" t="s">
        <v>661</v>
      </c>
    </row>
    <row r="6" spans="2:6" ht="22.5" customHeight="1" thickTop="1" thickBot="1">
      <c r="B6" s="75" t="s">
        <v>664</v>
      </c>
      <c r="C6" s="74" t="s">
        <v>665</v>
      </c>
      <c r="D6" s="62" t="str">
        <f t="shared" ref="D6:E30" si="0">+D2</f>
        <v>Originally sent to INS CO.</v>
      </c>
      <c r="E6" t="str">
        <f t="shared" si="0"/>
        <v>Enter amount$.</v>
      </c>
    </row>
    <row r="7" spans="2:6" ht="22.5" customHeight="1" thickTop="1" thickBot="1">
      <c r="B7" s="73" t="s">
        <v>655</v>
      </c>
      <c r="C7" s="3" t="str">
        <f>+C3</f>
        <v xml:space="preserve">Supplemental invoice </v>
      </c>
      <c r="D7" s="64" t="str">
        <f t="shared" si="0"/>
        <v>Submitted to INS CO.</v>
      </c>
      <c r="E7" s="3" t="str">
        <f t="shared" si="0"/>
        <v>Enter amount$.</v>
      </c>
    </row>
    <row r="8" spans="2:6" ht="22.5" customHeight="1" thickTop="1" thickBot="1">
      <c r="B8" s="73" t="s">
        <v>658</v>
      </c>
      <c r="C8" t="str">
        <f>+C4</f>
        <v>Date sent to INS CO.</v>
      </c>
      <c r="D8" s="62" t="str">
        <f t="shared" si="0"/>
        <v>Verify email SENT</v>
      </c>
      <c r="E8" t="str">
        <f t="shared" si="0"/>
        <v>ENTER DATE</v>
      </c>
    </row>
    <row r="9" spans="2:6" ht="22.5" customHeight="1" thickTop="1" thickBot="1">
      <c r="B9" s="73" t="s">
        <v>464</v>
      </c>
      <c r="C9" s="5" t="str">
        <f>+C5</f>
        <v>Verify payment</v>
      </c>
      <c r="D9" s="59" t="str">
        <f t="shared" si="0"/>
        <v>ENTER $</v>
      </c>
      <c r="E9" s="5" t="str">
        <f t="shared" si="0"/>
        <v>ENTER DATE</v>
      </c>
    </row>
    <row r="10" spans="2:6" ht="22.5" customHeight="1" thickTop="1" thickBot="1">
      <c r="B10" s="70" t="s">
        <v>666</v>
      </c>
      <c r="C10" s="55" t="s">
        <v>667</v>
      </c>
      <c r="D10" s="3" t="str">
        <f t="shared" si="0"/>
        <v>Originally sent to INS CO.</v>
      </c>
      <c r="E10" s="63" t="str">
        <f t="shared" si="0"/>
        <v>Enter amount$.</v>
      </c>
    </row>
    <row r="11" spans="2:6" ht="22.5" customHeight="1" thickTop="1" thickBot="1">
      <c r="B11" s="70" t="s">
        <v>655</v>
      </c>
      <c r="C11" s="3" t="str">
        <f>+C7</f>
        <v xml:space="preserve">Supplemental invoice </v>
      </c>
      <c r="D11" s="3" t="str">
        <f t="shared" si="0"/>
        <v>Submitted to INS CO.</v>
      </c>
      <c r="E11" s="63" t="str">
        <f t="shared" si="0"/>
        <v>Enter amount$.</v>
      </c>
    </row>
    <row r="12" spans="2:6" ht="22.5" customHeight="1" thickTop="1" thickBot="1">
      <c r="B12" s="70" t="s">
        <v>658</v>
      </c>
      <c r="C12" t="str">
        <f>+C8</f>
        <v>Date sent to INS CO.</v>
      </c>
      <c r="D12" t="str">
        <f t="shared" si="0"/>
        <v>Verify email SENT</v>
      </c>
      <c r="E12" s="61" t="str">
        <f t="shared" si="0"/>
        <v>ENTER DATE</v>
      </c>
    </row>
    <row r="13" spans="2:6" ht="22.5" customHeight="1" thickTop="1" thickBot="1">
      <c r="B13" s="70" t="s">
        <v>464</v>
      </c>
      <c r="C13" s="5" t="str">
        <f>+C9</f>
        <v>Verify payment</v>
      </c>
      <c r="D13" s="5" t="str">
        <f t="shared" si="0"/>
        <v>ENTER $</v>
      </c>
      <c r="E13" s="58" t="str">
        <f t="shared" si="0"/>
        <v>ENTER DATE</v>
      </c>
    </row>
    <row r="14" spans="2:6" ht="22.5" customHeight="1" thickTop="1" thickBot="1">
      <c r="B14" s="71" t="s">
        <v>668</v>
      </c>
      <c r="C14" s="72" t="s">
        <v>669</v>
      </c>
      <c r="D14" s="64" t="str">
        <f t="shared" si="0"/>
        <v>Originally sent to INS CO.</v>
      </c>
      <c r="E14" s="3" t="str">
        <f t="shared" si="0"/>
        <v>Enter amount$.</v>
      </c>
    </row>
    <row r="15" spans="2:6" ht="22.5" customHeight="1" thickTop="1" thickBot="1">
      <c r="B15" s="71" t="s">
        <v>655</v>
      </c>
      <c r="C15" s="3" t="str">
        <f>+C11</f>
        <v xml:space="preserve">Supplemental invoice </v>
      </c>
      <c r="D15" s="64" t="str">
        <f t="shared" si="0"/>
        <v>Submitted to INS CO.</v>
      </c>
      <c r="E15" s="3" t="str">
        <f t="shared" si="0"/>
        <v>Enter amount$.</v>
      </c>
    </row>
    <row r="16" spans="2:6" ht="22.5" customHeight="1" thickTop="1" thickBot="1">
      <c r="B16" s="70" t="s">
        <v>658</v>
      </c>
      <c r="C16" t="str">
        <f>+C12</f>
        <v>Date sent to INS CO.</v>
      </c>
      <c r="D16" s="62" t="str">
        <f t="shared" si="0"/>
        <v>Verify email SENT</v>
      </c>
      <c r="E16" t="str">
        <f t="shared" si="0"/>
        <v>ENTER DATE</v>
      </c>
    </row>
    <row r="17" spans="2:5" ht="22.5" customHeight="1" thickTop="1" thickBot="1">
      <c r="B17" s="70" t="s">
        <v>464</v>
      </c>
      <c r="C17" s="5" t="str">
        <f>+C13</f>
        <v>Verify payment</v>
      </c>
      <c r="D17" s="59" t="str">
        <f t="shared" si="0"/>
        <v>ENTER $</v>
      </c>
      <c r="E17" s="5" t="str">
        <f t="shared" si="0"/>
        <v>ENTER DATE</v>
      </c>
    </row>
    <row r="18" spans="2:5" ht="22.5" customHeight="1" thickTop="1" thickBot="1">
      <c r="B18" s="69" t="s">
        <v>670</v>
      </c>
      <c r="C18" s="57" t="s">
        <v>671</v>
      </c>
      <c r="D18" s="3" t="str">
        <f t="shared" si="0"/>
        <v>Originally sent to INS CO.</v>
      </c>
      <c r="E18" s="63" t="str">
        <f t="shared" si="0"/>
        <v>Enter amount$.</v>
      </c>
    </row>
    <row r="19" spans="2:5" ht="22.5" customHeight="1" thickTop="1" thickBot="1">
      <c r="B19" s="60" t="s">
        <v>655</v>
      </c>
      <c r="C19" s="3" t="str">
        <f>+C15</f>
        <v xml:space="preserve">Supplemental invoice </v>
      </c>
      <c r="D19" s="3" t="str">
        <f t="shared" si="0"/>
        <v>Submitted to INS CO.</v>
      </c>
      <c r="E19" s="63" t="str">
        <f t="shared" si="0"/>
        <v>Enter amount$.</v>
      </c>
    </row>
    <row r="20" spans="2:5" ht="22.5" customHeight="1" thickTop="1" thickBot="1">
      <c r="B20" s="60" t="s">
        <v>658</v>
      </c>
      <c r="C20" t="str">
        <f>+C16</f>
        <v>Date sent to INS CO.</v>
      </c>
      <c r="D20" t="str">
        <f t="shared" si="0"/>
        <v>Verify email SENT</v>
      </c>
      <c r="E20" s="61" t="str">
        <f t="shared" si="0"/>
        <v>ENTER DATE</v>
      </c>
    </row>
    <row r="21" spans="2:5" ht="22.5" customHeight="1" thickTop="1" thickBot="1">
      <c r="B21" s="60" t="s">
        <v>464</v>
      </c>
      <c r="C21" s="5" t="str">
        <f>+C17</f>
        <v>Verify payment</v>
      </c>
      <c r="D21" s="5" t="str">
        <f t="shared" si="0"/>
        <v>ENTER $</v>
      </c>
      <c r="E21" s="58" t="str">
        <f t="shared" si="0"/>
        <v>ENTER DATE</v>
      </c>
    </row>
    <row r="22" spans="2:5" ht="22.5" customHeight="1" thickTop="1" thickBot="1">
      <c r="B22" s="66" t="s">
        <v>672</v>
      </c>
      <c r="C22" s="57" t="s">
        <v>673</v>
      </c>
      <c r="D22" s="68" t="str">
        <f t="shared" si="0"/>
        <v>Originally sent to INS CO.</v>
      </c>
      <c r="E22" s="3" t="str">
        <f t="shared" si="0"/>
        <v>Enter amount$.</v>
      </c>
    </row>
    <row r="23" spans="2:5" ht="22.5" customHeight="1" thickTop="1" thickBot="1">
      <c r="B23" s="66" t="s">
        <v>655</v>
      </c>
      <c r="C23" s="3" t="str">
        <f>+C19</f>
        <v xml:space="preserve">Supplemental invoice </v>
      </c>
      <c r="D23" s="68" t="str">
        <f t="shared" si="0"/>
        <v>Submitted to INS CO.</v>
      </c>
      <c r="E23" s="3" t="str">
        <f t="shared" si="0"/>
        <v>Enter amount$.</v>
      </c>
    </row>
    <row r="24" spans="2:5" ht="22.5" customHeight="1" thickTop="1" thickBot="1">
      <c r="B24" s="66" t="s">
        <v>658</v>
      </c>
      <c r="C24" t="str">
        <f>+C20</f>
        <v>Date sent to INS CO.</v>
      </c>
      <c r="D24" s="67" t="str">
        <f t="shared" si="0"/>
        <v>Verify email SENT</v>
      </c>
      <c r="E24" t="str">
        <f t="shared" si="0"/>
        <v>ENTER DATE</v>
      </c>
    </row>
    <row r="25" spans="2:5" ht="22.5" customHeight="1" thickTop="1" thickBot="1">
      <c r="B25" s="66" t="s">
        <v>464</v>
      </c>
      <c r="C25" s="5" t="str">
        <f>+C21</f>
        <v>Verify payment</v>
      </c>
      <c r="D25" s="65" t="str">
        <f t="shared" si="0"/>
        <v>ENTER $</v>
      </c>
      <c r="E25" s="5" t="str">
        <f t="shared" si="0"/>
        <v>ENTER DATE</v>
      </c>
    </row>
    <row r="26" spans="2:5" ht="22.5" customHeight="1" thickTop="1" thickBot="1">
      <c r="B26" s="60" t="s">
        <v>56</v>
      </c>
      <c r="C26" s="57" t="s">
        <v>674</v>
      </c>
      <c r="D26" s="64" t="str">
        <f t="shared" si="0"/>
        <v>Originally sent to INS CO.</v>
      </c>
      <c r="E26" s="63" t="str">
        <f t="shared" si="0"/>
        <v>Enter amount$.</v>
      </c>
    </row>
    <row r="27" spans="2:5" ht="22.5" customHeight="1" thickTop="1" thickBot="1">
      <c r="B27" s="60" t="s">
        <v>655</v>
      </c>
      <c r="C27" s="3" t="str">
        <f>+C23</f>
        <v xml:space="preserve">Supplemental invoice </v>
      </c>
      <c r="D27" s="64" t="str">
        <f t="shared" si="0"/>
        <v>Submitted to INS CO.</v>
      </c>
      <c r="E27" s="63" t="str">
        <f t="shared" si="0"/>
        <v>Enter amount$.</v>
      </c>
    </row>
    <row r="28" spans="2:5" ht="22.5" customHeight="1" thickTop="1" thickBot="1">
      <c r="B28" s="60" t="s">
        <v>658</v>
      </c>
      <c r="C28" t="str">
        <f>+C24</f>
        <v>Date sent to INS CO.</v>
      </c>
      <c r="D28" s="62" t="str">
        <f t="shared" si="0"/>
        <v>Verify email SENT</v>
      </c>
      <c r="E28" s="61" t="str">
        <f t="shared" si="0"/>
        <v>ENTER DATE</v>
      </c>
    </row>
    <row r="29" spans="2:5" ht="22.5" customHeight="1" thickTop="1" thickBot="1">
      <c r="B29" s="60" t="s">
        <v>464</v>
      </c>
      <c r="C29" s="5" t="str">
        <f>+C25</f>
        <v>Verify payment</v>
      </c>
      <c r="D29" s="59" t="str">
        <f t="shared" si="0"/>
        <v>ENTER $</v>
      </c>
      <c r="E29" s="58" t="str">
        <f t="shared" si="0"/>
        <v>ENTER DATE</v>
      </c>
    </row>
    <row r="30" spans="2:5" ht="22.5" customHeight="1" thickTop="1" thickBot="1">
      <c r="B30" s="56" t="s">
        <v>675</v>
      </c>
      <c r="C30" s="57" t="s">
        <v>676</v>
      </c>
      <c r="D30" t="str">
        <f t="shared" si="0"/>
        <v>Originally sent to INS CO.</v>
      </c>
      <c r="E30" s="5" t="str">
        <f t="shared" si="0"/>
        <v>Enter amount$.</v>
      </c>
    </row>
    <row r="31" spans="2:5" ht="22.5" customHeight="1" thickTop="1" thickBot="1">
      <c r="B31" s="56" t="s">
        <v>464</v>
      </c>
      <c r="C31" s="3" t="s">
        <v>662</v>
      </c>
      <c r="D31" s="7" t="str">
        <f>+D29</f>
        <v>ENTER $</v>
      </c>
      <c r="E31" s="5" t="str">
        <f>+E29</f>
        <v>ENTER DATE</v>
      </c>
    </row>
    <row r="32" spans="2:5" ht="22.5" customHeight="1" thickTop="1" thickBot="1">
      <c r="B32" s="54" t="s">
        <v>524</v>
      </c>
      <c r="C32" s="55" t="s">
        <v>677</v>
      </c>
      <c r="D32" t="str">
        <f>+D30</f>
        <v>Originally sent to INS CO.</v>
      </c>
      <c r="E32" s="5" t="str">
        <f>+E28</f>
        <v>ENTER DATE</v>
      </c>
    </row>
    <row r="33" spans="2:5" ht="22.5" customHeight="1" thickTop="1" thickBot="1">
      <c r="B33" s="54" t="s">
        <v>464</v>
      </c>
      <c r="C33" s="5" t="s">
        <v>662</v>
      </c>
      <c r="D33" t="str">
        <f>+D31</f>
        <v>ENTER $</v>
      </c>
      <c r="E33" s="5" t="str">
        <f>+E29</f>
        <v>ENTER DATE</v>
      </c>
    </row>
    <row r="34" spans="2:5" ht="22.5" customHeight="1" thickTop="1"/>
  </sheetData>
  <printOptions gridLines="1"/>
  <pageMargins left="0.44" right="0.39" top="0.17" bottom="0.41" header="0.17" footer="0.17"/>
  <pageSetup orientation="portrait" r:id="rId1"/>
  <headerFooter>
    <oddFooter>&amp;L&amp;D&amp;C&amp;A&amp;R&amp;F</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2A11F-9F18-4162-862A-9F8163A21FE5}">
  <dimension ref="A1:V68"/>
  <sheetViews>
    <sheetView view="pageBreakPreview" topLeftCell="A53" zoomScaleNormal="100" zoomScaleSheetLayoutView="100" workbookViewId="0">
      <selection activeCell="C71" sqref="C71"/>
    </sheetView>
  </sheetViews>
  <sheetFormatPr defaultColWidth="8.85546875" defaultRowHeight="18.95" customHeight="1"/>
  <cols>
    <col min="1" max="1" width="2.5703125" style="22" customWidth="1"/>
    <col min="2" max="2" width="11.140625" style="1" customWidth="1"/>
    <col min="3" max="3" width="8.42578125" customWidth="1"/>
    <col min="5" max="5" width="7.5703125" customWidth="1"/>
    <col min="6" max="6" width="5.5703125" customWidth="1"/>
    <col min="9" max="9" width="7.42578125" customWidth="1"/>
    <col min="10" max="10" width="5.42578125" customWidth="1"/>
    <col min="13" max="13" width="7.42578125" customWidth="1"/>
    <col min="14" max="14" width="5.42578125" customWidth="1"/>
    <col min="17" max="17" width="7.140625" customWidth="1"/>
    <col min="18" max="18" width="5.85546875" customWidth="1"/>
    <col min="22" max="22" width="6" customWidth="1"/>
    <col min="26" max="26" width="5.140625" customWidth="1"/>
    <col min="30" max="30" width="5.5703125" customWidth="1"/>
    <col min="32" max="32" width="5.42578125" customWidth="1"/>
    <col min="34" max="34" width="5.42578125" customWidth="1"/>
  </cols>
  <sheetData>
    <row r="1" spans="1:22" s="12" customFormat="1" ht="26.1" customHeight="1" thickBot="1">
      <c r="A1" s="22">
        <v>1</v>
      </c>
      <c r="B1" s="470" t="str">
        <f>+ALL!$C$1</f>
        <v xml:space="preserve">JOROBE, DELICIA </v>
      </c>
      <c r="C1" s="123" t="s">
        <v>651</v>
      </c>
      <c r="D1" s="123" t="s">
        <v>655</v>
      </c>
      <c r="E1" s="126" t="s">
        <v>658</v>
      </c>
      <c r="F1" s="123" t="s">
        <v>464</v>
      </c>
      <c r="G1" s="125" t="s">
        <v>664</v>
      </c>
      <c r="H1" s="124" t="str">
        <f>+D1</f>
        <v>SPLM$</v>
      </c>
      <c r="I1" s="124" t="str">
        <f>+E1</f>
        <v>SENT</v>
      </c>
      <c r="J1" s="124" t="str">
        <f>+F1</f>
        <v>PAID</v>
      </c>
      <c r="K1" s="123" t="s">
        <v>666</v>
      </c>
      <c r="L1" s="123" t="str">
        <f>+H1</f>
        <v>SPLM$</v>
      </c>
      <c r="M1" s="123" t="str">
        <f>+I1</f>
        <v>SENT</v>
      </c>
      <c r="N1" s="123" t="str">
        <f>+J1</f>
        <v>PAID</v>
      </c>
      <c r="O1" s="120" t="s">
        <v>668</v>
      </c>
      <c r="P1" s="120" t="str">
        <f>+L1</f>
        <v>SPLM$</v>
      </c>
      <c r="Q1" s="123" t="str">
        <f>+M1</f>
        <v>SENT</v>
      </c>
      <c r="R1" s="123" t="str">
        <f>+N1</f>
        <v>PAID</v>
      </c>
      <c r="S1" s="478" t="s">
        <v>678</v>
      </c>
      <c r="T1" s="479"/>
    </row>
    <row r="2" spans="1:22" ht="18.95" customHeight="1" thickTop="1">
      <c r="B2" s="470"/>
      <c r="C2" s="117">
        <v>2000</v>
      </c>
      <c r="D2" s="61">
        <v>1200</v>
      </c>
      <c r="E2" s="117"/>
      <c r="F2" s="61"/>
      <c r="G2" s="117"/>
      <c r="H2" s="61"/>
      <c r="I2" s="117"/>
      <c r="J2" s="116"/>
      <c r="K2" s="115"/>
      <c r="L2" s="116"/>
      <c r="M2" s="115"/>
      <c r="N2" s="116"/>
      <c r="O2" s="115"/>
      <c r="P2" s="116"/>
      <c r="Q2" s="115"/>
      <c r="R2" s="116"/>
      <c r="S2" s="115"/>
      <c r="T2" s="115"/>
    </row>
    <row r="3" spans="1:22" ht="15" customHeight="1" thickBot="1">
      <c r="A3" s="97">
        <v>12</v>
      </c>
      <c r="B3" s="103">
        <f>+ALL!$C$12</f>
        <v>44254</v>
      </c>
      <c r="C3" s="117"/>
      <c r="D3" s="61"/>
      <c r="E3" s="117"/>
      <c r="F3" s="61"/>
      <c r="G3" s="117"/>
      <c r="H3" s="61"/>
      <c r="I3" s="117"/>
      <c r="J3" s="116"/>
      <c r="K3" s="115"/>
      <c r="L3" s="116"/>
      <c r="M3" s="115"/>
      <c r="N3" s="116"/>
      <c r="O3" s="115"/>
      <c r="P3" s="116"/>
      <c r="Q3" s="115"/>
      <c r="R3" s="116"/>
      <c r="S3" s="115"/>
      <c r="T3" s="115"/>
    </row>
    <row r="4" spans="1:22" ht="18.95" customHeight="1" thickTop="1" thickBot="1">
      <c r="A4" s="97">
        <v>27</v>
      </c>
      <c r="B4" s="153" t="str">
        <f>+ALL!$C$27</f>
        <v>IKW2742001H</v>
      </c>
      <c r="C4" s="120" t="s">
        <v>670</v>
      </c>
      <c r="D4" s="120" t="str">
        <f>+P1</f>
        <v>SPLM$</v>
      </c>
      <c r="E4" s="120" t="str">
        <f>+Q1</f>
        <v>SENT</v>
      </c>
      <c r="F4" s="120" t="str">
        <f>+R1</f>
        <v>PAID</v>
      </c>
      <c r="G4" s="121" t="s">
        <v>672</v>
      </c>
      <c r="H4" s="121" t="str">
        <f>+D4</f>
        <v>SPLM$</v>
      </c>
      <c r="I4" s="121" t="str">
        <f>+E4</f>
        <v>SENT</v>
      </c>
      <c r="J4" s="121" t="str">
        <f>+F4</f>
        <v>PAID</v>
      </c>
      <c r="K4" s="120" t="s">
        <v>56</v>
      </c>
      <c r="L4" s="120" t="str">
        <f>+H4</f>
        <v>SPLM$</v>
      </c>
      <c r="M4" s="120" t="str">
        <f>+I4</f>
        <v>SENT</v>
      </c>
      <c r="N4" s="120" t="str">
        <f>+J4</f>
        <v>PAID</v>
      </c>
      <c r="O4" s="119" t="s">
        <v>675</v>
      </c>
      <c r="P4" s="119" t="str">
        <f>+N4</f>
        <v>PAID</v>
      </c>
      <c r="Q4" s="118" t="s">
        <v>524</v>
      </c>
      <c r="R4" s="118" t="str">
        <f>+N4</f>
        <v>PAID</v>
      </c>
      <c r="S4" s="115"/>
      <c r="T4" s="115"/>
    </row>
    <row r="5" spans="1:22" ht="15.95" customHeight="1" thickTop="1">
      <c r="A5" s="97">
        <v>26</v>
      </c>
      <c r="B5" s="471" t="str">
        <f>+ALL!$C$26</f>
        <v>TRAVCO INSURANCE</v>
      </c>
      <c r="C5" s="61"/>
      <c r="E5" s="61"/>
      <c r="F5" s="117"/>
      <c r="G5" s="61"/>
      <c r="H5" s="117"/>
      <c r="I5" s="61"/>
      <c r="J5" s="117"/>
      <c r="K5" s="116"/>
      <c r="L5" s="115"/>
      <c r="M5" s="116"/>
      <c r="N5" s="115"/>
      <c r="O5" s="116"/>
      <c r="P5" s="115"/>
      <c r="Q5" s="116"/>
      <c r="R5" s="115"/>
      <c r="S5" s="116"/>
    </row>
    <row r="6" spans="1:22" ht="21.95" customHeight="1">
      <c r="B6" s="472"/>
      <c r="C6" s="61"/>
      <c r="E6" s="61"/>
      <c r="F6" s="117"/>
      <c r="G6" s="61"/>
      <c r="H6" s="117"/>
      <c r="I6" s="61"/>
      <c r="J6" s="117"/>
      <c r="K6" s="116"/>
      <c r="L6" s="115"/>
      <c r="M6" s="116"/>
      <c r="N6" s="115"/>
      <c r="O6" s="116"/>
      <c r="P6" s="115"/>
      <c r="Q6" s="116"/>
      <c r="R6" s="115"/>
      <c r="S6" s="116"/>
    </row>
    <row r="7" spans="1:22" ht="3" customHeight="1" thickBot="1">
      <c r="B7" s="112"/>
      <c r="C7" s="111"/>
      <c r="D7" s="111"/>
      <c r="E7" s="111"/>
      <c r="F7" s="111"/>
      <c r="G7" s="111"/>
      <c r="H7" s="111"/>
      <c r="I7" s="111"/>
      <c r="J7" s="111"/>
      <c r="K7" s="111"/>
      <c r="L7" s="111"/>
      <c r="M7" s="111"/>
      <c r="N7" s="109"/>
      <c r="O7" s="110"/>
      <c r="P7" s="109"/>
      <c r="Q7" s="110"/>
      <c r="R7" s="109"/>
    </row>
    <row r="8" spans="1:22" ht="18.95" customHeight="1" thickTop="1" thickBot="1">
      <c r="A8" s="22">
        <f>1+A1</f>
        <v>2</v>
      </c>
      <c r="B8" s="473" t="str">
        <f>+ALL!$D$1</f>
        <v>BOYD</v>
      </c>
      <c r="C8" s="104" t="str">
        <f t="shared" ref="C8:J8" si="0">+C1</f>
        <v>EMS IN$</v>
      </c>
      <c r="D8" s="104" t="str">
        <f t="shared" si="0"/>
        <v>SPLM$</v>
      </c>
      <c r="E8" s="104" t="str">
        <f t="shared" si="0"/>
        <v>SENT</v>
      </c>
      <c r="F8" s="104" t="str">
        <f t="shared" si="0"/>
        <v>PAID</v>
      </c>
      <c r="G8" s="105" t="str">
        <f t="shared" si="0"/>
        <v>EXT EMS$</v>
      </c>
      <c r="H8" s="105" t="str">
        <f t="shared" si="0"/>
        <v>SPLM$</v>
      </c>
      <c r="I8" s="105" t="str">
        <f t="shared" si="0"/>
        <v>SENT</v>
      </c>
      <c r="J8" s="105" t="str">
        <f t="shared" si="0"/>
        <v>PAID</v>
      </c>
      <c r="K8" s="104" t="s">
        <v>666</v>
      </c>
      <c r="L8" s="104" t="str">
        <f>+H8</f>
        <v>SPLM$</v>
      </c>
      <c r="M8" s="104" t="str">
        <f>+I8</f>
        <v>SENT</v>
      </c>
      <c r="N8" s="104" t="str">
        <f>+J8</f>
        <v>PAID</v>
      </c>
      <c r="O8" s="100" t="s">
        <v>668</v>
      </c>
      <c r="P8" s="100" t="str">
        <f>+L8</f>
        <v>SPLM$</v>
      </c>
      <c r="Q8" s="98" t="str">
        <f>+M8</f>
        <v>SENT</v>
      </c>
      <c r="R8" s="98" t="str">
        <f>+N8</f>
        <v>PAID</v>
      </c>
    </row>
    <row r="9" spans="1:22" ht="18.95" customHeight="1" thickTop="1">
      <c r="B9" s="470"/>
      <c r="C9" s="96">
        <v>2000</v>
      </c>
      <c r="D9" s="63">
        <v>1200</v>
      </c>
      <c r="E9" s="96"/>
      <c r="F9" s="63"/>
      <c r="G9" s="96"/>
      <c r="H9" s="63"/>
      <c r="I9" s="96"/>
      <c r="J9" s="95"/>
      <c r="K9" s="94"/>
      <c r="L9" s="95"/>
      <c r="M9" s="94"/>
      <c r="N9" s="95"/>
      <c r="O9" s="94"/>
      <c r="P9" s="95"/>
      <c r="Q9" s="94"/>
      <c r="R9" s="95"/>
    </row>
    <row r="10" spans="1:22" ht="18.95" customHeight="1" thickBot="1">
      <c r="A10" s="97">
        <v>12</v>
      </c>
      <c r="B10" s="103" t="str">
        <f>+ALL!$D$12</f>
        <v>date of loss</v>
      </c>
      <c r="C10" s="96"/>
      <c r="D10" s="63"/>
      <c r="E10" s="96"/>
      <c r="F10" s="63"/>
      <c r="G10" s="96"/>
      <c r="H10" s="63"/>
      <c r="I10" s="96"/>
      <c r="J10" s="95"/>
      <c r="K10" s="94"/>
      <c r="L10" s="95"/>
      <c r="M10" s="94"/>
      <c r="N10" s="95"/>
      <c r="O10" s="94"/>
      <c r="P10" s="95"/>
      <c r="Q10" s="94"/>
      <c r="R10" s="95"/>
    </row>
    <row r="11" spans="1:22" ht="18.95" customHeight="1" thickTop="1" thickBot="1">
      <c r="A11" s="97">
        <v>27</v>
      </c>
      <c r="B11" s="154">
        <f>+ALL!$D$27</f>
        <v>35</v>
      </c>
      <c r="C11" s="100" t="s">
        <v>670</v>
      </c>
      <c r="D11" s="100" t="str">
        <f>+P8</f>
        <v>SPLM$</v>
      </c>
      <c r="E11" s="100" t="str">
        <f>+Q8</f>
        <v>SENT</v>
      </c>
      <c r="F11" s="100" t="str">
        <f>+R8</f>
        <v>PAID</v>
      </c>
      <c r="G11" s="101" t="s">
        <v>672</v>
      </c>
      <c r="H11" s="101" t="str">
        <f>+D11</f>
        <v>SPLM$</v>
      </c>
      <c r="I11" s="101" t="str">
        <f>+E11</f>
        <v>SENT</v>
      </c>
      <c r="J11" s="101" t="str">
        <f>+F11</f>
        <v>PAID</v>
      </c>
      <c r="K11" s="100" t="s">
        <v>56</v>
      </c>
      <c r="L11" s="100" t="str">
        <f>+H11</f>
        <v>SPLM$</v>
      </c>
      <c r="M11" s="100" t="str">
        <f>+I11</f>
        <v>SENT</v>
      </c>
      <c r="N11" s="100" t="str">
        <f>+J11</f>
        <v>PAID</v>
      </c>
      <c r="O11" s="99" t="s">
        <v>675</v>
      </c>
      <c r="P11" s="99" t="str">
        <f>+N11</f>
        <v>PAID</v>
      </c>
      <c r="Q11" s="98" t="s">
        <v>524</v>
      </c>
      <c r="R11" s="98" t="str">
        <f>+N11</f>
        <v>PAID</v>
      </c>
    </row>
    <row r="12" spans="1:22" ht="14.1" customHeight="1" thickTop="1">
      <c r="A12" s="97">
        <v>26</v>
      </c>
      <c r="B12" s="480" t="str">
        <f>+ALL!$D$26</f>
        <v>STATE FARM</v>
      </c>
      <c r="C12" s="63"/>
      <c r="D12" s="3"/>
      <c r="E12" s="63"/>
      <c r="F12" s="96"/>
      <c r="G12" s="63"/>
      <c r="H12" s="96"/>
      <c r="I12" s="63"/>
      <c r="J12" s="96"/>
      <c r="K12" s="95"/>
      <c r="L12" s="94"/>
      <c r="M12" s="95"/>
      <c r="N12" s="94"/>
      <c r="O12" s="95"/>
      <c r="P12" s="94"/>
      <c r="Q12" s="95"/>
      <c r="R12" s="94"/>
      <c r="S12" s="116"/>
    </row>
    <row r="13" spans="1:22" ht="21.95" customHeight="1">
      <c r="A13" s="113"/>
      <c r="B13" s="481"/>
      <c r="C13" s="63"/>
      <c r="D13" s="3"/>
      <c r="E13" s="63"/>
      <c r="F13" s="96"/>
      <c r="G13" s="63"/>
      <c r="H13" s="96"/>
      <c r="I13" s="63"/>
      <c r="J13" s="96"/>
      <c r="K13" s="95"/>
      <c r="L13" s="94"/>
      <c r="M13" s="95"/>
      <c r="N13" s="94"/>
      <c r="O13" s="95"/>
      <c r="P13" s="94"/>
      <c r="Q13" s="95"/>
      <c r="R13" s="94"/>
      <c r="S13" s="116"/>
    </row>
    <row r="14" spans="1:22" s="113" customFormat="1" ht="3" customHeight="1" thickBot="1">
      <c r="A14" s="22"/>
      <c r="B14" s="112"/>
      <c r="C14" s="111"/>
      <c r="D14" s="111"/>
      <c r="E14" s="111"/>
      <c r="F14" s="111"/>
      <c r="G14" s="111"/>
      <c r="H14" s="111"/>
      <c r="I14" s="111"/>
      <c r="J14" s="111"/>
      <c r="K14" s="111"/>
      <c r="L14" s="111"/>
      <c r="M14" s="111"/>
      <c r="N14" s="109"/>
      <c r="O14" s="110"/>
      <c r="P14" s="109"/>
      <c r="Q14" s="110"/>
      <c r="R14" s="109"/>
      <c r="S14"/>
      <c r="T14"/>
      <c r="U14"/>
      <c r="V14"/>
    </row>
    <row r="15" spans="1:22" ht="18.95" customHeight="1" thickTop="1" thickBot="1">
      <c r="A15" s="22">
        <f>1+A8</f>
        <v>3</v>
      </c>
      <c r="B15" s="473" t="str">
        <f>+ALL!$E$1</f>
        <v>+</v>
      </c>
      <c r="C15" s="104" t="str">
        <f t="shared" ref="C15:J15" si="1">+C8</f>
        <v>EMS IN$</v>
      </c>
      <c r="D15" s="104" t="str">
        <f t="shared" si="1"/>
        <v>SPLM$</v>
      </c>
      <c r="E15" s="104" t="str">
        <f t="shared" si="1"/>
        <v>SENT</v>
      </c>
      <c r="F15" s="104" t="str">
        <f t="shared" si="1"/>
        <v>PAID</v>
      </c>
      <c r="G15" s="105" t="str">
        <f t="shared" si="1"/>
        <v>EXT EMS$</v>
      </c>
      <c r="H15" s="105" t="str">
        <f t="shared" si="1"/>
        <v>SPLM$</v>
      </c>
      <c r="I15" s="105" t="str">
        <f t="shared" si="1"/>
        <v>SENT</v>
      </c>
      <c r="J15" s="105" t="str">
        <f t="shared" si="1"/>
        <v>PAID</v>
      </c>
      <c r="K15" s="104" t="s">
        <v>666</v>
      </c>
      <c r="L15" s="104" t="str">
        <f>+H15</f>
        <v>SPLM$</v>
      </c>
      <c r="M15" s="104" t="str">
        <f>+I15</f>
        <v>SENT</v>
      </c>
      <c r="N15" s="104" t="str">
        <f>+J15</f>
        <v>PAID</v>
      </c>
      <c r="O15" s="100" t="s">
        <v>668</v>
      </c>
      <c r="P15" s="100" t="str">
        <f>+L15</f>
        <v>SPLM$</v>
      </c>
      <c r="Q15" s="98" t="str">
        <f>+M15</f>
        <v>SENT</v>
      </c>
      <c r="R15" s="98" t="str">
        <f>+N15</f>
        <v>PAID</v>
      </c>
    </row>
    <row r="16" spans="1:22" ht="18.95" customHeight="1" thickTop="1">
      <c r="B16" s="470"/>
      <c r="C16" s="96">
        <v>2000</v>
      </c>
      <c r="D16" s="63">
        <v>1200</v>
      </c>
      <c r="E16" s="96"/>
      <c r="F16" s="63"/>
      <c r="G16" s="96"/>
      <c r="H16" s="63"/>
      <c r="I16" s="96"/>
      <c r="J16" s="95"/>
      <c r="K16" s="94"/>
      <c r="L16" s="95"/>
      <c r="M16" s="94"/>
      <c r="N16" s="95"/>
      <c r="O16" s="94"/>
      <c r="P16" s="95"/>
      <c r="Q16" s="94"/>
      <c r="R16" s="95"/>
    </row>
    <row r="17" spans="1:22" ht="18.95" customHeight="1" thickBot="1">
      <c r="A17" s="97">
        <v>12</v>
      </c>
      <c r="B17" s="103">
        <f>+ALL!$E$12</f>
        <v>44665</v>
      </c>
      <c r="C17" s="96"/>
      <c r="D17" s="63"/>
      <c r="E17" s="96"/>
      <c r="F17" s="63"/>
      <c r="G17" s="96"/>
      <c r="H17" s="63"/>
      <c r="I17" s="96"/>
      <c r="J17" s="95"/>
      <c r="K17" s="94"/>
      <c r="L17" s="95"/>
      <c r="M17" s="94"/>
      <c r="N17" s="95"/>
      <c r="O17" s="94"/>
      <c r="P17" s="95"/>
      <c r="Q17" s="94"/>
      <c r="R17" s="95"/>
    </row>
    <row r="18" spans="1:22" ht="18.95" customHeight="1" thickTop="1" thickBot="1">
      <c r="A18" s="97">
        <v>27</v>
      </c>
      <c r="B18" s="102" t="str">
        <f>+ALL!E27</f>
        <v>CLM #0002332090</v>
      </c>
      <c r="C18" s="100" t="s">
        <v>670</v>
      </c>
      <c r="D18" s="100" t="str">
        <f>+P15</f>
        <v>SPLM$</v>
      </c>
      <c r="E18" s="100" t="str">
        <f>+Q15</f>
        <v>SENT</v>
      </c>
      <c r="F18" s="100" t="str">
        <f>+R15</f>
        <v>PAID</v>
      </c>
      <c r="G18" s="101" t="s">
        <v>672</v>
      </c>
      <c r="H18" s="101" t="str">
        <f>+D18</f>
        <v>SPLM$</v>
      </c>
      <c r="I18" s="101" t="str">
        <f>+E18</f>
        <v>SENT</v>
      </c>
      <c r="J18" s="101" t="str">
        <f>+F18</f>
        <v>PAID</v>
      </c>
      <c r="K18" s="100" t="s">
        <v>56</v>
      </c>
      <c r="L18" s="100" t="str">
        <f>+H18</f>
        <v>SPLM$</v>
      </c>
      <c r="M18" s="100" t="str">
        <f>+I18</f>
        <v>SENT</v>
      </c>
      <c r="N18" s="100" t="str">
        <f>+J18</f>
        <v>PAID</v>
      </c>
      <c r="O18" s="99" t="s">
        <v>675</v>
      </c>
      <c r="P18" s="99" t="str">
        <f>+N18</f>
        <v>PAID</v>
      </c>
      <c r="Q18" s="98" t="s">
        <v>524</v>
      </c>
      <c r="R18" s="98" t="str">
        <f>+N18</f>
        <v>PAID</v>
      </c>
    </row>
    <row r="19" spans="1:22" ht="12" customHeight="1" thickTop="1">
      <c r="A19" s="97">
        <v>26</v>
      </c>
      <c r="B19" s="476" t="str">
        <f>+ALL!E26</f>
        <v>WESTFIELD INS</v>
      </c>
      <c r="C19" s="63"/>
      <c r="D19" s="3"/>
      <c r="E19" s="63"/>
      <c r="F19" s="96"/>
      <c r="G19" s="63"/>
      <c r="H19" s="96"/>
      <c r="I19" s="63"/>
      <c r="J19" s="96"/>
      <c r="K19" s="95"/>
      <c r="L19" s="94"/>
      <c r="M19" s="95"/>
      <c r="N19" s="94"/>
      <c r="O19" s="95"/>
      <c r="P19" s="94"/>
      <c r="Q19" s="95"/>
      <c r="R19" s="94"/>
    </row>
    <row r="20" spans="1:22" ht="18.95" customHeight="1" thickBot="1">
      <c r="B20" s="477"/>
      <c r="C20" s="63"/>
      <c r="D20" s="3"/>
      <c r="E20" s="63"/>
      <c r="F20" s="96"/>
      <c r="G20" s="63"/>
      <c r="H20" s="96"/>
      <c r="I20" s="63"/>
      <c r="J20" s="96"/>
      <c r="K20" s="95"/>
      <c r="L20" s="94"/>
      <c r="M20" s="95"/>
      <c r="N20" s="94"/>
      <c r="O20" s="95"/>
      <c r="P20" s="94"/>
      <c r="Q20" s="95"/>
      <c r="R20" s="94"/>
    </row>
    <row r="21" spans="1:22" ht="3" customHeight="1" thickTop="1" thickBot="1">
      <c r="B21" s="107"/>
      <c r="C21" s="106"/>
      <c r="D21" s="106"/>
      <c r="E21" s="106"/>
      <c r="F21" s="106"/>
      <c r="G21" s="106"/>
      <c r="H21" s="106"/>
      <c r="I21" s="106"/>
      <c r="J21" s="106"/>
      <c r="K21" s="106"/>
      <c r="L21" s="106"/>
      <c r="M21" s="106"/>
      <c r="N21" s="106"/>
      <c r="O21" s="106"/>
      <c r="P21" s="106"/>
      <c r="Q21" s="106"/>
      <c r="R21" s="106"/>
      <c r="S21" s="7"/>
      <c r="T21" s="7"/>
      <c r="U21" s="7"/>
      <c r="V21" s="7"/>
    </row>
    <row r="22" spans="1:22" ht="18.95" customHeight="1" thickTop="1" thickBot="1">
      <c r="A22" s="22">
        <f>1+A15</f>
        <v>4</v>
      </c>
      <c r="B22" s="473">
        <f>+ALL!F1</f>
        <v>0</v>
      </c>
      <c r="C22" s="104" t="str">
        <f t="shared" ref="C22:J22" si="2">+C15</f>
        <v>EMS IN$</v>
      </c>
      <c r="D22" s="104" t="str">
        <f t="shared" si="2"/>
        <v>SPLM$</v>
      </c>
      <c r="E22" s="104" t="str">
        <f t="shared" si="2"/>
        <v>SENT</v>
      </c>
      <c r="F22" s="104" t="str">
        <f t="shared" si="2"/>
        <v>PAID</v>
      </c>
      <c r="G22" s="105" t="str">
        <f t="shared" si="2"/>
        <v>EXT EMS$</v>
      </c>
      <c r="H22" s="105" t="str">
        <f t="shared" si="2"/>
        <v>SPLM$</v>
      </c>
      <c r="I22" s="105" t="str">
        <f t="shared" si="2"/>
        <v>SENT</v>
      </c>
      <c r="J22" s="105" t="str">
        <f t="shared" si="2"/>
        <v>PAID</v>
      </c>
      <c r="K22" s="104" t="s">
        <v>666</v>
      </c>
      <c r="L22" s="104" t="str">
        <f>+H22</f>
        <v>SPLM$</v>
      </c>
      <c r="M22" s="104" t="str">
        <f>+I22</f>
        <v>SENT</v>
      </c>
      <c r="N22" s="104" t="str">
        <f>+J22</f>
        <v>PAID</v>
      </c>
      <c r="O22" s="100" t="s">
        <v>668</v>
      </c>
      <c r="P22" s="100" t="str">
        <f>+L22</f>
        <v>SPLM$</v>
      </c>
      <c r="Q22" s="98" t="str">
        <f>+M22</f>
        <v>SENT</v>
      </c>
      <c r="R22" s="98" t="str">
        <f>+N22</f>
        <v>PAID</v>
      </c>
    </row>
    <row r="23" spans="1:22" ht="14.1" customHeight="1" thickTop="1">
      <c r="B23" s="470"/>
      <c r="C23" s="96">
        <v>2000</v>
      </c>
      <c r="D23" s="63">
        <v>1200</v>
      </c>
      <c r="E23" s="96"/>
      <c r="F23" s="63"/>
      <c r="G23" s="96"/>
      <c r="H23" s="63"/>
      <c r="I23" s="96"/>
      <c r="J23" s="95"/>
      <c r="K23" s="94"/>
      <c r="L23" s="95"/>
      <c r="M23" s="94"/>
      <c r="N23" s="95"/>
      <c r="O23" s="94"/>
      <c r="P23" s="95"/>
      <c r="Q23" s="94"/>
      <c r="R23" s="95"/>
    </row>
    <row r="24" spans="1:22" ht="18.95" customHeight="1" thickBot="1">
      <c r="A24" s="97">
        <v>12</v>
      </c>
      <c r="B24" s="103">
        <f>+ALL!F12</f>
        <v>0</v>
      </c>
      <c r="C24" s="96"/>
      <c r="D24" s="63"/>
      <c r="E24" s="96"/>
      <c r="F24" s="63"/>
      <c r="G24" s="96"/>
      <c r="H24" s="63"/>
      <c r="I24" s="96"/>
      <c r="J24" s="95"/>
      <c r="K24" s="94"/>
      <c r="L24" s="95"/>
      <c r="M24" s="94"/>
      <c r="N24" s="95"/>
      <c r="O24" s="94"/>
      <c r="P24" s="95"/>
      <c r="Q24" s="94"/>
      <c r="R24" s="95"/>
    </row>
    <row r="25" spans="1:22" ht="18.95" customHeight="1" thickTop="1" thickBot="1">
      <c r="A25" s="97">
        <v>27</v>
      </c>
      <c r="B25" s="102">
        <f>+ALL!F27</f>
        <v>0</v>
      </c>
      <c r="C25" s="100" t="s">
        <v>670</v>
      </c>
      <c r="D25" s="100" t="str">
        <f>+P22</f>
        <v>SPLM$</v>
      </c>
      <c r="E25" s="100" t="str">
        <f>+Q22</f>
        <v>SENT</v>
      </c>
      <c r="F25" s="100" t="str">
        <f>+R22</f>
        <v>PAID</v>
      </c>
      <c r="G25" s="101" t="s">
        <v>672</v>
      </c>
      <c r="H25" s="101" t="str">
        <f>+D25</f>
        <v>SPLM$</v>
      </c>
      <c r="I25" s="101" t="str">
        <f>+E25</f>
        <v>SENT</v>
      </c>
      <c r="J25" s="101" t="str">
        <f>+F25</f>
        <v>PAID</v>
      </c>
      <c r="K25" s="100" t="s">
        <v>56</v>
      </c>
      <c r="L25" s="100" t="str">
        <f>+H25</f>
        <v>SPLM$</v>
      </c>
      <c r="M25" s="100" t="str">
        <f>+I25</f>
        <v>SENT</v>
      </c>
      <c r="N25" s="100" t="str">
        <f>+J25</f>
        <v>PAID</v>
      </c>
      <c r="O25" s="99" t="s">
        <v>675</v>
      </c>
      <c r="P25" s="99" t="str">
        <f>+N25</f>
        <v>PAID</v>
      </c>
      <c r="Q25" s="98" t="s">
        <v>524</v>
      </c>
      <c r="R25" s="98" t="str">
        <f>+N25</f>
        <v>PAID</v>
      </c>
    </row>
    <row r="26" spans="1:22" ht="18.95" customHeight="1" thickTop="1">
      <c r="A26" s="97">
        <v>26</v>
      </c>
      <c r="B26" s="466">
        <f>+ALL!F26</f>
        <v>0</v>
      </c>
      <c r="C26" s="63"/>
      <c r="D26" s="3"/>
      <c r="E26" s="63"/>
      <c r="F26" s="96"/>
      <c r="G26" s="63"/>
      <c r="H26" s="96"/>
      <c r="I26" s="63"/>
      <c r="J26" s="96"/>
      <c r="K26" s="95"/>
      <c r="L26" s="94"/>
      <c r="M26" s="95"/>
      <c r="N26" s="94"/>
      <c r="O26" s="95"/>
      <c r="P26" s="94"/>
      <c r="Q26" s="95"/>
      <c r="R26" s="94"/>
      <c r="S26" s="116"/>
    </row>
    <row r="27" spans="1:22" ht="14.1" customHeight="1" thickBot="1">
      <c r="B27" s="467"/>
      <c r="C27" s="63"/>
      <c r="D27" s="3"/>
      <c r="E27" s="63"/>
      <c r="F27" s="96"/>
      <c r="G27" s="63"/>
      <c r="H27" s="96"/>
      <c r="I27" s="63"/>
      <c r="J27" s="96"/>
      <c r="K27" s="95"/>
      <c r="L27" s="94"/>
      <c r="M27" s="95"/>
      <c r="N27" s="94"/>
      <c r="O27" s="95"/>
      <c r="P27" s="94"/>
      <c r="Q27" s="95"/>
      <c r="R27" s="94"/>
      <c r="S27" s="116"/>
    </row>
    <row r="28" spans="1:22" ht="3" customHeight="1" thickTop="1" thickBot="1">
      <c r="B28" s="107"/>
      <c r="C28" s="106"/>
      <c r="D28" s="106"/>
      <c r="E28" s="106"/>
      <c r="F28" s="106"/>
      <c r="G28" s="106"/>
      <c r="H28" s="106"/>
      <c r="I28" s="106"/>
      <c r="J28" s="106"/>
      <c r="K28" s="106"/>
      <c r="L28" s="106"/>
      <c r="M28" s="106"/>
      <c r="N28" s="106"/>
      <c r="O28" s="106"/>
      <c r="P28" s="106"/>
      <c r="Q28" s="106"/>
      <c r="R28" s="106"/>
      <c r="S28" s="7"/>
      <c r="T28" s="7"/>
      <c r="U28" s="7"/>
      <c r="V28" s="7"/>
    </row>
    <row r="29" spans="1:22" ht="18.95" customHeight="1" thickTop="1" thickBot="1">
      <c r="A29" s="22">
        <f>1+A22</f>
        <v>5</v>
      </c>
      <c r="B29" s="468">
        <f>+ALL!G$1</f>
        <v>0</v>
      </c>
      <c r="C29" s="104" t="str">
        <f t="shared" ref="C29:J29" si="3">+C22</f>
        <v>EMS IN$</v>
      </c>
      <c r="D29" s="104" t="str">
        <f t="shared" si="3"/>
        <v>SPLM$</v>
      </c>
      <c r="E29" s="104" t="str">
        <f t="shared" si="3"/>
        <v>SENT</v>
      </c>
      <c r="F29" s="104" t="str">
        <f t="shared" si="3"/>
        <v>PAID</v>
      </c>
      <c r="G29" s="105" t="str">
        <f t="shared" si="3"/>
        <v>EXT EMS$</v>
      </c>
      <c r="H29" s="105" t="str">
        <f t="shared" si="3"/>
        <v>SPLM$</v>
      </c>
      <c r="I29" s="105" t="str">
        <f t="shared" si="3"/>
        <v>SENT</v>
      </c>
      <c r="J29" s="105" t="str">
        <f t="shared" si="3"/>
        <v>PAID</v>
      </c>
      <c r="K29" s="104" t="s">
        <v>666</v>
      </c>
      <c r="L29" s="104" t="str">
        <f>+H29</f>
        <v>SPLM$</v>
      </c>
      <c r="M29" s="104" t="str">
        <f>+I29</f>
        <v>SENT</v>
      </c>
      <c r="N29" s="104" t="str">
        <f>+J29</f>
        <v>PAID</v>
      </c>
      <c r="O29" s="100" t="s">
        <v>668</v>
      </c>
      <c r="P29" s="100" t="str">
        <f>+L29</f>
        <v>SPLM$</v>
      </c>
      <c r="Q29" s="98" t="str">
        <f>+M29</f>
        <v>SENT</v>
      </c>
      <c r="R29" s="98" t="str">
        <f>+N29</f>
        <v>PAID</v>
      </c>
    </row>
    <row r="30" spans="1:22" ht="18.95" customHeight="1" thickTop="1">
      <c r="B30" s="469"/>
      <c r="C30" s="96">
        <v>2000</v>
      </c>
      <c r="D30" s="63">
        <v>1200</v>
      </c>
      <c r="E30" s="96"/>
      <c r="F30" s="63"/>
      <c r="G30" s="96"/>
      <c r="H30" s="63"/>
      <c r="I30" s="96"/>
      <c r="J30" s="95"/>
      <c r="K30" s="94"/>
      <c r="L30" s="95"/>
      <c r="M30" s="94"/>
      <c r="N30" s="95"/>
      <c r="O30" s="94"/>
      <c r="P30" s="95"/>
      <c r="Q30" s="94"/>
      <c r="R30" s="95"/>
    </row>
    <row r="31" spans="1:22" ht="18.95" customHeight="1" thickBot="1">
      <c r="A31" s="97">
        <v>12</v>
      </c>
      <c r="B31" s="103">
        <f>+ALL!G12</f>
        <v>0</v>
      </c>
      <c r="C31" s="96"/>
      <c r="D31" s="63"/>
      <c r="E31" s="96"/>
      <c r="F31" s="63"/>
      <c r="G31" s="96"/>
      <c r="H31" s="63"/>
      <c r="I31" s="96"/>
      <c r="J31" s="95"/>
      <c r="K31" s="94"/>
      <c r="L31" s="95"/>
      <c r="M31" s="94"/>
      <c r="N31" s="95"/>
      <c r="O31" s="94"/>
      <c r="P31" s="95"/>
      <c r="Q31" s="94"/>
      <c r="R31" s="95"/>
    </row>
    <row r="32" spans="1:22" ht="18.95" customHeight="1" thickTop="1" thickBot="1">
      <c r="A32" s="97">
        <v>27</v>
      </c>
      <c r="B32" s="102">
        <f>+ALL!G27</f>
        <v>0</v>
      </c>
      <c r="C32" s="100" t="s">
        <v>670</v>
      </c>
      <c r="D32" s="100" t="str">
        <f>+P29</f>
        <v>SPLM$</v>
      </c>
      <c r="E32" s="100" t="str">
        <f>+Q29</f>
        <v>SENT</v>
      </c>
      <c r="F32" s="100" t="str">
        <f>+R29</f>
        <v>PAID</v>
      </c>
      <c r="G32" s="101" t="s">
        <v>672</v>
      </c>
      <c r="H32" s="101" t="str">
        <f>+D32</f>
        <v>SPLM$</v>
      </c>
      <c r="I32" s="101" t="str">
        <f>+E32</f>
        <v>SENT</v>
      </c>
      <c r="J32" s="101" t="str">
        <f>+F32</f>
        <v>PAID</v>
      </c>
      <c r="K32" s="100" t="s">
        <v>56</v>
      </c>
      <c r="L32" s="100" t="str">
        <f>+H32</f>
        <v>SPLM$</v>
      </c>
      <c r="M32" s="100" t="str">
        <f>+I32</f>
        <v>SENT</v>
      </c>
      <c r="N32" s="100" t="str">
        <f>+J32</f>
        <v>PAID</v>
      </c>
      <c r="O32" s="99" t="s">
        <v>675</v>
      </c>
      <c r="P32" s="99" t="str">
        <f>+N32</f>
        <v>PAID</v>
      </c>
      <c r="Q32" s="98" t="s">
        <v>524</v>
      </c>
      <c r="R32" s="98" t="str">
        <f>+N32</f>
        <v>PAID</v>
      </c>
    </row>
    <row r="33" spans="1:22" ht="15.95" customHeight="1" thickTop="1">
      <c r="A33" s="97">
        <v>26</v>
      </c>
      <c r="B33" s="476">
        <f>+ALL!G26</f>
        <v>0</v>
      </c>
      <c r="C33" s="63"/>
      <c r="D33" s="3"/>
      <c r="E33" s="63"/>
      <c r="F33" s="96"/>
      <c r="G33" s="63"/>
      <c r="H33" s="96"/>
      <c r="I33" s="63"/>
      <c r="J33" s="96"/>
      <c r="K33" s="95"/>
      <c r="L33" s="94"/>
      <c r="M33" s="95"/>
      <c r="N33" s="94"/>
      <c r="O33" s="95"/>
      <c r="P33" s="94"/>
      <c r="Q33" s="95"/>
      <c r="R33" s="94"/>
      <c r="S33" s="116"/>
    </row>
    <row r="34" spans="1:22" ht="15.95" customHeight="1" thickBot="1">
      <c r="B34" s="477"/>
      <c r="C34" s="63"/>
      <c r="D34" s="3"/>
      <c r="E34" s="63"/>
      <c r="F34" s="96"/>
      <c r="G34" s="63"/>
      <c r="H34" s="96"/>
      <c r="I34" s="63"/>
      <c r="J34" s="96"/>
      <c r="K34" s="95"/>
      <c r="L34" s="94"/>
      <c r="M34" s="95"/>
      <c r="N34" s="94"/>
      <c r="O34" s="95"/>
      <c r="P34" s="94"/>
      <c r="Q34" s="95"/>
      <c r="R34" s="94"/>
      <c r="S34" s="116"/>
    </row>
    <row r="35" spans="1:22" ht="3" customHeight="1" thickTop="1" thickBot="1">
      <c r="B35" s="107"/>
      <c r="C35" s="106"/>
      <c r="D35" s="106"/>
      <c r="E35" s="106"/>
      <c r="F35" s="106"/>
      <c r="G35" s="106"/>
      <c r="H35" s="106"/>
      <c r="I35" s="106"/>
      <c r="J35" s="106"/>
      <c r="K35" s="106"/>
      <c r="L35" s="106"/>
      <c r="M35" s="106"/>
      <c r="N35" s="106"/>
      <c r="O35" s="106"/>
      <c r="P35" s="106"/>
      <c r="Q35" s="106"/>
      <c r="R35" s="106"/>
      <c r="S35" s="7"/>
      <c r="T35" s="7"/>
      <c r="U35" s="7"/>
      <c r="V35" s="7"/>
    </row>
    <row r="36" spans="1:22" ht="18.95" customHeight="1" thickTop="1" thickBot="1">
      <c r="A36" s="22">
        <f>1+A29</f>
        <v>6</v>
      </c>
      <c r="B36" s="470">
        <f>+ALL!$H$1</f>
        <v>0</v>
      </c>
      <c r="C36" s="123" t="s">
        <v>651</v>
      </c>
      <c r="D36" s="123" t="s">
        <v>655</v>
      </c>
      <c r="E36" s="126" t="s">
        <v>658</v>
      </c>
      <c r="F36" s="123" t="s">
        <v>464</v>
      </c>
      <c r="G36" s="125" t="s">
        <v>664</v>
      </c>
      <c r="H36" s="124" t="str">
        <f>+D36</f>
        <v>SPLM$</v>
      </c>
      <c r="I36" s="124" t="str">
        <f>+E36</f>
        <v>SENT</v>
      </c>
      <c r="J36" s="124" t="str">
        <f>+F36</f>
        <v>PAID</v>
      </c>
      <c r="K36" s="123" t="s">
        <v>666</v>
      </c>
      <c r="L36" s="123" t="str">
        <f>+H36</f>
        <v>SPLM$</v>
      </c>
      <c r="M36" s="123" t="str">
        <f>+I36</f>
        <v>SENT</v>
      </c>
      <c r="N36" s="123" t="str">
        <f>+J36</f>
        <v>PAID</v>
      </c>
      <c r="O36" s="120" t="s">
        <v>668</v>
      </c>
      <c r="P36" s="120" t="str">
        <f>+L36</f>
        <v>SPLM$</v>
      </c>
      <c r="Q36" s="123" t="str">
        <f>+M36</f>
        <v>SENT</v>
      </c>
      <c r="R36" s="123" t="str">
        <f>+N36</f>
        <v>PAID</v>
      </c>
    </row>
    <row r="37" spans="1:22" ht="18.95" customHeight="1" thickTop="1">
      <c r="B37" s="470"/>
      <c r="C37" s="117">
        <v>2000</v>
      </c>
      <c r="D37" s="61">
        <v>1200</v>
      </c>
      <c r="E37" s="117"/>
      <c r="F37" s="61"/>
      <c r="G37" s="117"/>
      <c r="H37" s="61"/>
      <c r="I37" s="117"/>
      <c r="J37" s="116"/>
      <c r="K37" s="115"/>
      <c r="L37" s="116"/>
      <c r="M37" s="115"/>
      <c r="N37" s="116"/>
      <c r="O37" s="115"/>
      <c r="P37" s="116"/>
      <c r="Q37" s="115"/>
      <c r="R37" s="116"/>
    </row>
    <row r="38" spans="1:22" ht="18.95" customHeight="1" thickBot="1">
      <c r="A38" s="97">
        <v>12</v>
      </c>
      <c r="B38" s="103">
        <f>+ALL!$H$12</f>
        <v>0</v>
      </c>
      <c r="C38" s="117"/>
      <c r="D38" s="61"/>
      <c r="E38" s="117"/>
      <c r="F38" s="61"/>
      <c r="G38" s="117"/>
      <c r="H38" s="61"/>
      <c r="I38" s="117"/>
      <c r="J38" s="116"/>
      <c r="K38" s="115"/>
      <c r="L38" s="116"/>
      <c r="M38" s="115"/>
      <c r="N38" s="116"/>
      <c r="O38" s="115"/>
      <c r="P38" s="116"/>
      <c r="Q38" s="115"/>
      <c r="R38" s="116"/>
    </row>
    <row r="39" spans="1:22" ht="18.95" customHeight="1" thickTop="1" thickBot="1">
      <c r="A39" s="97">
        <v>27</v>
      </c>
      <c r="B39" s="122">
        <f>+ALL!$H$27</f>
        <v>0</v>
      </c>
      <c r="C39" s="120" t="s">
        <v>670</v>
      </c>
      <c r="D39" s="120" t="str">
        <f>+P36</f>
        <v>SPLM$</v>
      </c>
      <c r="E39" s="120" t="str">
        <f>+Q36</f>
        <v>SENT</v>
      </c>
      <c r="F39" s="120" t="str">
        <f>+R36</f>
        <v>PAID</v>
      </c>
      <c r="G39" s="121" t="s">
        <v>672</v>
      </c>
      <c r="H39" s="121" t="str">
        <f>+D39</f>
        <v>SPLM$</v>
      </c>
      <c r="I39" s="121" t="str">
        <f>+E39</f>
        <v>SENT</v>
      </c>
      <c r="J39" s="121" t="str">
        <f>+F39</f>
        <v>PAID</v>
      </c>
      <c r="K39" s="120" t="s">
        <v>56</v>
      </c>
      <c r="L39" s="120" t="str">
        <f>+H39</f>
        <v>SPLM$</v>
      </c>
      <c r="M39" s="120" t="str">
        <f>+I39</f>
        <v>SENT</v>
      </c>
      <c r="N39" s="120" t="str">
        <f>+J39</f>
        <v>PAID</v>
      </c>
      <c r="O39" s="119" t="s">
        <v>675</v>
      </c>
      <c r="P39" s="119" t="str">
        <f>+N39</f>
        <v>PAID</v>
      </c>
      <c r="Q39" s="118" t="s">
        <v>524</v>
      </c>
      <c r="R39" s="118" t="str">
        <f>+N39</f>
        <v>PAID</v>
      </c>
    </row>
    <row r="40" spans="1:22" ht="18.95" customHeight="1" thickTop="1">
      <c r="A40" s="97">
        <v>26</v>
      </c>
      <c r="B40" s="471">
        <f>+ALL!$H$26</f>
        <v>0</v>
      </c>
      <c r="C40" s="61"/>
      <c r="E40" s="61"/>
      <c r="F40" s="117"/>
      <c r="G40" s="61"/>
      <c r="H40" s="117"/>
      <c r="I40" s="61"/>
      <c r="J40" s="117"/>
      <c r="K40" s="116"/>
      <c r="L40" s="115"/>
      <c r="M40" s="116"/>
      <c r="N40" s="115"/>
      <c r="O40" s="116"/>
      <c r="P40" s="115"/>
      <c r="Q40" s="116"/>
      <c r="R40" s="115"/>
    </row>
    <row r="41" spans="1:22" ht="18.95" customHeight="1">
      <c r="B41" s="472"/>
      <c r="C41" s="61"/>
      <c r="E41" s="61"/>
      <c r="F41" s="117"/>
      <c r="G41" s="61"/>
      <c r="H41" s="117"/>
      <c r="I41" s="61"/>
      <c r="J41" s="117"/>
      <c r="K41" s="116"/>
      <c r="L41" s="115"/>
      <c r="M41" s="116"/>
      <c r="N41" s="115"/>
      <c r="O41" s="116"/>
      <c r="P41" s="115"/>
      <c r="Q41" s="116"/>
      <c r="R41" s="115"/>
    </row>
    <row r="42" spans="1:22" ht="3" customHeight="1" thickBot="1">
      <c r="B42" s="112"/>
      <c r="C42" s="111"/>
      <c r="D42" s="111"/>
      <c r="E42" s="111"/>
      <c r="F42" s="111"/>
      <c r="G42" s="111"/>
      <c r="H42" s="111"/>
      <c r="I42" s="111"/>
      <c r="J42" s="111"/>
      <c r="K42" s="111"/>
      <c r="L42" s="111"/>
      <c r="M42" s="111"/>
      <c r="N42" s="109"/>
      <c r="O42" s="110"/>
      <c r="P42" s="109"/>
      <c r="Q42" s="110"/>
      <c r="R42" s="109"/>
    </row>
    <row r="43" spans="1:22" ht="18.95" customHeight="1" thickTop="1" thickBot="1">
      <c r="A43" s="22">
        <f>1+A36</f>
        <v>7</v>
      </c>
      <c r="B43" s="473">
        <f>+ALL!$I$1</f>
        <v>0</v>
      </c>
      <c r="C43" s="104" t="str">
        <f t="shared" ref="C43:J43" si="4">+C36</f>
        <v>EMS IN$</v>
      </c>
      <c r="D43" s="104" t="str">
        <f t="shared" si="4"/>
        <v>SPLM$</v>
      </c>
      <c r="E43" s="104" t="str">
        <f t="shared" si="4"/>
        <v>SENT</v>
      </c>
      <c r="F43" s="104" t="str">
        <f t="shared" si="4"/>
        <v>PAID</v>
      </c>
      <c r="G43" s="105" t="str">
        <f t="shared" si="4"/>
        <v>EXT EMS$</v>
      </c>
      <c r="H43" s="105" t="str">
        <f t="shared" si="4"/>
        <v>SPLM$</v>
      </c>
      <c r="I43" s="105" t="str">
        <f t="shared" si="4"/>
        <v>SENT</v>
      </c>
      <c r="J43" s="105" t="str">
        <f t="shared" si="4"/>
        <v>PAID</v>
      </c>
      <c r="K43" s="104" t="s">
        <v>666</v>
      </c>
      <c r="L43" s="104" t="str">
        <f>+H43</f>
        <v>SPLM$</v>
      </c>
      <c r="M43" s="104" t="str">
        <f>+I43</f>
        <v>SENT</v>
      </c>
      <c r="N43" s="104" t="str">
        <f>+J43</f>
        <v>PAID</v>
      </c>
      <c r="O43" s="100" t="s">
        <v>668</v>
      </c>
      <c r="P43" s="100" t="str">
        <f>+L43</f>
        <v>SPLM$</v>
      </c>
      <c r="Q43" s="98" t="str">
        <f>+M43</f>
        <v>SENT</v>
      </c>
      <c r="R43" s="98" t="str">
        <f>+N43</f>
        <v>PAID</v>
      </c>
    </row>
    <row r="44" spans="1:22" ht="18.95" customHeight="1" thickTop="1">
      <c r="B44" s="470"/>
      <c r="C44" s="96">
        <v>2000</v>
      </c>
      <c r="D44" s="63">
        <v>1200</v>
      </c>
      <c r="E44" s="96"/>
      <c r="F44" s="63"/>
      <c r="G44" s="96"/>
      <c r="H44" s="63"/>
      <c r="I44" s="96"/>
      <c r="J44" s="95"/>
      <c r="K44" s="94"/>
      <c r="L44" s="95"/>
      <c r="M44" s="94"/>
      <c r="N44" s="95"/>
      <c r="O44" s="94"/>
      <c r="P44" s="95"/>
      <c r="Q44" s="94"/>
      <c r="R44" s="95"/>
    </row>
    <row r="45" spans="1:22" ht="18.95" customHeight="1" thickBot="1">
      <c r="A45" s="97">
        <v>12</v>
      </c>
      <c r="B45" s="103">
        <f>+ALL!$I$12</f>
        <v>0</v>
      </c>
      <c r="C45" s="96"/>
      <c r="D45" s="63"/>
      <c r="E45" s="96"/>
      <c r="F45" s="63"/>
      <c r="G45" s="96"/>
      <c r="H45" s="63"/>
      <c r="I45" s="96"/>
      <c r="J45" s="95"/>
      <c r="K45" s="94"/>
      <c r="L45" s="95"/>
      <c r="M45" s="94"/>
      <c r="N45" s="95"/>
      <c r="O45" s="94"/>
      <c r="P45" s="95"/>
      <c r="Q45" s="94"/>
      <c r="R45" s="95"/>
    </row>
    <row r="46" spans="1:22" ht="18.95" customHeight="1" thickTop="1" thickBot="1">
      <c r="A46" s="97">
        <v>27</v>
      </c>
      <c r="B46" s="114">
        <f>+ALL!$I$27</f>
        <v>0</v>
      </c>
      <c r="C46" s="100" t="s">
        <v>670</v>
      </c>
      <c r="D46" s="100" t="str">
        <f>+P43</f>
        <v>SPLM$</v>
      </c>
      <c r="E46" s="100" t="str">
        <f>+Q43</f>
        <v>SENT</v>
      </c>
      <c r="F46" s="100" t="str">
        <f>+R43</f>
        <v>PAID</v>
      </c>
      <c r="G46" s="101" t="s">
        <v>672</v>
      </c>
      <c r="H46" s="101" t="str">
        <f>+D46</f>
        <v>SPLM$</v>
      </c>
      <c r="I46" s="101" t="str">
        <f>+E46</f>
        <v>SENT</v>
      </c>
      <c r="J46" s="101" t="str">
        <f>+F46</f>
        <v>PAID</v>
      </c>
      <c r="K46" s="100" t="s">
        <v>56</v>
      </c>
      <c r="L46" s="100" t="str">
        <f>+H46</f>
        <v>SPLM$</v>
      </c>
      <c r="M46" s="100" t="str">
        <f>+I46</f>
        <v>SENT</v>
      </c>
      <c r="N46" s="100" t="str">
        <f>+J46</f>
        <v>PAID</v>
      </c>
      <c r="O46" s="99" t="s">
        <v>675</v>
      </c>
      <c r="P46" s="99" t="str">
        <f>+N46</f>
        <v>PAID</v>
      </c>
      <c r="Q46" s="98" t="s">
        <v>524</v>
      </c>
      <c r="R46" s="98" t="str">
        <f>+N46</f>
        <v>PAID</v>
      </c>
    </row>
    <row r="47" spans="1:22" ht="18.95" customHeight="1" thickTop="1">
      <c r="A47" s="97">
        <v>26</v>
      </c>
      <c r="B47" s="471">
        <f>+ALL!$I$26</f>
        <v>0</v>
      </c>
      <c r="C47" s="63"/>
      <c r="D47" s="3"/>
      <c r="E47" s="63"/>
      <c r="F47" s="96"/>
      <c r="G47" s="63"/>
      <c r="H47" s="96"/>
      <c r="I47" s="63"/>
      <c r="J47" s="96"/>
      <c r="K47" s="95"/>
      <c r="L47" s="94"/>
      <c r="M47" s="95"/>
      <c r="N47" s="94"/>
      <c r="O47" s="95"/>
      <c r="P47" s="94"/>
      <c r="Q47" s="95"/>
      <c r="R47" s="94"/>
    </row>
    <row r="48" spans="1:22" ht="18.95" customHeight="1">
      <c r="B48" s="472"/>
      <c r="C48" s="63"/>
      <c r="D48" s="3"/>
      <c r="E48" s="63"/>
      <c r="F48" s="96"/>
      <c r="G48" s="63"/>
      <c r="H48" s="96"/>
      <c r="I48" s="63"/>
      <c r="J48" s="96"/>
      <c r="K48" s="95"/>
      <c r="L48" s="94"/>
      <c r="M48" s="95"/>
      <c r="N48" s="94"/>
      <c r="O48" s="95"/>
      <c r="P48" s="94"/>
      <c r="Q48" s="95"/>
      <c r="R48" s="94"/>
    </row>
    <row r="49" spans="1:18" ht="3" customHeight="1" thickBot="1">
      <c r="A49" s="113"/>
      <c r="B49" s="112"/>
      <c r="C49" s="111"/>
      <c r="D49" s="111"/>
      <c r="E49" s="111"/>
      <c r="F49" s="111"/>
      <c r="G49" s="111"/>
      <c r="H49" s="111"/>
      <c r="I49" s="111"/>
      <c r="J49" s="111"/>
      <c r="K49" s="111"/>
      <c r="L49" s="111"/>
      <c r="M49" s="111"/>
      <c r="N49" s="109"/>
      <c r="O49" s="110"/>
      <c r="P49" s="109"/>
      <c r="Q49" s="110"/>
      <c r="R49" s="109"/>
    </row>
    <row r="50" spans="1:18" ht="18.95" customHeight="1" thickTop="1" thickBot="1">
      <c r="A50" s="22">
        <f>1+A43</f>
        <v>8</v>
      </c>
      <c r="B50" s="473">
        <f>+ALL!$J$1</f>
        <v>0</v>
      </c>
      <c r="C50" s="104" t="str">
        <f t="shared" ref="C50:J50" si="5">+C43</f>
        <v>EMS IN$</v>
      </c>
      <c r="D50" s="104" t="str">
        <f t="shared" si="5"/>
        <v>SPLM$</v>
      </c>
      <c r="E50" s="104" t="str">
        <f t="shared" si="5"/>
        <v>SENT</v>
      </c>
      <c r="F50" s="104" t="str">
        <f t="shared" si="5"/>
        <v>PAID</v>
      </c>
      <c r="G50" s="105" t="str">
        <f t="shared" si="5"/>
        <v>EXT EMS$</v>
      </c>
      <c r="H50" s="105" t="str">
        <f t="shared" si="5"/>
        <v>SPLM$</v>
      </c>
      <c r="I50" s="105" t="str">
        <f t="shared" si="5"/>
        <v>SENT</v>
      </c>
      <c r="J50" s="105" t="str">
        <f t="shared" si="5"/>
        <v>PAID</v>
      </c>
      <c r="K50" s="104" t="s">
        <v>666</v>
      </c>
      <c r="L50" s="104" t="str">
        <f>+H50</f>
        <v>SPLM$</v>
      </c>
      <c r="M50" s="104" t="str">
        <f>+I50</f>
        <v>SENT</v>
      </c>
      <c r="N50" s="104" t="str">
        <f>+J50</f>
        <v>PAID</v>
      </c>
      <c r="O50" s="100" t="s">
        <v>668</v>
      </c>
      <c r="P50" s="100" t="str">
        <f>+L50</f>
        <v>SPLM$</v>
      </c>
      <c r="Q50" s="98" t="str">
        <f>+M50</f>
        <v>SENT</v>
      </c>
      <c r="R50" s="98" t="str">
        <f>+N50</f>
        <v>PAID</v>
      </c>
    </row>
    <row r="51" spans="1:18" ht="18.95" customHeight="1" thickTop="1">
      <c r="B51" s="470"/>
      <c r="C51" s="96">
        <v>2000</v>
      </c>
      <c r="D51" s="63">
        <v>1200</v>
      </c>
      <c r="E51" s="96"/>
      <c r="F51" s="63"/>
      <c r="G51" s="96"/>
      <c r="H51" s="63"/>
      <c r="I51" s="96"/>
      <c r="J51" s="95"/>
      <c r="K51" s="94"/>
      <c r="L51" s="95"/>
      <c r="M51" s="94"/>
      <c r="N51" s="95"/>
      <c r="O51" s="94"/>
      <c r="P51" s="95"/>
      <c r="Q51" s="94"/>
      <c r="R51" s="95"/>
    </row>
    <row r="52" spans="1:18" ht="18.95" customHeight="1" thickBot="1">
      <c r="A52" s="97">
        <v>12</v>
      </c>
      <c r="B52" s="103">
        <f>+ALL!$J$12</f>
        <v>0</v>
      </c>
      <c r="C52" s="96"/>
      <c r="D52" s="63"/>
      <c r="E52" s="96"/>
      <c r="F52" s="63"/>
      <c r="G52" s="96"/>
      <c r="H52" s="63"/>
      <c r="I52" s="96"/>
      <c r="J52" s="95"/>
      <c r="K52" s="94"/>
      <c r="L52" s="95"/>
      <c r="M52" s="94"/>
      <c r="N52" s="95"/>
      <c r="O52" s="94"/>
      <c r="P52" s="95"/>
      <c r="Q52" s="94"/>
      <c r="R52" s="95"/>
    </row>
    <row r="53" spans="1:18" ht="18.95" customHeight="1" thickTop="1" thickBot="1">
      <c r="A53" s="97">
        <v>27</v>
      </c>
      <c r="B53" s="108">
        <f>+ALL!J27</f>
        <v>0</v>
      </c>
      <c r="C53" s="100" t="s">
        <v>670</v>
      </c>
      <c r="D53" s="100" t="str">
        <f>+P50</f>
        <v>SPLM$</v>
      </c>
      <c r="E53" s="100" t="str">
        <f>+Q50</f>
        <v>SENT</v>
      </c>
      <c r="F53" s="100" t="str">
        <f>+R50</f>
        <v>PAID</v>
      </c>
      <c r="G53" s="101" t="s">
        <v>672</v>
      </c>
      <c r="H53" s="101" t="str">
        <f>+D53</f>
        <v>SPLM$</v>
      </c>
      <c r="I53" s="101" t="str">
        <f>+E53</f>
        <v>SENT</v>
      </c>
      <c r="J53" s="101" t="str">
        <f>+F53</f>
        <v>PAID</v>
      </c>
      <c r="K53" s="100" t="s">
        <v>56</v>
      </c>
      <c r="L53" s="100" t="str">
        <f>+H53</f>
        <v>SPLM$</v>
      </c>
      <c r="M53" s="100" t="str">
        <f>+I53</f>
        <v>SENT</v>
      </c>
      <c r="N53" s="100" t="str">
        <f>+J53</f>
        <v>PAID</v>
      </c>
      <c r="O53" s="99" t="s">
        <v>675</v>
      </c>
      <c r="P53" s="99" t="str">
        <f>+N53</f>
        <v>PAID</v>
      </c>
      <c r="Q53" s="98" t="s">
        <v>524</v>
      </c>
      <c r="R53" s="98" t="str">
        <f>+N53</f>
        <v>PAID</v>
      </c>
    </row>
    <row r="54" spans="1:18" ht="18.95" customHeight="1" thickTop="1">
      <c r="A54" s="97">
        <v>26</v>
      </c>
      <c r="B54" s="474">
        <f>+ALL!J26</f>
        <v>0</v>
      </c>
      <c r="C54" s="63"/>
      <c r="D54" s="3"/>
      <c r="E54" s="63"/>
      <c r="F54" s="96"/>
      <c r="G54" s="63"/>
      <c r="H54" s="96"/>
      <c r="I54" s="63"/>
      <c r="J54" s="96"/>
      <c r="K54" s="95"/>
      <c r="L54" s="94"/>
      <c r="M54" s="95"/>
      <c r="N54" s="94"/>
      <c r="O54" s="95"/>
      <c r="P54" s="94"/>
      <c r="Q54" s="95"/>
      <c r="R54" s="94"/>
    </row>
    <row r="55" spans="1:18" ht="18.95" customHeight="1" thickBot="1">
      <c r="B55" s="475"/>
      <c r="C55" s="63"/>
      <c r="D55" s="3"/>
      <c r="E55" s="63"/>
      <c r="F55" s="96"/>
      <c r="G55" s="63"/>
      <c r="H55" s="96"/>
      <c r="I55" s="63"/>
      <c r="J55" s="96"/>
      <c r="K55" s="95"/>
      <c r="L55" s="94"/>
      <c r="M55" s="95"/>
      <c r="N55" s="94"/>
      <c r="O55" s="95"/>
      <c r="P55" s="94"/>
      <c r="Q55" s="95"/>
      <c r="R55" s="94"/>
    </row>
    <row r="56" spans="1:18" ht="3" customHeight="1" thickTop="1" thickBot="1">
      <c r="B56" s="107"/>
      <c r="C56" s="106"/>
      <c r="D56" s="106"/>
      <c r="E56" s="106"/>
      <c r="F56" s="106"/>
      <c r="G56" s="106"/>
      <c r="H56" s="106"/>
      <c r="I56" s="106"/>
      <c r="J56" s="106"/>
      <c r="K56" s="106"/>
      <c r="L56" s="106"/>
      <c r="M56" s="106"/>
      <c r="N56" s="106"/>
      <c r="O56" s="106"/>
      <c r="P56" s="106"/>
      <c r="Q56" s="106"/>
      <c r="R56" s="106"/>
    </row>
    <row r="57" spans="1:18" ht="18.95" customHeight="1" thickTop="1" thickBot="1">
      <c r="A57" s="22">
        <f>1+A50</f>
        <v>9</v>
      </c>
      <c r="B57" s="473">
        <f>+ALL!K1</f>
        <v>0</v>
      </c>
      <c r="C57" s="104" t="str">
        <f t="shared" ref="C57:J57" si="6">+C50</f>
        <v>EMS IN$</v>
      </c>
      <c r="D57" s="104" t="str">
        <f t="shared" si="6"/>
        <v>SPLM$</v>
      </c>
      <c r="E57" s="104" t="str">
        <f t="shared" si="6"/>
        <v>SENT</v>
      </c>
      <c r="F57" s="104" t="str">
        <f t="shared" si="6"/>
        <v>PAID</v>
      </c>
      <c r="G57" s="105" t="str">
        <f t="shared" si="6"/>
        <v>EXT EMS$</v>
      </c>
      <c r="H57" s="105" t="str">
        <f t="shared" si="6"/>
        <v>SPLM$</v>
      </c>
      <c r="I57" s="105" t="str">
        <f t="shared" si="6"/>
        <v>SENT</v>
      </c>
      <c r="J57" s="105" t="str">
        <f t="shared" si="6"/>
        <v>PAID</v>
      </c>
      <c r="K57" s="104" t="s">
        <v>666</v>
      </c>
      <c r="L57" s="104" t="str">
        <f>+H57</f>
        <v>SPLM$</v>
      </c>
      <c r="M57" s="104" t="str">
        <f>+I57</f>
        <v>SENT</v>
      </c>
      <c r="N57" s="104" t="str">
        <f>+J57</f>
        <v>PAID</v>
      </c>
      <c r="O57" s="100" t="s">
        <v>668</v>
      </c>
      <c r="P57" s="100" t="str">
        <f>+L57</f>
        <v>SPLM$</v>
      </c>
      <c r="Q57" s="98" t="str">
        <f>+M57</f>
        <v>SENT</v>
      </c>
      <c r="R57" s="98" t="str">
        <f>+N57</f>
        <v>PAID</v>
      </c>
    </row>
    <row r="58" spans="1:18" ht="18.95" customHeight="1" thickTop="1">
      <c r="B58" s="470"/>
      <c r="C58" s="96">
        <v>2000</v>
      </c>
      <c r="D58" s="63">
        <v>1200</v>
      </c>
      <c r="E58" s="96"/>
      <c r="F58" s="63"/>
      <c r="G58" s="96"/>
      <c r="H58" s="63"/>
      <c r="I58" s="96"/>
      <c r="J58" s="95"/>
      <c r="K58" s="94"/>
      <c r="L58" s="95"/>
      <c r="M58" s="94"/>
      <c r="N58" s="95"/>
      <c r="O58" s="94"/>
      <c r="P58" s="95"/>
      <c r="Q58" s="94"/>
      <c r="R58" s="95"/>
    </row>
    <row r="59" spans="1:18" ht="18.95" customHeight="1" thickBot="1">
      <c r="A59" s="97">
        <v>12</v>
      </c>
      <c r="B59" s="103">
        <f>+ALL!K12</f>
        <v>0</v>
      </c>
      <c r="C59" s="96"/>
      <c r="D59" s="63"/>
      <c r="E59" s="96"/>
      <c r="F59" s="63"/>
      <c r="G59" s="96"/>
      <c r="H59" s="63"/>
      <c r="I59" s="96"/>
      <c r="J59" s="95"/>
      <c r="K59" s="94"/>
      <c r="L59" s="95"/>
      <c r="M59" s="94"/>
      <c r="N59" s="95"/>
      <c r="O59" s="94"/>
      <c r="P59" s="95"/>
      <c r="Q59" s="94"/>
      <c r="R59" s="95"/>
    </row>
    <row r="60" spans="1:18" ht="18.95" customHeight="1" thickTop="1" thickBot="1">
      <c r="A60" s="97">
        <v>27</v>
      </c>
      <c r="B60" s="108">
        <f>+ALL!K27</f>
        <v>0</v>
      </c>
      <c r="C60" s="100" t="s">
        <v>670</v>
      </c>
      <c r="D60" s="100" t="str">
        <f>+P57</f>
        <v>SPLM$</v>
      </c>
      <c r="E60" s="100" t="str">
        <f>+Q57</f>
        <v>SENT</v>
      </c>
      <c r="F60" s="100" t="str">
        <f>+R57</f>
        <v>PAID</v>
      </c>
      <c r="G60" s="101" t="s">
        <v>672</v>
      </c>
      <c r="H60" s="101" t="str">
        <f>+D60</f>
        <v>SPLM$</v>
      </c>
      <c r="I60" s="101" t="str">
        <f>+E60</f>
        <v>SENT</v>
      </c>
      <c r="J60" s="101" t="str">
        <f>+F60</f>
        <v>PAID</v>
      </c>
      <c r="K60" s="100" t="s">
        <v>56</v>
      </c>
      <c r="L60" s="100" t="str">
        <f>+H60</f>
        <v>SPLM$</v>
      </c>
      <c r="M60" s="100" t="str">
        <f>+I60</f>
        <v>SENT</v>
      </c>
      <c r="N60" s="100" t="str">
        <f>+J60</f>
        <v>PAID</v>
      </c>
      <c r="O60" s="99" t="s">
        <v>675</v>
      </c>
      <c r="P60" s="99" t="str">
        <f>+N60</f>
        <v>PAID</v>
      </c>
      <c r="Q60" s="98" t="s">
        <v>524</v>
      </c>
      <c r="R60" s="98" t="str">
        <f>+N60</f>
        <v>PAID</v>
      </c>
    </row>
    <row r="61" spans="1:18" ht="18.95" customHeight="1" thickTop="1">
      <c r="A61" s="97">
        <v>26</v>
      </c>
      <c r="B61" s="466">
        <f>+ALL!K26</f>
        <v>0</v>
      </c>
      <c r="C61" s="63"/>
      <c r="D61" s="3"/>
      <c r="E61" s="63"/>
      <c r="F61" s="96"/>
      <c r="G61" s="63"/>
      <c r="H61" s="96"/>
      <c r="I61" s="63"/>
      <c r="J61" s="96"/>
      <c r="K61" s="95"/>
      <c r="L61" s="94"/>
      <c r="M61" s="95"/>
      <c r="N61" s="94"/>
      <c r="O61" s="95"/>
      <c r="P61" s="94"/>
      <c r="Q61" s="95"/>
      <c r="R61" s="94"/>
    </row>
    <row r="62" spans="1:18" ht="18.95" customHeight="1" thickBot="1">
      <c r="B62" s="467"/>
      <c r="C62" s="63"/>
      <c r="D62" s="3"/>
      <c r="E62" s="63"/>
      <c r="F62" s="96"/>
      <c r="G62" s="63"/>
      <c r="H62" s="96"/>
      <c r="I62" s="63"/>
      <c r="J62" s="96"/>
      <c r="K62" s="95"/>
      <c r="L62" s="94"/>
      <c r="M62" s="95"/>
      <c r="N62" s="94"/>
      <c r="O62" s="95"/>
      <c r="P62" s="94"/>
      <c r="Q62" s="95"/>
      <c r="R62" s="94"/>
    </row>
    <row r="63" spans="1:18" ht="3" customHeight="1" thickTop="1" thickBot="1">
      <c r="B63" s="107"/>
      <c r="C63" s="106"/>
      <c r="D63" s="106"/>
      <c r="E63" s="106"/>
      <c r="F63" s="106"/>
      <c r="G63" s="106"/>
      <c r="H63" s="106"/>
      <c r="I63" s="106"/>
      <c r="J63" s="106"/>
      <c r="K63" s="106"/>
      <c r="L63" s="106"/>
      <c r="M63" s="106"/>
      <c r="N63" s="106"/>
      <c r="O63" s="106"/>
      <c r="P63" s="106"/>
      <c r="Q63" s="106"/>
      <c r="R63" s="106"/>
    </row>
    <row r="64" spans="1:18" ht="18.95" customHeight="1" thickTop="1" thickBot="1">
      <c r="A64" s="22">
        <f>1+A57</f>
        <v>10</v>
      </c>
      <c r="B64" s="468">
        <f>+ALL!M$1</f>
        <v>0</v>
      </c>
      <c r="C64" s="104" t="str">
        <f t="shared" ref="C64:J64" si="7">+C57</f>
        <v>EMS IN$</v>
      </c>
      <c r="D64" s="104" t="str">
        <f t="shared" si="7"/>
        <v>SPLM$</v>
      </c>
      <c r="E64" s="104" t="str">
        <f t="shared" si="7"/>
        <v>SENT</v>
      </c>
      <c r="F64" s="104" t="str">
        <f t="shared" si="7"/>
        <v>PAID</v>
      </c>
      <c r="G64" s="105" t="str">
        <f t="shared" si="7"/>
        <v>EXT EMS$</v>
      </c>
      <c r="H64" s="105" t="str">
        <f t="shared" si="7"/>
        <v>SPLM$</v>
      </c>
      <c r="I64" s="105" t="str">
        <f t="shared" si="7"/>
        <v>SENT</v>
      </c>
      <c r="J64" s="105" t="str">
        <f t="shared" si="7"/>
        <v>PAID</v>
      </c>
      <c r="K64" s="104" t="s">
        <v>666</v>
      </c>
      <c r="L64" s="104" t="str">
        <f>+H64</f>
        <v>SPLM$</v>
      </c>
      <c r="M64" s="104" t="str">
        <f>+I64</f>
        <v>SENT</v>
      </c>
      <c r="N64" s="104" t="str">
        <f>+J64</f>
        <v>PAID</v>
      </c>
      <c r="O64" s="100" t="s">
        <v>668</v>
      </c>
      <c r="P64" s="100" t="str">
        <f>+L64</f>
        <v>SPLM$</v>
      </c>
      <c r="Q64" s="98" t="str">
        <f>+M64</f>
        <v>SENT</v>
      </c>
      <c r="R64" s="98" t="str">
        <f>+N64</f>
        <v>PAID</v>
      </c>
    </row>
    <row r="65" spans="1:18" ht="18.95" customHeight="1" thickTop="1">
      <c r="B65" s="469"/>
      <c r="C65" s="96">
        <v>2000</v>
      </c>
      <c r="D65" s="63">
        <v>1200</v>
      </c>
      <c r="E65" s="96"/>
      <c r="F65" s="63"/>
      <c r="G65" s="96"/>
      <c r="H65" s="63"/>
      <c r="I65" s="96"/>
      <c r="J65" s="95"/>
      <c r="K65" s="94"/>
      <c r="L65" s="95"/>
      <c r="M65" s="94"/>
      <c r="N65" s="95"/>
      <c r="O65" s="94"/>
      <c r="P65" s="95"/>
      <c r="Q65" s="94"/>
      <c r="R65" s="95"/>
    </row>
    <row r="66" spans="1:18" ht="18.95" customHeight="1" thickBot="1">
      <c r="A66" s="97">
        <v>12</v>
      </c>
      <c r="B66" s="103">
        <f>+ALL!L12</f>
        <v>0</v>
      </c>
      <c r="C66" s="96"/>
      <c r="D66" s="63"/>
      <c r="E66" s="96"/>
      <c r="F66" s="63"/>
      <c r="G66" s="96"/>
      <c r="H66" s="63"/>
      <c r="I66" s="96"/>
      <c r="J66" s="95"/>
      <c r="K66" s="94"/>
      <c r="L66" s="95"/>
      <c r="M66" s="94"/>
      <c r="N66" s="95"/>
      <c r="O66" s="94"/>
      <c r="P66" s="95"/>
      <c r="Q66" s="94"/>
      <c r="R66" s="95"/>
    </row>
    <row r="67" spans="1:18" ht="18.95" customHeight="1" thickTop="1" thickBot="1">
      <c r="A67" s="97">
        <v>27</v>
      </c>
      <c r="B67" s="102">
        <f>+ALL!M12</f>
        <v>0</v>
      </c>
      <c r="C67" s="100" t="s">
        <v>670</v>
      </c>
      <c r="D67" s="100" t="str">
        <f>+P64</f>
        <v>SPLM$</v>
      </c>
      <c r="E67" s="100" t="str">
        <f>+Q64</f>
        <v>SENT</v>
      </c>
      <c r="F67" s="100" t="str">
        <f>+R64</f>
        <v>PAID</v>
      </c>
      <c r="G67" s="101" t="s">
        <v>672</v>
      </c>
      <c r="H67" s="101" t="str">
        <f>+D67</f>
        <v>SPLM$</v>
      </c>
      <c r="I67" s="101" t="str">
        <f>+E67</f>
        <v>SENT</v>
      </c>
      <c r="J67" s="101" t="str">
        <f>+F67</f>
        <v>PAID</v>
      </c>
      <c r="K67" s="100" t="s">
        <v>56</v>
      </c>
      <c r="L67" s="100" t="str">
        <f>+H67</f>
        <v>SPLM$</v>
      </c>
      <c r="M67" s="100" t="str">
        <f>+I67</f>
        <v>SENT</v>
      </c>
      <c r="N67" s="100" t="str">
        <f>+J67</f>
        <v>PAID</v>
      </c>
      <c r="O67" s="99" t="s">
        <v>675</v>
      </c>
      <c r="P67" s="99" t="str">
        <f>+N67</f>
        <v>PAID</v>
      </c>
      <c r="Q67" s="98" t="s">
        <v>524</v>
      </c>
      <c r="R67" s="98" t="str">
        <f>+N67</f>
        <v>PAID</v>
      </c>
    </row>
    <row r="68" spans="1:18" ht="18.95" customHeight="1" thickTop="1">
      <c r="A68" s="97">
        <v>26</v>
      </c>
      <c r="B68" s="454">
        <f>+ALL!M26</f>
        <v>0</v>
      </c>
      <c r="C68" s="63"/>
      <c r="D68" s="3"/>
      <c r="E68" s="63"/>
      <c r="F68" s="96"/>
      <c r="G68" s="63"/>
      <c r="H68" s="96"/>
      <c r="I68" s="63"/>
      <c r="J68" s="96"/>
      <c r="K68" s="95"/>
      <c r="L68" s="94"/>
      <c r="M68" s="95"/>
      <c r="N68" s="94"/>
      <c r="O68" s="95"/>
      <c r="P68" s="94"/>
      <c r="Q68" s="95"/>
      <c r="R68" s="94"/>
    </row>
  </sheetData>
  <mergeCells count="20">
    <mergeCell ref="B22:B23"/>
    <mergeCell ref="S1:T1"/>
    <mergeCell ref="B5:B6"/>
    <mergeCell ref="B12:B13"/>
    <mergeCell ref="B19:B20"/>
    <mergeCell ref="B8:B9"/>
    <mergeCell ref="B1:B2"/>
    <mergeCell ref="B15:B16"/>
    <mergeCell ref="B26:B27"/>
    <mergeCell ref="B61:B62"/>
    <mergeCell ref="B64:B65"/>
    <mergeCell ref="B36:B37"/>
    <mergeCell ref="B40:B41"/>
    <mergeCell ref="B43:B44"/>
    <mergeCell ref="B47:B48"/>
    <mergeCell ref="B50:B51"/>
    <mergeCell ref="B57:B58"/>
    <mergeCell ref="B54:B55"/>
    <mergeCell ref="B33:B34"/>
    <mergeCell ref="B29:B30"/>
  </mergeCells>
  <printOptions gridLines="1"/>
  <pageMargins left="0.17" right="0.17" top="0.27" bottom="0.24" header="0.3" footer="0.17"/>
  <pageSetup orientation="landscape" r:id="rId1"/>
  <headerFooter>
    <oddFooter>&amp;L&amp;D&amp;C&amp;A&amp;R&amp;F</oddFooter>
  </headerFooter>
  <rowBreaks count="1" manualBreakCount="1">
    <brk id="35" max="1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451D-0EF6-4519-AE03-AA80480DB12B}">
  <dimension ref="A1:I78"/>
  <sheetViews>
    <sheetView view="pageBreakPreview" topLeftCell="A73" zoomScaleNormal="100" zoomScaleSheetLayoutView="100" workbookViewId="0">
      <selection activeCell="B1" sqref="B1:I1"/>
    </sheetView>
  </sheetViews>
  <sheetFormatPr defaultColWidth="8.85546875" defaultRowHeight="17.850000000000001" customHeight="1"/>
  <cols>
    <col min="1" max="1" width="2.85546875" style="22" customWidth="1"/>
    <col min="2" max="2" width="19" customWidth="1"/>
    <col min="3" max="12" width="11.5703125" customWidth="1"/>
  </cols>
  <sheetData>
    <row r="1" spans="2:9" ht="17.850000000000001" customHeight="1">
      <c r="B1" s="483" t="s">
        <v>679</v>
      </c>
      <c r="C1" s="484"/>
      <c r="D1" s="484"/>
      <c r="E1" s="484"/>
      <c r="F1" s="484"/>
      <c r="G1" s="484"/>
      <c r="H1" s="484"/>
      <c r="I1" s="484"/>
    </row>
    <row r="2" spans="2:9" ht="17.850000000000001" customHeight="1">
      <c r="C2" t="str">
        <f>ALL!C51</f>
        <v>OH22 JARBOE</v>
      </c>
      <c r="D2" t="str">
        <f>ALL!D51</f>
        <v>OH23P BOYD @ WOODLINE</v>
      </c>
      <c r="E2" t="str">
        <f>ALL!E51</f>
        <v>OH22 HARMON</v>
      </c>
      <c r="F2">
        <f>ALL!F51</f>
        <v>0</v>
      </c>
      <c r="G2">
        <f>ALL!G51</f>
        <v>0</v>
      </c>
      <c r="H2" t="s">
        <v>680</v>
      </c>
      <c r="I2" t="s">
        <v>680</v>
      </c>
    </row>
    <row r="3" spans="2:9" ht="17.850000000000001" customHeight="1">
      <c r="B3" t="str">
        <f>ALL!B1</f>
        <v>Property-Owner Name</v>
      </c>
      <c r="C3" t="str">
        <f>ALL!C1</f>
        <v xml:space="preserve">JOROBE, DELICIA </v>
      </c>
      <c r="D3" t="str">
        <f>ALL!D1</f>
        <v>BOYD</v>
      </c>
      <c r="E3" t="str">
        <f>ALL!E1</f>
        <v>+</v>
      </c>
      <c r="F3">
        <f>ALL!F1</f>
        <v>0</v>
      </c>
      <c r="G3">
        <f>ALL!G1</f>
        <v>0</v>
      </c>
      <c r="H3">
        <f>ALL!H1</f>
        <v>0</v>
      </c>
      <c r="I3">
        <f>ALL!I1</f>
        <v>0</v>
      </c>
    </row>
    <row r="4" spans="2:9" ht="17.850000000000001" customHeight="1">
      <c r="B4" t="str">
        <f>ALL!B26</f>
        <v xml:space="preserve">Insurance Co. Name </v>
      </c>
      <c r="C4" t="str">
        <f>ALL!C26</f>
        <v>TRAVCO INSURANCE</v>
      </c>
      <c r="D4" t="str">
        <f>ALL!D26</f>
        <v>STATE FARM</v>
      </c>
      <c r="E4" t="str">
        <f>ALL!E26</f>
        <v>WESTFIELD INS</v>
      </c>
      <c r="F4">
        <f>ALL!F26</f>
        <v>0</v>
      </c>
      <c r="G4">
        <f>ALL!G26</f>
        <v>0</v>
      </c>
      <c r="H4">
        <f>ALL!H26</f>
        <v>0</v>
      </c>
      <c r="I4">
        <f>ALL!I26</f>
        <v>0</v>
      </c>
    </row>
    <row r="5" spans="2:9" ht="17.850000000000001" customHeight="1">
      <c r="B5" t="str">
        <f>ALL!B27</f>
        <v xml:space="preserve">Claim # </v>
      </c>
      <c r="C5" t="str">
        <f>ALL!C27</f>
        <v>IKW2742001H</v>
      </c>
      <c r="D5">
        <f>ALL!D27</f>
        <v>35</v>
      </c>
      <c r="E5" t="str">
        <f>ALL!E27</f>
        <v>CLM #0002332090</v>
      </c>
      <c r="F5">
        <f>ALL!F27</f>
        <v>0</v>
      </c>
      <c r="G5">
        <f>ALL!G27</f>
        <v>0</v>
      </c>
      <c r="H5">
        <f>ALL!H27</f>
        <v>0</v>
      </c>
      <c r="I5">
        <f>ALL!I27</f>
        <v>0</v>
      </c>
    </row>
    <row r="6" spans="2:9" ht="33" customHeight="1">
      <c r="B6" t="s">
        <v>681</v>
      </c>
    </row>
    <row r="7" spans="2:9" ht="17.850000000000001" customHeight="1">
      <c r="B7" s="53" t="s">
        <v>682</v>
      </c>
    </row>
    <row r="8" spans="2:9" ht="17.850000000000001" customHeight="1">
      <c r="B8" s="52" t="s">
        <v>683</v>
      </c>
    </row>
    <row r="9" spans="2:9" ht="17.850000000000001" customHeight="1">
      <c r="B9" s="51" t="s">
        <v>684</v>
      </c>
    </row>
    <row r="10" spans="2:9" ht="17.850000000000001" customHeight="1">
      <c r="B10" s="50" t="s">
        <v>685</v>
      </c>
    </row>
    <row r="11" spans="2:9" ht="17.850000000000001" customHeight="1">
      <c r="B11" s="49" t="s">
        <v>686</v>
      </c>
    </row>
    <row r="12" spans="2:9" ht="17.850000000000001" customHeight="1">
      <c r="B12" s="48" t="s">
        <v>687</v>
      </c>
    </row>
    <row r="13" spans="2:9" ht="17.850000000000001" customHeight="1">
      <c r="B13" t="s">
        <v>688</v>
      </c>
    </row>
    <row r="14" spans="2:9" ht="17.850000000000001" customHeight="1" thickBot="1"/>
    <row r="15" spans="2:9" ht="33" customHeight="1" thickTop="1" thickBot="1">
      <c r="B15" s="47" t="s">
        <v>689</v>
      </c>
      <c r="C15" s="46"/>
      <c r="D15" s="46"/>
      <c r="E15" s="45"/>
    </row>
    <row r="16" spans="2:9" ht="33" customHeight="1" thickTop="1" thickBot="1">
      <c r="B16" s="482"/>
      <c r="C16" s="482"/>
      <c r="D16" s="482"/>
      <c r="E16" s="482"/>
    </row>
    <row r="17" spans="2:5" ht="17.850000000000001" customHeight="1" thickTop="1" thickBot="1">
      <c r="B17" s="44" t="s">
        <v>690</v>
      </c>
      <c r="C17" s="43"/>
      <c r="D17" s="43"/>
      <c r="E17" s="42"/>
    </row>
    <row r="18" spans="2:5" ht="17.850000000000001" customHeight="1" thickTop="1" thickBot="1">
      <c r="B18" s="41" t="s">
        <v>691</v>
      </c>
      <c r="C18" s="38"/>
      <c r="D18" s="38"/>
      <c r="E18" s="38"/>
    </row>
    <row r="19" spans="2:5" ht="17.850000000000001" customHeight="1" thickTop="1">
      <c r="B19" s="482" t="s">
        <v>692</v>
      </c>
      <c r="C19" s="482"/>
      <c r="D19" s="482"/>
      <c r="E19" s="482"/>
    </row>
    <row r="20" spans="2:5" ht="17.850000000000001" customHeight="1" thickBot="1">
      <c r="B20" s="30" t="s">
        <v>693</v>
      </c>
      <c r="C20" s="35"/>
      <c r="D20" s="35"/>
      <c r="E20" s="35"/>
    </row>
    <row r="21" spans="2:5" ht="17.850000000000001" customHeight="1" thickTop="1" thickBot="1">
      <c r="B21" s="30" t="s">
        <v>694</v>
      </c>
      <c r="C21" s="35"/>
      <c r="D21" s="35"/>
      <c r="E21" s="35"/>
    </row>
    <row r="22" spans="2:5" ht="17.850000000000001" customHeight="1" thickTop="1" thickBot="1">
      <c r="B22" s="30" t="s">
        <v>695</v>
      </c>
      <c r="C22" s="35"/>
      <c r="D22" s="35"/>
      <c r="E22" s="35"/>
    </row>
    <row r="23" spans="2:5" ht="17.850000000000001" customHeight="1" thickTop="1">
      <c r="B23" s="482" t="s">
        <v>692</v>
      </c>
      <c r="C23" s="482"/>
      <c r="D23" s="482"/>
      <c r="E23" s="482"/>
    </row>
    <row r="24" spans="2:5" ht="17.850000000000001" customHeight="1" thickBot="1">
      <c r="B24" s="30" t="s">
        <v>696</v>
      </c>
      <c r="C24" s="35"/>
      <c r="D24" s="35"/>
      <c r="E24" s="35"/>
    </row>
    <row r="25" spans="2:5" ht="17.850000000000001" customHeight="1" thickTop="1" thickBot="1">
      <c r="B25" s="30" t="s">
        <v>697</v>
      </c>
      <c r="C25" s="35"/>
      <c r="D25" s="35"/>
      <c r="E25" s="35"/>
    </row>
    <row r="26" spans="2:5" ht="17.850000000000001" customHeight="1" thickTop="1" thickBot="1">
      <c r="B26" s="30" t="s">
        <v>698</v>
      </c>
      <c r="C26" s="35"/>
      <c r="D26" s="35"/>
      <c r="E26" s="35"/>
    </row>
    <row r="27" spans="2:5" ht="17.850000000000001" customHeight="1" thickTop="1" thickBot="1">
      <c r="B27" s="40"/>
      <c r="C27" s="35"/>
      <c r="D27" s="35"/>
      <c r="E27" s="35"/>
    </row>
    <row r="28" spans="2:5" ht="17.850000000000001" customHeight="1" thickTop="1" thickBot="1">
      <c r="B28" s="39" t="s">
        <v>699</v>
      </c>
      <c r="C28" s="38"/>
      <c r="D28" s="38"/>
      <c r="E28" s="38"/>
    </row>
    <row r="29" spans="2:5" ht="17.850000000000001" customHeight="1" thickTop="1" thickBot="1">
      <c r="B29" s="30" t="s">
        <v>700</v>
      </c>
      <c r="C29" s="35"/>
      <c r="D29" s="35"/>
      <c r="E29" s="35"/>
    </row>
    <row r="30" spans="2:5" ht="17.850000000000001" customHeight="1" thickTop="1" thickBot="1">
      <c r="B30" s="37" t="s">
        <v>701</v>
      </c>
      <c r="C30" s="36"/>
      <c r="D30" s="36"/>
      <c r="E30" s="36"/>
    </row>
    <row r="31" spans="2:5" ht="17.850000000000001" customHeight="1" thickTop="1" thickBot="1">
      <c r="B31" s="30" t="s">
        <v>702</v>
      </c>
      <c r="C31" s="35"/>
      <c r="D31" s="35"/>
      <c r="E31" s="35"/>
    </row>
    <row r="32" spans="2:5" ht="17.850000000000001" customHeight="1" thickTop="1" thickBot="1">
      <c r="B32" s="30" t="s">
        <v>703</v>
      </c>
      <c r="C32" s="35"/>
      <c r="D32" s="35"/>
      <c r="E32" s="35"/>
    </row>
    <row r="33" spans="1:7" ht="17.850000000000001" customHeight="1" thickTop="1" thickBot="1">
      <c r="B33" s="30" t="s">
        <v>704</v>
      </c>
      <c r="C33" s="35"/>
      <c r="D33" s="35"/>
      <c r="E33" s="35"/>
    </row>
    <row r="34" spans="1:7" ht="17.850000000000001" customHeight="1" thickTop="1" thickBot="1">
      <c r="B34" s="23" t="s">
        <v>705</v>
      </c>
      <c r="C34" s="7"/>
      <c r="D34" s="30"/>
      <c r="E34" s="35"/>
      <c r="F34" s="35"/>
      <c r="G34" s="35"/>
    </row>
    <row r="35" spans="1:7" ht="17.850000000000001" customHeight="1" thickTop="1" thickBot="1">
      <c r="B35" s="30" t="s">
        <v>706</v>
      </c>
    </row>
    <row r="36" spans="1:7" ht="17.850000000000001" customHeight="1" thickTop="1"/>
    <row r="41" spans="1:7" ht="17.850000000000001" customHeight="1" thickBot="1">
      <c r="A41" s="22">
        <v>1</v>
      </c>
      <c r="B41" s="32" t="s">
        <v>707</v>
      </c>
      <c r="C41" s="34"/>
    </row>
    <row r="42" spans="1:7" ht="17.850000000000001" customHeight="1" thickTop="1" thickBot="1">
      <c r="B42" s="30" t="s">
        <v>708</v>
      </c>
    </row>
    <row r="43" spans="1:7" ht="17.850000000000001" customHeight="1" thickTop="1" thickBot="1">
      <c r="B43" s="33" t="s">
        <v>709</v>
      </c>
    </row>
    <row r="44" spans="1:7" ht="17.850000000000001" customHeight="1" thickTop="1" thickBot="1">
      <c r="B44" s="27" t="s">
        <v>710</v>
      </c>
    </row>
    <row r="45" spans="1:7" ht="17.850000000000001" customHeight="1" thickTop="1" thickBot="1">
      <c r="A45" s="22">
        <v>2</v>
      </c>
      <c r="B45" s="32" t="s">
        <v>711</v>
      </c>
    </row>
    <row r="46" spans="1:7" ht="17.850000000000001" customHeight="1" thickTop="1" thickBot="1">
      <c r="B46" s="27" t="str">
        <f>+B42</f>
        <v>CREATE SUPPLEMENTAL XACT ESTIMATE</v>
      </c>
    </row>
    <row r="47" spans="1:7" ht="17.850000000000001" customHeight="1" thickTop="1" thickBot="1">
      <c r="B47" s="26" t="str">
        <f>+B43</f>
        <v>Submit supplemental invoice.</v>
      </c>
    </row>
    <row r="48" spans="1:7" ht="17.850000000000001" customHeight="1" thickTop="1" thickBot="1">
      <c r="B48" s="24" t="str">
        <f>+B44</f>
        <v>INVOICES Paid in Full or as agreed</v>
      </c>
    </row>
    <row r="49" spans="1:2" ht="17.850000000000001" customHeight="1" thickTop="1" thickBot="1">
      <c r="A49" s="22">
        <v>3</v>
      </c>
      <c r="B49" s="31" t="s">
        <v>712</v>
      </c>
    </row>
    <row r="50" spans="1:2" ht="17.850000000000001" customHeight="1" thickTop="1" thickBot="1">
      <c r="B50" s="30" t="str">
        <f>+B46</f>
        <v>CREATE SUPPLEMENTAL XACT ESTIMATE</v>
      </c>
    </row>
    <row r="51" spans="1:2" ht="17.850000000000001" customHeight="1" thickTop="1" thickBot="1">
      <c r="B51" s="26" t="str">
        <f>+B47</f>
        <v>Submit supplemental invoice.</v>
      </c>
    </row>
    <row r="52" spans="1:2" ht="17.850000000000001" customHeight="1" thickTop="1" thickBot="1">
      <c r="B52" s="24" t="str">
        <f>+B48</f>
        <v>INVOICES Paid in Full or as agreed</v>
      </c>
    </row>
    <row r="53" spans="1:2" ht="17.850000000000001" customHeight="1" thickTop="1" thickBot="1">
      <c r="A53" s="22">
        <v>4</v>
      </c>
      <c r="B53" s="29" t="s">
        <v>713</v>
      </c>
    </row>
    <row r="54" spans="1:2" ht="17.850000000000001" customHeight="1" thickTop="1" thickBot="1">
      <c r="B54" s="27" t="str">
        <f>+B50</f>
        <v>CREATE SUPPLEMENTAL XACT ESTIMATE</v>
      </c>
    </row>
    <row r="55" spans="1:2" ht="17.850000000000001" customHeight="1" thickTop="1" thickBot="1">
      <c r="B55" s="26" t="str">
        <f>+B51</f>
        <v>Submit supplemental invoice.</v>
      </c>
    </row>
    <row r="56" spans="1:2" ht="17.850000000000001" customHeight="1" thickTop="1" thickBot="1">
      <c r="B56" s="24" t="str">
        <f>+B52</f>
        <v>INVOICES Paid in Full or as agreed</v>
      </c>
    </row>
    <row r="57" spans="1:2" ht="17.850000000000001" customHeight="1" thickTop="1" thickBot="1">
      <c r="A57" s="22">
        <v>5</v>
      </c>
      <c r="B57" s="29" t="s">
        <v>714</v>
      </c>
    </row>
    <row r="58" spans="1:2" ht="17.850000000000001" customHeight="1" thickTop="1" thickBot="1">
      <c r="B58" s="27" t="str">
        <f>+B54</f>
        <v>CREATE SUPPLEMENTAL XACT ESTIMATE</v>
      </c>
    </row>
    <row r="59" spans="1:2" ht="17.850000000000001" customHeight="1" thickTop="1" thickBot="1">
      <c r="B59" s="26" t="str">
        <f>+B55</f>
        <v>Submit supplemental invoice.</v>
      </c>
    </row>
    <row r="60" spans="1:2" ht="17.850000000000001" customHeight="1" thickTop="1" thickBot="1">
      <c r="B60" s="24" t="str">
        <f>+B56</f>
        <v>INVOICES Paid in Full or as agreed</v>
      </c>
    </row>
    <row r="61" spans="1:2" ht="17.850000000000001" customHeight="1" thickTop="1" thickBot="1">
      <c r="A61" s="22">
        <v>6</v>
      </c>
      <c r="B61" s="25" t="s">
        <v>715</v>
      </c>
    </row>
    <row r="62" spans="1:2" ht="17.850000000000001" customHeight="1" thickTop="1" thickBot="1">
      <c r="B62" s="27" t="str">
        <f>+B58</f>
        <v>CREATE SUPPLEMENTAL XACT ESTIMATE</v>
      </c>
    </row>
    <row r="63" spans="1:2" ht="17.850000000000001" customHeight="1" thickTop="1" thickBot="1">
      <c r="B63" s="26" t="str">
        <f>+B59</f>
        <v>Submit supplemental invoice.</v>
      </c>
    </row>
    <row r="64" spans="1:2" ht="17.850000000000001" customHeight="1" thickTop="1" thickBot="1">
      <c r="B64" s="24" t="str">
        <f>+B60</f>
        <v>INVOICES Paid in Full or as agreed</v>
      </c>
    </row>
    <row r="65" spans="1:2" ht="17.850000000000001" customHeight="1" thickTop="1" thickBot="1">
      <c r="A65" s="22">
        <v>7</v>
      </c>
      <c r="B65" s="25" t="s">
        <v>698</v>
      </c>
    </row>
    <row r="66" spans="1:2" ht="17.850000000000001" customHeight="1" thickTop="1" thickBot="1">
      <c r="B66" s="27" t="str">
        <f>+B62</f>
        <v>CREATE SUPPLEMENTAL XACT ESTIMATE</v>
      </c>
    </row>
    <row r="67" spans="1:2" ht="17.850000000000001" customHeight="1" thickTop="1" thickBot="1">
      <c r="B67" s="26" t="str">
        <f>+B63</f>
        <v>Submit supplemental invoice.</v>
      </c>
    </row>
    <row r="68" spans="1:2" ht="17.850000000000001" customHeight="1" thickTop="1" thickBot="1">
      <c r="B68" s="24" t="str">
        <f>+B64</f>
        <v>INVOICES Paid in Full or as agreed</v>
      </c>
    </row>
    <row r="69" spans="1:2" ht="17.850000000000001" customHeight="1" thickTop="1" thickBot="1">
      <c r="A69" s="22">
        <v>8</v>
      </c>
      <c r="B69" s="28" t="s">
        <v>716</v>
      </c>
    </row>
    <row r="70" spans="1:2" ht="17.850000000000001" customHeight="1" thickTop="1" thickBot="1">
      <c r="B70" s="27" t="str">
        <f>+B66</f>
        <v>CREATE SUPPLEMENTAL XACT ESTIMATE</v>
      </c>
    </row>
    <row r="71" spans="1:2" ht="17.850000000000001" customHeight="1" thickTop="1" thickBot="1">
      <c r="B71" s="26" t="str">
        <f>+B67</f>
        <v>Submit supplemental invoice.</v>
      </c>
    </row>
    <row r="72" spans="1:2" ht="17.850000000000001" customHeight="1" thickTop="1" thickBot="1">
      <c r="B72" s="24" t="str">
        <f>+B68</f>
        <v>INVOICES Paid in Full or as agreed</v>
      </c>
    </row>
    <row r="73" spans="1:2" ht="17.850000000000001" customHeight="1" thickTop="1" thickBot="1">
      <c r="A73" s="22">
        <v>9</v>
      </c>
      <c r="B73" s="25" t="s">
        <v>717</v>
      </c>
    </row>
    <row r="74" spans="1:2" ht="17.850000000000001" customHeight="1" thickTop="1" thickBot="1">
      <c r="B74" s="24" t="str">
        <f>+B72</f>
        <v>INVOICES Paid in Full or as agreed</v>
      </c>
    </row>
    <row r="75" spans="1:2" ht="17.850000000000001" customHeight="1" thickTop="1" thickBot="1">
      <c r="A75" s="22">
        <v>10</v>
      </c>
      <c r="B75" s="25" t="s">
        <v>705</v>
      </c>
    </row>
    <row r="76" spans="1:2" ht="17.850000000000001" customHeight="1" thickTop="1" thickBot="1">
      <c r="B76" s="24" t="str">
        <f>+B74</f>
        <v>INVOICES Paid in Full or as agreed</v>
      </c>
    </row>
    <row r="77" spans="1:2" ht="17.850000000000001" customHeight="1" thickTop="1" thickBot="1">
      <c r="B77" s="23" t="s">
        <v>718</v>
      </c>
    </row>
    <row r="78" spans="1:2" ht="17.850000000000001" customHeight="1" thickTop="1"/>
  </sheetData>
  <mergeCells count="4">
    <mergeCell ref="B23:E23"/>
    <mergeCell ref="B1:I1"/>
    <mergeCell ref="B16:E16"/>
    <mergeCell ref="B19:E19"/>
  </mergeCells>
  <pageMargins left="0.25" right="0.25" top="0.25" bottom="0.35" header="0.19" footer="0.17"/>
  <pageSetup orientation="portrait" r:id="rId1"/>
  <headerFooter>
    <oddFooter>&amp;L&amp;D&amp;C&amp;A&amp;R&amp;F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BBCB7-FF42-4925-962C-678A222DEA56}">
  <dimension ref="A1:Z75"/>
  <sheetViews>
    <sheetView view="pageBreakPreview" zoomScaleNormal="100" zoomScaleSheetLayoutView="100" workbookViewId="0">
      <selection activeCell="A2" sqref="A2:XFD2"/>
    </sheetView>
  </sheetViews>
  <sheetFormatPr defaultRowHeight="14.45"/>
  <cols>
    <col min="1" max="1" width="3.7109375" customWidth="1"/>
    <col min="2" max="2" width="6.140625" bestFit="1" customWidth="1"/>
    <col min="3" max="3" width="6.28515625" customWidth="1"/>
    <col min="4" max="4" width="7.42578125" bestFit="1" customWidth="1"/>
  </cols>
  <sheetData>
    <row r="1" spans="1:26" ht="18" customHeight="1">
      <c r="A1" s="227"/>
      <c r="B1" s="354" t="s">
        <v>268</v>
      </c>
      <c r="D1" s="224"/>
    </row>
    <row r="2" spans="1:26" s="139" customFormat="1" ht="22.15" customHeight="1">
      <c r="A2" s="138" t="s">
        <v>511</v>
      </c>
      <c r="B2" s="155" t="s">
        <v>268</v>
      </c>
      <c r="C2" s="140" t="s">
        <v>269</v>
      </c>
      <c r="D2" s="146" t="s">
        <v>270</v>
      </c>
      <c r="E2" s="139" t="s">
        <v>271</v>
      </c>
      <c r="F2" s="139" t="s">
        <v>272</v>
      </c>
      <c r="G2" s="139" t="s">
        <v>273</v>
      </c>
      <c r="H2" s="139" t="s">
        <v>274</v>
      </c>
      <c r="I2" s="272" t="s">
        <v>526</v>
      </c>
      <c r="J2" s="272" t="s">
        <v>296</v>
      </c>
      <c r="K2" s="272" t="s">
        <v>527</v>
      </c>
      <c r="L2" s="272" t="s">
        <v>512</v>
      </c>
      <c r="M2" s="272" t="s">
        <v>513</v>
      </c>
      <c r="N2" s="272" t="s">
        <v>46</v>
      </c>
      <c r="O2" s="272" t="s">
        <v>514</v>
      </c>
      <c r="P2" s="273" t="s">
        <v>515</v>
      </c>
      <c r="Q2" s="274" t="s">
        <v>517</v>
      </c>
      <c r="R2" s="275" t="s">
        <v>518</v>
      </c>
      <c r="S2" s="275" t="s">
        <v>519</v>
      </c>
      <c r="T2" s="275" t="s">
        <v>520</v>
      </c>
      <c r="U2" s="276" t="s">
        <v>521</v>
      </c>
      <c r="V2" s="275" t="s">
        <v>522</v>
      </c>
      <c r="W2" s="275" t="s">
        <v>523</v>
      </c>
      <c r="X2" s="271" t="s">
        <v>524</v>
      </c>
      <c r="Y2" s="144" t="s">
        <v>525</v>
      </c>
      <c r="Z2" s="139" t="s">
        <v>271</v>
      </c>
    </row>
    <row r="3" spans="1:26" ht="33" customHeight="1">
      <c r="A3" s="225"/>
      <c r="B3" s="215"/>
      <c r="C3" s="3"/>
      <c r="D3" s="224"/>
    </row>
    <row r="4" spans="1:26" ht="23.45">
      <c r="A4" s="213"/>
      <c r="B4" s="223"/>
      <c r="C4" s="223"/>
      <c r="D4" s="198"/>
    </row>
    <row r="5" spans="1:26" ht="33" customHeight="1">
      <c r="A5" s="199"/>
      <c r="B5" s="10"/>
      <c r="C5" s="10"/>
      <c r="D5" s="198"/>
    </row>
    <row r="6" spans="1:26" ht="23.45">
      <c r="B6" s="216"/>
      <c r="C6" s="216"/>
      <c r="D6" s="198"/>
    </row>
    <row r="7" spans="1:26" ht="23.45">
      <c r="B7" s="222"/>
      <c r="C7" s="216"/>
      <c r="D7" s="198"/>
    </row>
    <row r="8" spans="1:26" ht="16.899999999999999" customHeight="1">
      <c r="A8" s="213"/>
      <c r="B8" s="221"/>
      <c r="C8" s="221"/>
      <c r="D8" s="198"/>
    </row>
    <row r="9" spans="1:26" ht="16.899999999999999" customHeight="1">
      <c r="A9" s="213"/>
      <c r="B9" s="220"/>
      <c r="C9" s="220"/>
      <c r="D9" s="198"/>
    </row>
    <row r="10" spans="1:26" ht="16.899999999999999" customHeight="1">
      <c r="A10" s="213"/>
      <c r="B10" s="219"/>
      <c r="C10" s="219"/>
      <c r="D10" s="198"/>
    </row>
    <row r="11" spans="1:26" ht="23.45">
      <c r="A11" s="199"/>
      <c r="B11" s="10"/>
      <c r="C11" s="10"/>
      <c r="D11" s="198"/>
    </row>
    <row r="12" spans="1:26" ht="23.45">
      <c r="A12" s="199"/>
      <c r="B12" s="218"/>
      <c r="C12" s="216"/>
      <c r="D12" s="198"/>
    </row>
    <row r="13" spans="1:26" ht="19.149999999999999" customHeight="1">
      <c r="B13" s="218"/>
      <c r="C13" s="216"/>
      <c r="D13" s="198"/>
    </row>
    <row r="14" spans="1:26" ht="19.149999999999999" customHeight="1">
      <c r="A14" s="213"/>
      <c r="B14" s="10"/>
      <c r="C14" s="216"/>
      <c r="D14" s="198"/>
    </row>
    <row r="15" spans="1:26" ht="19.149999999999999" customHeight="1"/>
    <row r="16" spans="1:26" ht="15" customHeight="1">
      <c r="A16" s="213"/>
      <c r="B16" s="216"/>
      <c r="C16" s="216"/>
      <c r="D16" s="198"/>
    </row>
    <row r="17" spans="1:4" ht="18" customHeight="1">
      <c r="B17" s="217"/>
      <c r="C17" s="192"/>
      <c r="D17" s="198"/>
    </row>
    <row r="18" spans="1:4" ht="18" customHeight="1">
      <c r="A18" s="213"/>
      <c r="B18" s="216"/>
    </row>
    <row r="19" spans="1:4" ht="33" customHeight="1">
      <c r="A19" s="213"/>
      <c r="C19" s="215"/>
      <c r="D19" s="198"/>
    </row>
    <row r="20" spans="1:4" ht="22.15" customHeight="1">
      <c r="A20" s="213"/>
      <c r="B20" s="214"/>
      <c r="C20" s="214"/>
      <c r="D20" s="206"/>
    </row>
    <row r="21" spans="1:4" ht="23.45">
      <c r="A21" s="213"/>
      <c r="B21" s="212"/>
      <c r="C21" s="212"/>
      <c r="D21" s="198"/>
    </row>
    <row r="22" spans="1:4" ht="7.9" customHeight="1"/>
    <row r="23" spans="1:4" ht="16.899999999999999" customHeight="1">
      <c r="B23" s="211"/>
      <c r="C23" s="211"/>
      <c r="D23" s="198"/>
    </row>
    <row r="24" spans="1:4" ht="15" customHeight="1">
      <c r="B24" s="210"/>
      <c r="C24" s="210"/>
      <c r="D24" s="198"/>
    </row>
    <row r="25" spans="1:4" ht="15" customHeight="1">
      <c r="B25" s="210"/>
      <c r="C25" s="210"/>
      <c r="D25" s="198"/>
    </row>
    <row r="26" spans="1:4" ht="22.15" customHeight="1">
      <c r="A26" s="199"/>
      <c r="B26" s="10"/>
      <c r="C26" s="10"/>
      <c r="D26" s="198"/>
    </row>
    <row r="27" spans="1:4" ht="10.9" customHeight="1">
      <c r="B27" s="209"/>
      <c r="C27" s="209"/>
      <c r="D27" s="198"/>
    </row>
    <row r="28" spans="1:4" ht="22.15" customHeight="1">
      <c r="A28" s="199"/>
      <c r="B28" s="208"/>
      <c r="C28" s="208"/>
      <c r="D28" s="198"/>
    </row>
    <row r="29" spans="1:4" ht="33" customHeight="1">
      <c r="A29" s="199"/>
      <c r="B29" s="203"/>
      <c r="C29" s="203"/>
      <c r="D29" s="198"/>
    </row>
    <row r="30" spans="1:4" ht="22.15" customHeight="1">
      <c r="A30" s="199"/>
      <c r="B30" s="207"/>
      <c r="C30" s="207"/>
      <c r="D30" s="206"/>
    </row>
    <row r="31" spans="1:4" ht="22.15" customHeight="1">
      <c r="A31" s="199"/>
      <c r="B31" s="205"/>
      <c r="C31" s="205"/>
      <c r="D31" s="198"/>
    </row>
    <row r="32" spans="1:4" ht="22.15" customHeight="1">
      <c r="A32" s="199"/>
      <c r="B32" s="205"/>
      <c r="C32" s="205"/>
      <c r="D32" s="198"/>
    </row>
    <row r="33" spans="1:4" ht="22.15" customHeight="1">
      <c r="A33" s="199"/>
      <c r="B33" s="204"/>
      <c r="C33" s="204"/>
      <c r="D33" s="198"/>
    </row>
    <row r="34" spans="1:4" ht="9" customHeight="1" thickBot="1">
      <c r="A34" s="199"/>
      <c r="B34" s="203"/>
      <c r="C34" s="203"/>
      <c r="D34" s="198"/>
    </row>
    <row r="35" spans="1:4" ht="19.149999999999999" customHeight="1" thickTop="1" thickBot="1">
      <c r="A35" s="199"/>
      <c r="B35" s="202"/>
      <c r="C35" s="201"/>
      <c r="D35" s="198"/>
    </row>
    <row r="36" spans="1:4" ht="10.9" customHeight="1" thickTop="1">
      <c r="A36" s="199"/>
      <c r="B36" s="200"/>
      <c r="C36" s="200"/>
      <c r="D36" s="198"/>
    </row>
    <row r="37" spans="1:4" ht="16.899999999999999" customHeight="1">
      <c r="A37" s="199"/>
      <c r="B37" s="22"/>
      <c r="C37" s="22"/>
      <c r="D37" s="198"/>
    </row>
    <row r="40" spans="1:4" ht="23.45">
      <c r="A40" s="227"/>
      <c r="D40" s="224"/>
    </row>
    <row r="41" spans="1:4" ht="23.45">
      <c r="A41" s="225"/>
      <c r="B41" s="226"/>
      <c r="D41" s="224"/>
    </row>
    <row r="42" spans="1:4" ht="23.45">
      <c r="A42" s="225"/>
      <c r="B42" s="215"/>
      <c r="C42" s="3"/>
      <c r="D42" s="224"/>
    </row>
    <row r="43" spans="1:4" ht="23.45">
      <c r="A43" s="213"/>
      <c r="B43" s="223"/>
      <c r="C43" s="223"/>
      <c r="D43" s="198"/>
    </row>
    <row r="44" spans="1:4" ht="23.45">
      <c r="A44" s="213"/>
      <c r="B44" s="223"/>
      <c r="C44" s="223"/>
      <c r="D44" s="198"/>
    </row>
    <row r="45" spans="1:4" ht="23.45">
      <c r="A45" s="213"/>
      <c r="B45" s="223"/>
      <c r="C45" s="223"/>
      <c r="D45" s="198"/>
    </row>
    <row r="46" spans="1:4" ht="18">
      <c r="A46" s="199"/>
    </row>
    <row r="47" spans="1:4" ht="23.45">
      <c r="A47" s="199"/>
      <c r="B47" s="10"/>
      <c r="C47" s="10"/>
      <c r="D47" s="198"/>
    </row>
    <row r="48" spans="1:4" ht="23.45">
      <c r="A48" s="199"/>
      <c r="B48" s="218"/>
      <c r="C48" s="216"/>
      <c r="D48" s="198"/>
    </row>
    <row r="49" spans="1:4" ht="23.45">
      <c r="A49" s="213"/>
      <c r="B49" s="10"/>
      <c r="C49" s="216"/>
      <c r="D49" s="198"/>
    </row>
    <row r="52" spans="1:4" ht="18">
      <c r="A52" s="199"/>
      <c r="B52" s="192"/>
    </row>
    <row r="54" spans="1:4" ht="23.45">
      <c r="A54" s="199"/>
      <c r="B54" s="10"/>
      <c r="C54" s="10"/>
      <c r="D54" s="198"/>
    </row>
    <row r="55" spans="1:4" ht="23.45">
      <c r="B55" s="10"/>
      <c r="C55" s="10"/>
      <c r="D55" s="198"/>
    </row>
    <row r="56" spans="1:4" ht="23.45">
      <c r="B56" s="216"/>
      <c r="C56" s="216"/>
      <c r="D56" s="198"/>
    </row>
    <row r="57" spans="1:4" ht="23.45">
      <c r="B57" s="221"/>
      <c r="C57" s="221"/>
      <c r="D57" s="198"/>
    </row>
    <row r="58" spans="1:4" ht="23.45">
      <c r="B58" s="220"/>
      <c r="C58" s="220"/>
      <c r="D58" s="198"/>
    </row>
    <row r="60" spans="1:4" ht="18">
      <c r="A60" s="290"/>
      <c r="B60" s="192"/>
    </row>
    <row r="61" spans="1:4" ht="18">
      <c r="A61" s="290"/>
      <c r="B61" s="192"/>
    </row>
    <row r="62" spans="1:4" ht="18">
      <c r="A62" s="290"/>
      <c r="B62" s="192"/>
    </row>
    <row r="63" spans="1:4" ht="18">
      <c r="A63" s="290"/>
      <c r="B63" s="192"/>
    </row>
    <row r="64" spans="1:4" ht="18">
      <c r="A64" s="290"/>
      <c r="B64" s="192"/>
    </row>
    <row r="65" spans="1:2" ht="18">
      <c r="A65" s="290"/>
      <c r="B65" s="192"/>
    </row>
    <row r="66" spans="1:2" ht="18">
      <c r="A66" s="290"/>
      <c r="B66" s="192"/>
    </row>
    <row r="67" spans="1:2" ht="18">
      <c r="A67" s="290"/>
      <c r="B67" s="192"/>
    </row>
    <row r="68" spans="1:2" ht="18">
      <c r="A68" s="290"/>
      <c r="B68" s="192"/>
    </row>
    <row r="69" spans="1:2" ht="18">
      <c r="A69" s="290"/>
      <c r="B69" s="192"/>
    </row>
    <row r="70" spans="1:2" ht="18">
      <c r="A70" s="290"/>
      <c r="B70" s="291"/>
    </row>
    <row r="71" spans="1:2" ht="18">
      <c r="A71" s="192"/>
      <c r="B71" s="292"/>
    </row>
    <row r="72" spans="1:2" ht="18">
      <c r="A72" s="192"/>
      <c r="B72" s="292"/>
    </row>
    <row r="73" spans="1:2" ht="18">
      <c r="A73" s="192"/>
      <c r="B73" s="292"/>
    </row>
    <row r="74" spans="1:2" ht="18">
      <c r="A74" s="192"/>
      <c r="B74" s="292"/>
    </row>
    <row r="75" spans="1:2" ht="18">
      <c r="A75" s="192"/>
      <c r="B75" s="292"/>
    </row>
  </sheetData>
  <printOptions gridLines="1"/>
  <pageMargins left="0.41" right="0.37" top="0.38" bottom="0.16" header="0.3" footer="0.16"/>
  <pageSetup orientation="portrait" r:id="rId1"/>
  <headerFooter>
    <oddFooter>&amp;L&amp;P&amp;C&amp;A&amp;R&amp;F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CD5C5-0B4F-49E2-9251-DA02A777BC66}">
  <dimension ref="A1:AS82"/>
  <sheetViews>
    <sheetView topLeftCell="A50" zoomScale="115" workbookViewId="0">
      <selection activeCell="A69" sqref="A69:XFD69"/>
    </sheetView>
  </sheetViews>
  <sheetFormatPr defaultRowHeight="14.45"/>
  <cols>
    <col min="1" max="1" width="8.28515625" bestFit="1" customWidth="1"/>
    <col min="2" max="2" width="9.85546875" bestFit="1" customWidth="1"/>
    <col min="3" max="3" width="16" bestFit="1" customWidth="1"/>
    <col min="4" max="4" width="21.7109375" bestFit="1" customWidth="1"/>
  </cols>
  <sheetData>
    <row r="1" spans="1:6">
      <c r="A1" s="18" t="s">
        <v>719</v>
      </c>
      <c r="B1" s="18" t="s">
        <v>720</v>
      </c>
      <c r="C1" s="18" t="s">
        <v>270</v>
      </c>
      <c r="D1" s="18" t="s">
        <v>721</v>
      </c>
      <c r="E1" s="18" t="s">
        <v>722</v>
      </c>
      <c r="F1" s="18"/>
    </row>
    <row r="2" spans="1:6">
      <c r="C2" t="s">
        <v>723</v>
      </c>
      <c r="D2" t="s">
        <v>724</v>
      </c>
      <c r="E2" t="s">
        <v>725</v>
      </c>
    </row>
    <row r="3" spans="1:6">
      <c r="A3" t="s">
        <v>726</v>
      </c>
      <c r="C3" t="s">
        <v>727</v>
      </c>
      <c r="D3" t="s">
        <v>728</v>
      </c>
      <c r="E3" t="s">
        <v>729</v>
      </c>
    </row>
    <row r="4" spans="1:6">
      <c r="A4" t="s">
        <v>726</v>
      </c>
      <c r="C4" t="s">
        <v>730</v>
      </c>
      <c r="D4" t="s">
        <v>731</v>
      </c>
      <c r="E4" t="s">
        <v>732</v>
      </c>
    </row>
    <row r="5" spans="1:6">
      <c r="A5" t="s">
        <v>726</v>
      </c>
      <c r="C5" t="s">
        <v>733</v>
      </c>
      <c r="D5" t="s">
        <v>734</v>
      </c>
      <c r="E5" t="s">
        <v>735</v>
      </c>
      <c r="F5" t="s">
        <v>327</v>
      </c>
    </row>
    <row r="6" spans="1:6">
      <c r="A6" t="s">
        <v>726</v>
      </c>
      <c r="C6" t="s">
        <v>736</v>
      </c>
      <c r="D6" t="s">
        <v>737</v>
      </c>
      <c r="E6" t="s">
        <v>738</v>
      </c>
    </row>
    <row r="7" spans="1:6">
      <c r="A7" t="s">
        <v>726</v>
      </c>
      <c r="C7" t="s">
        <v>739</v>
      </c>
      <c r="D7" t="s">
        <v>740</v>
      </c>
      <c r="E7" t="s">
        <v>741</v>
      </c>
    </row>
    <row r="8" spans="1:6">
      <c r="A8" t="s">
        <v>726</v>
      </c>
      <c r="C8" t="s">
        <v>742</v>
      </c>
      <c r="D8" t="s">
        <v>743</v>
      </c>
      <c r="E8" t="s">
        <v>741</v>
      </c>
    </row>
    <row r="9" spans="1:6">
      <c r="A9" t="s">
        <v>726</v>
      </c>
      <c r="C9" t="s">
        <v>744</v>
      </c>
      <c r="D9" t="s">
        <v>731</v>
      </c>
      <c r="E9" t="s">
        <v>735</v>
      </c>
      <c r="F9" t="s">
        <v>327</v>
      </c>
    </row>
    <row r="10" spans="1:6">
      <c r="A10" t="s">
        <v>726</v>
      </c>
      <c r="C10" t="s">
        <v>745</v>
      </c>
      <c r="D10" t="s">
        <v>746</v>
      </c>
      <c r="E10" t="s">
        <v>747</v>
      </c>
    </row>
    <row r="11" spans="1:6">
      <c r="A11" t="s">
        <v>726</v>
      </c>
      <c r="C11" t="s">
        <v>748</v>
      </c>
      <c r="D11" t="s">
        <v>749</v>
      </c>
      <c r="E11" t="s">
        <v>750</v>
      </c>
    </row>
    <row r="12" spans="1:6">
      <c r="A12" t="s">
        <v>726</v>
      </c>
      <c r="C12" t="s">
        <v>751</v>
      </c>
    </row>
    <row r="13" spans="1:6">
      <c r="A13" t="s">
        <v>726</v>
      </c>
      <c r="C13" t="s">
        <v>752</v>
      </c>
      <c r="D13" t="s">
        <v>753</v>
      </c>
      <c r="E13" t="s">
        <v>754</v>
      </c>
    </row>
    <row r="14" spans="1:6">
      <c r="A14" t="s">
        <v>726</v>
      </c>
      <c r="C14" t="s">
        <v>755</v>
      </c>
      <c r="D14" t="s">
        <v>756</v>
      </c>
      <c r="E14" t="s">
        <v>757</v>
      </c>
      <c r="F14" t="s">
        <v>327</v>
      </c>
    </row>
    <row r="15" spans="1:6">
      <c r="A15" t="s">
        <v>726</v>
      </c>
      <c r="C15" t="s">
        <v>758</v>
      </c>
      <c r="D15" t="s">
        <v>759</v>
      </c>
    </row>
    <row r="16" spans="1:6">
      <c r="A16" t="s">
        <v>726</v>
      </c>
      <c r="C16" t="s">
        <v>760</v>
      </c>
      <c r="D16" t="s">
        <v>761</v>
      </c>
      <c r="E16" t="s">
        <v>762</v>
      </c>
    </row>
    <row r="17" spans="1:7">
      <c r="A17" t="s">
        <v>726</v>
      </c>
      <c r="C17" t="s">
        <v>763</v>
      </c>
      <c r="D17" t="s">
        <v>764</v>
      </c>
      <c r="E17" t="s">
        <v>475</v>
      </c>
      <c r="F17" t="s">
        <v>327</v>
      </c>
    </row>
    <row r="18" spans="1:7">
      <c r="A18" t="s">
        <v>726</v>
      </c>
      <c r="C18" t="s">
        <v>765</v>
      </c>
      <c r="D18" t="s">
        <v>766</v>
      </c>
      <c r="E18" t="s">
        <v>318</v>
      </c>
      <c r="F18" t="s">
        <v>301</v>
      </c>
    </row>
    <row r="19" spans="1:7">
      <c r="A19" t="s">
        <v>726</v>
      </c>
      <c r="C19" t="s">
        <v>767</v>
      </c>
      <c r="D19" t="s">
        <v>768</v>
      </c>
      <c r="E19" t="s">
        <v>475</v>
      </c>
      <c r="F19" t="s">
        <v>327</v>
      </c>
    </row>
    <row r="20" spans="1:7">
      <c r="A20" t="s">
        <v>726</v>
      </c>
      <c r="C20" t="s">
        <v>769</v>
      </c>
      <c r="D20" t="s">
        <v>770</v>
      </c>
      <c r="E20" t="s">
        <v>475</v>
      </c>
      <c r="F20" t="s">
        <v>327</v>
      </c>
    </row>
    <row r="21" spans="1:7">
      <c r="A21" t="s">
        <v>726</v>
      </c>
      <c r="C21" t="s">
        <v>771</v>
      </c>
      <c r="D21" t="s">
        <v>772</v>
      </c>
      <c r="E21" t="s">
        <v>475</v>
      </c>
      <c r="F21" t="s">
        <v>327</v>
      </c>
    </row>
    <row r="22" spans="1:7">
      <c r="A22" t="s">
        <v>726</v>
      </c>
      <c r="C22" t="s">
        <v>773</v>
      </c>
      <c r="D22" t="s">
        <v>774</v>
      </c>
      <c r="E22" t="s">
        <v>475</v>
      </c>
      <c r="F22" t="s">
        <v>327</v>
      </c>
    </row>
    <row r="23" spans="1:7">
      <c r="A23" t="s">
        <v>726</v>
      </c>
      <c r="C23" t="s">
        <v>775</v>
      </c>
      <c r="D23" t="s">
        <v>776</v>
      </c>
      <c r="E23" t="s">
        <v>777</v>
      </c>
      <c r="F23" t="s">
        <v>301</v>
      </c>
    </row>
    <row r="24" spans="1:7">
      <c r="A24" t="s">
        <v>726</v>
      </c>
      <c r="C24" t="s">
        <v>778</v>
      </c>
      <c r="D24" t="s">
        <v>779</v>
      </c>
      <c r="E24" t="s">
        <v>318</v>
      </c>
      <c r="F24" t="s">
        <v>301</v>
      </c>
      <c r="G24" t="s">
        <v>780</v>
      </c>
    </row>
    <row r="25" spans="1:7">
      <c r="A25" t="s">
        <v>726</v>
      </c>
      <c r="C25" t="s">
        <v>781</v>
      </c>
      <c r="D25" t="s">
        <v>782</v>
      </c>
      <c r="E25" t="s">
        <v>783</v>
      </c>
    </row>
    <row r="26" spans="1:7">
      <c r="A26" t="s">
        <v>726</v>
      </c>
      <c r="C26" t="s">
        <v>784</v>
      </c>
      <c r="D26" t="s">
        <v>785</v>
      </c>
      <c r="E26" t="s">
        <v>398</v>
      </c>
    </row>
    <row r="27" spans="1:7">
      <c r="A27" t="s">
        <v>726</v>
      </c>
      <c r="C27" t="s">
        <v>786</v>
      </c>
      <c r="D27" t="s">
        <v>787</v>
      </c>
      <c r="E27" t="s">
        <v>788</v>
      </c>
    </row>
    <row r="28" spans="1:7">
      <c r="A28" t="s">
        <v>726</v>
      </c>
      <c r="C28" t="s">
        <v>789</v>
      </c>
      <c r="D28" t="s">
        <v>790</v>
      </c>
      <c r="E28" t="s">
        <v>408</v>
      </c>
      <c r="F28" t="s">
        <v>301</v>
      </c>
      <c r="G28" t="s">
        <v>791</v>
      </c>
    </row>
    <row r="29" spans="1:7">
      <c r="A29" t="s">
        <v>726</v>
      </c>
      <c r="C29" t="s">
        <v>792</v>
      </c>
      <c r="D29" t="s">
        <v>793</v>
      </c>
      <c r="E29" t="s">
        <v>794</v>
      </c>
    </row>
    <row r="30" spans="1:7">
      <c r="A30" t="s">
        <v>726</v>
      </c>
      <c r="C30" t="s">
        <v>795</v>
      </c>
      <c r="D30" t="s">
        <v>796</v>
      </c>
      <c r="E30" t="s">
        <v>797</v>
      </c>
      <c r="F30" t="s">
        <v>798</v>
      </c>
    </row>
    <row r="31" spans="1:7">
      <c r="A31" t="s">
        <v>726</v>
      </c>
      <c r="C31" t="s">
        <v>799</v>
      </c>
      <c r="D31" t="s">
        <v>800</v>
      </c>
      <c r="E31" t="s">
        <v>318</v>
      </c>
      <c r="F31" t="s">
        <v>301</v>
      </c>
    </row>
    <row r="32" spans="1:7">
      <c r="A32" t="s">
        <v>726</v>
      </c>
      <c r="C32" t="s">
        <v>801</v>
      </c>
      <c r="D32" t="s">
        <v>802</v>
      </c>
      <c r="E32" t="s">
        <v>803</v>
      </c>
      <c r="F32" t="s">
        <v>327</v>
      </c>
    </row>
    <row r="33" spans="1:28">
      <c r="A33" t="s">
        <v>726</v>
      </c>
      <c r="C33" t="s">
        <v>804</v>
      </c>
    </row>
    <row r="34" spans="1:28">
      <c r="A34" t="s">
        <v>726</v>
      </c>
      <c r="C34" t="s">
        <v>805</v>
      </c>
      <c r="D34" t="s">
        <v>806</v>
      </c>
      <c r="E34" t="s">
        <v>807</v>
      </c>
    </row>
    <row r="35" spans="1:28">
      <c r="A35" t="s">
        <v>726</v>
      </c>
      <c r="C35" t="s">
        <v>808</v>
      </c>
      <c r="D35" t="s">
        <v>809</v>
      </c>
      <c r="E35" t="s">
        <v>405</v>
      </c>
      <c r="F35" t="s">
        <v>301</v>
      </c>
    </row>
    <row r="36" spans="1:28">
      <c r="A36" t="s">
        <v>726</v>
      </c>
      <c r="C36" t="s">
        <v>810</v>
      </c>
      <c r="D36" t="s">
        <v>811</v>
      </c>
      <c r="E36" t="s">
        <v>405</v>
      </c>
      <c r="F36" t="s">
        <v>301</v>
      </c>
    </row>
    <row r="37" spans="1:28">
      <c r="A37" t="s">
        <v>726</v>
      </c>
      <c r="C37" t="s">
        <v>812</v>
      </c>
      <c r="D37" t="s">
        <v>813</v>
      </c>
      <c r="E37" t="s">
        <v>814</v>
      </c>
    </row>
    <row r="38" spans="1:28">
      <c r="A38" t="s">
        <v>726</v>
      </c>
      <c r="C38" t="s">
        <v>815</v>
      </c>
      <c r="D38" t="s">
        <v>816</v>
      </c>
      <c r="E38" t="s">
        <v>817</v>
      </c>
    </row>
    <row r="39" spans="1:28">
      <c r="A39" t="s">
        <v>726</v>
      </c>
      <c r="C39" t="s">
        <v>818</v>
      </c>
      <c r="D39" t="s">
        <v>819</v>
      </c>
      <c r="E39" t="s">
        <v>364</v>
      </c>
    </row>
    <row r="40" spans="1:28">
      <c r="A40" t="s">
        <v>726</v>
      </c>
      <c r="C40" t="s">
        <v>820</v>
      </c>
      <c r="D40" t="s">
        <v>821</v>
      </c>
      <c r="E40" t="s">
        <v>364</v>
      </c>
    </row>
    <row r="41" spans="1:28">
      <c r="C41" t="s">
        <v>822</v>
      </c>
      <c r="D41" t="s">
        <v>823</v>
      </c>
      <c r="E41" t="s">
        <v>301</v>
      </c>
    </row>
    <row r="42" spans="1:28">
      <c r="C42" t="s">
        <v>824</v>
      </c>
      <c r="D42" t="s">
        <v>825</v>
      </c>
      <c r="E42" t="s">
        <v>301</v>
      </c>
    </row>
    <row r="43" spans="1:28">
      <c r="C43" t="s">
        <v>826</v>
      </c>
      <c r="D43" t="s">
        <v>827</v>
      </c>
      <c r="E43" t="s">
        <v>301</v>
      </c>
    </row>
    <row r="44" spans="1:28">
      <c r="A44" t="s">
        <v>44</v>
      </c>
      <c r="B44" s="20">
        <v>44166</v>
      </c>
      <c r="C44" t="s">
        <v>828</v>
      </c>
      <c r="D44" t="s">
        <v>829</v>
      </c>
      <c r="E44" t="s">
        <v>750</v>
      </c>
      <c r="F44" t="s">
        <v>327</v>
      </c>
      <c r="H44" t="s">
        <v>830</v>
      </c>
    </row>
    <row r="45" spans="1:28">
      <c r="A45" t="s">
        <v>44</v>
      </c>
      <c r="B45" s="20">
        <v>44275</v>
      </c>
      <c r="C45" t="s">
        <v>831</v>
      </c>
      <c r="D45" t="s">
        <v>832</v>
      </c>
      <c r="E45" t="s">
        <v>833</v>
      </c>
      <c r="F45" t="s">
        <v>327</v>
      </c>
    </row>
    <row r="46" spans="1:28" ht="22.15" customHeight="1">
      <c r="A46" t="s">
        <v>834</v>
      </c>
      <c r="B46" s="156">
        <v>44363</v>
      </c>
      <c r="C46" t="s">
        <v>835</v>
      </c>
      <c r="D46" t="s">
        <v>836</v>
      </c>
      <c r="E46" t="s">
        <v>837</v>
      </c>
      <c r="F46" t="s">
        <v>838</v>
      </c>
      <c r="G46" t="s">
        <v>327</v>
      </c>
      <c r="H46" s="12" t="s">
        <v>291</v>
      </c>
      <c r="I46" t="e">
        <f>IF(#REF!="RFG","OPEN","N/A")</f>
        <v>#REF!</v>
      </c>
      <c r="J46" t="e">
        <f>IF(#REF!="RFG","OPEN","N/A")</f>
        <v>#REF!</v>
      </c>
      <c r="K46" t="s">
        <v>43</v>
      </c>
      <c r="L46" t="s">
        <v>839</v>
      </c>
      <c r="M46">
        <v>44444</v>
      </c>
      <c r="N46" t="s">
        <v>839</v>
      </c>
      <c r="O46" t="s">
        <v>839</v>
      </c>
      <c r="P46" t="s">
        <v>840</v>
      </c>
      <c r="Q46" t="s">
        <v>43</v>
      </c>
      <c r="R46" t="s">
        <v>839</v>
      </c>
      <c r="S46" t="e">
        <f>IF(#REF!="RFG","OPEN","N/A")</f>
        <v>#REF!</v>
      </c>
      <c r="T46" t="s">
        <v>43</v>
      </c>
      <c r="U46" t="s">
        <v>20</v>
      </c>
      <c r="V46" t="e">
        <f>IF(#REF!=1,"N/A","OPEN")</f>
        <v>#REF!</v>
      </c>
      <c r="W46" t="e">
        <f>IF(#REF!="N","N/A","OPEN")</f>
        <v>#REF!</v>
      </c>
      <c r="X46" t="s">
        <v>20</v>
      </c>
      <c r="Z46">
        <v>239</v>
      </c>
      <c r="AA46" t="s">
        <v>841</v>
      </c>
      <c r="AB46" t="s">
        <v>842</v>
      </c>
    </row>
    <row r="47" spans="1:28" ht="22.15" customHeight="1">
      <c r="A47" s="7"/>
      <c r="B47" s="278">
        <v>44875</v>
      </c>
      <c r="C47" s="7" t="s">
        <v>288</v>
      </c>
      <c r="D47" s="7" t="s">
        <v>843</v>
      </c>
      <c r="E47" s="7" t="s">
        <v>821</v>
      </c>
      <c r="F47" s="7" t="s">
        <v>408</v>
      </c>
      <c r="G47" s="7">
        <v>44120</v>
      </c>
      <c r="H47" s="12" t="s">
        <v>392</v>
      </c>
      <c r="I47" t="e">
        <f>IF(#REF!="RFG","OPEN","N/A")</f>
        <v>#REF!</v>
      </c>
      <c r="J47" t="e">
        <f>IF(#REF!="RFG","OPEN","N/A")</f>
        <v>#REF!</v>
      </c>
      <c r="K47" t="s">
        <v>43</v>
      </c>
      <c r="L47">
        <v>1</v>
      </c>
      <c r="M47">
        <v>1</v>
      </c>
      <c r="N47" t="s">
        <v>844</v>
      </c>
      <c r="O47" t="s">
        <v>839</v>
      </c>
      <c r="P47" t="s">
        <v>844</v>
      </c>
      <c r="Q47" t="s">
        <v>40</v>
      </c>
      <c r="S47" s="7" t="e">
        <f>IF(#REF!="RFG","OPEN","N/A")</f>
        <v>#REF!</v>
      </c>
      <c r="T47" t="s">
        <v>43</v>
      </c>
      <c r="V47" s="7" t="e">
        <f>IF(#REF!=1,"N/A","OPEN")</f>
        <v>#REF!</v>
      </c>
      <c r="W47" t="e">
        <f>IF(#REF!="N","N/A","OPEN")</f>
        <v>#REF!</v>
      </c>
      <c r="X47" t="s">
        <v>40</v>
      </c>
      <c r="Z47" s="7">
        <v>12202</v>
      </c>
      <c r="AA47" t="s">
        <v>845</v>
      </c>
      <c r="AB47" t="s">
        <v>846</v>
      </c>
    </row>
    <row r="48" spans="1:28" ht="22.15" customHeight="1">
      <c r="B48" s="156">
        <v>45211</v>
      </c>
      <c r="C48" s="7" t="s">
        <v>297</v>
      </c>
      <c r="D48" s="7" t="s">
        <v>592</v>
      </c>
      <c r="E48" t="s">
        <v>593</v>
      </c>
      <c r="F48" t="s">
        <v>364</v>
      </c>
      <c r="G48">
        <v>44120</v>
      </c>
      <c r="H48" s="12" t="s">
        <v>594</v>
      </c>
      <c r="I48" t="s">
        <v>20</v>
      </c>
      <c r="J48" t="s">
        <v>20</v>
      </c>
      <c r="K48" t="s">
        <v>20</v>
      </c>
      <c r="L48">
        <v>181</v>
      </c>
      <c r="M48" t="s">
        <v>40</v>
      </c>
      <c r="N48" t="s">
        <v>20</v>
      </c>
      <c r="O48" t="s">
        <v>44</v>
      </c>
      <c r="Q48" t="s">
        <v>40</v>
      </c>
      <c r="S48" t="s">
        <v>20</v>
      </c>
      <c r="T48" t="s">
        <v>20</v>
      </c>
      <c r="U48" t="s">
        <v>839</v>
      </c>
      <c r="V48" t="s">
        <v>44</v>
      </c>
      <c r="W48" t="s">
        <v>40</v>
      </c>
      <c r="Z48">
        <v>13706</v>
      </c>
      <c r="AA48" t="s">
        <v>847</v>
      </c>
      <c r="AB48" t="s">
        <v>846</v>
      </c>
    </row>
    <row r="49" spans="1:45" ht="22.15" customHeight="1">
      <c r="B49" s="156"/>
      <c r="C49" s="7"/>
      <c r="D49" s="7"/>
      <c r="H49" s="12"/>
      <c r="L49" t="s">
        <v>848</v>
      </c>
      <c r="M49" t="s">
        <v>849</v>
      </c>
      <c r="N49" t="s">
        <v>850</v>
      </c>
      <c r="O49" t="s">
        <v>851</v>
      </c>
      <c r="P49" t="s">
        <v>852</v>
      </c>
      <c r="Q49" t="s">
        <v>853</v>
      </c>
      <c r="R49" t="s">
        <v>854</v>
      </c>
      <c r="S49" t="s">
        <v>855</v>
      </c>
      <c r="T49" t="s">
        <v>856</v>
      </c>
      <c r="U49" t="s">
        <v>857</v>
      </c>
      <c r="V49" t="s">
        <v>858</v>
      </c>
      <c r="W49" t="s">
        <v>859</v>
      </c>
      <c r="X49" t="s">
        <v>860</v>
      </c>
      <c r="Y49" s="7" t="s">
        <v>861</v>
      </c>
      <c r="Z49">
        <v>4085</v>
      </c>
      <c r="AA49" s="34">
        <v>153</v>
      </c>
      <c r="AB49">
        <v>153</v>
      </c>
      <c r="AC49" t="s">
        <v>862</v>
      </c>
      <c r="AD49" t="s">
        <v>863</v>
      </c>
    </row>
    <row r="51" spans="1:45" s="2" customFormat="1" ht="15.6">
      <c r="B51" s="297"/>
      <c r="C51" s="21"/>
      <c r="D51" s="21" t="s">
        <v>864</v>
      </c>
      <c r="G51" s="9"/>
      <c r="H51" s="295" t="s">
        <v>865</v>
      </c>
      <c r="I51" s="2" t="str">
        <f>IF(H51="RFG","OPEN","N/A")</f>
        <v>N/A</v>
      </c>
      <c r="J51" s="2" t="str">
        <f>IF(H51="RFG","OPEN","N/A")</f>
        <v>N/A</v>
      </c>
      <c r="K51" s="2" t="e">
        <f>#REF!</f>
        <v>#REF!</v>
      </c>
      <c r="M51" s="298"/>
      <c r="N51" s="298" t="s">
        <v>20</v>
      </c>
      <c r="O51" s="299" t="e">
        <f>#REF!</f>
        <v>#REF!</v>
      </c>
      <c r="P51" s="300" t="e">
        <f>#REF!</f>
        <v>#REF!</v>
      </c>
      <c r="Q51" s="9"/>
      <c r="S51" s="301" t="e">
        <f>#REF!</f>
        <v>#REF!</v>
      </c>
      <c r="T51" s="301" t="e">
        <f>#REF!</f>
        <v>#REF!</v>
      </c>
      <c r="V51" s="9" t="str">
        <f>IF(N51=1,"N/A","OPEN")</f>
        <v>OPEN</v>
      </c>
      <c r="W51" s="2" t="s">
        <v>44</v>
      </c>
      <c r="X51" s="2" t="s">
        <v>44</v>
      </c>
      <c r="Y51" s="9">
        <f>1+'ALPHA A-Z'!X3</f>
        <v>5</v>
      </c>
    </row>
    <row r="53" spans="1:45" s="2" customFormat="1" ht="15.6">
      <c r="A53"/>
      <c r="B53" s="156"/>
      <c r="C53" s="7" t="s">
        <v>294</v>
      </c>
      <c r="D53" s="322" t="s">
        <v>866</v>
      </c>
      <c r="E53"/>
      <c r="F53"/>
      <c r="G53"/>
      <c r="H53" s="12" t="s">
        <v>291</v>
      </c>
      <c r="I53" t="s">
        <v>44</v>
      </c>
      <c r="J53" t="str">
        <f>IF(H53="RFG","OPEN","N/A")</f>
        <v>N/A</v>
      </c>
      <c r="K53" s="7" t="e">
        <f>#REF!</f>
        <v>#REF!</v>
      </c>
      <c r="L53"/>
      <c r="M53" s="279"/>
      <c r="N53" s="279" t="s">
        <v>44</v>
      </c>
      <c r="O53" s="280" t="e">
        <f>#REF!</f>
        <v>#REF!</v>
      </c>
      <c r="P53" s="281" t="e">
        <f>#REF!</f>
        <v>#REF!</v>
      </c>
      <c r="Q53" s="7"/>
      <c r="R53"/>
      <c r="S53" s="7" t="str">
        <f>IF(H53="RFG","OPEN","N/A")</f>
        <v>N/A</v>
      </c>
      <c r="T53" s="7" t="e">
        <f>#REF!</f>
        <v>#REF!</v>
      </c>
      <c r="U53"/>
      <c r="V53" s="7" t="str">
        <f>IF(N53=1,"N/A","OPEN")</f>
        <v>OPEN</v>
      </c>
      <c r="W53" t="s">
        <v>44</v>
      </c>
      <c r="X53" t="s">
        <v>44</v>
      </c>
      <c r="Y53" t="e">
        <f>1+#REF!</f>
        <v>#REF!</v>
      </c>
      <c r="Z53"/>
      <c r="AA53"/>
      <c r="AB53"/>
      <c r="AC53"/>
      <c r="AD53"/>
      <c r="AE53"/>
      <c r="AF53"/>
      <c r="AG53"/>
      <c r="AH53"/>
      <c r="AI53"/>
      <c r="AJ53"/>
      <c r="AK53"/>
      <c r="AL53"/>
      <c r="AM53"/>
    </row>
    <row r="54" spans="1:45" s="2" customFormat="1" ht="15.6">
      <c r="A54"/>
      <c r="B54" s="156"/>
      <c r="C54" s="7" t="s">
        <v>294</v>
      </c>
      <c r="D54" s="322" t="s">
        <v>867</v>
      </c>
      <c r="E54"/>
      <c r="F54"/>
      <c r="G54"/>
      <c r="H54" s="12" t="s">
        <v>291</v>
      </c>
      <c r="I54" t="str">
        <f>IF(H54="RFG","OPEN","N/A")</f>
        <v>N/A</v>
      </c>
      <c r="J54" t="str">
        <f>IF(H54="RFG","OPEN","N/A")</f>
        <v>N/A</v>
      </c>
      <c r="K54" s="7" t="e">
        <f>#REF!</f>
        <v>#REF!</v>
      </c>
      <c r="L54"/>
      <c r="M54" s="279"/>
      <c r="N54" s="279" t="s">
        <v>44</v>
      </c>
      <c r="O54" s="280" t="e">
        <f>#REF!</f>
        <v>#REF!</v>
      </c>
      <c r="P54" s="281" t="e">
        <f>#REF!</f>
        <v>#REF!</v>
      </c>
      <c r="Q54" s="7"/>
      <c r="R54"/>
      <c r="S54" s="7" t="str">
        <f>IF(H54="RFG","OPEN","N/A")</f>
        <v>N/A</v>
      </c>
      <c r="T54" s="7" t="e">
        <f>#REF!</f>
        <v>#REF!</v>
      </c>
      <c r="U54"/>
      <c r="V54" s="7" t="str">
        <f>IF(N54=1,"N/A","OPEN")</f>
        <v>OPEN</v>
      </c>
      <c r="W54" t="s">
        <v>44</v>
      </c>
      <c r="X54" t="s">
        <v>44</v>
      </c>
      <c r="Y54">
        <f>1+'ALPHA A-Z'!X62</f>
        <v>3</v>
      </c>
      <c r="Z54"/>
      <c r="AA54"/>
      <c r="AB54"/>
      <c r="AC54"/>
      <c r="AD54"/>
      <c r="AE54"/>
      <c r="AF54"/>
      <c r="AG54"/>
      <c r="AH54"/>
      <c r="AI54"/>
      <c r="AJ54"/>
      <c r="AK54"/>
      <c r="AL54"/>
      <c r="AM54"/>
    </row>
    <row r="55" spans="1:45" s="2" customFormat="1" ht="15.6">
      <c r="A55"/>
      <c r="B55" s="156"/>
      <c r="C55" s="7" t="s">
        <v>294</v>
      </c>
      <c r="D55" s="322" t="s">
        <v>868</v>
      </c>
      <c r="E55"/>
      <c r="F55"/>
      <c r="G55"/>
      <c r="H55" s="12" t="s">
        <v>291</v>
      </c>
      <c r="I55" t="s">
        <v>44</v>
      </c>
      <c r="J55" t="str">
        <f>IF(H55="RFG","OPEN","N/A")</f>
        <v>N/A</v>
      </c>
      <c r="K55" s="7" t="e">
        <f>#REF!</f>
        <v>#REF!</v>
      </c>
      <c r="L55"/>
      <c r="M55" s="279"/>
      <c r="N55" s="279" t="s">
        <v>44</v>
      </c>
      <c r="O55" s="280" t="e">
        <f>#REF!</f>
        <v>#REF!</v>
      </c>
      <c r="P55" s="281" t="e">
        <f>#REF!</f>
        <v>#REF!</v>
      </c>
      <c r="Q55" s="7"/>
      <c r="R55"/>
      <c r="S55" s="7" t="str">
        <f>IF(H55="RFG","OPEN","N/A")</f>
        <v>N/A</v>
      </c>
      <c r="T55" s="7" t="e">
        <f>#REF!</f>
        <v>#REF!</v>
      </c>
      <c r="U55"/>
      <c r="V55" s="7" t="str">
        <f>IF(N55=1,"N/A","OPEN")</f>
        <v>OPEN</v>
      </c>
      <c r="W55" t="s">
        <v>44</v>
      </c>
      <c r="X55" t="s">
        <v>44</v>
      </c>
      <c r="Y55" t="e">
        <f>1+#REF!</f>
        <v>#REF!</v>
      </c>
      <c r="Z55"/>
      <c r="AA55"/>
      <c r="AB55"/>
      <c r="AC55"/>
      <c r="AD55"/>
      <c r="AE55"/>
      <c r="AF55"/>
      <c r="AG55"/>
      <c r="AH55"/>
      <c r="AI55"/>
      <c r="AJ55"/>
      <c r="AK55"/>
      <c r="AL55"/>
      <c r="AM55"/>
    </row>
    <row r="56" spans="1:45" s="2" customFormat="1" ht="15.6">
      <c r="A56" s="2" t="s">
        <v>869</v>
      </c>
      <c r="B56" s="297">
        <v>44236</v>
      </c>
      <c r="C56" s="9" t="s">
        <v>288</v>
      </c>
      <c r="D56" s="7" t="s">
        <v>870</v>
      </c>
      <c r="E56" s="2" t="s">
        <v>871</v>
      </c>
      <c r="F56" s="2" t="s">
        <v>872</v>
      </c>
      <c r="G56" s="2" t="s">
        <v>327</v>
      </c>
      <c r="H56" s="295" t="s">
        <v>296</v>
      </c>
      <c r="I56" s="2" t="e">
        <f>IF(#REF!="RFG","OPEN","N/A")</f>
        <v>#REF!</v>
      </c>
      <c r="J56" s="2" t="s">
        <v>464</v>
      </c>
      <c r="K56" s="2" t="s">
        <v>43</v>
      </c>
      <c r="L56" s="2">
        <v>1</v>
      </c>
      <c r="M56" s="2">
        <v>1</v>
      </c>
      <c r="N56" s="2">
        <v>1</v>
      </c>
      <c r="O56" s="2" t="s">
        <v>44</v>
      </c>
      <c r="Q56" s="2" t="s">
        <v>43</v>
      </c>
      <c r="S56" s="2" t="e">
        <f>IF(#REF!="RFG","OPEN","N/A")</f>
        <v>#REF!</v>
      </c>
      <c r="T56" s="2" t="s">
        <v>43</v>
      </c>
      <c r="V56" s="2" t="e">
        <f>IF(#REF!=1,"N/A","OPEN")</f>
        <v>#REF!</v>
      </c>
      <c r="W56" s="2" t="e">
        <f>IF(#REF!="N","N/A","OPEN")</f>
        <v>#REF!</v>
      </c>
      <c r="Y56" s="9">
        <v>1</v>
      </c>
      <c r="Z56" s="2">
        <v>1250</v>
      </c>
      <c r="AA56" s="2" t="s">
        <v>873</v>
      </c>
      <c r="AB56" s="2" t="s">
        <v>874</v>
      </c>
    </row>
    <row r="57" spans="1:45" s="343" customFormat="1" ht="15.6">
      <c r="C57" s="343" t="s">
        <v>288</v>
      </c>
      <c r="D57" s="345" t="s">
        <v>875</v>
      </c>
      <c r="E57" s="351" t="s">
        <v>876</v>
      </c>
      <c r="Y57" s="352">
        <f>1+'ALPHA A-Z'!X27</f>
        <v>1</v>
      </c>
    </row>
    <row r="58" spans="1:45" s="325" customFormat="1" ht="15.6">
      <c r="A58" s="9"/>
      <c r="B58" s="294">
        <v>44410</v>
      </c>
      <c r="C58" s="9" t="s">
        <v>288</v>
      </c>
      <c r="D58" s="7" t="s">
        <v>877</v>
      </c>
      <c r="E58" s="9" t="s">
        <v>878</v>
      </c>
      <c r="F58" s="9" t="s">
        <v>879</v>
      </c>
      <c r="G58" s="9">
        <v>44146</v>
      </c>
      <c r="H58" s="295" t="s">
        <v>365</v>
      </c>
      <c r="I58" s="2" t="e">
        <f>IF(#REF!="RFG","OPEN","N/A")</f>
        <v>#REF!</v>
      </c>
      <c r="J58" s="2" t="e">
        <f>IF(#REF!="RFG","OPEN","N/A")</f>
        <v>#REF!</v>
      </c>
      <c r="K58" s="2" t="s">
        <v>40</v>
      </c>
      <c r="L58" s="2">
        <v>1</v>
      </c>
      <c r="M58" s="2">
        <v>1</v>
      </c>
      <c r="N58" s="2">
        <v>0</v>
      </c>
      <c r="O58" s="2" t="s">
        <v>44</v>
      </c>
      <c r="P58" s="9"/>
      <c r="Q58" s="2" t="s">
        <v>44</v>
      </c>
      <c r="R58" s="2"/>
      <c r="S58" s="2" t="e">
        <f>IF(#REF!="RFG","OPEN","N/A")</f>
        <v>#REF!</v>
      </c>
      <c r="T58" s="2" t="s">
        <v>40</v>
      </c>
      <c r="U58" s="2"/>
      <c r="V58" s="2" t="e">
        <f>IF(#REF!=1,"N/A","OPEN")</f>
        <v>#REF!</v>
      </c>
      <c r="W58" s="2" t="e">
        <f>IF(#REF!="N","N/A","OPEN")</f>
        <v>#REF!</v>
      </c>
      <c r="X58" s="2"/>
      <c r="Y58" s="9">
        <f>1+'ALPHA A-Z'!X6</f>
        <v>3</v>
      </c>
      <c r="Z58" s="9">
        <v>51</v>
      </c>
      <c r="AA58" s="2" t="s">
        <v>880</v>
      </c>
      <c r="AB58" s="2" t="s">
        <v>881</v>
      </c>
      <c r="AC58" s="2"/>
      <c r="AD58" s="2"/>
      <c r="AE58" s="2"/>
      <c r="AF58" s="2"/>
      <c r="AG58" s="2"/>
      <c r="AH58" s="2"/>
      <c r="AI58" s="2"/>
      <c r="AJ58" s="2"/>
      <c r="AK58" s="2"/>
      <c r="AL58" s="2"/>
      <c r="AM58" s="2"/>
      <c r="AN58" s="2"/>
      <c r="AO58" s="2"/>
      <c r="AP58" s="2"/>
      <c r="AQ58" s="2"/>
      <c r="AR58" s="2"/>
      <c r="AS58" s="2"/>
    </row>
    <row r="59" spans="1:45" s="2" customFormat="1" ht="15.6">
      <c r="A59" s="335"/>
      <c r="B59" s="335"/>
      <c r="C59" s="9" t="s">
        <v>288</v>
      </c>
      <c r="D59" s="339" t="s">
        <v>882</v>
      </c>
      <c r="E59" s="340" t="s">
        <v>883</v>
      </c>
      <c r="F59" s="335"/>
      <c r="G59" s="335"/>
      <c r="H59" s="337" t="s">
        <v>392</v>
      </c>
      <c r="I59" s="335"/>
      <c r="J59" s="335"/>
      <c r="K59" s="335"/>
      <c r="L59" s="335"/>
      <c r="M59" s="335"/>
      <c r="N59" s="335"/>
      <c r="O59" s="335"/>
      <c r="P59" s="335"/>
      <c r="Q59" s="335"/>
      <c r="R59" s="335"/>
      <c r="S59" s="335"/>
      <c r="T59" s="335"/>
      <c r="U59" s="335"/>
      <c r="V59" s="335"/>
      <c r="W59" s="335"/>
      <c r="X59" s="335"/>
      <c r="Y59" s="335"/>
      <c r="Z59" s="335"/>
      <c r="AA59" s="335"/>
      <c r="AB59" s="335"/>
      <c r="AC59" s="335"/>
      <c r="AD59" s="335"/>
      <c r="AE59" s="335"/>
      <c r="AF59" s="335"/>
      <c r="AG59" s="335"/>
      <c r="AH59" s="335"/>
      <c r="AI59" s="335"/>
      <c r="AJ59" s="335"/>
      <c r="AK59" s="335"/>
      <c r="AL59" s="335"/>
      <c r="AM59" s="335"/>
      <c r="AN59" s="335"/>
      <c r="AO59" s="335"/>
      <c r="AP59" s="335"/>
      <c r="AQ59" s="335"/>
      <c r="AR59" s="335"/>
      <c r="AS59" s="335"/>
    </row>
    <row r="60" spans="1:45" ht="15.6">
      <c r="A60" s="322"/>
      <c r="C60" s="371"/>
      <c r="H60" s="295" t="s">
        <v>392</v>
      </c>
      <c r="I60" s="405" t="s">
        <v>472</v>
      </c>
      <c r="J60" s="405" t="s">
        <v>472</v>
      </c>
      <c r="K60" s="405" t="s">
        <v>472</v>
      </c>
      <c r="L60" s="405" t="s">
        <v>472</v>
      </c>
      <c r="M60" s="405" t="s">
        <v>472</v>
      </c>
      <c r="N60" s="405" t="s">
        <v>472</v>
      </c>
      <c r="O60" s="405" t="s">
        <v>472</v>
      </c>
      <c r="P60" s="405" t="s">
        <v>472</v>
      </c>
      <c r="Q60" s="405" t="s">
        <v>472</v>
      </c>
      <c r="R60" s="405" t="s">
        <v>472</v>
      </c>
      <c r="S60" s="405" t="s">
        <v>472</v>
      </c>
    </row>
    <row r="61" spans="1:45" ht="15.6">
      <c r="A61" s="164"/>
      <c r="C61" s="162" t="s">
        <v>884</v>
      </c>
      <c r="D61" t="s">
        <v>884</v>
      </c>
      <c r="E61" s="162">
        <v>44105</v>
      </c>
      <c r="H61" s="334" t="s">
        <v>296</v>
      </c>
      <c r="I61" s="405" t="s">
        <v>472</v>
      </c>
      <c r="J61" s="405" t="s">
        <v>472</v>
      </c>
      <c r="K61" s="405" t="s">
        <v>472</v>
      </c>
      <c r="L61" s="405" t="s">
        <v>472</v>
      </c>
      <c r="M61" s="405" t="s">
        <v>472</v>
      </c>
      <c r="N61" s="405" t="s">
        <v>472</v>
      </c>
      <c r="O61" s="405" t="s">
        <v>472</v>
      </c>
      <c r="P61" s="405" t="s">
        <v>472</v>
      </c>
      <c r="Q61" s="405" t="s">
        <v>472</v>
      </c>
      <c r="R61" s="405" t="s">
        <v>472</v>
      </c>
      <c r="S61" s="405" t="s">
        <v>472</v>
      </c>
    </row>
    <row r="62" spans="1:45" ht="15.6">
      <c r="A62" s="322" t="s">
        <v>581</v>
      </c>
      <c r="C62" t="s">
        <v>582</v>
      </c>
      <c r="D62" s="322" t="s">
        <v>581</v>
      </c>
      <c r="F62" t="s">
        <v>582</v>
      </c>
      <c r="H62" s="12" t="s">
        <v>296</v>
      </c>
      <c r="I62" s="2"/>
      <c r="J62" s="2"/>
      <c r="K62" s="7"/>
      <c r="Q62" s="384" t="s">
        <v>44</v>
      </c>
      <c r="R62" s="281"/>
    </row>
    <row r="63" spans="1:45" s="343" customFormat="1" ht="15.6">
      <c r="A63" s="335"/>
      <c r="B63" s="335"/>
      <c r="C63" s="9" t="s">
        <v>288</v>
      </c>
      <c r="D63" s="403" t="s">
        <v>548</v>
      </c>
      <c r="E63" s="335" t="s">
        <v>549</v>
      </c>
      <c r="F63" s="335"/>
      <c r="G63" s="335"/>
      <c r="H63" s="337" t="s">
        <v>291</v>
      </c>
      <c r="I63" s="2" t="s">
        <v>40</v>
      </c>
      <c r="J63" s="2" t="s">
        <v>40</v>
      </c>
      <c r="K63" s="335"/>
      <c r="L63" s="335"/>
      <c r="M63" s="335"/>
      <c r="N63" s="335"/>
      <c r="O63" s="335"/>
      <c r="P63" s="335"/>
      <c r="Q63" s="335" t="s">
        <v>885</v>
      </c>
      <c r="R63" s="335"/>
      <c r="S63" s="335"/>
      <c r="T63" s="335"/>
      <c r="U63" s="335" t="s">
        <v>886</v>
      </c>
      <c r="V63" s="2"/>
      <c r="W63" s="2"/>
      <c r="X63" s="2"/>
      <c r="Y63" s="2"/>
      <c r="Z63" s="2"/>
    </row>
    <row r="64" spans="1:45" s="2" customFormat="1" ht="15.6">
      <c r="D64" s="7" t="s">
        <v>887</v>
      </c>
      <c r="E64" s="2" t="s">
        <v>888</v>
      </c>
      <c r="F64" s="2" t="s">
        <v>301</v>
      </c>
      <c r="H64" s="295" t="s">
        <v>291</v>
      </c>
      <c r="I64" t="s">
        <v>43</v>
      </c>
      <c r="J64" t="s">
        <v>43</v>
      </c>
      <c r="K64" s="2" t="s">
        <v>43</v>
      </c>
      <c r="L64" s="2" t="s">
        <v>43</v>
      </c>
      <c r="M64" s="2" t="s">
        <v>43</v>
      </c>
      <c r="N64" s="2" t="s">
        <v>43</v>
      </c>
      <c r="O64" s="2" t="s">
        <v>43</v>
      </c>
      <c r="P64" s="2" t="s">
        <v>43</v>
      </c>
      <c r="Q64" s="2" t="s">
        <v>43</v>
      </c>
      <c r="R64" s="2" t="s">
        <v>43</v>
      </c>
      <c r="S64" s="2" t="s">
        <v>43</v>
      </c>
      <c r="T64" s="2" t="s">
        <v>43</v>
      </c>
      <c r="U64" s="2" t="s">
        <v>886</v>
      </c>
      <c r="V64" s="293"/>
      <c r="W64" s="293"/>
      <c r="X64" s="293"/>
    </row>
    <row r="65" spans="1:24" s="2" customFormat="1" ht="15.6">
      <c r="A65" s="156"/>
      <c r="B65" s="156"/>
      <c r="C65" s="7" t="s">
        <v>294</v>
      </c>
      <c r="D65" s="322" t="s">
        <v>581</v>
      </c>
      <c r="E65" t="s">
        <v>582</v>
      </c>
      <c r="F65"/>
      <c r="G65"/>
      <c r="H65" s="12" t="s">
        <v>296</v>
      </c>
      <c r="J65" s="2" t="str">
        <f>TRIM(Q65)</f>
        <v>TBD</v>
      </c>
      <c r="K65" s="7"/>
      <c r="L65"/>
      <c r="M65"/>
      <c r="N65"/>
      <c r="O65"/>
      <c r="P65"/>
      <c r="Q65" s="384" t="s">
        <v>44</v>
      </c>
      <c r="R65" s="281"/>
      <c r="S65"/>
      <c r="T65"/>
      <c r="U65" s="2" t="s">
        <v>886</v>
      </c>
    </row>
    <row r="66" spans="1:24" s="2" customFormat="1" ht="15.6">
      <c r="C66" s="9" t="s">
        <v>288</v>
      </c>
      <c r="D66" s="322" t="s">
        <v>558</v>
      </c>
      <c r="E66" s="382" t="s">
        <v>559</v>
      </c>
      <c r="H66" s="295" t="s">
        <v>291</v>
      </c>
      <c r="I66" s="2" t="s">
        <v>40</v>
      </c>
      <c r="J66" s="2" t="s">
        <v>40</v>
      </c>
      <c r="M66" s="2" t="s">
        <v>40</v>
      </c>
      <c r="N66" s="2" t="s">
        <v>43</v>
      </c>
      <c r="P66" s="2" t="s">
        <v>43</v>
      </c>
      <c r="R66" s="2" t="s">
        <v>43</v>
      </c>
      <c r="U66" s="2" t="s">
        <v>886</v>
      </c>
    </row>
    <row r="67" spans="1:24" s="2" customFormat="1" ht="15.6">
      <c r="D67" s="7" t="s">
        <v>889</v>
      </c>
      <c r="E67" s="2" t="s">
        <v>890</v>
      </c>
      <c r="F67" s="2" t="s">
        <v>301</v>
      </c>
      <c r="H67" s="295"/>
      <c r="I67" t="s">
        <v>43</v>
      </c>
      <c r="J67" t="s">
        <v>43</v>
      </c>
      <c r="K67" s="2" t="s">
        <v>43</v>
      </c>
      <c r="L67" s="2" t="s">
        <v>43</v>
      </c>
      <c r="M67" s="2" t="s">
        <v>43</v>
      </c>
      <c r="N67" s="2" t="s">
        <v>43</v>
      </c>
      <c r="O67" s="2" t="s">
        <v>43</v>
      </c>
      <c r="P67" s="2" t="s">
        <v>43</v>
      </c>
      <c r="Q67" s="2" t="s">
        <v>43</v>
      </c>
      <c r="R67" s="2" t="s">
        <v>43</v>
      </c>
      <c r="S67" s="2" t="s">
        <v>43</v>
      </c>
      <c r="U67" s="420" t="s">
        <v>406</v>
      </c>
      <c r="V67" s="335"/>
      <c r="W67" s="335"/>
      <c r="X67" s="335"/>
    </row>
    <row r="68" spans="1:24" s="2" customFormat="1" ht="15.6">
      <c r="C68" s="2" t="s">
        <v>366</v>
      </c>
      <c r="D68" s="7" t="s">
        <v>891</v>
      </c>
      <c r="E68" s="2" t="s">
        <v>892</v>
      </c>
      <c r="H68" s="295"/>
      <c r="I68" t="s">
        <v>43</v>
      </c>
      <c r="J68" t="s">
        <v>43</v>
      </c>
      <c r="K68" s="2" t="s">
        <v>43</v>
      </c>
      <c r="L68" s="2" t="s">
        <v>43</v>
      </c>
      <c r="M68" s="2" t="s">
        <v>43</v>
      </c>
      <c r="N68" s="2" t="s">
        <v>43</v>
      </c>
      <c r="O68" s="2" t="s">
        <v>43</v>
      </c>
      <c r="P68" s="2" t="s">
        <v>43</v>
      </c>
      <c r="Q68" s="2" t="s">
        <v>43</v>
      </c>
      <c r="R68" s="2" t="s">
        <v>43</v>
      </c>
      <c r="S68" s="2" t="s">
        <v>43</v>
      </c>
      <c r="U68" s="2" t="s">
        <v>406</v>
      </c>
    </row>
    <row r="69" spans="1:24" s="2" customFormat="1" ht="15.6">
      <c r="B69" s="297"/>
      <c r="C69" s="341" t="s">
        <v>294</v>
      </c>
      <c r="D69" s="322" t="s">
        <v>574</v>
      </c>
      <c r="E69" s="383" t="s">
        <v>575</v>
      </c>
      <c r="G69" s="9"/>
      <c r="H69" s="295" t="s">
        <v>392</v>
      </c>
      <c r="I69" s="2" t="s">
        <v>43</v>
      </c>
      <c r="J69" s="2" t="s">
        <v>43</v>
      </c>
      <c r="K69" s="9" t="s">
        <v>43</v>
      </c>
      <c r="L69" t="s">
        <v>472</v>
      </c>
      <c r="M69"/>
      <c r="N69"/>
      <c r="O69"/>
      <c r="P69"/>
      <c r="Q69" s="375"/>
      <c r="S69"/>
      <c r="T69"/>
      <c r="U69" s="2" t="s">
        <v>406</v>
      </c>
    </row>
    <row r="82" spans="1:6">
      <c r="A82" t="s">
        <v>44</v>
      </c>
      <c r="C82" t="s">
        <v>826</v>
      </c>
      <c r="D82" t="s">
        <v>827</v>
      </c>
      <c r="E82" t="s">
        <v>893</v>
      </c>
      <c r="F82" t="s">
        <v>301</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F3333-9B0C-42CD-AD6B-437916A1BAE5}">
  <dimension ref="A1:H89"/>
  <sheetViews>
    <sheetView workbookViewId="0"/>
  </sheetViews>
  <sheetFormatPr defaultColWidth="8.85546875" defaultRowHeight="13.15"/>
  <cols>
    <col min="1" max="8" width="22.7109375" style="167" customWidth="1"/>
    <col min="9" max="16384" width="8.85546875" style="167"/>
  </cols>
  <sheetData>
    <row r="1" spans="1:8" ht="18">
      <c r="A1" s="165" t="s">
        <v>29</v>
      </c>
      <c r="B1" s="166" t="s">
        <v>894</v>
      </c>
      <c r="D1" s="168"/>
      <c r="H1" s="169"/>
    </row>
    <row r="2" spans="1:8" ht="20.45">
      <c r="A2" s="170"/>
      <c r="B2" s="171" t="s">
        <v>31</v>
      </c>
      <c r="C2" s="171"/>
      <c r="D2" s="168"/>
      <c r="F2" s="168"/>
      <c r="G2" s="168"/>
      <c r="H2" s="169"/>
    </row>
    <row r="3" spans="1:8" ht="20.45">
      <c r="A3" s="170"/>
      <c r="B3" s="168" t="s">
        <v>895</v>
      </c>
      <c r="C3" s="171"/>
      <c r="D3" s="168"/>
      <c r="F3" s="168"/>
      <c r="G3" s="168"/>
      <c r="H3" s="169"/>
    </row>
    <row r="4" spans="1:8" ht="20.45">
      <c r="A4" s="170"/>
      <c r="B4" s="172" t="s">
        <v>896</v>
      </c>
      <c r="C4" s="171"/>
      <c r="D4" s="168"/>
      <c r="F4" s="168"/>
      <c r="G4" s="168"/>
      <c r="H4" s="169"/>
    </row>
    <row r="5" spans="1:8" ht="20.45">
      <c r="A5" s="170"/>
      <c r="B5" s="168" t="s">
        <v>897</v>
      </c>
      <c r="C5" s="171"/>
      <c r="D5" s="168"/>
      <c r="F5" s="168"/>
      <c r="G5" s="168"/>
      <c r="H5" s="169"/>
    </row>
    <row r="6" spans="1:8" ht="20.45">
      <c r="A6" s="170"/>
      <c r="B6" s="168" t="s">
        <v>898</v>
      </c>
      <c r="C6" s="171"/>
      <c r="D6" s="168"/>
      <c r="F6" s="168"/>
      <c r="G6" s="168"/>
      <c r="H6" s="169"/>
    </row>
    <row r="7" spans="1:8" ht="20.45">
      <c r="A7" s="170"/>
      <c r="B7" s="173" t="s">
        <v>44</v>
      </c>
      <c r="C7" s="171"/>
      <c r="D7" s="168"/>
      <c r="F7" s="168"/>
      <c r="G7" s="168"/>
      <c r="H7" s="169"/>
    </row>
    <row r="8" spans="1:8" ht="20.45">
      <c r="A8" s="170"/>
      <c r="B8" s="174"/>
      <c r="C8" s="171"/>
      <c r="D8" s="168"/>
      <c r="F8" s="168"/>
      <c r="G8" s="168"/>
      <c r="H8" s="169"/>
    </row>
    <row r="9" spans="1:8" ht="20.45">
      <c r="A9" s="170" t="s">
        <v>33</v>
      </c>
      <c r="B9" s="175">
        <v>44051</v>
      </c>
      <c r="C9" s="176"/>
      <c r="D9" s="177"/>
      <c r="F9" s="177"/>
      <c r="G9" s="169"/>
      <c r="H9" s="169"/>
    </row>
    <row r="10" spans="1:8" ht="20.45">
      <c r="A10" s="170"/>
      <c r="B10" s="178"/>
      <c r="C10" s="171"/>
      <c r="D10" s="177"/>
      <c r="E10" s="177"/>
      <c r="F10" s="177"/>
      <c r="G10" s="169"/>
      <c r="H10" s="169"/>
    </row>
    <row r="11" spans="1:8" ht="18">
      <c r="A11" s="179" t="s">
        <v>34</v>
      </c>
      <c r="B11" s="180" t="s">
        <v>899</v>
      </c>
      <c r="D11" s="173"/>
      <c r="F11" s="177"/>
      <c r="G11" s="169"/>
      <c r="H11" s="169"/>
    </row>
    <row r="12" spans="1:8" ht="18">
      <c r="A12" s="179"/>
      <c r="B12" s="173" t="s">
        <v>900</v>
      </c>
      <c r="C12" s="173"/>
      <c r="D12" s="173"/>
      <c r="E12" s="173"/>
      <c r="F12" s="177"/>
      <c r="G12" s="169"/>
      <c r="H12" s="169"/>
    </row>
    <row r="13" spans="1:8" ht="18">
      <c r="A13" s="179"/>
      <c r="B13" s="173" t="s">
        <v>901</v>
      </c>
      <c r="C13" s="173"/>
      <c r="D13" s="173"/>
      <c r="E13" s="173"/>
      <c r="F13" s="177"/>
      <c r="G13" s="169"/>
      <c r="H13" s="169"/>
    </row>
    <row r="14" spans="1:8" ht="18">
      <c r="A14" s="179"/>
      <c r="B14" s="173" t="s">
        <v>902</v>
      </c>
      <c r="C14" s="173"/>
      <c r="D14" s="173"/>
      <c r="E14" s="173"/>
      <c r="F14" s="177"/>
      <c r="G14" s="169"/>
      <c r="H14" s="169"/>
    </row>
    <row r="15" spans="1:8" ht="18">
      <c r="A15" s="179"/>
      <c r="B15" s="173" t="s">
        <v>903</v>
      </c>
      <c r="C15" s="173"/>
      <c r="D15" s="173"/>
      <c r="E15" s="173"/>
      <c r="F15" s="177"/>
      <c r="G15" s="169"/>
      <c r="H15" s="169"/>
    </row>
    <row r="16" spans="1:8" ht="18">
      <c r="A16" s="179"/>
      <c r="B16" s="181" t="s">
        <v>35</v>
      </c>
      <c r="C16" s="173"/>
      <c r="D16" s="173"/>
      <c r="E16" s="173"/>
      <c r="F16" s="177"/>
      <c r="G16" s="169"/>
      <c r="H16" s="169"/>
    </row>
    <row r="17" spans="1:8" ht="18">
      <c r="A17" s="179"/>
      <c r="B17" s="181" t="s">
        <v>36</v>
      </c>
      <c r="C17" s="173"/>
      <c r="D17" s="173"/>
      <c r="E17" s="173"/>
      <c r="F17" s="177"/>
      <c r="G17" s="169"/>
      <c r="H17" s="169"/>
    </row>
    <row r="18" spans="1:8" ht="18">
      <c r="A18" s="179"/>
      <c r="B18" s="173" t="s">
        <v>44</v>
      </c>
      <c r="C18" s="173"/>
      <c r="D18" s="173"/>
      <c r="E18" s="173"/>
      <c r="F18" s="177"/>
      <c r="G18" s="169"/>
      <c r="H18" s="169"/>
    </row>
    <row r="19" spans="1:8" ht="18">
      <c r="A19" s="179"/>
      <c r="B19" s="173" t="s">
        <v>530</v>
      </c>
      <c r="C19" s="173"/>
      <c r="D19" s="173"/>
      <c r="E19" s="173"/>
      <c r="F19" s="177"/>
      <c r="G19" s="169"/>
      <c r="H19" s="169"/>
    </row>
    <row r="20" spans="1:8" ht="18">
      <c r="A20" s="170" t="s">
        <v>37</v>
      </c>
      <c r="B20" s="180" t="s">
        <v>899</v>
      </c>
      <c r="D20" s="182"/>
      <c r="F20" s="177"/>
      <c r="G20" s="169"/>
      <c r="H20" s="169"/>
    </row>
    <row r="21" spans="1:8" ht="18">
      <c r="A21" s="170"/>
      <c r="B21" s="173" t="s">
        <v>900</v>
      </c>
      <c r="C21" s="181"/>
      <c r="D21" s="182"/>
      <c r="F21" s="177"/>
      <c r="G21" s="169"/>
      <c r="H21" s="169"/>
    </row>
    <row r="22" spans="1:8" ht="18">
      <c r="A22" s="170"/>
      <c r="B22" s="173" t="s">
        <v>901</v>
      </c>
      <c r="C22" s="181"/>
      <c r="D22" s="182"/>
      <c r="F22" s="177"/>
      <c r="G22" s="169"/>
      <c r="H22" s="169"/>
    </row>
    <row r="23" spans="1:8" ht="18">
      <c r="A23" s="170"/>
      <c r="B23" s="173" t="s">
        <v>902</v>
      </c>
      <c r="C23" s="181"/>
      <c r="D23" s="182"/>
      <c r="F23" s="177"/>
      <c r="G23" s="169"/>
      <c r="H23" s="169"/>
    </row>
    <row r="24" spans="1:8" ht="18">
      <c r="A24" s="170"/>
      <c r="B24" s="173" t="s">
        <v>903</v>
      </c>
      <c r="C24" s="181"/>
      <c r="D24" s="182"/>
      <c r="F24" s="177"/>
      <c r="G24" s="169"/>
      <c r="H24" s="169"/>
    </row>
    <row r="25" spans="1:8" ht="18">
      <c r="A25" s="170"/>
      <c r="B25" s="181" t="s">
        <v>35</v>
      </c>
      <c r="C25" s="181"/>
      <c r="D25" s="182"/>
      <c r="F25" s="177"/>
      <c r="G25" s="169"/>
      <c r="H25" s="169"/>
    </row>
    <row r="26" spans="1:8" ht="18">
      <c r="A26" s="170"/>
      <c r="B26" s="181" t="s">
        <v>36</v>
      </c>
      <c r="C26" s="181"/>
      <c r="D26" s="182"/>
      <c r="F26" s="177"/>
      <c r="G26" s="169"/>
      <c r="H26" s="169"/>
    </row>
    <row r="27" spans="1:8" ht="18">
      <c r="A27" s="170"/>
      <c r="B27" s="173" t="s">
        <v>44</v>
      </c>
      <c r="C27" s="181"/>
      <c r="D27" s="182"/>
      <c r="F27" s="177"/>
      <c r="G27" s="169"/>
      <c r="H27" s="169"/>
    </row>
    <row r="28" spans="1:8" ht="18">
      <c r="A28" s="170"/>
      <c r="B28" s="173" t="s">
        <v>530</v>
      </c>
      <c r="C28" s="181"/>
      <c r="D28" s="182"/>
      <c r="F28" s="177"/>
      <c r="G28" s="169"/>
      <c r="H28" s="169"/>
    </row>
    <row r="29" spans="1:8" ht="18">
      <c r="A29" s="170"/>
      <c r="B29" s="174" t="s">
        <v>130</v>
      </c>
      <c r="C29" s="181"/>
      <c r="D29" s="182"/>
      <c r="F29" s="177"/>
      <c r="G29" s="169"/>
      <c r="H29" s="169"/>
    </row>
    <row r="30" spans="1:8" ht="18">
      <c r="A30" s="170"/>
      <c r="B30" s="174"/>
      <c r="C30" s="181"/>
      <c r="D30" s="182"/>
      <c r="F30" s="177"/>
      <c r="G30" s="169"/>
      <c r="H30" s="169"/>
    </row>
    <row r="31" spans="1:8" ht="18">
      <c r="A31" s="170"/>
      <c r="B31" s="174"/>
      <c r="C31" s="181"/>
      <c r="D31" s="182"/>
      <c r="F31" s="177"/>
      <c r="G31" s="169"/>
      <c r="H31" s="169"/>
    </row>
    <row r="32" spans="1:8" ht="18">
      <c r="A32" s="179" t="s">
        <v>38</v>
      </c>
      <c r="B32" s="174" t="s">
        <v>899</v>
      </c>
      <c r="D32" s="182"/>
      <c r="F32" s="177"/>
      <c r="G32" s="169"/>
      <c r="H32" s="169"/>
    </row>
    <row r="33" spans="1:8" ht="18">
      <c r="A33" s="183"/>
      <c r="B33" s="173" t="s">
        <v>900</v>
      </c>
      <c r="C33" s="173"/>
      <c r="D33" s="182"/>
      <c r="F33" s="177"/>
      <c r="G33" s="169"/>
      <c r="H33" s="169"/>
    </row>
    <row r="34" spans="1:8" ht="18">
      <c r="A34" s="183"/>
      <c r="B34" s="173" t="s">
        <v>901</v>
      </c>
      <c r="C34" s="173"/>
      <c r="D34" s="182"/>
      <c r="F34" s="177"/>
      <c r="G34" s="169"/>
      <c r="H34" s="169"/>
    </row>
    <row r="35" spans="1:8" ht="18">
      <c r="A35" s="183"/>
      <c r="B35" s="173" t="s">
        <v>902</v>
      </c>
      <c r="C35" s="173"/>
      <c r="D35" s="182"/>
      <c r="F35" s="177"/>
      <c r="G35" s="169"/>
      <c r="H35" s="169"/>
    </row>
    <row r="36" spans="1:8" ht="18">
      <c r="A36" s="183"/>
      <c r="B36" s="173" t="s">
        <v>903</v>
      </c>
      <c r="C36" s="173"/>
      <c r="D36" s="182"/>
      <c r="F36" s="177"/>
      <c r="G36" s="169"/>
      <c r="H36" s="169"/>
    </row>
    <row r="37" spans="1:8" ht="18">
      <c r="A37" s="183"/>
      <c r="B37" s="181" t="s">
        <v>35</v>
      </c>
      <c r="C37" s="173"/>
      <c r="D37" s="182"/>
      <c r="F37" s="177"/>
      <c r="G37" s="169"/>
      <c r="H37" s="169"/>
    </row>
    <row r="38" spans="1:8" ht="18">
      <c r="A38" s="183"/>
      <c r="B38" s="181" t="s">
        <v>36</v>
      </c>
      <c r="C38" s="173"/>
      <c r="D38" s="182"/>
      <c r="F38" s="177"/>
      <c r="G38" s="169"/>
      <c r="H38" s="169"/>
    </row>
    <row r="39" spans="1:8" ht="18">
      <c r="A39" s="183"/>
      <c r="B39" s="173" t="s">
        <v>44</v>
      </c>
      <c r="C39" s="173"/>
      <c r="D39" s="182"/>
      <c r="F39" s="177"/>
      <c r="G39" s="169"/>
      <c r="H39" s="169"/>
    </row>
    <row r="40" spans="1:8" ht="18">
      <c r="A40" s="183"/>
      <c r="B40" s="173" t="s">
        <v>530</v>
      </c>
      <c r="C40" s="173"/>
      <c r="D40" s="182"/>
      <c r="F40" s="177"/>
      <c r="G40" s="169"/>
      <c r="H40" s="169"/>
    </row>
    <row r="41" spans="1:8" ht="18">
      <c r="A41" s="184"/>
      <c r="B41" s="174"/>
      <c r="C41" s="173"/>
      <c r="D41" s="182"/>
      <c r="F41" s="177"/>
      <c r="G41" s="169"/>
      <c r="H41" s="169"/>
    </row>
    <row r="42" spans="1:8" ht="20.45">
      <c r="A42" s="184" t="s">
        <v>39</v>
      </c>
      <c r="B42" s="180" t="s">
        <v>40</v>
      </c>
      <c r="C42" s="171"/>
      <c r="D42" s="177"/>
      <c r="E42" s="177"/>
      <c r="F42" s="177"/>
      <c r="G42" s="169"/>
      <c r="H42" s="169"/>
    </row>
    <row r="43" spans="1:8" ht="20.45">
      <c r="A43" s="184"/>
      <c r="B43" s="180" t="s">
        <v>43</v>
      </c>
      <c r="C43" s="171"/>
      <c r="D43" s="177"/>
      <c r="E43" s="177"/>
      <c r="F43" s="177"/>
      <c r="G43" s="169"/>
      <c r="H43" s="169"/>
    </row>
    <row r="44" spans="1:8" ht="20.45">
      <c r="A44" s="184"/>
      <c r="B44" s="180" t="s">
        <v>44</v>
      </c>
      <c r="C44" s="171"/>
      <c r="D44" s="177"/>
      <c r="E44" s="177"/>
      <c r="F44" s="177"/>
      <c r="G44" s="169"/>
      <c r="H44" s="169"/>
    </row>
    <row r="45" spans="1:8" ht="20.45">
      <c r="A45" s="184"/>
      <c r="B45" s="180" t="str">
        <f>+B40</f>
        <v>N/A</v>
      </c>
      <c r="C45" s="171"/>
      <c r="D45" s="177"/>
      <c r="E45" s="177"/>
      <c r="F45" s="177"/>
      <c r="G45" s="169"/>
      <c r="H45" s="169"/>
    </row>
    <row r="46" spans="1:8" ht="20.45">
      <c r="A46" s="183" t="s">
        <v>42</v>
      </c>
      <c r="B46" s="180" t="s">
        <v>40</v>
      </c>
      <c r="C46" s="171"/>
      <c r="D46" s="177"/>
      <c r="E46" s="177"/>
      <c r="F46" s="177"/>
      <c r="G46" s="177"/>
      <c r="H46" s="169"/>
    </row>
    <row r="47" spans="1:8" ht="20.45">
      <c r="A47" s="183"/>
      <c r="B47" s="180" t="s">
        <v>43</v>
      </c>
      <c r="C47" s="171"/>
      <c r="D47" s="177"/>
      <c r="E47" s="177"/>
      <c r="F47" s="177"/>
      <c r="G47" s="177"/>
      <c r="H47" s="169"/>
    </row>
    <row r="48" spans="1:8" ht="20.45">
      <c r="A48" s="183"/>
      <c r="B48" s="180" t="s">
        <v>44</v>
      </c>
      <c r="C48" s="171"/>
      <c r="D48" s="177"/>
      <c r="E48" s="177"/>
      <c r="F48" s="177"/>
      <c r="G48" s="177"/>
      <c r="H48" s="169"/>
    </row>
    <row r="49" spans="1:8" ht="20.45">
      <c r="A49" s="183"/>
      <c r="B49" s="180" t="s">
        <v>530</v>
      </c>
      <c r="C49" s="171"/>
      <c r="D49" s="177"/>
      <c r="E49" s="177"/>
      <c r="F49" s="177"/>
      <c r="G49" s="177"/>
      <c r="H49" s="169"/>
    </row>
    <row r="50" spans="1:8" ht="20.45">
      <c r="A50" s="183"/>
      <c r="B50" s="180"/>
      <c r="C50" s="171"/>
      <c r="D50" s="177"/>
      <c r="E50" s="177"/>
      <c r="F50" s="177"/>
      <c r="G50" s="177"/>
      <c r="H50" s="169"/>
    </row>
    <row r="51" spans="1:8" ht="20.45">
      <c r="A51" s="185" t="s">
        <v>45</v>
      </c>
      <c r="B51" s="180" t="s">
        <v>40</v>
      </c>
      <c r="C51" s="171"/>
      <c r="D51" s="177"/>
      <c r="E51" s="177"/>
      <c r="F51" s="177"/>
      <c r="G51" s="177"/>
      <c r="H51" s="169"/>
    </row>
    <row r="52" spans="1:8" ht="20.45">
      <c r="A52" s="185"/>
      <c r="B52" s="180" t="s">
        <v>43</v>
      </c>
      <c r="C52" s="171"/>
      <c r="D52" s="177"/>
      <c r="E52" s="177"/>
      <c r="F52" s="177"/>
      <c r="G52" s="177"/>
      <c r="H52" s="169"/>
    </row>
    <row r="53" spans="1:8" ht="20.45">
      <c r="A53" s="185"/>
      <c r="B53" s="180" t="s">
        <v>44</v>
      </c>
      <c r="C53" s="171"/>
      <c r="D53" s="177"/>
      <c r="E53" s="177"/>
      <c r="F53" s="177"/>
      <c r="G53" s="177"/>
      <c r="H53" s="169"/>
    </row>
    <row r="54" spans="1:8" ht="20.45">
      <c r="A54" s="185"/>
      <c r="B54" s="180" t="s">
        <v>530</v>
      </c>
      <c r="C54" s="171"/>
      <c r="D54" s="177"/>
      <c r="E54" s="177"/>
      <c r="F54" s="177"/>
      <c r="G54" s="177"/>
      <c r="H54" s="169"/>
    </row>
    <row r="55" spans="1:8" ht="20.45">
      <c r="A55" s="185"/>
      <c r="B55" s="180"/>
      <c r="C55" s="171"/>
      <c r="D55" s="177"/>
      <c r="E55" s="177"/>
      <c r="F55" s="177"/>
      <c r="G55" s="177"/>
      <c r="H55" s="169"/>
    </row>
    <row r="56" spans="1:8" ht="20.45">
      <c r="A56" s="186" t="s">
        <v>47</v>
      </c>
      <c r="B56" s="180" t="s">
        <v>40</v>
      </c>
      <c r="C56" s="171"/>
      <c r="D56" s="177"/>
      <c r="E56" s="177"/>
      <c r="F56" s="177"/>
      <c r="G56" s="177"/>
      <c r="H56" s="169"/>
    </row>
    <row r="57" spans="1:8" ht="20.45">
      <c r="A57" s="186"/>
      <c r="B57" s="180" t="s">
        <v>43</v>
      </c>
      <c r="C57" s="171"/>
      <c r="D57" s="177"/>
      <c r="E57" s="177"/>
      <c r="F57" s="177"/>
      <c r="G57" s="177"/>
      <c r="H57" s="169"/>
    </row>
    <row r="58" spans="1:8" ht="20.45">
      <c r="A58" s="186"/>
      <c r="B58" s="180" t="s">
        <v>44</v>
      </c>
      <c r="C58" s="171"/>
      <c r="D58" s="177"/>
      <c r="E58" s="177"/>
      <c r="F58" s="177"/>
      <c r="G58" s="177"/>
      <c r="H58" s="169"/>
    </row>
    <row r="59" spans="1:8" ht="20.45">
      <c r="A59" s="186"/>
      <c r="B59" s="180" t="s">
        <v>530</v>
      </c>
      <c r="C59" s="171"/>
      <c r="D59" s="177"/>
      <c r="E59" s="177"/>
      <c r="F59" s="177"/>
      <c r="G59" s="177"/>
      <c r="H59" s="169"/>
    </row>
    <row r="60" spans="1:8" ht="20.45">
      <c r="A60" s="186"/>
      <c r="B60" s="180"/>
      <c r="C60" s="171"/>
      <c r="D60" s="177"/>
      <c r="E60" s="177"/>
      <c r="F60" s="177"/>
      <c r="G60" s="177"/>
      <c r="H60" s="169"/>
    </row>
    <row r="61" spans="1:8" ht="20.45">
      <c r="A61" s="187" t="s">
        <v>48</v>
      </c>
      <c r="B61" s="180" t="s">
        <v>40</v>
      </c>
      <c r="C61" s="171"/>
      <c r="D61" s="177"/>
      <c r="E61" s="177"/>
      <c r="F61" s="177"/>
      <c r="G61" s="177"/>
      <c r="H61" s="169"/>
    </row>
    <row r="62" spans="1:8" ht="20.45">
      <c r="A62" s="188"/>
      <c r="B62" s="180" t="s">
        <v>43</v>
      </c>
      <c r="C62" s="171"/>
      <c r="D62" s="177"/>
      <c r="E62" s="177"/>
      <c r="F62" s="177"/>
      <c r="G62" s="177"/>
      <c r="H62" s="169"/>
    </row>
    <row r="63" spans="1:8" ht="20.45">
      <c r="A63" s="188"/>
      <c r="B63" s="180" t="s">
        <v>44</v>
      </c>
      <c r="C63" s="171"/>
      <c r="D63" s="177"/>
      <c r="E63" s="177"/>
      <c r="F63" s="177"/>
      <c r="G63" s="177"/>
      <c r="H63" s="169"/>
    </row>
    <row r="64" spans="1:8" ht="20.45">
      <c r="A64" s="188"/>
      <c r="B64" s="180" t="s">
        <v>530</v>
      </c>
      <c r="C64" s="171"/>
      <c r="D64" s="177"/>
      <c r="E64" s="177"/>
      <c r="F64" s="177"/>
      <c r="G64" s="177"/>
      <c r="H64" s="169"/>
    </row>
    <row r="65" spans="1:8" ht="20.45">
      <c r="A65" s="188"/>
      <c r="B65" s="188"/>
      <c r="C65" s="171"/>
      <c r="D65" s="177"/>
      <c r="E65" s="177"/>
      <c r="F65" s="177"/>
      <c r="G65" s="177"/>
      <c r="H65" s="169"/>
    </row>
    <row r="66" spans="1:8" ht="20.45">
      <c r="A66" s="188" t="s">
        <v>49</v>
      </c>
      <c r="B66" s="180" t="s">
        <v>44</v>
      </c>
      <c r="C66" s="171"/>
      <c r="D66" s="177"/>
      <c r="E66" s="177"/>
      <c r="F66" s="177"/>
      <c r="G66" s="177"/>
      <c r="H66" s="169"/>
    </row>
    <row r="67" spans="1:8" ht="20.45">
      <c r="A67" s="188"/>
      <c r="B67" s="177" t="s">
        <v>904</v>
      </c>
      <c r="C67" s="171"/>
      <c r="D67" s="177"/>
      <c r="E67" s="177"/>
      <c r="F67" s="177"/>
      <c r="G67" s="177"/>
      <c r="H67" s="169"/>
    </row>
    <row r="68" spans="1:8" ht="20.45">
      <c r="A68" s="188"/>
      <c r="B68" s="177" t="s">
        <v>905</v>
      </c>
      <c r="C68" s="171"/>
      <c r="D68" s="177"/>
      <c r="E68" s="177"/>
      <c r="F68" s="177"/>
      <c r="G68" s="177"/>
      <c r="H68" s="169"/>
    </row>
    <row r="69" spans="1:8" ht="20.45">
      <c r="A69" s="188"/>
      <c r="B69" s="188"/>
      <c r="C69" s="171"/>
      <c r="D69" s="177"/>
      <c r="E69" s="177"/>
      <c r="F69" s="177"/>
      <c r="G69" s="177"/>
      <c r="H69" s="169"/>
    </row>
    <row r="70" spans="1:8" ht="20.45">
      <c r="A70" s="189" t="s">
        <v>53</v>
      </c>
      <c r="B70" s="171" t="s">
        <v>44</v>
      </c>
      <c r="F70" s="177"/>
      <c r="G70" s="177"/>
      <c r="H70" s="169"/>
    </row>
    <row r="71" spans="1:8" ht="20.45">
      <c r="B71" s="171"/>
      <c r="F71" s="177"/>
      <c r="G71" s="177"/>
      <c r="H71" s="169"/>
    </row>
    <row r="72" spans="1:8" ht="20.45">
      <c r="A72" s="190" t="s">
        <v>54</v>
      </c>
      <c r="B72" s="180" t="s">
        <v>40</v>
      </c>
      <c r="C72" s="191"/>
      <c r="D72" s="177"/>
      <c r="E72" s="177"/>
      <c r="F72" s="177"/>
      <c r="G72" s="177"/>
      <c r="H72" s="169"/>
    </row>
    <row r="73" spans="1:8" ht="20.45">
      <c r="A73" s="190"/>
      <c r="B73" s="180" t="s">
        <v>43</v>
      </c>
      <c r="C73" s="191"/>
      <c r="D73" s="177"/>
      <c r="E73" s="177"/>
      <c r="F73" s="177"/>
      <c r="G73" s="177"/>
      <c r="H73" s="169"/>
    </row>
    <row r="74" spans="1:8" ht="20.45">
      <c r="A74" s="190"/>
      <c r="B74" s="180" t="s">
        <v>44</v>
      </c>
      <c r="C74" s="191"/>
      <c r="D74" s="177"/>
      <c r="E74" s="177"/>
      <c r="F74" s="177"/>
      <c r="G74" s="177"/>
      <c r="H74" s="169"/>
    </row>
    <row r="75" spans="1:8" ht="20.45">
      <c r="A75" s="190"/>
      <c r="B75" s="180" t="s">
        <v>530</v>
      </c>
      <c r="C75" s="191"/>
      <c r="D75" s="177"/>
      <c r="E75" s="177"/>
      <c r="F75" s="177"/>
      <c r="G75" s="177"/>
      <c r="H75" s="169"/>
    </row>
    <row r="76" spans="1:8" ht="20.45">
      <c r="A76" s="190"/>
      <c r="B76" s="180"/>
      <c r="C76" s="191"/>
      <c r="D76" s="177"/>
      <c r="E76" s="177"/>
      <c r="F76" s="177"/>
      <c r="G76" s="177"/>
      <c r="H76" s="169"/>
    </row>
    <row r="77" spans="1:8" ht="15.6">
      <c r="A77" s="188" t="s">
        <v>55</v>
      </c>
      <c r="B77" s="180" t="s">
        <v>40</v>
      </c>
      <c r="D77" s="177"/>
      <c r="E77" s="177"/>
      <c r="F77" s="177"/>
      <c r="G77" s="177"/>
      <c r="H77" s="169"/>
    </row>
    <row r="78" spans="1:8" ht="20.45">
      <c r="A78" s="188"/>
      <c r="B78" s="180" t="s">
        <v>43</v>
      </c>
      <c r="C78" s="171"/>
      <c r="D78" s="177"/>
      <c r="E78" s="177"/>
      <c r="F78" s="177"/>
      <c r="G78" s="177"/>
      <c r="H78" s="169"/>
    </row>
    <row r="79" spans="1:8" ht="20.45">
      <c r="A79" s="188"/>
      <c r="B79" s="180" t="s">
        <v>44</v>
      </c>
      <c r="C79" s="171"/>
      <c r="D79" s="177"/>
      <c r="E79" s="177"/>
      <c r="F79" s="177"/>
      <c r="G79" s="177"/>
      <c r="H79" s="169"/>
    </row>
    <row r="80" spans="1:8" ht="20.45">
      <c r="A80" s="188"/>
      <c r="B80" s="180" t="s">
        <v>530</v>
      </c>
      <c r="C80" s="171"/>
      <c r="D80" s="177"/>
      <c r="E80" s="177"/>
      <c r="F80" s="177"/>
      <c r="G80" s="177"/>
      <c r="H80" s="169"/>
    </row>
    <row r="81" spans="1:8" ht="20.45">
      <c r="A81" s="188"/>
      <c r="B81" s="171" t="s">
        <v>906</v>
      </c>
      <c r="C81" s="171"/>
      <c r="D81" s="177"/>
      <c r="E81" s="177"/>
      <c r="F81" s="177"/>
      <c r="G81" s="177"/>
      <c r="H81" s="169"/>
    </row>
    <row r="82" spans="1:8" ht="20.45">
      <c r="A82" s="188"/>
      <c r="B82" s="180"/>
      <c r="C82" s="171"/>
      <c r="D82" s="177"/>
      <c r="E82" s="177"/>
      <c r="F82" s="177"/>
      <c r="G82" s="177"/>
      <c r="H82" s="169"/>
    </row>
    <row r="83" spans="1:8" ht="20.45">
      <c r="A83" s="188"/>
      <c r="B83" s="180"/>
      <c r="C83" s="171"/>
      <c r="D83" s="177"/>
      <c r="E83" s="177"/>
      <c r="F83" s="177"/>
      <c r="G83" s="177"/>
      <c r="H83" s="169"/>
    </row>
    <row r="84" spans="1:8" ht="20.45">
      <c r="A84" s="188"/>
      <c r="B84" s="174"/>
      <c r="C84" s="171"/>
      <c r="D84" s="177"/>
      <c r="E84" s="177"/>
      <c r="F84" s="177"/>
      <c r="G84" s="177"/>
      <c r="H84" s="169"/>
    </row>
    <row r="85" spans="1:8" ht="15.6">
      <c r="A85" s="188" t="s">
        <v>56</v>
      </c>
      <c r="B85" s="180" t="s">
        <v>40</v>
      </c>
      <c r="D85" s="177"/>
      <c r="E85" s="177"/>
      <c r="F85" s="177"/>
      <c r="G85" s="177"/>
      <c r="H85" s="169"/>
    </row>
    <row r="86" spans="1:8" ht="15.6">
      <c r="B86" s="180" t="s">
        <v>43</v>
      </c>
    </row>
    <row r="87" spans="1:8" ht="15.6">
      <c r="B87" s="180" t="s">
        <v>44</v>
      </c>
    </row>
    <row r="88" spans="1:8" ht="15.6">
      <c r="B88" s="180" t="s">
        <v>530</v>
      </c>
    </row>
    <row r="89" spans="1:8" ht="20.45">
      <c r="B89" s="171" t="s">
        <v>907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 jones</dc:creator>
  <cp:keywords/>
  <dc:description/>
  <cp:lastModifiedBy>mem zer</cp:lastModifiedBy>
  <cp:revision/>
  <dcterms:created xsi:type="dcterms:W3CDTF">2023-12-31T05:04:21Z</dcterms:created>
  <dcterms:modified xsi:type="dcterms:W3CDTF">2025-05-23T17:38:42Z</dcterms:modified>
  <cp:category/>
  <cp:contentStatus/>
</cp:coreProperties>
</file>