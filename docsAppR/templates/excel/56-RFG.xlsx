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34" documentId="8_{F25001B8-1216-4651-99F1-504A42540511}" xr6:coauthVersionLast="47" xr6:coauthVersionMax="47" xr10:uidLastSave="{7C93A5CC-362C-4BB5-81AE-8A18857B35C3}"/>
  <bookViews>
    <workbookView xWindow="-108" yWindow="-108" windowWidth="23256" windowHeight="13896" tabRatio="951" activeTab="7" xr2:uid="{108FC5B7-EA33-4062-91CE-0A23A986B329}"/>
  </bookViews>
  <sheets>
    <sheet name="RFG spply" sheetId="4" r:id="rId1"/>
    <sheet name="RFG SCOPE" sheetId="5" r:id="rId2"/>
    <sheet name="EXT MIT" sheetId="25" r:id="rId3"/>
    <sheet name="mnt EXT" sheetId="33" r:id="rId4"/>
    <sheet name="pics" sheetId="38" r:id="rId5"/>
    <sheet name="quicklist" sheetId="2" r:id="rId6"/>
    <sheet name="chklst" sheetId="13" r:id="rId7"/>
    <sheet name="jobinfo(2)" sheetId="12" r:id="rId8"/>
    <sheet name="brief" sheetId="27" r:id="rId9"/>
    <sheet name="forms" sheetId="21" r:id="rId10"/>
  </sheets>
  <externalReferences>
    <externalReference r:id="rId11"/>
    <externalReference r:id="rId12"/>
    <externalReference r:id="rId13"/>
    <externalReference r:id="rId14"/>
    <externalReference r:id="rId15"/>
  </externalReferences>
  <definedNames>
    <definedName name="a...new_customer">'[1]input data'!$A$1:$D$45</definedName>
    <definedName name="basicroompichow2">#REF!</definedName>
    <definedName name="box_names">+'[2]CPS Quick'!$E$2:$S$2</definedName>
    <definedName name="Column.a.new.cst">'[1]input data'!$A$2:$A$45</definedName>
    <definedName name="culpepper" localSheetId="8">#REF!</definedName>
    <definedName name="culpepper">#REF!</definedName>
    <definedName name="data">[3]QUOTE!$A$267:$R$424</definedName>
    <definedName name="Document_Stacking_List" localSheetId="8">'[4]sign pgs'!#REF!</definedName>
    <definedName name="Document_Stacking_List">'[4]sign pgs'!#REF!</definedName>
    <definedName name="Enter_new_cst_data" localSheetId="8">#REF!</definedName>
    <definedName name="Enter_new_cst_data">#REF!</definedName>
    <definedName name="Jefferies" localSheetId="8">#REF!</definedName>
    <definedName name="Jefferies">#REF!</definedName>
    <definedName name="LOVEJOY_INTERIOR" localSheetId="8">#REF!</definedName>
    <definedName name="LOVEJOY_INTERIOR">#REF!</definedName>
    <definedName name="Lovejoy_ROOF" localSheetId="8">#REF!</definedName>
    <definedName name="Lovejoy_ROOF">#REF!</definedName>
    <definedName name="LxWxH" localSheetId="8">[3]QUOTE!#REF!</definedName>
    <definedName name="LxWxH">[3]QUOTE!#REF!</definedName>
    <definedName name="new_customer">'[1]cst list'!$B$32:$B$65</definedName>
    <definedName name="PRICE_P" localSheetId="8">#REF!</definedName>
    <definedName name="PRICE_P">#REF!</definedName>
    <definedName name="_xlnm.Print_Area" localSheetId="8">brief!$A$1:$E$94</definedName>
    <definedName name="_xlnm.Print_Area" localSheetId="6">chklst!$A$1:$H$47</definedName>
    <definedName name="_xlnm.Print_Area" localSheetId="2">'EXT MIT'!$A$1:$E$27</definedName>
    <definedName name="_xlnm.Print_Area" localSheetId="7">'jobinfo(2)'!$A$51:$D$77</definedName>
    <definedName name="_xlnm.Print_Area" localSheetId="3">'mnt EXT'!$A$1:$D$29</definedName>
    <definedName name="_xlnm.Print_Area" localSheetId="4">pics!$A$1:$E$64</definedName>
    <definedName name="_xlnm.Print_Area" localSheetId="5">quicklist!$A$1:$F$36</definedName>
    <definedName name="_xlnm.Print_Area" localSheetId="1">'RFG SCOPE'!$A$1:$H$32</definedName>
    <definedName name="Robinson" localSheetId="8">#REF!</definedName>
    <definedName name="Robinson">#REF!</definedName>
    <definedName name="sigtj">"Picture 9859"</definedName>
    <definedName name="SubContractor_Summary" localSheetId="8">#REF!</definedName>
    <definedName name="SubContractor_Summary">#REF!</definedName>
    <definedName name="Wayside_Builders__LLC_…...OH">'[1]co name'!$D$21</definedName>
    <definedName name="WSB...GA.Wayside_Builders__LLC……GA">'[1]co name'!$D$38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6" i="12" l="1"/>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1" i="12"/>
  <c r="C20" i="12"/>
  <c r="C19" i="12"/>
  <c r="C18" i="12"/>
  <c r="C17" i="12"/>
  <c r="C16" i="12"/>
  <c r="C15" i="12"/>
  <c r="C14" i="12"/>
  <c r="C13" i="12"/>
  <c r="C12" i="12"/>
  <c r="C11" i="12"/>
  <c r="C10" i="12"/>
  <c r="C9" i="12"/>
  <c r="C8" i="12"/>
  <c r="C7" i="12"/>
  <c r="C6" i="12"/>
  <c r="C5" i="12"/>
  <c r="C4" i="12"/>
  <c r="C3" i="12"/>
  <c r="C2" i="12"/>
  <c r="A46" i="38" l="1"/>
  <c r="A47" i="38" s="1"/>
  <c r="A48" i="38" s="1"/>
  <c r="A49" i="38" s="1"/>
  <c r="A50" i="38" s="1"/>
  <c r="A51" i="38" s="1"/>
  <c r="A52" i="38" s="1"/>
  <c r="A53" i="38" s="1"/>
  <c r="A54" i="38" s="1"/>
  <c r="A55" i="38" s="1"/>
  <c r="A56" i="38" s="1"/>
  <c r="A57" i="38" s="1"/>
  <c r="A58" i="38" s="1"/>
  <c r="A59" i="38" s="1"/>
  <c r="A60" i="38" s="1"/>
  <c r="A61" i="38" s="1"/>
  <c r="A62" i="38" s="1"/>
  <c r="A63" i="38" s="1"/>
  <c r="A64" i="38" s="1"/>
  <c r="D82" i="27" l="1"/>
  <c r="D81" i="27"/>
  <c r="D80" i="27"/>
  <c r="B2" i="38" l="1"/>
  <c r="C1" i="38"/>
  <c r="A70" i="27" l="1"/>
  <c r="A94" i="27"/>
  <c r="A93" i="27"/>
  <c r="A92" i="27"/>
  <c r="A91" i="27"/>
  <c r="A90" i="27"/>
  <c r="B70" i="27"/>
  <c r="B91" i="27" l="1"/>
  <c r="B93" i="27"/>
  <c r="B94" i="27"/>
  <c r="B90" i="27"/>
  <c r="B92" i="27"/>
  <c r="B19" i="21" l="1"/>
  <c r="C19" i="21" s="1"/>
  <c r="N19" i="21"/>
  <c r="C58" i="27" l="1"/>
  <c r="C57" i="27"/>
  <c r="C59" i="27"/>
  <c r="B57" i="27"/>
  <c r="B38" i="27"/>
  <c r="C38" i="27" l="1"/>
  <c r="B30" i="27"/>
  <c r="B32" i="27"/>
  <c r="B29" i="27"/>
  <c r="B28" i="27"/>
  <c r="A54" i="12" l="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B15" i="21" l="1"/>
  <c r="M15" i="21" s="1"/>
  <c r="M23" i="21"/>
  <c r="M22" i="21"/>
  <c r="D79" i="27" l="1"/>
  <c r="D77" i="27"/>
  <c r="D76" i="27"/>
  <c r="D75" i="27"/>
  <c r="G1" i="21" l="1"/>
  <c r="H22" i="21"/>
  <c r="H21" i="21"/>
  <c r="H20" i="21"/>
  <c r="H19" i="21"/>
  <c r="H18" i="21"/>
  <c r="H17" i="21"/>
  <c r="H16" i="21"/>
  <c r="H14" i="21"/>
  <c r="H13" i="21"/>
  <c r="H12" i="21"/>
  <c r="H11" i="21"/>
  <c r="H10" i="21"/>
  <c r="H9" i="21"/>
  <c r="H8" i="21"/>
  <c r="H7" i="21"/>
  <c r="H6" i="21"/>
  <c r="H5" i="21"/>
  <c r="H4" i="21"/>
  <c r="H3" i="21"/>
  <c r="H2" i="21"/>
  <c r="I22" i="21"/>
  <c r="I21" i="21"/>
  <c r="I20" i="21"/>
  <c r="I19" i="21"/>
  <c r="I18" i="21"/>
  <c r="I17" i="21"/>
  <c r="I16" i="21"/>
  <c r="I14" i="21"/>
  <c r="I13" i="21"/>
  <c r="I12" i="21"/>
  <c r="I11" i="21"/>
  <c r="I10" i="21"/>
  <c r="I9" i="21"/>
  <c r="I8" i="21"/>
  <c r="I6" i="21"/>
  <c r="I5" i="21"/>
  <c r="I4" i="21"/>
  <c r="I3" i="21"/>
  <c r="I2" i="21"/>
  <c r="F7" i="21" s="1"/>
  <c r="I1" i="21"/>
  <c r="A1" i="21"/>
  <c r="L1" i="21"/>
  <c r="D1" i="21" l="1"/>
  <c r="A89" i="27" l="1"/>
  <c r="A88" i="27"/>
  <c r="A87" i="27"/>
  <c r="A86" i="27"/>
  <c r="A85" i="27"/>
  <c r="A84" i="27"/>
  <c r="A83" i="27"/>
  <c r="A82" i="27"/>
  <c r="A81" i="27"/>
  <c r="A80" i="27"/>
  <c r="A79" i="27"/>
  <c r="A78" i="27"/>
  <c r="A77" i="27"/>
  <c r="A76" i="27"/>
  <c r="A75" i="27"/>
  <c r="A74" i="27"/>
  <c r="A73" i="27"/>
  <c r="A72" i="27"/>
  <c r="A71" i="27"/>
  <c r="B59" i="27" l="1"/>
  <c r="B58" i="27"/>
  <c r="D44" i="27"/>
  <c r="D41" i="27"/>
  <c r="B3" i="27"/>
  <c r="D32" i="27" s="1"/>
  <c r="C3" i="27"/>
  <c r="B5" i="27"/>
  <c r="B4" i="27"/>
  <c r="C2" i="27"/>
  <c r="D5" i="27"/>
  <c r="C5" i="27"/>
  <c r="C4" i="27"/>
  <c r="A4" i="27"/>
  <c r="A3" i="27"/>
  <c r="B2" i="27"/>
  <c r="D29" i="27" s="1"/>
  <c r="B77" i="27" l="1"/>
  <c r="B89" i="27"/>
  <c r="B79" i="27"/>
  <c r="B81" i="27"/>
  <c r="B71" i="27"/>
  <c r="B83" i="27"/>
  <c r="B78" i="27"/>
  <c r="B72" i="27"/>
  <c r="B84" i="27"/>
  <c r="B85" i="27"/>
  <c r="B80" i="27"/>
  <c r="B73" i="27"/>
  <c r="B74" i="27"/>
  <c r="B86" i="27"/>
  <c r="B82" i="27"/>
  <c r="B87" i="27"/>
  <c r="C1" i="27"/>
  <c r="B75" i="27"/>
  <c r="B76" i="27"/>
  <c r="B88" i="27"/>
  <c r="A2" i="27"/>
  <c r="B20" i="21"/>
  <c r="B14" i="21"/>
  <c r="B4" i="21" l="1"/>
  <c r="B3" i="21"/>
  <c r="N10" i="21"/>
  <c r="B17" i="21"/>
  <c r="B10" i="21"/>
  <c r="D11" i="21" s="1"/>
  <c r="B9" i="21"/>
  <c r="B7" i="21"/>
  <c r="D6" i="21" s="1"/>
  <c r="B5" i="21"/>
  <c r="A2" i="4" l="1"/>
  <c r="C20" i="21"/>
  <c r="B21" i="21"/>
  <c r="N21" i="21"/>
  <c r="B16" i="21"/>
  <c r="N16" i="21"/>
  <c r="C16" i="21" s="1"/>
  <c r="B13" i="21"/>
  <c r="D14" i="21" s="1"/>
  <c r="N13" i="21"/>
  <c r="C13" i="21" s="1"/>
  <c r="B11" i="21"/>
  <c r="C10" i="21"/>
  <c r="B8" i="21"/>
  <c r="C8" i="21" s="1"/>
  <c r="N8" i="21"/>
  <c r="B6" i="21"/>
  <c r="A6" i="21"/>
  <c r="A8" i="21" s="1"/>
  <c r="A10" i="21" s="1"/>
  <c r="A13" i="21" s="1"/>
  <c r="A16" i="21" s="1"/>
  <c r="A19" i="21" s="1"/>
  <c r="A21" i="21" s="1"/>
  <c r="N6" i="21"/>
  <c r="C6" i="21" s="1"/>
  <c r="L6" i="21"/>
  <c r="L8" i="21" s="1"/>
  <c r="L10" i="21" s="1"/>
  <c r="L13" i="21" s="1"/>
  <c r="L16" i="21" s="1"/>
  <c r="L19" i="21" s="1"/>
  <c r="L21" i="21" s="1"/>
  <c r="B2" i="21"/>
  <c r="N2" i="21"/>
  <c r="C2" i="21" s="1"/>
  <c r="C1" i="21"/>
  <c r="D20" i="21" l="1"/>
  <c r="C21" i="21"/>
  <c r="G7" i="13" l="1"/>
  <c r="C6" i="13"/>
  <c r="C5" i="13"/>
  <c r="C4" i="13"/>
  <c r="F7" i="13"/>
  <c r="F6" i="13"/>
  <c r="F5" i="13"/>
  <c r="F4" i="13"/>
  <c r="F3" i="13"/>
  <c r="F2" i="13"/>
  <c r="G6" i="13"/>
  <c r="G5" i="13"/>
  <c r="G4" i="13"/>
  <c r="G3" i="13"/>
  <c r="G2" i="13"/>
  <c r="B7" i="13"/>
  <c r="B6" i="13"/>
  <c r="B5" i="13"/>
  <c r="B4" i="13"/>
  <c r="B3" i="13"/>
  <c r="B2" i="13"/>
  <c r="C7" i="13"/>
  <c r="C3" i="13"/>
  <c r="A7" i="13"/>
  <c r="F33" i="13"/>
  <c r="A3" i="13" l="1"/>
  <c r="A4" i="13"/>
  <c r="A6" i="13"/>
  <c r="A5" i="13"/>
  <c r="E2" i="5"/>
  <c r="D2" i="4" l="1"/>
  <c r="C2" i="5" l="1"/>
  <c r="A2" i="5"/>
  <c r="A3" i="4"/>
  <c r="C2" i="4"/>
  <c r="D1" i="4"/>
  <c r="D1" i="2" l="1"/>
  <c r="C2" i="2"/>
  <c r="I7" i="21" l="1"/>
  <c r="D4" i="27"/>
  <c r="C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Joe</author>
  </authors>
  <commentList>
    <comment ref="A70" authorId="0" shapeId="0" xr:uid="{B8BB3944-0D46-435F-AAAA-7222BC08C3F5}">
      <text>
        <r>
          <rPr>
            <b/>
            <sz val="9"/>
            <color indexed="81"/>
            <rFont val="Tahoma"/>
            <family val="2"/>
          </rPr>
          <t>Joe:</t>
        </r>
        <r>
          <rPr>
            <sz val="9"/>
            <color indexed="81"/>
            <rFont val="Tahoma"/>
            <family val="2"/>
          </rPr>
          <t xml:space="preserve">
</t>
        </r>
      </text>
    </comment>
    <comment ref="B70" authorId="0" shapeId="0" xr:uid="{21CEB376-EB8F-42A3-B34C-901A818513EE}">
      <text>
        <r>
          <rPr>
            <b/>
            <sz val="9"/>
            <color indexed="81"/>
            <rFont val="Tahoma"/>
            <family val="2"/>
          </rPr>
          <t>Joe:</t>
        </r>
        <r>
          <rPr>
            <sz val="9"/>
            <color indexed="81"/>
            <rFont val="Tahoma"/>
            <family val="2"/>
          </rPr>
          <t xml:space="preserve">
</t>
        </r>
      </text>
    </comment>
    <comment ref="A71" authorId="0" shapeId="0" xr:uid="{EF32644A-FDF5-41D1-BFD1-DEF9D36F5253}">
      <text>
        <r>
          <rPr>
            <b/>
            <sz val="9"/>
            <color indexed="81"/>
            <rFont val="Tahoma"/>
            <family val="2"/>
          </rPr>
          <t>Joe:</t>
        </r>
        <r>
          <rPr>
            <sz val="9"/>
            <color indexed="81"/>
            <rFont val="Tahoma"/>
            <family val="2"/>
          </rPr>
          <t xml:space="preserve">
</t>
        </r>
      </text>
    </comment>
    <comment ref="B71" authorId="0" shapeId="0" xr:uid="{512330EE-292E-4FE1-81C6-3D32321705B4}">
      <text>
        <r>
          <rPr>
            <b/>
            <sz val="9"/>
            <color indexed="81"/>
            <rFont val="Tahoma"/>
            <family val="2"/>
          </rPr>
          <t>Joe:</t>
        </r>
        <r>
          <rPr>
            <sz val="9"/>
            <color indexed="81"/>
            <rFont val="Tahoma"/>
            <family val="2"/>
          </rPr>
          <t xml:space="preserve">
</t>
        </r>
      </text>
    </comment>
    <comment ref="A72" authorId="0" shapeId="0" xr:uid="{6F56CC66-298B-43A9-B8E1-5EF39A6ECCBC}">
      <text>
        <r>
          <rPr>
            <b/>
            <sz val="9"/>
            <color indexed="81"/>
            <rFont val="Tahoma"/>
            <family val="2"/>
          </rPr>
          <t>Joe:</t>
        </r>
        <r>
          <rPr>
            <sz val="9"/>
            <color indexed="81"/>
            <rFont val="Tahoma"/>
            <family val="2"/>
          </rPr>
          <t xml:space="preserve">
</t>
        </r>
      </text>
    </comment>
    <comment ref="B72" authorId="0" shapeId="0" xr:uid="{D817CFF1-9F1C-4126-9B84-226188E898C9}">
      <text>
        <r>
          <rPr>
            <b/>
            <sz val="9"/>
            <color indexed="81"/>
            <rFont val="Tahoma"/>
            <family val="2"/>
          </rPr>
          <t>Joe:</t>
        </r>
        <r>
          <rPr>
            <sz val="9"/>
            <color indexed="81"/>
            <rFont val="Tahoma"/>
            <family val="2"/>
          </rPr>
          <t xml:space="preserve">
</t>
        </r>
      </text>
    </comment>
    <comment ref="A73" authorId="0" shapeId="0" xr:uid="{6C60B2BA-81C2-4B29-BDF9-948A81C2C8D0}">
      <text>
        <r>
          <rPr>
            <b/>
            <sz val="9"/>
            <color indexed="81"/>
            <rFont val="Tahoma"/>
            <family val="2"/>
          </rPr>
          <t>Joe:</t>
        </r>
        <r>
          <rPr>
            <sz val="9"/>
            <color indexed="81"/>
            <rFont val="Tahoma"/>
            <family val="2"/>
          </rPr>
          <t xml:space="preserve">
</t>
        </r>
      </text>
    </comment>
    <comment ref="B73" authorId="0" shapeId="0" xr:uid="{9DC4C925-116D-4447-B885-0F9DF5379177}">
      <text>
        <r>
          <rPr>
            <b/>
            <sz val="9"/>
            <color indexed="81"/>
            <rFont val="Tahoma"/>
            <family val="2"/>
          </rPr>
          <t>Joe:</t>
        </r>
        <r>
          <rPr>
            <sz val="9"/>
            <color indexed="81"/>
            <rFont val="Tahoma"/>
            <family val="2"/>
          </rPr>
          <t xml:space="preserve">
</t>
        </r>
      </text>
    </comment>
    <comment ref="A74" authorId="0" shapeId="0" xr:uid="{A0B5199A-E73E-43CB-8FB6-DE17110CE92C}">
      <text>
        <r>
          <rPr>
            <b/>
            <sz val="9"/>
            <color indexed="81"/>
            <rFont val="Tahoma"/>
            <family val="2"/>
          </rPr>
          <t>Joe:</t>
        </r>
        <r>
          <rPr>
            <sz val="9"/>
            <color indexed="81"/>
            <rFont val="Tahoma"/>
            <family val="2"/>
          </rPr>
          <t xml:space="preserve">
</t>
        </r>
      </text>
    </comment>
    <comment ref="B74" authorId="0" shapeId="0" xr:uid="{AC614A42-04E4-4079-85FB-0738F5BAF9E6}">
      <text>
        <r>
          <rPr>
            <b/>
            <sz val="9"/>
            <color indexed="81"/>
            <rFont val="Tahoma"/>
            <family val="2"/>
          </rPr>
          <t>Joe:</t>
        </r>
        <r>
          <rPr>
            <sz val="9"/>
            <color indexed="81"/>
            <rFont val="Tahoma"/>
            <family val="2"/>
          </rPr>
          <t xml:space="preserve">
</t>
        </r>
      </text>
    </comment>
    <comment ref="A75" authorId="0" shapeId="0" xr:uid="{9445E450-74E5-46E7-ACC5-46ECE8C746CF}">
      <text>
        <r>
          <rPr>
            <b/>
            <sz val="9"/>
            <color indexed="81"/>
            <rFont val="Tahoma"/>
            <family val="2"/>
          </rPr>
          <t>Joe:</t>
        </r>
        <r>
          <rPr>
            <sz val="9"/>
            <color indexed="81"/>
            <rFont val="Tahoma"/>
            <family val="2"/>
          </rPr>
          <t xml:space="preserve">
</t>
        </r>
      </text>
    </comment>
    <comment ref="B75" authorId="0" shapeId="0" xr:uid="{13EFED1D-7335-4219-967E-78CF7E21BAB5}">
      <text>
        <r>
          <rPr>
            <b/>
            <sz val="9"/>
            <color indexed="81"/>
            <rFont val="Tahoma"/>
            <family val="2"/>
          </rPr>
          <t>Joe:</t>
        </r>
        <r>
          <rPr>
            <sz val="9"/>
            <color indexed="81"/>
            <rFont val="Tahoma"/>
            <family val="2"/>
          </rPr>
          <t xml:space="preserve">
</t>
        </r>
      </text>
    </comment>
    <comment ref="A76" authorId="0" shapeId="0" xr:uid="{B876E4B7-94AA-4889-A9AA-4E18962F028A}">
      <text>
        <r>
          <rPr>
            <b/>
            <sz val="9"/>
            <color indexed="81"/>
            <rFont val="Tahoma"/>
            <family val="2"/>
          </rPr>
          <t>Joe:</t>
        </r>
        <r>
          <rPr>
            <sz val="9"/>
            <color indexed="81"/>
            <rFont val="Tahoma"/>
            <family val="2"/>
          </rPr>
          <t xml:space="preserve">
</t>
        </r>
      </text>
    </comment>
    <comment ref="B76" authorId="0" shapeId="0" xr:uid="{88B5B284-454B-4D46-A8EC-6632A9E0AC50}">
      <text>
        <r>
          <rPr>
            <b/>
            <sz val="9"/>
            <color indexed="81"/>
            <rFont val="Tahoma"/>
            <family val="2"/>
          </rPr>
          <t>Joe:</t>
        </r>
        <r>
          <rPr>
            <sz val="9"/>
            <color indexed="81"/>
            <rFont val="Tahoma"/>
            <family val="2"/>
          </rPr>
          <t xml:space="preserve">
</t>
        </r>
      </text>
    </comment>
    <comment ref="A77" authorId="0" shapeId="0" xr:uid="{3C41CE4A-0F35-4709-BB2B-9CEA20C73B7F}">
      <text>
        <r>
          <rPr>
            <b/>
            <sz val="9"/>
            <color indexed="81"/>
            <rFont val="Tahoma"/>
            <family val="2"/>
          </rPr>
          <t>Joe:</t>
        </r>
        <r>
          <rPr>
            <sz val="9"/>
            <color indexed="81"/>
            <rFont val="Tahoma"/>
            <family val="2"/>
          </rPr>
          <t xml:space="preserve">
</t>
        </r>
      </text>
    </comment>
    <comment ref="B77" authorId="0" shapeId="0" xr:uid="{40C81755-0F39-49D2-BB3E-00DD10B52EFD}">
      <text>
        <r>
          <rPr>
            <b/>
            <sz val="9"/>
            <color indexed="81"/>
            <rFont val="Tahoma"/>
            <family val="2"/>
          </rPr>
          <t>Joe:</t>
        </r>
        <r>
          <rPr>
            <sz val="9"/>
            <color indexed="81"/>
            <rFont val="Tahoma"/>
            <family val="2"/>
          </rPr>
          <t xml:space="preserve">
</t>
        </r>
      </text>
    </comment>
    <comment ref="A78" authorId="0" shapeId="0" xr:uid="{2746DC2C-7280-459E-9E4C-CE3FB3FB9B38}">
      <text>
        <r>
          <rPr>
            <b/>
            <sz val="9"/>
            <color indexed="81"/>
            <rFont val="Tahoma"/>
            <family val="2"/>
          </rPr>
          <t>Joe:</t>
        </r>
        <r>
          <rPr>
            <sz val="9"/>
            <color indexed="81"/>
            <rFont val="Tahoma"/>
            <family val="2"/>
          </rPr>
          <t xml:space="preserve">
</t>
        </r>
      </text>
    </comment>
    <comment ref="B78" authorId="0" shapeId="0" xr:uid="{33AB0EBA-5B24-4DB6-875E-FB69AA0B93DB}">
      <text>
        <r>
          <rPr>
            <b/>
            <sz val="9"/>
            <color indexed="81"/>
            <rFont val="Tahoma"/>
            <family val="2"/>
          </rPr>
          <t>Joe:</t>
        </r>
        <r>
          <rPr>
            <sz val="9"/>
            <color indexed="81"/>
            <rFont val="Tahoma"/>
            <family val="2"/>
          </rPr>
          <t xml:space="preserve">
</t>
        </r>
      </text>
    </comment>
    <comment ref="A79" authorId="0" shapeId="0" xr:uid="{F90BE3E5-CFD5-433D-BAAB-9540233EA257}">
      <text>
        <r>
          <rPr>
            <b/>
            <sz val="9"/>
            <color indexed="81"/>
            <rFont val="Tahoma"/>
            <family val="2"/>
          </rPr>
          <t>Joe:</t>
        </r>
        <r>
          <rPr>
            <sz val="9"/>
            <color indexed="81"/>
            <rFont val="Tahoma"/>
            <family val="2"/>
          </rPr>
          <t xml:space="preserve">
</t>
        </r>
      </text>
    </comment>
    <comment ref="B79" authorId="0" shapeId="0" xr:uid="{9DFCF091-2B03-43C6-A542-A47E481547AF}">
      <text>
        <r>
          <rPr>
            <b/>
            <sz val="9"/>
            <color indexed="81"/>
            <rFont val="Tahoma"/>
            <family val="2"/>
          </rPr>
          <t>Joe:</t>
        </r>
        <r>
          <rPr>
            <sz val="9"/>
            <color indexed="81"/>
            <rFont val="Tahoma"/>
            <family val="2"/>
          </rPr>
          <t xml:space="preserve">
</t>
        </r>
      </text>
    </comment>
    <comment ref="A80" authorId="0" shapeId="0" xr:uid="{2D50B024-5F82-4B3A-B2C8-6E3F61F5BBA9}">
      <text>
        <r>
          <rPr>
            <b/>
            <sz val="9"/>
            <color indexed="81"/>
            <rFont val="Tahoma"/>
            <family val="2"/>
          </rPr>
          <t>Joe:</t>
        </r>
        <r>
          <rPr>
            <sz val="9"/>
            <color indexed="81"/>
            <rFont val="Tahoma"/>
            <family val="2"/>
          </rPr>
          <t xml:space="preserve">
</t>
        </r>
      </text>
    </comment>
    <comment ref="B80" authorId="0" shapeId="0" xr:uid="{76BE36B9-5317-4DCF-A2B1-038C7A65CC85}">
      <text>
        <r>
          <rPr>
            <b/>
            <sz val="9"/>
            <color indexed="81"/>
            <rFont val="Tahoma"/>
            <family val="2"/>
          </rPr>
          <t>Joe:</t>
        </r>
        <r>
          <rPr>
            <sz val="9"/>
            <color indexed="81"/>
            <rFont val="Tahoma"/>
            <family val="2"/>
          </rPr>
          <t xml:space="preserve">
</t>
        </r>
      </text>
    </comment>
    <comment ref="A81" authorId="0" shapeId="0" xr:uid="{41CF94B9-8D14-46DA-88C6-F369AA561334}">
      <text>
        <r>
          <rPr>
            <b/>
            <sz val="9"/>
            <color indexed="81"/>
            <rFont val="Tahoma"/>
            <family val="2"/>
          </rPr>
          <t>Joe:</t>
        </r>
        <r>
          <rPr>
            <sz val="9"/>
            <color indexed="81"/>
            <rFont val="Tahoma"/>
            <family val="2"/>
          </rPr>
          <t xml:space="preserve">
</t>
        </r>
      </text>
    </comment>
    <comment ref="B81" authorId="0" shapeId="0" xr:uid="{1A98801E-FAAE-428C-8969-83DDB0D2C069}">
      <text>
        <r>
          <rPr>
            <b/>
            <sz val="9"/>
            <color indexed="81"/>
            <rFont val="Tahoma"/>
            <family val="2"/>
          </rPr>
          <t>Joe:</t>
        </r>
        <r>
          <rPr>
            <sz val="9"/>
            <color indexed="81"/>
            <rFont val="Tahoma"/>
            <family val="2"/>
          </rPr>
          <t xml:space="preserve">
</t>
        </r>
      </text>
    </comment>
    <comment ref="A82" authorId="0" shapeId="0" xr:uid="{08626A5F-4D74-4E05-A319-18B816C8C789}">
      <text>
        <r>
          <rPr>
            <b/>
            <sz val="9"/>
            <color indexed="81"/>
            <rFont val="Tahoma"/>
            <family val="2"/>
          </rPr>
          <t>Joe:</t>
        </r>
        <r>
          <rPr>
            <sz val="9"/>
            <color indexed="81"/>
            <rFont val="Tahoma"/>
            <family val="2"/>
          </rPr>
          <t xml:space="preserve">
</t>
        </r>
      </text>
    </comment>
    <comment ref="B82" authorId="0" shapeId="0" xr:uid="{5E6ACDBD-FEC0-43EB-9512-E68106E8FBCE}">
      <text>
        <r>
          <rPr>
            <b/>
            <sz val="9"/>
            <color indexed="81"/>
            <rFont val="Tahoma"/>
            <family val="2"/>
          </rPr>
          <t>Joe:</t>
        </r>
        <r>
          <rPr>
            <sz val="9"/>
            <color indexed="81"/>
            <rFont val="Tahoma"/>
            <family val="2"/>
          </rPr>
          <t xml:space="preserve">
</t>
        </r>
      </text>
    </comment>
    <comment ref="A83" authorId="0" shapeId="0" xr:uid="{A1485364-516B-408F-9F64-59DB76D78FF5}">
      <text>
        <r>
          <rPr>
            <b/>
            <sz val="9"/>
            <color indexed="81"/>
            <rFont val="Tahoma"/>
            <family val="2"/>
          </rPr>
          <t>Joe:</t>
        </r>
        <r>
          <rPr>
            <sz val="9"/>
            <color indexed="81"/>
            <rFont val="Tahoma"/>
            <family val="2"/>
          </rPr>
          <t xml:space="preserve">
</t>
        </r>
      </text>
    </comment>
    <comment ref="B83" authorId="0" shapeId="0" xr:uid="{3FB3FDBB-D7A0-4FCF-AA5B-294D479A999C}">
      <text>
        <r>
          <rPr>
            <b/>
            <sz val="9"/>
            <color indexed="81"/>
            <rFont val="Tahoma"/>
            <family val="2"/>
          </rPr>
          <t>Joe:</t>
        </r>
        <r>
          <rPr>
            <sz val="9"/>
            <color indexed="81"/>
            <rFont val="Tahoma"/>
            <family val="2"/>
          </rPr>
          <t xml:space="preserve">
</t>
        </r>
      </text>
    </comment>
    <comment ref="A84" authorId="0" shapeId="0" xr:uid="{D30400F3-553B-40A8-9132-92D1F0CD16A4}">
      <text>
        <r>
          <rPr>
            <b/>
            <sz val="9"/>
            <color indexed="81"/>
            <rFont val="Tahoma"/>
            <family val="2"/>
          </rPr>
          <t>Joe:</t>
        </r>
        <r>
          <rPr>
            <sz val="9"/>
            <color indexed="81"/>
            <rFont val="Tahoma"/>
            <family val="2"/>
          </rPr>
          <t xml:space="preserve">
</t>
        </r>
      </text>
    </comment>
    <comment ref="B84" authorId="0" shapeId="0" xr:uid="{A3562F9D-A135-4230-BC9D-EA246963E36D}">
      <text>
        <r>
          <rPr>
            <b/>
            <sz val="9"/>
            <color indexed="81"/>
            <rFont val="Tahoma"/>
            <family val="2"/>
          </rPr>
          <t>Joe:</t>
        </r>
        <r>
          <rPr>
            <sz val="9"/>
            <color indexed="81"/>
            <rFont val="Tahoma"/>
            <family val="2"/>
          </rPr>
          <t xml:space="preserve">
</t>
        </r>
      </text>
    </comment>
    <comment ref="A85" authorId="0" shapeId="0" xr:uid="{77B65293-1ACB-4392-8458-2E190E6A76D9}">
      <text>
        <r>
          <rPr>
            <b/>
            <sz val="9"/>
            <color indexed="81"/>
            <rFont val="Tahoma"/>
            <family val="2"/>
          </rPr>
          <t>Joe:</t>
        </r>
        <r>
          <rPr>
            <sz val="9"/>
            <color indexed="81"/>
            <rFont val="Tahoma"/>
            <family val="2"/>
          </rPr>
          <t xml:space="preserve">
</t>
        </r>
      </text>
    </comment>
    <comment ref="B85" authorId="0" shapeId="0" xr:uid="{C4FE115D-1D99-4874-8E20-3D52F907836B}">
      <text>
        <r>
          <rPr>
            <b/>
            <sz val="9"/>
            <color indexed="81"/>
            <rFont val="Tahoma"/>
            <family val="2"/>
          </rPr>
          <t>Joe:</t>
        </r>
        <r>
          <rPr>
            <sz val="9"/>
            <color indexed="81"/>
            <rFont val="Tahoma"/>
            <family val="2"/>
          </rPr>
          <t xml:space="preserve">
</t>
        </r>
      </text>
    </comment>
    <comment ref="A86" authorId="0" shapeId="0" xr:uid="{5A5AAA0E-F320-4CA3-9B5C-A18387F2DFA6}">
      <text>
        <r>
          <rPr>
            <b/>
            <sz val="9"/>
            <color indexed="81"/>
            <rFont val="Tahoma"/>
            <family val="2"/>
          </rPr>
          <t>Joe:</t>
        </r>
        <r>
          <rPr>
            <sz val="9"/>
            <color indexed="81"/>
            <rFont val="Tahoma"/>
            <family val="2"/>
          </rPr>
          <t xml:space="preserve">
</t>
        </r>
      </text>
    </comment>
    <comment ref="B86" authorId="0" shapeId="0" xr:uid="{6E1F41DD-2CB7-4EEF-97AC-95EDC0EFA828}">
      <text>
        <r>
          <rPr>
            <b/>
            <sz val="9"/>
            <color indexed="81"/>
            <rFont val="Tahoma"/>
            <family val="2"/>
          </rPr>
          <t>Joe:</t>
        </r>
        <r>
          <rPr>
            <sz val="9"/>
            <color indexed="81"/>
            <rFont val="Tahoma"/>
            <family val="2"/>
          </rPr>
          <t xml:space="preserve">
</t>
        </r>
      </text>
    </comment>
    <comment ref="A87" authorId="0" shapeId="0" xr:uid="{9C440145-E344-4B90-BB12-C9D043655400}">
      <text>
        <r>
          <rPr>
            <b/>
            <sz val="9"/>
            <color indexed="81"/>
            <rFont val="Tahoma"/>
            <family val="2"/>
          </rPr>
          <t>Joe:</t>
        </r>
        <r>
          <rPr>
            <sz val="9"/>
            <color indexed="81"/>
            <rFont val="Tahoma"/>
            <family val="2"/>
          </rPr>
          <t xml:space="preserve">
</t>
        </r>
      </text>
    </comment>
    <comment ref="B87" authorId="0" shapeId="0" xr:uid="{9B6C30AC-0749-4507-9031-A0D16BF7BC18}">
      <text>
        <r>
          <rPr>
            <b/>
            <sz val="9"/>
            <color indexed="81"/>
            <rFont val="Tahoma"/>
            <family val="2"/>
          </rPr>
          <t>Joe:</t>
        </r>
        <r>
          <rPr>
            <sz val="9"/>
            <color indexed="81"/>
            <rFont val="Tahoma"/>
            <family val="2"/>
          </rPr>
          <t xml:space="preserve">
</t>
        </r>
      </text>
    </comment>
    <comment ref="A88" authorId="0" shapeId="0" xr:uid="{025A2DD7-5E10-4DBE-972C-5150787FAAE1}">
      <text>
        <r>
          <rPr>
            <b/>
            <sz val="9"/>
            <color indexed="81"/>
            <rFont val="Tahoma"/>
            <family val="2"/>
          </rPr>
          <t>Joe:</t>
        </r>
        <r>
          <rPr>
            <sz val="9"/>
            <color indexed="81"/>
            <rFont val="Tahoma"/>
            <family val="2"/>
          </rPr>
          <t xml:space="preserve">
</t>
        </r>
      </text>
    </comment>
    <comment ref="B88" authorId="0" shapeId="0" xr:uid="{19E6E443-2384-4604-83B5-A693280F41FA}">
      <text>
        <r>
          <rPr>
            <b/>
            <sz val="9"/>
            <color indexed="81"/>
            <rFont val="Tahoma"/>
            <family val="2"/>
          </rPr>
          <t>Joe:</t>
        </r>
        <r>
          <rPr>
            <sz val="9"/>
            <color indexed="81"/>
            <rFont val="Tahoma"/>
            <family val="2"/>
          </rPr>
          <t xml:space="preserve">
</t>
        </r>
      </text>
    </comment>
    <comment ref="A89" authorId="0" shapeId="0" xr:uid="{3FE20C28-0E81-4D45-AE58-160EF97EDC42}">
      <text>
        <r>
          <rPr>
            <b/>
            <sz val="9"/>
            <color indexed="81"/>
            <rFont val="Tahoma"/>
            <family val="2"/>
          </rPr>
          <t>Joe:</t>
        </r>
        <r>
          <rPr>
            <sz val="9"/>
            <color indexed="81"/>
            <rFont val="Tahoma"/>
            <family val="2"/>
          </rPr>
          <t xml:space="preserve">
</t>
        </r>
      </text>
    </comment>
    <comment ref="B89" authorId="0" shapeId="0" xr:uid="{EBFFA002-DA6B-4AD5-98D1-0FBBB294409E}">
      <text>
        <r>
          <rPr>
            <b/>
            <sz val="9"/>
            <color indexed="81"/>
            <rFont val="Tahoma"/>
            <family val="2"/>
          </rPr>
          <t>Joe:</t>
        </r>
        <r>
          <rPr>
            <sz val="9"/>
            <color indexed="81"/>
            <rFont val="Tahoma"/>
            <family val="2"/>
          </rPr>
          <t xml:space="preserve">
</t>
        </r>
      </text>
    </comment>
    <comment ref="A90" authorId="0" shapeId="0" xr:uid="{66AC5B1C-930A-489D-B417-E326404A135F}">
      <text>
        <r>
          <rPr>
            <b/>
            <sz val="9"/>
            <color indexed="81"/>
            <rFont val="Tahoma"/>
            <family val="2"/>
          </rPr>
          <t>Joe:</t>
        </r>
        <r>
          <rPr>
            <sz val="9"/>
            <color indexed="81"/>
            <rFont val="Tahoma"/>
            <family val="2"/>
          </rPr>
          <t xml:space="preserve">
</t>
        </r>
      </text>
    </comment>
    <comment ref="B90" authorId="0" shapeId="0" xr:uid="{334804FA-66F3-4A50-9E9B-3E01C165AC7D}">
      <text>
        <r>
          <rPr>
            <b/>
            <sz val="9"/>
            <color indexed="81"/>
            <rFont val="Tahoma"/>
            <family val="2"/>
          </rPr>
          <t>Joe:</t>
        </r>
        <r>
          <rPr>
            <sz val="9"/>
            <color indexed="81"/>
            <rFont val="Tahoma"/>
            <family val="2"/>
          </rPr>
          <t xml:space="preserve">
</t>
        </r>
      </text>
    </comment>
    <comment ref="A91" authorId="0" shapeId="0" xr:uid="{72F496B6-1C3C-4BD1-9F59-2FFC5134FF47}">
      <text>
        <r>
          <rPr>
            <b/>
            <sz val="9"/>
            <color indexed="81"/>
            <rFont val="Tahoma"/>
            <family val="2"/>
          </rPr>
          <t>Joe:</t>
        </r>
        <r>
          <rPr>
            <sz val="9"/>
            <color indexed="81"/>
            <rFont val="Tahoma"/>
            <family val="2"/>
          </rPr>
          <t xml:space="preserve">
</t>
        </r>
      </text>
    </comment>
    <comment ref="B91" authorId="0" shapeId="0" xr:uid="{E9C1F5D3-95BA-4894-B085-F4E4BAD36FA3}">
      <text>
        <r>
          <rPr>
            <b/>
            <sz val="9"/>
            <color indexed="81"/>
            <rFont val="Tahoma"/>
            <family val="2"/>
          </rPr>
          <t>Joe:</t>
        </r>
        <r>
          <rPr>
            <sz val="9"/>
            <color indexed="81"/>
            <rFont val="Tahoma"/>
            <family val="2"/>
          </rPr>
          <t xml:space="preserve">
</t>
        </r>
      </text>
    </comment>
    <comment ref="A92" authorId="0" shapeId="0" xr:uid="{4FCD3622-B643-43E0-B1F2-D8A1E8D25B66}">
      <text>
        <r>
          <rPr>
            <b/>
            <sz val="9"/>
            <color indexed="81"/>
            <rFont val="Tahoma"/>
            <family val="2"/>
          </rPr>
          <t>Joe:</t>
        </r>
        <r>
          <rPr>
            <sz val="9"/>
            <color indexed="81"/>
            <rFont val="Tahoma"/>
            <family val="2"/>
          </rPr>
          <t xml:space="preserve">
</t>
        </r>
      </text>
    </comment>
    <comment ref="B92" authorId="0" shapeId="0" xr:uid="{0225A824-ADA7-4907-B2CC-3EA82ED8EBA7}">
      <text>
        <r>
          <rPr>
            <b/>
            <sz val="9"/>
            <color indexed="81"/>
            <rFont val="Tahoma"/>
            <family val="2"/>
          </rPr>
          <t>Joe:</t>
        </r>
        <r>
          <rPr>
            <sz val="9"/>
            <color indexed="81"/>
            <rFont val="Tahoma"/>
            <family val="2"/>
          </rPr>
          <t xml:space="preserve">
</t>
        </r>
      </text>
    </comment>
    <comment ref="A93" authorId="0" shapeId="0" xr:uid="{83EA525C-007F-4A6D-AFCF-D3B90D9A40AD}">
      <text>
        <r>
          <rPr>
            <b/>
            <sz val="9"/>
            <color indexed="81"/>
            <rFont val="Tahoma"/>
            <family val="2"/>
          </rPr>
          <t>Joe:</t>
        </r>
        <r>
          <rPr>
            <sz val="9"/>
            <color indexed="81"/>
            <rFont val="Tahoma"/>
            <family val="2"/>
          </rPr>
          <t xml:space="preserve">
</t>
        </r>
      </text>
    </comment>
    <comment ref="B93" authorId="0" shapeId="0" xr:uid="{6F04D307-C092-41A4-891A-09B9DB5F1084}">
      <text>
        <r>
          <rPr>
            <b/>
            <sz val="9"/>
            <color indexed="81"/>
            <rFont val="Tahoma"/>
            <family val="2"/>
          </rPr>
          <t>Joe:</t>
        </r>
        <r>
          <rPr>
            <sz val="9"/>
            <color indexed="81"/>
            <rFont val="Tahoma"/>
            <family val="2"/>
          </rPr>
          <t xml:space="preserve">
</t>
        </r>
      </text>
    </comment>
    <comment ref="A94" authorId="0" shapeId="0" xr:uid="{4A03B344-9D76-4854-98C1-4B68567F2A02}">
      <text>
        <r>
          <rPr>
            <b/>
            <sz val="9"/>
            <color indexed="81"/>
            <rFont val="Tahoma"/>
            <family val="2"/>
          </rPr>
          <t>Joe:</t>
        </r>
        <r>
          <rPr>
            <sz val="9"/>
            <color indexed="81"/>
            <rFont val="Tahoma"/>
            <family val="2"/>
          </rPr>
          <t xml:space="preserve">
</t>
        </r>
      </text>
    </comment>
    <comment ref="B94" authorId="0" shapeId="0" xr:uid="{A804E647-924A-451B-9623-F62CF728DBA4}">
      <text>
        <r>
          <rPr>
            <b/>
            <sz val="9"/>
            <color indexed="81"/>
            <rFont val="Tahoma"/>
            <family val="2"/>
          </rPr>
          <t>Joe:</t>
        </r>
        <r>
          <rPr>
            <sz val="9"/>
            <color indexed="81"/>
            <rFont val="Tahoma"/>
            <family val="2"/>
          </rPr>
          <t xml:space="preserve">
</t>
        </r>
      </text>
    </comment>
  </commentList>
</comments>
</file>

<file path=xl/sharedStrings.xml><?xml version="1.0" encoding="utf-8"?>
<sst xmlns="http://schemas.openxmlformats.org/spreadsheetml/2006/main" count="1048" uniqueCount="672">
  <si>
    <t>#155</t>
  </si>
  <si>
    <t>NEW CUSTOMER #</t>
  </si>
  <si>
    <t>JOB FORMS</t>
  </si>
  <si>
    <t>as needed per job</t>
  </si>
  <si>
    <t>FORMS</t>
  </si>
  <si>
    <t>CONTRACT    PACKAGE;</t>
  </si>
  <si>
    <t>ADJUST PRINT AREA</t>
  </si>
  <si>
    <t xml:space="preserve"> BASIC SUMMARY OF RESTORATION PROCESS; (Quick version). </t>
  </si>
  <si>
    <t xml:space="preserve">    Signed contract verification , MOU sent</t>
  </si>
  <si>
    <t>Copy of Policy (full pages) Declaration page for AOB</t>
  </si>
  <si>
    <t>Claim Brief &amp; .'REPORTING SUMMARY</t>
  </si>
  <si>
    <t>INDEX = LISTING of  Job Work Areas.</t>
  </si>
  <si>
    <t>Exterior Mitigation &amp; Scope</t>
  </si>
  <si>
    <t>a.) Supplies &amp;  Equipment   b.)  Mitigation   c.) Scope</t>
  </si>
  <si>
    <t>SKETCHES  /    FLOOR PLAN /              Interior SCOPE</t>
  </si>
  <si>
    <t>Interior SCOPE/SHEETS</t>
  </si>
  <si>
    <t>per room/area; as needed per job/ Kitchen&amp;Bath=SCOPE Of Work</t>
  </si>
  <si>
    <t>per room/area; as needed per job</t>
  </si>
  <si>
    <t>INTERIOR Mitigation    a) Equipment  b) Supplies  c) Scope of Mitigation</t>
  </si>
  <si>
    <t>b)Mitigation c)Scope d)Readings</t>
  </si>
  <si>
    <t>a) Equipment   b) Supplies  c) Mitigation Scope</t>
  </si>
  <si>
    <t>DH Dry Chambers zip poles Elc</t>
  </si>
  <si>
    <t>INTERIOR Mitigation READINGS !!!!  a.) MC    b.) RH      c.) F TEMP</t>
  </si>
  <si>
    <t>I</t>
  </si>
  <si>
    <t>a.) MC  b.) RH c.) F TEMP</t>
  </si>
  <si>
    <t>Contents SCOPE = QUICKVIEW</t>
  </si>
  <si>
    <t>HMR Hazrdous Materials</t>
  </si>
  <si>
    <t>Exterior Maintenance                 INT Maintenance</t>
  </si>
  <si>
    <t>BASIC SUMMARY OF RESTORATION PROCESS; (Quick version).</t>
  </si>
  <si>
    <t>DoneDate</t>
  </si>
  <si>
    <t>JOB</t>
  </si>
  <si>
    <t>Status</t>
  </si>
  <si>
    <t>%</t>
  </si>
  <si>
    <t>Introduction, Analysis &amp; Verification</t>
  </si>
  <si>
    <t>source/reffered by:</t>
  </si>
  <si>
    <t>POI</t>
  </si>
  <si>
    <t xml:space="preserve">Who is the Insurance Company ?!? </t>
  </si>
  <si>
    <t>Does customer Comprehend Our Role in the process?</t>
  </si>
  <si>
    <t>Is this an LEGITIMATE COVERED INSURANCE Claim? Or Self Pay ?</t>
  </si>
  <si>
    <t>IS THE DAMAGE $ MORE THAN THE DEDUCTIBLE?</t>
  </si>
  <si>
    <t>Do they have coverage; for AOB?   Proof of Insurance, POI</t>
  </si>
  <si>
    <t>EMAIL</t>
  </si>
  <si>
    <t>Contracts &amp; Documentation</t>
  </si>
  <si>
    <t xml:space="preserve"> Contracts &amp; Documentation </t>
  </si>
  <si>
    <t>ENC</t>
  </si>
  <si>
    <t>DOC</t>
  </si>
  <si>
    <t>Has Customer been fully advised of Contract Contents?</t>
  </si>
  <si>
    <t>Has Customer had a full Consultation to Our Terms &amp; Conditions?</t>
  </si>
  <si>
    <t>Does Customer FULLY Agree to Our Terms &amp; Conditions? Initials?</t>
  </si>
  <si>
    <t>0NLINE</t>
  </si>
  <si>
    <t>Notary Page explained/ Fast track</t>
  </si>
  <si>
    <t>mou</t>
  </si>
  <si>
    <t>Company investment (dollars, time ,materials)into their Project?</t>
  </si>
  <si>
    <t>Claim Reporting</t>
  </si>
  <si>
    <t>INS</t>
  </si>
  <si>
    <t>DOES THE CUSTOMER HAVE THE REQUIRED INFO?</t>
  </si>
  <si>
    <t>Insurer Mitigation / DMO / CPS Approval Info Sheet</t>
  </si>
  <si>
    <t>mit</t>
  </si>
  <si>
    <t>Mitigation &amp; Demolition</t>
  </si>
  <si>
    <t>Roof &amp; EXT Mitigation  TEMPORARY &amp; EMERGENCY REPAIRS</t>
  </si>
  <si>
    <t>Contents_ item list_; storage details; security explained?</t>
  </si>
  <si>
    <t>HMR / Secondary Damages; Equipment &amp; Electricity $</t>
  </si>
  <si>
    <t>Interior Mitigation; household disruption explained?</t>
  </si>
  <si>
    <t>esx</t>
  </si>
  <si>
    <t xml:space="preserve"> Estimates</t>
  </si>
  <si>
    <t>Interior Inspection/Scope Form</t>
  </si>
  <si>
    <t xml:space="preserve"> SKETCH/DRAWING;[1] sheet per floor</t>
  </si>
  <si>
    <t>PICTURES; In Encircle APP</t>
  </si>
  <si>
    <t xml:space="preserve"> Create Estimates…                Rebuild……       …......  CPS</t>
  </si>
  <si>
    <t xml:space="preserve">                Mitigation &amp; Demolition</t>
  </si>
  <si>
    <t>Insurance Company Meetings</t>
  </si>
  <si>
    <t>Insurance Company Meetings ( be present for adjuster visit)</t>
  </si>
  <si>
    <t>adj</t>
  </si>
  <si>
    <t>Prepare docs for adjuster meeting; Print &amp; bind docs</t>
  </si>
  <si>
    <t>Cashflow</t>
  </si>
  <si>
    <t>job</t>
  </si>
  <si>
    <t>General Contractor / Subcontracts</t>
  </si>
  <si>
    <t>Rebuild</t>
  </si>
  <si>
    <t>REBUILD</t>
  </si>
  <si>
    <t>Contents</t>
  </si>
  <si>
    <t xml:space="preserve">CONTENTS      CPS </t>
  </si>
  <si>
    <t>Closeout</t>
  </si>
  <si>
    <t xml:space="preserve">Documents Checklist for CONTRACT PACKAGE </t>
  </si>
  <si>
    <t>CUSTOMER #</t>
  </si>
  <si>
    <t>CONTRACT PACKAGE;</t>
  </si>
  <si>
    <t>PGS</t>
  </si>
  <si>
    <t>CST Sign</t>
  </si>
  <si>
    <t xml:space="preserve"> Scan</t>
  </si>
  <si>
    <t>Upload</t>
  </si>
  <si>
    <t>DONE</t>
  </si>
  <si>
    <t>Report#</t>
  </si>
  <si>
    <t xml:space="preserve">Copy of Policy full pages       [   ]  for AOB            </t>
  </si>
  <si>
    <t>N/A</t>
  </si>
  <si>
    <t>[   ]</t>
  </si>
  <si>
    <t>Declaration page                  [   ]   for AOB</t>
  </si>
  <si>
    <t>{1} MEMORANDUM OF UNDERSTANDING</t>
  </si>
  <si>
    <t>FORWARD</t>
  </si>
  <si>
    <t># 50</t>
  </si>
  <si>
    <t xml:space="preserve">             MOU. REVIEWED / SENT</t>
  </si>
  <si>
    <t>{2}  AUTHORIZATION, General</t>
  </si>
  <si>
    <t>{3} TMP Authorization</t>
  </si>
  <si>
    <t xml:space="preserve">{5} CONTRACT      w/ initials   {  } &amp; RECISSION </t>
  </si>
  <si>
    <t>{6} AOB---- Notary Pages</t>
  </si>
  <si>
    <t># 51</t>
  </si>
  <si>
    <t>{7} Brief Narrative of Claim.'REPORTING SUMMARY</t>
  </si>
  <si>
    <t>UPDATE</t>
  </si>
  <si>
    <t>#25</t>
  </si>
  <si>
    <t>{__} INDEX = LISTING of  Job Work Areas.</t>
  </si>
  <si>
    <t>{8} MOLD DISCLAIMER</t>
  </si>
  <si>
    <t>{9} Mortgage Co, Info</t>
  </si>
  <si>
    <t xml:space="preserve"> {10} EagleView,        Full report  &amp; EV# _______</t>
  </si>
  <si>
    <t xml:space="preserve">Xactimate________ </t>
  </si>
  <si>
    <t>EGV</t>
  </si>
  <si>
    <t>OTHER_____siding_____WDW___</t>
  </si>
  <si>
    <t>gutters</t>
  </si>
  <si>
    <t>{12} SKETCH / DRAWING;[1] sheet per floor</t>
  </si>
  <si>
    <t>SKETCH &amp; SCOPE</t>
  </si>
  <si>
    <t>{13} Interior SCOPE/SHEET; [1] sheet per room</t>
  </si>
  <si>
    <t>{14}  ROOM Pictures/ SEE app guideline</t>
  </si>
  <si>
    <t>PICTURES</t>
  </si>
  <si>
    <t>Pictures are a critical part of full process for payment!</t>
  </si>
  <si>
    <t>{15}  Mitigation -Exterior           SCOPE &amp; MIT</t>
  </si>
  <si>
    <t>EXTERIOR MITIGATION</t>
  </si>
  <si>
    <t>#65</t>
  </si>
  <si>
    <t>SUPPLIES</t>
  </si>
  <si>
    <t>EQUIPTMENT</t>
  </si>
  <si>
    <t>{16}  Mitigation -Interior             SCOPE &amp; MIT</t>
  </si>
  <si>
    <t>INTERIOR MITIGATION</t>
  </si>
  <si>
    <t>#80</t>
  </si>
  <si>
    <t>{17}  DEMO                              SCOPE</t>
  </si>
  <si>
    <t>DMO</t>
  </si>
  <si>
    <t>{18}  Contents SCOPE = QUICKVIEW</t>
  </si>
  <si>
    <t>CPS CLN CON</t>
  </si>
  <si>
    <t>#90</t>
  </si>
  <si>
    <t xml:space="preserve">Team leader: </t>
  </si>
  <si>
    <t>Brief Narrative of Claim details</t>
  </si>
  <si>
    <t>Property damage</t>
  </si>
  <si>
    <t>Description of each location where damage observed; ___________________________________________</t>
  </si>
  <si>
    <t>Type of property damage</t>
  </si>
  <si>
    <t>__________________________________________</t>
  </si>
  <si>
    <t>INS CO.Contact person</t>
  </si>
  <si>
    <t>Phone extension Number</t>
  </si>
  <si>
    <t xml:space="preserve">DAY / DATE </t>
  </si>
  <si>
    <t>TIME</t>
  </si>
  <si>
    <t xml:space="preserve">OK </t>
  </si>
  <si>
    <t>________________________</t>
  </si>
  <si>
    <t xml:space="preserve">  ______________________</t>
  </si>
  <si>
    <t>AM ___ PM_____ ; _____</t>
  </si>
  <si>
    <r>
      <t xml:space="preserve">Mitigation emergency Services; </t>
    </r>
    <r>
      <rPr>
        <u/>
        <sz val="16"/>
        <color rgb="FF000000"/>
        <rFont val="Arial Narrow"/>
        <family val="2"/>
      </rPr>
      <t>TARP/</t>
    </r>
    <r>
      <rPr>
        <u/>
        <sz val="14"/>
        <color rgb="FF000000"/>
        <rFont val="Arial Narrow"/>
        <family val="2"/>
      </rPr>
      <t>TMP WTR HMR DMO</t>
    </r>
  </si>
  <si>
    <t xml:space="preserve">YES _____ </t>
  </si>
  <si>
    <t>NO_____</t>
  </si>
  <si>
    <t>Demolition   DMO Remove Wet DRY / PLA;  materials</t>
  </si>
  <si>
    <t>CPS/CLN/CON; list all PACKOUT ROOMS</t>
  </si>
  <si>
    <t>CON</t>
  </si>
  <si>
    <t>Replacement Items; personal property</t>
  </si>
  <si>
    <t>_________________________________________________</t>
  </si>
  <si>
    <t>Roof &amp; EXT&gt;</t>
  </si>
  <si>
    <t>Other Structures</t>
  </si>
  <si>
    <t>ALE</t>
  </si>
  <si>
    <t>Additional living Expenses</t>
  </si>
  <si>
    <t>Advance Payment Request/ Materials Draw Request</t>
  </si>
  <si>
    <t>Any Insurer contact about this particular claim .</t>
  </si>
  <si>
    <t>Claim History</t>
  </si>
  <si>
    <t>YES _____ / NO_____</t>
  </si>
  <si>
    <t>The notice of loss should include the following information:</t>
  </si>
  <si>
    <t>Policyholder INFO</t>
  </si>
  <si>
    <t>WHO ??</t>
  </si>
  <si>
    <t>PROVIDE A COPY OF YOUR INSURANCE POLICY &amp; Declarations Page</t>
  </si>
  <si>
    <t xml:space="preserve">Insurance Co. Name </t>
  </si>
  <si>
    <t>policy #</t>
  </si>
  <si>
    <t>Declarations Page dated_________________</t>
  </si>
  <si>
    <t>Verify deductable $___________________</t>
  </si>
  <si>
    <t xml:space="preserve">Notice of loss should include the policy number &amp; EFFECTIVE DATES </t>
  </si>
  <si>
    <t>FROM</t>
  </si>
  <si>
    <t>_____/_____/______</t>
  </si>
  <si>
    <t>TO</t>
  </si>
  <si>
    <t>CALL INSURANCE COMPANY TO FILE CLAIM &amp; REQUEST INSPECTION OF PROPERTY.</t>
  </si>
  <si>
    <t xml:space="preserve">CLAIMS DEPARTMENT </t>
  </si>
  <si>
    <t>WHAT ??</t>
  </si>
  <si>
    <t xml:space="preserve">TYPE OF LOSS (PROBLEM)                             </t>
  </si>
  <si>
    <t>Causes of the property damage.  ________________________</t>
  </si>
  <si>
    <t>________________________________________</t>
  </si>
  <si>
    <t>WHEN ??</t>
  </si>
  <si>
    <t>DATE OF LOSS ( AS CLOSE AS YOU KNOW)__________________</t>
  </si>
  <si>
    <t>Date damage first occurred _____/____/2021</t>
  </si>
  <si>
    <t>WHERE ??</t>
  </si>
  <si>
    <t>DAMAGES</t>
  </si>
  <si>
    <t>Also see room index</t>
  </si>
  <si>
    <t>Type of property damage.</t>
  </si>
  <si>
    <t>Room/Area</t>
  </si>
  <si>
    <t>___________________________</t>
  </si>
  <si>
    <t>___________</t>
  </si>
  <si>
    <t>__________________</t>
  </si>
  <si>
    <t>Personal Property, clothing, furniture etc.</t>
  </si>
  <si>
    <t>_________________________________</t>
  </si>
  <si>
    <t>Actions taken to Mitigate damages:</t>
  </si>
  <si>
    <t>Contractor info</t>
  </si>
  <si>
    <t>!*!*!**The Following is critical information to be documented !*!*!!!*</t>
  </si>
  <si>
    <t>Tarp Installation</t>
  </si>
  <si>
    <t>Damaged Materials Removal</t>
  </si>
  <si>
    <t>Emergency Mitigation Services</t>
  </si>
  <si>
    <t>CPS / CLN / CON; list all personal property damaged</t>
  </si>
  <si>
    <t>Contact person name</t>
  </si>
  <si>
    <t xml:space="preserve">DAY / Time </t>
  </si>
  <si>
    <t>DATE</t>
  </si>
  <si>
    <t xml:space="preserve">  _________________</t>
  </si>
  <si>
    <t>_________AM/PM</t>
  </si>
  <si>
    <t>_____/_____/ 2021</t>
  </si>
  <si>
    <t xml:space="preserve">     How the adjuster can contact you.    &amp;     That you need immediate contact from the adjuster.</t>
  </si>
  <si>
    <t>Affected Areas, Include Line of Sight room /areas</t>
  </si>
  <si>
    <t>LINE OF SIGHT ONLY</t>
  </si>
  <si>
    <t>TRAVEL</t>
  </si>
  <si>
    <t>Room Index</t>
  </si>
  <si>
    <t>Mitigation Interior</t>
  </si>
  <si>
    <t>ONLY</t>
  </si>
  <si>
    <t>TBD</t>
  </si>
  <si>
    <t>Y</t>
  </si>
  <si>
    <t>N</t>
  </si>
  <si>
    <t>y</t>
  </si>
  <si>
    <t>Roofing / Exterior    Supplies /  Materials / Equipment</t>
  </si>
  <si>
    <t xml:space="preserve">EagleView       </t>
  </si>
  <si>
    <t>[__]</t>
  </si>
  <si>
    <t xml:space="preserve">Quick squares ________ </t>
  </si>
  <si>
    <t>Full report ________</t>
  </si>
  <si>
    <t>gutters / siding / windows</t>
  </si>
  <si>
    <t>Tarps</t>
  </si>
  <si>
    <t>9 X 19______  11 x 23 __ ___    20 x 25_______ /_____</t>
  </si>
  <si>
    <t>Buttons/ nails</t>
  </si>
  <si>
    <t>screws</t>
  </si>
  <si>
    <t>Bracing 1 x 4 x 8</t>
  </si>
  <si>
    <t>Temp Repairs Materials</t>
  </si>
  <si>
    <t>Sheathing - CDX - 5/8"</t>
  </si>
  <si>
    <t># __________</t>
  </si>
  <si>
    <t>Temp covering; felt, ice guard</t>
  </si>
  <si>
    <t>Pipe collars / repair "donuts"</t>
  </si>
  <si>
    <t>Ladders</t>
  </si>
  <si>
    <t xml:space="preserve">Ladder  22-30-40    </t>
  </si>
  <si>
    <t>Extension ladder</t>
  </si>
  <si>
    <t>Folding type  17 / 21</t>
  </si>
  <si>
    <t>Hook ladder/ goat</t>
  </si>
  <si>
    <t>Step ladder</t>
  </si>
  <si>
    <t>Safety gear</t>
  </si>
  <si>
    <t>Work boots, "Cougar Paws"</t>
  </si>
  <si>
    <t>Rope &amp; tie offs   25  /  50  /  100 lf</t>
  </si>
  <si>
    <t>Harness</t>
  </si>
  <si>
    <t>Tools</t>
  </si>
  <si>
    <t xml:space="preserve">CHALK </t>
  </si>
  <si>
    <t>FLASHLIGHT</t>
  </si>
  <si>
    <t>HAMMER,  toolbelt</t>
  </si>
  <si>
    <t>magnetic</t>
  </si>
  <si>
    <t>Cordless drill, bits screws</t>
  </si>
  <si>
    <t>Lopper, tree trimmer tool</t>
  </si>
  <si>
    <t>Saws; bow handsaw / Chainsaw</t>
  </si>
  <si>
    <t>gutter scooper</t>
  </si>
  <si>
    <t>torch</t>
  </si>
  <si>
    <t>Generator</t>
  </si>
  <si>
    <t>Safety Cones</t>
  </si>
  <si>
    <t>Extension Cords</t>
  </si>
  <si>
    <t>Caution tape</t>
  </si>
  <si>
    <t>Power washer &amp; water hoses</t>
  </si>
  <si>
    <t>FENCING</t>
  </si>
  <si>
    <t>SPECIAL SITE CIRCUMSTANCES COVERED; DUMPSTER LOCATION, ELEC.</t>
  </si>
  <si>
    <t>ROOF Mitigation PICTURES</t>
  </si>
  <si>
    <t>JOBSITE Verification Pics</t>
  </si>
  <si>
    <t>[A]Take a picture of the property address; upon arrival &amp; last picture.</t>
  </si>
  <si>
    <t>[B] Take picture of the front &amp; sides, &amp; rear of property.</t>
  </si>
  <si>
    <t>ROOF Pictures</t>
  </si>
  <si>
    <t>[C] PICTURE OF Every damaged area/slope</t>
  </si>
  <si>
    <t>[D] Include damage details notes as described below</t>
  </si>
  <si>
    <t>North/Front Slope</t>
  </si>
  <si>
    <t>Identify &amp; Label Roof Damage - A]  TYPE &amp;  B] Quantity</t>
  </si>
  <si>
    <t>PHOTO</t>
  </si>
  <si>
    <t xml:space="preserve"> W   =   6 +</t>
  </si>
  <si>
    <t>"  O  "  Circle =          Hail damage</t>
  </si>
  <si>
    <t>[ ____]</t>
  </si>
  <si>
    <t xml:space="preserve"> O    =  8 +</t>
  </si>
  <si>
    <t xml:space="preserve">"  W  " =                   Wind damage </t>
  </si>
  <si>
    <t>SAMPLE</t>
  </si>
  <si>
    <t>Creased Shingles; line showing stress test results, debris underneath</t>
  </si>
  <si>
    <t>Direction = (use compass APP); N___S___E ___W __</t>
  </si>
  <si>
    <t>" Tree  "                    tree damage</t>
  </si>
  <si>
    <t>Pics of Label &amp; Temporary Repairs</t>
  </si>
  <si>
    <t>Temp Repairs &amp; Materials =   BILLABLE ITEMS</t>
  </si>
  <si>
    <t>Safety Cones &amp; Caution Tape</t>
  </si>
  <si>
    <t>SAFETY FENCING &amp; POSTS (4)</t>
  </si>
  <si>
    <t>TARPS     9 X 19_____  11 x 23  ___   20 x 25_______ /_____</t>
  </si>
  <si>
    <t>Bracing 1 x 2 x 8</t>
  </si>
  <si>
    <t xml:space="preserve">Sheathing - CDX - 5/8" =  sf </t>
  </si>
  <si>
    <t>Look for exposed wood/roof decking &amp; Roof Penetrations</t>
  </si>
  <si>
    <t>LABEL "TEMP REPAIR"</t>
  </si>
  <si>
    <t>Generator POWER CABLE</t>
  </si>
  <si>
    <t>Harness, Rope &amp; tie offs/anchors   25/50/100 lf</t>
  </si>
  <si>
    <t>ROOF ANCHORS fastened in place</t>
  </si>
  <si>
    <t>DUMPSTER BAG</t>
  </si>
  <si>
    <t>[ E ] EXTERIOR / other storm / fire damage; garage, siding , fascia, gutters , fencing, shed,   ……………...windows,      A/C unit [see EXT PICS OTHER ]</t>
  </si>
  <si>
    <t xml:space="preserve"> EXTERIOR   ROOF Systems Checklist   </t>
  </si>
  <si>
    <t>PICTURES NEED OF THE FOLLOWING ITEMS……..SHOW EXISITNG AND OR NEW…….</t>
  </si>
  <si>
    <t>EAGLEVIEW/ DRAWING</t>
  </si>
  <si>
    <t>ORDERED__________</t>
  </si>
  <si>
    <t xml:space="preserve"> Roof shingles</t>
  </si>
  <si>
    <t>3 tab -25 yr. shingles OR  30 yr.</t>
  </si>
  <si>
    <t>TYPE_______________</t>
  </si>
  <si>
    <t>{__}</t>
  </si>
  <si>
    <t>10%_______15%______</t>
  </si>
  <si>
    <t>WASTE %</t>
  </si>
  <si>
    <t>Additional layer Roof shingles</t>
  </si>
  <si>
    <t xml:space="preserve">Yes </t>
  </si>
  <si>
    <t>NO</t>
  </si>
  <si>
    <t>Gable cornice return - 3 tab</t>
  </si>
  <si>
    <t>High roof (2 stories or more)</t>
  </si>
  <si>
    <t>Steep roof - 7/12 0r higher</t>
  </si>
  <si>
    <t>SLOPE  =______________</t>
  </si>
  <si>
    <t>Flashing - Metals</t>
  </si>
  <si>
    <t>Drip edge</t>
  </si>
  <si>
    <t xml:space="preserve"> Yes  </t>
  </si>
  <si>
    <t xml:space="preserve"> NO </t>
  </si>
  <si>
    <t>Chimney flashing - avge (3x3)</t>
  </si>
  <si>
    <t>________</t>
  </si>
  <si>
    <t>quantity</t>
  </si>
  <si>
    <t xml:space="preserve"> {__} </t>
  </si>
  <si>
    <t>Flashing - pipe jack PVC____ :Lead_________</t>
  </si>
  <si>
    <t>Exhaust cap - through roof</t>
  </si>
  <si>
    <t xml:space="preserve"> quantity </t>
  </si>
  <si>
    <t xml:space="preserve">  {__}  </t>
  </si>
  <si>
    <t>Valley metal                                                                        SHOW</t>
  </si>
  <si>
    <t>Ice &amp; water shield</t>
  </si>
  <si>
    <t>Flashing, 14" wide</t>
  </si>
  <si>
    <t>Step flashing                                                                         SHOW</t>
  </si>
  <si>
    <t>Roof window SKYLITE step flashing kit</t>
  </si>
  <si>
    <t>Vent System</t>
  </si>
  <si>
    <t>Continuous ridge vent - aluminum</t>
  </si>
  <si>
    <t>Continuous ridge vent - shingle-over style</t>
  </si>
  <si>
    <t>Roof vent - turbine type</t>
  </si>
  <si>
    <t>Roof vent - turtle type - Metal</t>
  </si>
  <si>
    <t>Roof mount power attic vent - Detach &amp; reset</t>
  </si>
  <si>
    <t>Gutters</t>
  </si>
  <si>
    <t>Gutter guard/screen - Detach &amp; reset</t>
  </si>
  <si>
    <t>replace</t>
  </si>
  <si>
    <t>Gutter / downspout - aluminum - 6"</t>
  </si>
  <si>
    <t>Gutter / downspout - Detach &amp; reset</t>
  </si>
  <si>
    <t>Clean gutter/downspout</t>
  </si>
  <si>
    <t>Storm debris</t>
  </si>
  <si>
    <t xml:space="preserve">MISC.    damaged ?
</t>
  </si>
  <si>
    <t xml:space="preserve">Digital satellite system - </t>
  </si>
  <si>
    <t>TV antenna</t>
  </si>
  <si>
    <t>Clothes dryer vent cover</t>
  </si>
  <si>
    <t>Comb &amp; straighten a/c condenser unit fins</t>
  </si>
  <si>
    <t>Window screen, 10 - 16 sf</t>
  </si>
  <si>
    <t xml:space="preserve">  Yes   </t>
  </si>
  <si>
    <t xml:space="preserve">  NO  </t>
  </si>
  <si>
    <r>
      <t xml:space="preserve"> Clear ,  detailed  &amp;  properly labeled emailed {ONLY !!!!} </t>
    </r>
    <r>
      <rPr>
        <b/>
        <i/>
        <u/>
        <sz val="11"/>
        <color rgb="FF000000"/>
        <rFont val="Calibri"/>
        <family val="2"/>
        <scheme val="minor"/>
      </rPr>
      <t>Pictures are a critical part of the full process for payment!!</t>
    </r>
  </si>
  <si>
    <t>Maintenance Items-  Exterior/Roof non claim related issues</t>
  </si>
  <si>
    <t>Failure to address these items could result in claim denial !!</t>
  </si>
  <si>
    <t>Some typical Examples to be inspected are as follows:</t>
  </si>
  <si>
    <t>First impresssion of Property</t>
  </si>
  <si>
    <t>Curb Appeal</t>
  </si>
  <si>
    <t>Landscaping</t>
  </si>
  <si>
    <t>Overall condition of Property</t>
  </si>
  <si>
    <t>Housekeeping</t>
  </si>
  <si>
    <t>IS THERE THE IMAGE THAT They NEED the Money??</t>
  </si>
  <si>
    <t>Roofing</t>
  </si>
  <si>
    <t>Caulk Failure</t>
  </si>
  <si>
    <t>Column2</t>
  </si>
  <si>
    <t>Pipe collars</t>
  </si>
  <si>
    <t>Loose chimney bricks</t>
  </si>
  <si>
    <t>Flashing</t>
  </si>
  <si>
    <t>Clogged gutter/downspout</t>
  </si>
  <si>
    <t>Loose gutters, gutter boards,</t>
  </si>
  <si>
    <t>Trees contacting roof / house siding</t>
  </si>
  <si>
    <t>Misc Items to be inspected</t>
  </si>
  <si>
    <t>Peeling Paint</t>
  </si>
  <si>
    <t>Trip Hazards/Sidewalks</t>
  </si>
  <si>
    <t>Loose/Missing Railings</t>
  </si>
  <si>
    <t xml:space="preserve">Excess debris/contents on site </t>
  </si>
  <si>
    <t>Loose Fixtures/lights/Awnings/Siding</t>
  </si>
  <si>
    <t>Cracked walls/loose fencing</t>
  </si>
  <si>
    <t>Broken Windows</t>
  </si>
  <si>
    <t>Hazard Materials on site</t>
  </si>
  <si>
    <t>Electrical overloads</t>
  </si>
  <si>
    <t>Code upgrades to be considered</t>
  </si>
  <si>
    <t xml:space="preserve">"Deck" </t>
  </si>
  <si>
    <t>3/8" existing</t>
  </si>
  <si>
    <t>Ventilation</t>
  </si>
  <si>
    <t>We may work with you to correct these items,with your approval;Costs,if any,to be determined.</t>
  </si>
  <si>
    <t>Index of Required Pictures</t>
  </si>
  <si>
    <t>Taken IN ENCIRCLE</t>
  </si>
  <si>
    <t>reviewed &amp; ok By</t>
  </si>
  <si>
    <t>Emailed to insurer</t>
  </si>
  <si>
    <t>Each picture set requires a site verification set of pictures as follows:</t>
  </si>
  <si>
    <t xml:space="preserve">[A] Take a picture of the property address;                    </t>
  </si>
  <si>
    <t>[ 1 ]upon arrival   [ 2 ] last picture before leaving job.</t>
  </si>
  <si>
    <t>Part of each project</t>
  </si>
  <si>
    <t>[B] At opposite corners of the house, take one picture of the front &amp; side,</t>
  </si>
  <si>
    <t>then take a picture of the back and the other side.  This should give full view.  ….</t>
  </si>
  <si>
    <t>ORIGINAL SITE VISIT</t>
  </si>
  <si>
    <t>Documents the initial damages BEFORE  any work is done.</t>
  </si>
  <si>
    <t>Provides the primary basis for the restoration work scope.</t>
  </si>
  <si>
    <t>a]  Roof &amp; EXT     …....................b]  Interior   ….....      …....................</t>
  </si>
  <si>
    <t>ROOF &amp; EXTERIOR  MITIGATION</t>
  </si>
  <si>
    <t>INTERIOR  MITIGATION &amp; DEMO</t>
  </si>
  <si>
    <t xml:space="preserve">    DEMOLITION                                                                               DMO </t>
  </si>
  <si>
    <t xml:space="preserve"> SECONDARY DAMAGES HAZARDOUS MATERIALS REMEDIATION/HMR</t>
  </si>
  <si>
    <t xml:space="preserve"> MITIGATION EQUIPMENT</t>
  </si>
  <si>
    <t>Provides the supporting documentation of equipment billed.</t>
  </si>
  <si>
    <t>DRY LOGS DOCS &amp; TRIP MONITORING</t>
  </si>
  <si>
    <t xml:space="preserve">Required info to support our professional drying techniques &amp; our drying/mitigation invoices…............   </t>
  </si>
  <si>
    <t>CONTENTS; PACKOUT a]  Storage Only</t>
  </si>
  <si>
    <t>Gives detailed support for contents pack out &amp; related charges.</t>
  </si>
  <si>
    <t xml:space="preserve"> IF resetting is done , provide picture after unpacking.</t>
  </si>
  <si>
    <t>Cleaning INHOUSE  &amp;  Sent to outside  vendor</t>
  </si>
  <si>
    <t>CONTENTS, REPLACEMENT ITEMS                       CPS / CON</t>
  </si>
  <si>
    <t>Required documentation to get customer paid for damaged items.</t>
  </si>
  <si>
    <t>REBUILD CLOSEOUT</t>
  </si>
  <si>
    <t xml:space="preserve">Allows support to finalize the job and receive payment,                                                                                                      </t>
  </si>
  <si>
    <t>Shows our quality of work  &amp; attracts new customers.</t>
  </si>
  <si>
    <t>SECONDARY DAMAGES HAZARDOUS MATERIALS REMEDIATION/HMR</t>
  </si>
  <si>
    <t>Exterior contents</t>
  </si>
  <si>
    <t xml:space="preserve">General Info &amp; Tips:      </t>
  </si>
  <si>
    <t xml:space="preserve">      You cannot take too many photos of the damages;/Water damage which may be especially hard to photograph. </t>
  </si>
  <si>
    <t xml:space="preserve">Some lighted cameras flash-out the stains.  Taking non-lighted photos sometimes works much better. </t>
  </si>
  <si>
    <t>How to take pictures</t>
  </si>
  <si>
    <r>
      <rPr>
        <b/>
        <i/>
        <sz val="12"/>
        <color rgb="FF000000"/>
        <rFont val="Arial"/>
        <family val="2"/>
      </rPr>
      <t xml:space="preserve">FIRST !!!! Put on your safety shoes, goggles, gloves, hard hat and mask., take photos  of everything in the </t>
    </r>
    <r>
      <rPr>
        <sz val="12"/>
        <color rgb="FF000000"/>
        <rFont val="Arial"/>
        <family val="2"/>
      </rPr>
      <t>the interior on the property. Pictures of the personal property  inventory handled by other subcontractor. Photos  of the damages to your home, business, and especially the water damage which may be hard to photograph or video-graph. Some lighted cameras flash-out the stains. So, taking non-lighted photos and video sometimes works much better when trying to get photo evidence of water stained ceilings and walls.</t>
    </r>
  </si>
  <si>
    <t>[ 1 ]upon arrival</t>
  </si>
  <si>
    <t>[ 2 ] last picture before leaving job.</t>
  </si>
  <si>
    <t>[ B ]     At opposite corners of the house, take one picture of the front and side,</t>
  </si>
  <si>
    <t>then take a picture of the back and the other side.  This should give full view.</t>
  </si>
  <si>
    <t xml:space="preserve">[ C ]    Take pictures of each damaged room and name the photos; by room grouping.  </t>
  </si>
  <si>
    <t xml:space="preserve">     1] room name /label/sign…. </t>
  </si>
  <si>
    <t>**Using the ENCIRCLE APP will guide you thru this process                  *********</t>
  </si>
  <si>
    <t xml:space="preserve">    2].room overview @ entry </t>
  </si>
  <si>
    <t xml:space="preserve">  .3] ceiling…                        </t>
  </si>
  <si>
    <t xml:space="preserve">  4] floor………………………….</t>
  </si>
  <si>
    <t>WALL2</t>
  </si>
  <si>
    <t>…… 5] each wall          North</t>
  </si>
  <si>
    <t>…… 6] each wall          South</t>
  </si>
  <si>
    <t>W=1</t>
  </si>
  <si>
    <t>W=3</t>
  </si>
  <si>
    <t>…… 7] each wall          East</t>
  </si>
  <si>
    <t>…… 8] each wall          West</t>
  </si>
  <si>
    <t>WALL 4   ENTRY</t>
  </si>
  <si>
    <t>…… 9] specific damaged area….,right angle</t>
  </si>
  <si>
    <t>…… 10] specific damaged area….,middle angle</t>
  </si>
  <si>
    <t>CLOCKWISE DIRECTION</t>
  </si>
  <si>
    <t>…… 11] specific damaged area….,left angle</t>
  </si>
  <si>
    <t xml:space="preserve">    12].room overview looking out from   Corner 1</t>
  </si>
  <si>
    <t xml:space="preserve">    13].room overview looking out from  Corner 2</t>
  </si>
  <si>
    <t xml:space="preserve">    14].room overview looking out from  Corner  3</t>
  </si>
  <si>
    <t xml:space="preserve">    15].room overview looking out from Corner 4</t>
  </si>
  <si>
    <t xml:space="preserve">     16] room name/label /sign</t>
  </si>
  <si>
    <t xml:space="preserve">      17] OTHER</t>
  </si>
  <si>
    <t xml:space="preserve">       18] OTHER</t>
  </si>
  <si>
    <t xml:space="preserve">       19] OTHER</t>
  </si>
  <si>
    <t xml:space="preserve">        20] Misc.</t>
  </si>
  <si>
    <t xml:space="preserve">Customer </t>
  </si>
  <si>
    <t>Property-Owner Name</t>
  </si>
  <si>
    <t>Enter info here</t>
  </si>
  <si>
    <t>Property address: street</t>
  </si>
  <si>
    <t>New Customer Info required</t>
  </si>
  <si>
    <t>Property city, state, zip</t>
  </si>
  <si>
    <t>Customer Email</t>
  </si>
  <si>
    <t>Cst-owner Phone#</t>
  </si>
  <si>
    <t>Co-Owner.cst#2</t>
  </si>
  <si>
    <t>cst ph # 2</t>
  </si>
  <si>
    <t>Cst address # 2</t>
  </si>
  <si>
    <t>Cause of Loss</t>
  </si>
  <si>
    <t>city, state-cst#2</t>
  </si>
  <si>
    <t>Wind roof</t>
  </si>
  <si>
    <t>email-cst #2</t>
  </si>
  <si>
    <t>Roofing = RFG</t>
  </si>
  <si>
    <t>Loss Info</t>
  </si>
  <si>
    <t>Wind = Roof</t>
  </si>
  <si>
    <t>Fire</t>
  </si>
  <si>
    <t>date of loss</t>
  </si>
  <si>
    <t xml:space="preserve">rebuild  type </t>
  </si>
  <si>
    <t>Wind=Wind</t>
  </si>
  <si>
    <t>rebuild  type 1</t>
  </si>
  <si>
    <t>roofing shingles replacement</t>
  </si>
  <si>
    <t xml:space="preserve">Water Damage=WTR </t>
  </si>
  <si>
    <t>rebuild  type 2</t>
  </si>
  <si>
    <t>interior repairs</t>
  </si>
  <si>
    <t>Hurricane =HURR</t>
  </si>
  <si>
    <t>rebuild  type 3</t>
  </si>
  <si>
    <t>exterior repairs</t>
  </si>
  <si>
    <t>TREE</t>
  </si>
  <si>
    <t>Wind=Tree</t>
  </si>
  <si>
    <t>DEMO</t>
  </si>
  <si>
    <t>FIRE</t>
  </si>
  <si>
    <t>Mitigation</t>
  </si>
  <si>
    <t>CPS</t>
  </si>
  <si>
    <t>Replacement</t>
  </si>
  <si>
    <t>CPS / CLN / CON/ CGN</t>
  </si>
  <si>
    <t>Year Built</t>
  </si>
  <si>
    <t>Contract Date</t>
  </si>
  <si>
    <t>Loss of use/ ALE</t>
  </si>
  <si>
    <t>sample cost 3</t>
  </si>
  <si>
    <t>fencing</t>
  </si>
  <si>
    <t>Breathing issue</t>
  </si>
  <si>
    <t>doctor letter</t>
  </si>
  <si>
    <t>shed</t>
  </si>
  <si>
    <t>HMR</t>
  </si>
  <si>
    <t>lab test</t>
  </si>
  <si>
    <t>Insurance Co.</t>
  </si>
  <si>
    <t xml:space="preserve">Claim # </t>
  </si>
  <si>
    <t>Email INS. co.</t>
  </si>
  <si>
    <t>DESK Adjuster DA</t>
  </si>
  <si>
    <t>DA Phone</t>
  </si>
  <si>
    <t>DA Ph. Ext. #</t>
  </si>
  <si>
    <t xml:space="preserve">DA Email </t>
  </si>
  <si>
    <t>Field Adjuster Name</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</si>
  <si>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</si>
  <si>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</si>
  <si>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</si>
  <si>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</si>
  <si>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</si>
  <si>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</si>
  <si>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</si>
  <si>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</si>
  <si>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</si>
  <si>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</si>
  <si>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</si>
  <si>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</si>
  <si>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</si>
  <si>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</si>
  <si>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</si>
  <si>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FAX Ins. Co</t>
  </si>
  <si>
    <t xml:space="preserve">  Room/Area 1  </t>
  </si>
  <si>
    <t xml:space="preserve">  Room/Area 2  </t>
  </si>
  <si>
    <t>Floor 1</t>
  </si>
  <si>
    <t>Floor 2</t>
  </si>
  <si>
    <t>BASEMENT</t>
  </si>
  <si>
    <t xml:space="preserve">  Room/Area 3  </t>
  </si>
  <si>
    <t>Foyer</t>
  </si>
  <si>
    <t>Stairs UP</t>
  </si>
  <si>
    <t>Basement</t>
  </si>
  <si>
    <t xml:space="preserve">  Room/Area 4  </t>
  </si>
  <si>
    <t>Guest Closet</t>
  </si>
  <si>
    <t>Bathroom</t>
  </si>
  <si>
    <t>Stairs 1</t>
  </si>
  <si>
    <t xml:space="preserve">  Room/Area 5  </t>
  </si>
  <si>
    <t>Front Hall</t>
  </si>
  <si>
    <t xml:space="preserve"> Hallway- up</t>
  </si>
  <si>
    <t>Storage</t>
  </si>
  <si>
    <t xml:space="preserve">  Room/Area 6  </t>
  </si>
  <si>
    <t>Dining Room</t>
  </si>
  <si>
    <t>Linen CLST</t>
  </si>
  <si>
    <t>Hallway- DN</t>
  </si>
  <si>
    <t xml:space="preserve">  Room/Area 7  </t>
  </si>
  <si>
    <t xml:space="preserve"> Hallway- DN</t>
  </si>
  <si>
    <t>Bedroom # 1</t>
  </si>
  <si>
    <t>Laundry</t>
  </si>
  <si>
    <t xml:space="preserve">  Room/Area 8  </t>
  </si>
  <si>
    <t>DEN</t>
  </si>
  <si>
    <t>Closet  BR # 1</t>
  </si>
  <si>
    <t xml:space="preserve"> DEN/FAMILY ROOM </t>
  </si>
  <si>
    <t xml:space="preserve">  Room/Area 9  </t>
  </si>
  <si>
    <t>FAMILY ROOM</t>
  </si>
  <si>
    <t>Bedroom  # 2</t>
  </si>
  <si>
    <t>Man cave</t>
  </si>
  <si>
    <t xml:space="preserve">  Room/Area 10  </t>
  </si>
  <si>
    <t>Kitchen</t>
  </si>
  <si>
    <t>Closet  BR # 2</t>
  </si>
  <si>
    <t xml:space="preserve">  Room/Area 11  </t>
  </si>
  <si>
    <t>Pantry</t>
  </si>
  <si>
    <t>Bedroom # 3</t>
  </si>
  <si>
    <t xml:space="preserve">  Room/Area 12  </t>
  </si>
  <si>
    <t xml:space="preserve">  Nook  </t>
  </si>
  <si>
    <t>Closet  BR # 3</t>
  </si>
  <si>
    <t xml:space="preserve">  Room/Area 13  </t>
  </si>
  <si>
    <t>Guest Bath</t>
  </si>
  <si>
    <t>Master Bedroom</t>
  </si>
  <si>
    <t>EXTERIOR</t>
  </si>
  <si>
    <t xml:space="preserve">  Room/Area 14  </t>
  </si>
  <si>
    <t>Office</t>
  </si>
  <si>
    <t>Master BR Closet</t>
  </si>
  <si>
    <t xml:space="preserve"> roof shingle replace </t>
  </si>
  <si>
    <t xml:space="preserve">  Room/Area 15  </t>
  </si>
  <si>
    <t>Master Bathroom</t>
  </si>
  <si>
    <t xml:space="preserve"> vinyl siding </t>
  </si>
  <si>
    <t xml:space="preserve">  Room/Area 16  </t>
  </si>
  <si>
    <t xml:space="preserve">  Room/Area 17  </t>
  </si>
  <si>
    <t xml:space="preserve"> ATTIC </t>
  </si>
  <si>
    <t xml:space="preserve">  Room/Area 18  </t>
  </si>
  <si>
    <t xml:space="preserve">  Room/Area 19  </t>
  </si>
  <si>
    <t>Stairs 2</t>
  </si>
  <si>
    <t>Porches</t>
  </si>
  <si>
    <t xml:space="preserve">  Room/Area 20  </t>
  </si>
  <si>
    <t xml:space="preserve"> Garage </t>
  </si>
  <si>
    <t xml:space="preserve">  Room/Area 21</t>
  </si>
  <si>
    <t xml:space="preserve">  Room/Area 22</t>
  </si>
  <si>
    <t xml:space="preserve">  Room/Area 23</t>
  </si>
  <si>
    <t xml:space="preserve">  Room/Area 24</t>
  </si>
  <si>
    <t xml:space="preserve">  Room/Area 25</t>
  </si>
  <si>
    <t xml:space="preserve">Mortgage co       </t>
  </si>
  <si>
    <t>Mortgage Company</t>
  </si>
  <si>
    <t>Account# Mtge Co.</t>
  </si>
  <si>
    <t>Loan status</t>
  </si>
  <si>
    <t>contact person mtge</t>
  </si>
  <si>
    <t>current</t>
  </si>
  <si>
    <t>Phone # MTGE contact</t>
  </si>
  <si>
    <t>foreclosure</t>
  </si>
  <si>
    <t>Ph. Ext. Mtge contact</t>
  </si>
  <si>
    <t>Paid in full</t>
  </si>
  <si>
    <t>Late days</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</si>
  <si>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</si>
  <si>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</si>
  <si>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</si>
  <si>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</si>
  <si>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</si>
  <si>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</si>
  <si>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</si>
  <si>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</si>
  <si>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</si>
  <si>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</si>
  <si>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</si>
  <si>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</si>
  <si>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ALL PHASE CONSULTING, LLC</t>
  </si>
  <si>
    <t>co name</t>
  </si>
  <si>
    <t>info@myapcllc.com</t>
  </si>
  <si>
    <t>PROVISO INVESTMENTS</t>
  </si>
  <si>
    <t>Co. website</t>
  </si>
  <si>
    <t>ECI 531 FIFTH AVE,</t>
  </si>
  <si>
    <t>PROVISOINVESTMENTS.COM</t>
  </si>
  <si>
    <t>co. EMAIL/co. status</t>
  </si>
  <si>
    <t>PELHAM, NY 10803</t>
  </si>
  <si>
    <t>PROVISOINVESTMENTS@GMAIL.COM</t>
  </si>
  <si>
    <t xml:space="preserve">    Providing Cost Estimating &amp; Project Management Services    </t>
  </si>
  <si>
    <t xml:space="preserve"> 22290 LAKELAND BLVD </t>
  </si>
  <si>
    <t>co. city state</t>
  </si>
  <si>
    <t>Five Generations of Pride &amp; Skills</t>
  </si>
  <si>
    <t>EUCLID, OH 44132</t>
  </si>
  <si>
    <t>co. address 2</t>
  </si>
  <si>
    <t>wsbjoe9@gmail.com</t>
  </si>
  <si>
    <t>co. city state 2</t>
  </si>
  <si>
    <t>tonyjonesteam365@gmail.com</t>
  </si>
  <si>
    <t>co adress 3</t>
  </si>
  <si>
    <t>FEDEX#</t>
  </si>
  <si>
    <t>9836-2151-1</t>
  </si>
  <si>
    <t>co. city state 3</t>
  </si>
  <si>
    <t>Co. logo 1</t>
  </si>
  <si>
    <t>Co. logo 2</t>
  </si>
  <si>
    <t>Co. logo 3</t>
  </si>
  <si>
    <t>Co. REP. / PH</t>
  </si>
  <si>
    <t>JAMAL (216) 835-8544</t>
  </si>
  <si>
    <t>CO.REP.
email</t>
  </si>
  <si>
    <t>Co PH # 2</t>
  </si>
  <si>
    <t>CO.REP. email 2</t>
  </si>
  <si>
    <t>WHERE VISIONS ARE CREATED</t>
  </si>
  <si>
    <t>TIN W9</t>
  </si>
  <si>
    <t>EIN#</t>
  </si>
  <si>
    <t xml:space="preserve">  FedEx     account # </t>
  </si>
  <si>
    <t>claim report date</t>
  </si>
  <si>
    <t>Time OF CLAIM REPORT</t>
  </si>
  <si>
    <t>co.represesntative</t>
  </si>
  <si>
    <t>phone ext</t>
  </si>
  <si>
    <t>Tarp ext TMP ok</t>
  </si>
  <si>
    <t>Int TMP ok</t>
  </si>
  <si>
    <t>DRY/PLA CUTOUT MOLD SPRAY  OK</t>
  </si>
  <si>
    <t>CPS/CON OK ok</t>
  </si>
  <si>
    <t>BENJAMIN, SANDRA L.</t>
  </si>
  <si>
    <t>GA24K BENJAMIN</t>
  </si>
  <si>
    <t>AK Builders Group LLC</t>
  </si>
  <si>
    <t>www.akbuilds.com</t>
  </si>
  <si>
    <t>mail@akbuilds.com</t>
  </si>
  <si>
    <t>1700 Northside Drive Suite A7 PMB 887</t>
  </si>
  <si>
    <t>Atlanta, GA 30318</t>
  </si>
  <si>
    <t>"We seek to provide an enabling environment</t>
  </si>
  <si>
    <t xml:space="preserve">" for people to enjoy </t>
  </si>
  <si>
    <t>long, healthy and creative lives."</t>
  </si>
  <si>
    <t>Akumba Ashanti (678) 590-5736</t>
  </si>
  <si>
    <t>akbuildersgroupllc@gmail.com</t>
  </si>
  <si>
    <t>Joe Jones   216.450.7228</t>
  </si>
  <si>
    <t>EIN # 81 477 4379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</si>
</sst>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229">
    <font>
      <sz val="11"/>
      <color theme="1"/>
      <name val="Calibri"/>
      <family val="2"/>
      <scheme val="minor"/>
    </font>
    <font>
      <sz val="14"/>
      <color theme="1"/>
      <name val="Arial Narrow"/>
      <family val="2"/>
    </font>
    <font>
      <sz val="14"/>
      <color theme="1"/>
      <name val="Arial Narrow"/>
      <family val="2"/>
    </font>
    <font>
      <sz val="11"/>
      <color theme="1"/>
      <name val="Calibri"/>
      <family val="2"/>
      <scheme val="minor"/>
    </font>
    <font>
      <b/>
      <sz val="11"/>
      <color rgb="FFFA7D00"/>
      <name val="Calibri"/>
      <family val="2"/>
      <scheme val="minor"/>
    </font>
    <font>
      <i/>
      <u/>
      <sz val="14"/>
      <color rgb="FF000000"/>
      <name val="Calibri"/>
      <family val="2"/>
      <scheme val="minor"/>
    </font>
    <font>
      <sz val="12"/>
      <color theme="1"/>
      <name val="Calibri"/>
      <family val="2"/>
      <scheme val="minor"/>
    </font>
    <font>
      <sz val="14"/>
      <color theme="1"/>
      <name val="Calibri"/>
      <family val="2"/>
      <scheme val="minor"/>
    </font>
    <font>
      <b/>
      <sz val="12"/>
      <color rgb="FFFA7D00"/>
      <name val="NEW Times"/>
      <family val="2"/>
    </font>
    <font>
      <sz val="12"/>
      <color rgb="FFFA7D00"/>
      <name val="NEW Times"/>
      <family val="2"/>
    </font>
    <font>
      <sz val="14"/>
      <color theme="1"/>
      <name val="Algerian"/>
      <family val="5"/>
    </font>
    <font>
      <i/>
      <u val="doubleAccounting"/>
      <sz val="14"/>
      <color theme="1"/>
      <name val="Calibri"/>
      <family val="2"/>
      <scheme val="minor"/>
    </font>
    <font>
      <i/>
      <u val="doubleAccounting"/>
      <sz val="10"/>
      <color theme="1"/>
      <name val="Calibri"/>
      <family val="2"/>
      <scheme val="minor"/>
    </font>
    <font>
      <i/>
      <u val="doubleAccounting"/>
      <sz val="14"/>
      <color theme="1"/>
      <name val="Algerian"/>
      <family val="5"/>
    </font>
    <font>
      <u/>
      <sz val="14"/>
      <color theme="1"/>
      <name val="Algerian"/>
      <family val="5"/>
    </font>
    <font>
      <i/>
      <u val="singleAccounting"/>
      <sz val="16"/>
      <color theme="1"/>
      <name val="Calibri"/>
      <family val="2"/>
      <scheme val="minor"/>
    </font>
    <font>
      <i/>
      <u val="singleAccounting"/>
      <sz val="14"/>
      <color theme="1"/>
      <name val="Calibri"/>
      <family val="2"/>
      <scheme val="minor"/>
    </font>
    <font>
      <i/>
      <u val="singleAccounting"/>
      <sz val="10"/>
      <color theme="1"/>
      <name val="Calibri"/>
      <family val="2"/>
      <scheme val="minor"/>
    </font>
    <font>
      <i/>
      <sz val="16"/>
      <color theme="1"/>
      <name val="Calibri"/>
      <family val="2"/>
      <scheme val="minor"/>
    </font>
    <font>
      <i/>
      <sz val="14"/>
      <color rgb="FF000000"/>
      <name val="Arial Narrow"/>
      <family val="2"/>
    </font>
    <font>
      <sz val="12"/>
      <name val="Calibri"/>
      <family val="2"/>
      <scheme val="minor"/>
    </font>
    <font>
      <i/>
      <u/>
      <sz val="14"/>
      <color rgb="FF000000"/>
      <name val="Algerian"/>
      <family val="5"/>
    </font>
    <font>
      <i/>
      <u/>
      <sz val="14"/>
      <color rgb="FF000000"/>
      <name val="Arial Narrow"/>
      <family val="2"/>
    </font>
    <font>
      <i/>
      <u/>
      <sz val="12"/>
      <color rgb="FF000000"/>
      <name val="Arial Narrow"/>
      <family val="2"/>
    </font>
    <font>
      <i/>
      <u val="singleAccounting"/>
      <sz val="14"/>
      <color rgb="FF000000"/>
      <name val="Calibri"/>
      <family val="2"/>
      <scheme val="minor"/>
    </font>
    <font>
      <u/>
      <sz val="14"/>
      <color rgb="FF000000"/>
      <name val="Arial Narrow"/>
      <family val="2"/>
    </font>
    <font>
      <u/>
      <sz val="14"/>
      <color rgb="FF000000"/>
      <name val="Algerian"/>
      <family val="5"/>
    </font>
    <font>
      <i/>
      <u/>
      <sz val="14"/>
      <name val="Calibri"/>
      <family val="2"/>
      <scheme val="minor"/>
    </font>
    <font>
      <i/>
      <u/>
      <sz val="16"/>
      <name val="Calibri"/>
      <family val="2"/>
      <scheme val="minor"/>
    </font>
    <font>
      <i/>
      <u/>
      <sz val="14"/>
      <name val="Algerian"/>
      <family val="5"/>
    </font>
    <font>
      <sz val="12"/>
      <color rgb="FF000000"/>
      <name val="Calibri"/>
      <family val="2"/>
      <scheme val="minor"/>
    </font>
    <font>
      <b/>
      <sz val="12"/>
      <color theme="0"/>
      <name val="Calibri"/>
      <family val="2"/>
      <scheme val="minor"/>
    </font>
    <font>
      <b/>
      <i/>
      <u/>
      <sz val="12"/>
      <name val="Calibri"/>
      <family val="2"/>
      <scheme val="minor"/>
    </font>
    <font>
      <b/>
      <sz val="12"/>
      <name val="Calibri"/>
      <family val="2"/>
      <scheme val="minor"/>
    </font>
    <font>
      <i/>
      <u/>
      <sz val="12"/>
      <name val="Calibri"/>
      <family val="2"/>
      <scheme val="minor"/>
    </font>
    <font>
      <sz val="14"/>
      <name val="Calibri"/>
      <family val="2"/>
      <scheme val="minor"/>
    </font>
    <font>
      <b/>
      <sz val="14"/>
      <color rgb="FFFFFFFF"/>
      <name val="Calibri"/>
      <family val="2"/>
      <scheme val="minor"/>
    </font>
    <font>
      <sz val="11"/>
      <color rgb="FF000000"/>
      <name val="Calibri"/>
      <family val="2"/>
      <scheme val="minor"/>
    </font>
    <font>
      <u/>
      <sz val="14"/>
      <color theme="1"/>
      <name val="Calibri"/>
      <family val="2"/>
      <scheme val="minor"/>
    </font>
    <font>
      <u/>
      <sz val="14"/>
      <color rgb="FF000000"/>
      <name val="Calibri"/>
      <family val="2"/>
      <scheme val="minor"/>
    </font>
    <font>
      <sz val="14"/>
      <color rgb="FF000000"/>
      <name val="Calibri"/>
      <family val="2"/>
      <scheme val="minor"/>
    </font>
    <font>
      <sz val="14"/>
      <color indexed="8"/>
      <name val="Calibri"/>
      <family val="2"/>
      <scheme val="minor"/>
    </font>
    <font>
      <u/>
      <sz val="12"/>
      <color theme="1"/>
      <name val="Calibri"/>
      <family val="2"/>
      <scheme val="minor"/>
    </font>
    <font>
      <i/>
      <u/>
      <sz val="14"/>
      <color theme="1"/>
      <name val="Calibri"/>
      <family val="2"/>
      <scheme val="minor"/>
    </font>
    <font>
      <i/>
      <u/>
      <sz val="16"/>
      <color theme="1"/>
      <name val="Calibri"/>
      <family val="2"/>
      <scheme val="minor"/>
    </font>
    <font>
      <i/>
      <u/>
      <sz val="8"/>
      <color theme="1"/>
      <name val="Calibri"/>
      <family val="2"/>
      <scheme val="minor"/>
    </font>
    <font>
      <sz val="16"/>
      <color theme="1"/>
      <name val="Calibri"/>
      <family val="2"/>
      <scheme val="minor"/>
    </font>
    <font>
      <sz val="20"/>
      <color rgb="FF000000"/>
      <name val="Arial"/>
      <family val="2"/>
    </font>
    <font>
      <sz val="12"/>
      <color rgb="FF000000"/>
      <name val="Arial"/>
      <family val="2"/>
    </font>
    <font>
      <sz val="14"/>
      <color rgb="FF000000"/>
      <name val="Arial"/>
      <family val="2"/>
    </font>
    <font>
      <sz val="12"/>
      <color theme="1"/>
      <name val="Arial"/>
      <family val="2"/>
    </font>
    <font>
      <sz val="12"/>
      <color theme="1"/>
      <name val="Arial Narrow"/>
      <family val="2"/>
    </font>
    <font>
      <sz val="20"/>
      <color theme="1"/>
      <name val="Calibri"/>
      <family val="2"/>
      <scheme val="minor"/>
    </font>
    <font>
      <sz val="22"/>
      <color theme="1"/>
      <name val="Arial Narrow"/>
      <family val="2"/>
    </font>
    <font>
      <sz val="18"/>
      <color theme="1"/>
      <name val="Arial Narrow"/>
      <family val="2"/>
    </font>
    <font>
      <sz val="10"/>
      <color theme="1"/>
      <name val="Arial Narrow"/>
      <family val="2"/>
    </font>
    <font>
      <i/>
      <sz val="12"/>
      <color theme="1"/>
      <name val="Arial Narrow"/>
      <family val="2"/>
    </font>
    <font>
      <b/>
      <sz val="11"/>
      <color rgb="FF000000"/>
      <name val="Calibri"/>
      <family val="2"/>
      <scheme val="minor"/>
    </font>
    <font>
      <b/>
      <i/>
      <u/>
      <sz val="11"/>
      <color rgb="FF000000"/>
      <name val="Calibri"/>
      <family val="2"/>
      <scheme val="minor"/>
    </font>
    <font>
      <sz val="14"/>
      <color rgb="FF000000"/>
      <name val="Arial Narrow"/>
      <family val="2"/>
    </font>
    <font>
      <sz val="12"/>
      <color rgb="FF000000"/>
      <name val="Times New Roman"/>
      <family val="1"/>
    </font>
    <font>
      <sz val="16"/>
      <color rgb="FF000000"/>
      <name val="Calibri"/>
      <family val="2"/>
      <scheme val="minor"/>
    </font>
    <font>
      <i/>
      <u/>
      <sz val="12"/>
      <color rgb="FF000000"/>
      <name val="Calibri"/>
      <family val="2"/>
      <scheme val="minor"/>
    </font>
    <font>
      <sz val="8"/>
      <color theme="1"/>
      <name val="Calibri"/>
      <family val="2"/>
      <scheme val="minor"/>
    </font>
    <font>
      <u/>
      <sz val="12"/>
      <color rgb="FF000000"/>
      <name val="Calibri"/>
      <family val="2"/>
      <scheme val="minor"/>
    </font>
    <font>
      <b/>
      <sz val="12"/>
      <color theme="1"/>
      <name val="Calibri"/>
      <family val="2"/>
      <scheme val="minor"/>
    </font>
    <font>
      <sz val="12"/>
      <color rgb="FF000000"/>
      <name val="Arial Narrow"/>
      <family val="2"/>
    </font>
    <font>
      <b/>
      <sz val="12"/>
      <color rgb="FFFA7D00"/>
      <name val="Calibri"/>
      <family val="2"/>
      <scheme val="minor"/>
    </font>
    <font>
      <sz val="12"/>
      <color rgb="FFFA7D00"/>
      <name val="Calibri"/>
      <family val="2"/>
      <scheme val="minor"/>
    </font>
    <font>
      <b/>
      <sz val="9"/>
      <color indexed="81"/>
      <name val="Tahoma"/>
      <family val="2"/>
    </font>
    <font>
      <sz val="9"/>
      <color indexed="81"/>
      <name val="Tahoma"/>
      <family val="2"/>
    </font>
    <font>
      <b/>
      <i/>
      <u/>
      <sz val="14"/>
      <color rgb="FF000000"/>
      <name val="Calibri"/>
      <family val="2"/>
      <scheme val="minor"/>
    </font>
    <font>
      <i/>
      <u/>
      <sz val="12"/>
      <name val="Arial Narrow"/>
      <family val="2"/>
    </font>
    <font>
      <i/>
      <u/>
      <sz val="12"/>
      <color indexed="8"/>
      <name val="Times New Roman"/>
      <family val="1"/>
    </font>
    <font>
      <sz val="12"/>
      <color rgb="FF000000"/>
      <name val="Trebuchet MS"/>
      <family val="2"/>
    </font>
    <font>
      <b/>
      <i/>
      <u/>
      <sz val="12"/>
      <color rgb="FFFFFFFF"/>
      <name val="Calibri"/>
      <family val="2"/>
      <scheme val="minor"/>
    </font>
    <font>
      <i/>
      <u/>
      <sz val="12"/>
      <color rgb="FF0000FF"/>
      <name val="Calibri"/>
      <family val="2"/>
      <scheme val="minor"/>
    </font>
    <font>
      <i/>
      <sz val="12"/>
      <color rgb="FF000000"/>
      <name val="Bodoni MT Condensed"/>
      <family val="1"/>
    </font>
    <font>
      <u/>
      <sz val="12"/>
      <name val="Calibri"/>
      <family val="2"/>
      <scheme val="minor"/>
    </font>
    <font>
      <sz val="16"/>
      <color rgb="FFFA7D00"/>
      <name val="NEW Times"/>
      <family val="2"/>
    </font>
    <font>
      <sz val="12"/>
      <color rgb="FFFA7D00"/>
      <name val="Arial Narrow"/>
      <family val="2"/>
    </font>
    <font>
      <sz val="16"/>
      <name val="Arial Narrow"/>
      <family val="2"/>
    </font>
    <font>
      <sz val="16"/>
      <color rgb="FF000000"/>
      <name val="Arial Narrow"/>
      <family val="2"/>
    </font>
    <font>
      <u/>
      <sz val="11"/>
      <color theme="10"/>
      <name val="Calibri"/>
      <family val="2"/>
      <scheme val="minor"/>
    </font>
    <font>
      <u/>
      <sz val="12"/>
      <name val="Arial Narrow"/>
      <family val="2"/>
    </font>
    <font>
      <sz val="16"/>
      <color rgb="FFD6DCE4"/>
      <name val="Arial Narrow"/>
      <family val="2"/>
    </font>
    <font>
      <sz val="14"/>
      <name val="Arial Narrow"/>
      <family val="2"/>
    </font>
    <font>
      <b/>
      <i/>
      <sz val="16"/>
      <name val="Arial Narrow"/>
      <family val="2"/>
    </font>
    <font>
      <u/>
      <sz val="12"/>
      <color rgb="FF404040"/>
      <name val="Segoe UI"/>
      <family val="2"/>
    </font>
    <font>
      <b/>
      <sz val="8"/>
      <color rgb="FF202124"/>
      <name val="Arial"/>
      <family val="2"/>
    </font>
    <font>
      <u/>
      <sz val="14"/>
      <color rgb="FF0563C1"/>
      <name val="Calibri"/>
      <family val="2"/>
      <scheme val="minor"/>
    </font>
    <font>
      <u/>
      <sz val="12"/>
      <color rgb="FF0563C1"/>
      <name val="Calibri"/>
      <family val="2"/>
      <scheme val="minor"/>
    </font>
    <font>
      <sz val="8"/>
      <color rgb="FF2B2E2F"/>
      <name val="Lucida Sans Unicode"/>
      <family val="2"/>
    </font>
    <font>
      <sz val="14"/>
      <color rgb="FF2B2E2F"/>
      <name val="Lucida Sans Unicode"/>
      <family val="2"/>
    </font>
    <font>
      <i/>
      <u/>
      <sz val="12"/>
      <color rgb="FF000000"/>
      <name val="Times New Roman"/>
      <family val="1"/>
    </font>
    <font>
      <i/>
      <sz val="18"/>
      <color rgb="FF000000"/>
      <name val="Arial Narrow"/>
      <family val="2"/>
    </font>
    <font>
      <b/>
      <i/>
      <u/>
      <sz val="14"/>
      <color rgb="FF000000"/>
      <name val="Arial Narrow"/>
      <family val="2"/>
    </font>
    <font>
      <i/>
      <sz val="11"/>
      <color rgb="FF000000"/>
      <name val="Arial Narrow"/>
      <family val="2"/>
    </font>
    <font>
      <sz val="11"/>
      <name val="Arial Narrow"/>
      <family val="2"/>
    </font>
    <font>
      <i/>
      <sz val="12"/>
      <color rgb="FF000000"/>
      <name val="Arial Narrow"/>
      <family val="2"/>
    </font>
    <font>
      <sz val="12"/>
      <color rgb="FF404040"/>
      <name val="Myanmar Text"/>
      <family val="2"/>
    </font>
    <font>
      <b/>
      <sz val="12"/>
      <color rgb="FF000000"/>
      <name val="Calibri"/>
      <family val="2"/>
      <scheme val="minor"/>
    </font>
    <font>
      <b/>
      <sz val="12"/>
      <color rgb="FF000000"/>
      <name val="Arial Narrow"/>
      <family val="2"/>
    </font>
    <font>
      <i/>
      <sz val="14"/>
      <color rgb="FF000000"/>
      <name val="Bodoni MT Condensed"/>
      <family val="1"/>
    </font>
    <font>
      <b/>
      <sz val="14"/>
      <color theme="1"/>
      <name val="Arial Narrow"/>
      <family val="2"/>
    </font>
    <font>
      <b/>
      <i/>
      <sz val="14"/>
      <color rgb="FF000000"/>
      <name val="Arial Narrow"/>
      <family val="2"/>
    </font>
    <font>
      <b/>
      <i/>
      <sz val="12"/>
      <color rgb="FF000000"/>
      <name val="Arial Narrow"/>
      <family val="2"/>
    </font>
    <font>
      <sz val="8"/>
      <color theme="1"/>
      <name val="Arial Narrow"/>
      <family val="2"/>
    </font>
    <font>
      <b/>
      <u/>
      <sz val="14"/>
      <color theme="1"/>
      <name val="Arial Narrow"/>
      <family val="2"/>
    </font>
    <font>
      <i/>
      <u/>
      <sz val="10"/>
      <color theme="1"/>
      <name val="Arial Narrow"/>
      <family val="2"/>
    </font>
    <font>
      <i/>
      <u/>
      <sz val="12"/>
      <color theme="1"/>
      <name val="Calibri"/>
      <family val="2"/>
      <scheme val="minor"/>
    </font>
    <font>
      <b/>
      <u/>
      <sz val="12"/>
      <color theme="1"/>
      <name val="Calibri"/>
      <family val="2"/>
      <scheme val="minor"/>
    </font>
    <font>
      <b/>
      <sz val="9"/>
      <color theme="1"/>
      <name val="Arial Narrow"/>
      <family val="2"/>
    </font>
    <font>
      <b/>
      <sz val="11"/>
      <color theme="1"/>
      <name val="Calibri"/>
      <family val="2"/>
      <scheme val="minor"/>
    </font>
    <font>
      <b/>
      <sz val="14"/>
      <color rgb="FF000000"/>
      <name val="Arial Narrow"/>
      <family val="2"/>
    </font>
    <font>
      <sz val="24"/>
      <color theme="1"/>
      <name val="Calibri"/>
      <family val="2"/>
      <scheme val="minor"/>
    </font>
    <font>
      <b/>
      <sz val="16"/>
      <color rgb="FF000000"/>
      <name val="Arial Narrow"/>
      <family val="2"/>
    </font>
    <font>
      <sz val="18"/>
      <color rgb="FF000000"/>
      <name val="Arial Narrow"/>
      <family val="2"/>
    </font>
    <font>
      <b/>
      <sz val="16"/>
      <color theme="1"/>
      <name val="Arial Narrow"/>
      <family val="2"/>
    </font>
    <font>
      <u/>
      <sz val="11"/>
      <color theme="1"/>
      <name val="Calibri"/>
      <family val="2"/>
      <scheme val="minor"/>
    </font>
    <font>
      <u/>
      <sz val="14"/>
      <name val="Arial Narrow"/>
      <family val="2"/>
    </font>
    <font>
      <b/>
      <sz val="18"/>
      <color theme="1"/>
      <name val="Arial Narrow"/>
      <family val="2"/>
    </font>
    <font>
      <b/>
      <i/>
      <u/>
      <sz val="16"/>
      <color rgb="FF000000"/>
      <name val="Arial Narrow"/>
      <family val="2"/>
    </font>
    <font>
      <b/>
      <i/>
      <u/>
      <sz val="12"/>
      <color rgb="FF000000"/>
      <name val="Arial Narrow"/>
      <family val="2"/>
    </font>
    <font>
      <i/>
      <u/>
      <sz val="12"/>
      <color rgb="FF444444"/>
      <name val="Arial"/>
      <family val="2"/>
    </font>
    <font>
      <sz val="14"/>
      <color rgb="FF444444"/>
      <name val="Arial"/>
      <family val="2"/>
    </font>
    <font>
      <b/>
      <sz val="12"/>
      <color rgb="FFFFFFFF"/>
      <name val="Calibri"/>
      <family val="2"/>
      <scheme val="minor"/>
    </font>
    <font>
      <i/>
      <sz val="12"/>
      <color rgb="FF000000"/>
      <name val="Calibri"/>
      <family val="2"/>
      <scheme val="minor"/>
    </font>
    <font>
      <sz val="10"/>
      <color rgb="FF444444"/>
      <name val="Arial"/>
      <family val="2"/>
    </font>
    <font>
      <sz val="12"/>
      <color rgb="FF444444"/>
      <name val="Arial"/>
      <family val="2"/>
    </font>
    <font>
      <b/>
      <sz val="10"/>
      <color rgb="FF000000"/>
      <name val="Calibri"/>
      <family val="2"/>
      <scheme val="minor"/>
    </font>
    <font>
      <b/>
      <sz val="14"/>
      <color rgb="FF000000"/>
      <name val="Calibri"/>
      <family val="2"/>
      <scheme val="minor"/>
    </font>
    <font>
      <u/>
      <sz val="12"/>
      <color rgb="FF444444"/>
      <name val="Arial"/>
      <family val="2"/>
    </font>
    <font>
      <b/>
      <sz val="14"/>
      <name val="Arial Narrow"/>
      <family val="2"/>
    </font>
    <font>
      <sz val="14"/>
      <color theme="1"/>
      <name val="Arial Black"/>
      <family val="2"/>
    </font>
    <font>
      <sz val="10"/>
      <color rgb="FF000000"/>
      <name val="Arial Narrow"/>
      <family val="2"/>
    </font>
    <font>
      <sz val="10"/>
      <name val="Arial"/>
      <family val="2"/>
    </font>
    <font>
      <sz val="11"/>
      <color theme="1"/>
      <name val="Arial"/>
      <family val="2"/>
    </font>
    <font>
      <b/>
      <sz val="11"/>
      <color theme="1"/>
      <name val="Calibri"/>
      <family val="2"/>
    </font>
    <font>
      <b/>
      <i/>
      <u/>
      <sz val="18"/>
      <color theme="1"/>
      <name val="Calibri"/>
      <family val="2"/>
    </font>
    <font>
      <b/>
      <sz val="14"/>
      <color theme="1"/>
      <name val="Calibri"/>
      <family val="2"/>
    </font>
    <font>
      <b/>
      <sz val="11"/>
      <color theme="1"/>
      <name val="Arial"/>
      <family val="2"/>
    </font>
    <font>
      <sz val="11"/>
      <name val="Arial"/>
      <family val="2"/>
    </font>
    <font>
      <b/>
      <sz val="14"/>
      <color theme="1"/>
      <name val="Calibri"/>
      <family val="2"/>
      <scheme val="minor"/>
    </font>
    <font>
      <sz val="10"/>
      <color theme="1"/>
      <name val="Arial"/>
      <family val="2"/>
    </font>
    <font>
      <sz val="14"/>
      <color theme="1"/>
      <name val="Arial"/>
      <family val="2"/>
    </font>
    <font>
      <u/>
      <sz val="14"/>
      <color rgb="FF000000"/>
      <name val="Calibri"/>
      <family val="2"/>
    </font>
    <font>
      <sz val="16"/>
      <color theme="1"/>
      <name val="Arial"/>
      <family val="2"/>
    </font>
    <font>
      <i/>
      <u val="doubleAccounting"/>
      <sz val="14"/>
      <color rgb="FF000000"/>
      <name val="Calibri"/>
      <family val="2"/>
      <scheme val="minor"/>
    </font>
    <font>
      <b/>
      <i/>
      <u/>
      <sz val="16"/>
      <color theme="1"/>
      <name val="Calibri"/>
      <family val="2"/>
      <scheme val="minor"/>
    </font>
    <font>
      <sz val="14"/>
      <color theme="1"/>
      <name val="Times New Roman"/>
      <family val="1"/>
    </font>
    <font>
      <sz val="12"/>
      <color rgb="FF444444"/>
      <name val="Arial Narrow"/>
      <family val="2"/>
    </font>
    <font>
      <sz val="14"/>
      <color rgb="FF444444"/>
      <name val="Arial Narrow"/>
      <family val="2"/>
    </font>
    <font>
      <sz val="12"/>
      <color theme="1"/>
      <name val="Times New Roman"/>
      <family val="1"/>
    </font>
    <font>
      <b/>
      <i/>
      <u/>
      <sz val="11"/>
      <color theme="1"/>
      <name val="Calibri"/>
      <family val="2"/>
      <scheme val="minor"/>
    </font>
    <font>
      <sz val="16"/>
      <color rgb="FF000000"/>
      <name val="Times New Roman"/>
      <family val="1"/>
    </font>
    <font>
      <sz val="16"/>
      <color theme="1"/>
      <name val="Times New Roman"/>
      <family val="1"/>
    </font>
    <font>
      <sz val="10"/>
      <color theme="1"/>
      <name val="Times New Roman"/>
      <family val="1"/>
    </font>
    <font>
      <b/>
      <i/>
      <u/>
      <sz val="12"/>
      <name val="Times New Roman"/>
      <family val="1"/>
    </font>
    <font>
      <sz val="10"/>
      <color rgb="FF444444"/>
      <name val="Arial Narrow"/>
      <family val="2"/>
    </font>
    <font>
      <b/>
      <i/>
      <u/>
      <sz val="18"/>
      <color rgb="FF000000"/>
      <name val="Arial Narrow"/>
      <family val="2"/>
    </font>
    <font>
      <b/>
      <sz val="16"/>
      <color theme="1"/>
      <name val="Calibri"/>
      <family val="2"/>
      <scheme val="minor"/>
    </font>
    <font>
      <b/>
      <sz val="11"/>
      <color theme="0"/>
      <name val="Calibri"/>
      <family val="2"/>
      <scheme val="minor"/>
    </font>
    <font>
      <i/>
      <u/>
      <sz val="16"/>
      <color rgb="FF000000"/>
      <name val="Calibri"/>
      <family val="2"/>
      <scheme val="minor"/>
    </font>
    <font>
      <u/>
      <sz val="16"/>
      <color rgb="FF000000"/>
      <name val="Arial Narrow"/>
      <family val="2"/>
    </font>
    <font>
      <sz val="48"/>
      <color rgb="FF000000"/>
      <name val="Calibri"/>
      <family val="2"/>
      <scheme val="minor"/>
    </font>
    <font>
      <sz val="9"/>
      <color rgb="FF000000"/>
      <name val="Calibri"/>
      <family val="2"/>
      <scheme val="minor"/>
    </font>
    <font>
      <sz val="16"/>
      <color rgb="FF444444"/>
      <name val="Arial"/>
      <family val="2"/>
    </font>
    <font>
      <sz val="11"/>
      <color rgb="FF000000"/>
      <name val="Arial"/>
      <family val="2"/>
    </font>
    <font>
      <b/>
      <sz val="18"/>
      <color rgb="FF000000"/>
      <name val="Calibri"/>
      <family val="2"/>
      <scheme val="minor"/>
    </font>
    <font>
      <sz val="18"/>
      <color rgb="FF000000"/>
      <name val="Calibri"/>
      <family val="2"/>
      <scheme val="minor"/>
    </font>
    <font>
      <b/>
      <sz val="36"/>
      <color rgb="FF000000"/>
      <name val="Calibri"/>
      <family val="2"/>
      <scheme val="minor"/>
    </font>
    <font>
      <sz val="18"/>
      <name val="Arial Narrow"/>
      <family val="2"/>
    </font>
    <font>
      <sz val="8"/>
      <color theme="1"/>
      <name val="Arial"/>
      <family val="2"/>
    </font>
    <font>
      <b/>
      <sz val="16"/>
      <color rgb="FF000000"/>
      <name val="Arial"/>
      <family val="2"/>
    </font>
    <font>
      <sz val="24"/>
      <color rgb="FF000000"/>
      <name val="Calibri"/>
      <family val="2"/>
      <scheme val="minor"/>
    </font>
    <font>
      <sz val="22"/>
      <color rgb="FF000000"/>
      <name val="Calibri"/>
      <family val="2"/>
      <scheme val="minor"/>
    </font>
    <font>
      <sz val="18"/>
      <color theme="1"/>
      <name val="Calibri"/>
      <family val="2"/>
      <scheme val="minor"/>
    </font>
    <font>
      <b/>
      <i/>
      <sz val="10"/>
      <color rgb="FF000000"/>
      <name val="Times New Roman"/>
      <family val="1"/>
    </font>
    <font>
      <i/>
      <u/>
      <sz val="14"/>
      <color theme="1"/>
      <name val="Arial Narrow"/>
      <family val="2"/>
    </font>
    <font>
      <i/>
      <u/>
      <sz val="14"/>
      <color theme="1"/>
      <name val="Calibri"/>
      <family val="2"/>
    </font>
    <font>
      <i/>
      <u/>
      <sz val="14"/>
      <color rgb="FF000000"/>
      <name val="Arial"/>
      <family val="2"/>
    </font>
    <font>
      <i/>
      <u/>
      <sz val="14"/>
      <color rgb="FF000000"/>
      <name val="Calibri"/>
      <family val="2"/>
    </font>
    <font>
      <sz val="13"/>
      <color theme="1"/>
      <name val="Arial Narrow"/>
      <family val="2"/>
    </font>
    <font>
      <sz val="26"/>
      <color theme="1"/>
      <name val="Arial"/>
      <family val="2"/>
    </font>
    <font>
      <sz val="10"/>
      <color rgb="FF000000"/>
      <name val="Calibri"/>
      <family val="2"/>
      <scheme val="minor"/>
    </font>
    <font>
      <sz val="11"/>
      <color indexed="8"/>
      <name val="Calibri"/>
      <family val="2"/>
    </font>
    <font>
      <u/>
      <sz val="11"/>
      <color theme="10"/>
      <name val="Calibri"/>
      <family val="2"/>
    </font>
    <font>
      <sz val="12"/>
      <color rgb="FF006100"/>
      <name val="Calibri"/>
      <family val="2"/>
      <scheme val="minor"/>
    </font>
    <font>
      <sz val="12"/>
      <color theme="0"/>
      <name val="Calibri"/>
      <family val="2"/>
      <scheme val="minor"/>
    </font>
    <font>
      <u/>
      <sz val="10"/>
      <color indexed="12"/>
      <name val="Arial"/>
      <family val="2"/>
    </font>
    <font>
      <u/>
      <sz val="12"/>
      <color theme="10"/>
      <name val="Calibri"/>
      <family val="2"/>
      <scheme val="minor"/>
    </font>
    <font>
      <sz val="12"/>
      <color theme="1"/>
      <name val="NEW Times"/>
      <family val="2"/>
    </font>
    <font>
      <u/>
      <sz val="12"/>
      <color theme="10"/>
      <name val="NEW Times"/>
      <family val="2"/>
    </font>
    <font>
      <b/>
      <sz val="18"/>
      <color theme="3"/>
      <name val="Calibri Light"/>
      <family val="2"/>
      <scheme val="major"/>
    </font>
    <font>
      <b/>
      <sz val="12"/>
      <color rgb="FF3F3F3F"/>
      <name val="Calibri"/>
      <family val="2"/>
      <scheme val="minor"/>
    </font>
    <font>
      <sz val="11"/>
      <color rgb="FFFA7D00"/>
      <name val="Calibri"/>
      <family val="2"/>
      <scheme val="minor"/>
    </font>
    <font>
      <b/>
      <i/>
      <u/>
      <sz val="20"/>
      <color theme="1"/>
      <name val="Calibri"/>
      <family val="2"/>
      <scheme val="minor"/>
    </font>
    <font>
      <i/>
      <u/>
      <sz val="18"/>
      <color rgb="FFFF0000"/>
      <name val="Arial"/>
      <family val="2"/>
    </font>
    <font>
      <b/>
      <sz val="14"/>
      <color theme="1"/>
      <name val="Arial"/>
      <family val="2"/>
    </font>
    <font>
      <i/>
      <sz val="12"/>
      <color rgb="FF000000"/>
      <name val="Times New Roman"/>
      <family val="1"/>
    </font>
    <font>
      <u/>
      <sz val="11"/>
      <color rgb="FF0563C1"/>
      <name val="Arial"/>
      <family val="2"/>
    </font>
    <font>
      <sz val="14"/>
      <color rgb="FF000000"/>
      <name val="Times New Roman"/>
      <family val="1"/>
    </font>
    <font>
      <sz val="11"/>
      <color rgb="FF000000"/>
      <name val="Times New Roman"/>
      <family val="1"/>
    </font>
    <font>
      <i/>
      <u/>
      <sz val="14"/>
      <color rgb="FF222222"/>
      <name val="Arial Narrow"/>
      <family val="2"/>
    </font>
    <font>
      <b/>
      <u/>
      <sz val="16"/>
      <color rgb="FF000000"/>
      <name val="Times New Roman"/>
      <family val="1"/>
    </font>
    <font>
      <b/>
      <i/>
      <sz val="12"/>
      <color rgb="FF000000"/>
      <name val="Arial"/>
      <family val="2"/>
    </font>
    <font>
      <b/>
      <u/>
      <sz val="14"/>
      <color rgb="FF000000"/>
      <name val="Times New Roman"/>
      <family val="1"/>
    </font>
    <font>
      <i/>
      <u/>
      <sz val="14"/>
      <color rgb="FF444444"/>
      <name val="Arial Narrow"/>
      <family val="2"/>
    </font>
    <font>
      <b/>
      <u/>
      <sz val="14"/>
      <color rgb="FF444444"/>
      <name val="Arial Narrow"/>
      <family val="2"/>
    </font>
    <font>
      <b/>
      <u/>
      <sz val="18"/>
      <color rgb="FF444444"/>
      <name val="Arial Narrow"/>
      <family val="2"/>
    </font>
    <font>
      <b/>
      <u/>
      <sz val="12"/>
      <color rgb="FF444444"/>
      <name val="Arial Narrow"/>
      <family val="2"/>
    </font>
    <font>
      <b/>
      <u/>
      <sz val="11"/>
      <color rgb="FF444444"/>
      <name val="Arial Narrow"/>
      <family val="2"/>
    </font>
    <font>
      <b/>
      <i/>
      <sz val="16"/>
      <name val="Calibri"/>
      <family val="2"/>
      <scheme val="minor"/>
    </font>
    <font>
      <b/>
      <sz val="13.5"/>
      <color rgb="FF1F1F1F"/>
      <name val="Roboto"/>
    </font>
    <font>
      <sz val="9"/>
      <color rgb="FF4E5969"/>
      <name val="Arial"/>
      <family val="2"/>
    </font>
    <font>
      <sz val="10"/>
      <color rgb="FF637183"/>
      <name val="Arial"/>
      <family val="2"/>
    </font>
    <font>
      <u/>
      <sz val="11"/>
      <color rgb="FF0563C1"/>
      <name val="Calibri"/>
      <family val="2"/>
      <scheme val="minor"/>
    </font>
    <font>
      <sz val="14"/>
      <color rgb="FF4E5969"/>
      <name val="Arial"/>
      <family val="2"/>
    </font>
    <font>
      <b/>
      <sz val="12"/>
      <color rgb="FF4E5969"/>
      <name val="Arial"/>
      <family val="2"/>
    </font>
    <font>
      <sz val="12"/>
      <color rgb="FF222222"/>
      <name val="Arial"/>
      <family val="2"/>
    </font>
    <font>
      <sz val="11"/>
      <color rgb="FF222222"/>
      <name val="Georgia"/>
      <family val="1"/>
    </font>
    <font>
      <sz val="15"/>
      <color rgb="FF3B3D3F"/>
      <name val="Arial"/>
      <family val="2"/>
    </font>
    <font>
      <sz val="13.5"/>
      <color rgb="FF000000"/>
      <name val="Arial"/>
      <family val="2"/>
    </font>
    <font>
      <sz val="8"/>
      <color rgb="FF8E9090"/>
      <name val="Times New Roman"/>
      <family val="1"/>
    </font>
    <font>
      <sz val="8"/>
      <color rgb="FF222222"/>
      <name val="Roboto"/>
    </font>
    <font>
      <sz val="12"/>
      <name val="Arial"/>
      <family val="2"/>
    </font>
    <font>
      <sz val="11"/>
      <color rgb="FF3B3D3F"/>
      <name val="Arial"/>
      <family val="2"/>
    </font>
    <font>
      <sz val="11"/>
      <color rgb="FF4F4F50"/>
      <name val="Arial"/>
      <family val="2"/>
    </font>
  </fonts>
  <fills count="46">
    <fill>
      <patternFill patternType="none"/>
    </fill>
    <fill>
      <patternFill patternType="gray125"/>
    </fill>
    <fill>
      <patternFill patternType="solid">
        <fgColor rgb="FFF2F2F2"/>
      </patternFill>
    </fill>
    <fill>
      <patternFill patternType="solid">
        <fgColor rgb="FFA5A5A5"/>
      </patternFill>
    </fill>
    <fill>
      <patternFill patternType="solid">
        <fgColor rgb="FFF2F2F2"/>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0"/>
        <bgColor rgb="FF000000"/>
      </patternFill>
    </fill>
    <fill>
      <patternFill patternType="solid">
        <fgColor theme="0" tint="-4.9989318521683403E-2"/>
        <bgColor rgb="FF000000"/>
      </patternFill>
    </fill>
    <fill>
      <patternFill patternType="solid">
        <fgColor theme="2"/>
        <bgColor indexed="64"/>
      </patternFill>
    </fill>
    <fill>
      <patternFill patternType="solid">
        <fgColor rgb="FFFFFF00"/>
        <bgColor rgb="FF000000"/>
      </patternFill>
    </fill>
    <fill>
      <patternFill patternType="solid">
        <fgColor theme="0"/>
        <bgColor indexed="64"/>
      </patternFill>
    </fill>
    <fill>
      <patternFill patternType="solid">
        <fgColor rgb="FFD9E1F2"/>
        <bgColor rgb="FFD9E1F2"/>
      </patternFill>
    </fill>
    <fill>
      <patternFill patternType="solid">
        <fgColor rgb="FFFFC000"/>
        <bgColor indexed="64"/>
      </patternFill>
    </fill>
    <fill>
      <patternFill patternType="solid">
        <fgColor theme="7"/>
        <bgColor rgb="FFD9E1F2"/>
      </patternFill>
    </fill>
    <fill>
      <patternFill patternType="solid">
        <fgColor rgb="FFA5A5A5"/>
        <bgColor rgb="FF000000"/>
      </patternFill>
    </fill>
    <fill>
      <patternFill patternType="solid">
        <fgColor rgb="FFFFC000"/>
        <bgColor rgb="FF000000"/>
      </patternFill>
    </fill>
    <fill>
      <patternFill patternType="solid">
        <fgColor rgb="FFE7E6E6"/>
        <bgColor rgb="FF000000"/>
      </patternFill>
    </fill>
    <fill>
      <patternFill patternType="solid">
        <fgColor rgb="FFD9E1F2"/>
        <bgColor rgb="FF000000"/>
      </patternFill>
    </fill>
    <fill>
      <patternFill patternType="solid">
        <fgColor theme="3" tint="0.39997558519241921"/>
        <bgColor indexed="64"/>
      </patternFill>
    </fill>
    <fill>
      <patternFill patternType="solid">
        <fgColor rgb="FFFCE4D6"/>
        <bgColor rgb="FF000000"/>
      </patternFill>
    </fill>
    <fill>
      <patternFill patternType="solid">
        <fgColor rgb="FF4472C4"/>
        <bgColor rgb="FF000000"/>
      </patternFill>
    </fill>
    <fill>
      <patternFill patternType="solid">
        <fgColor rgb="FFFFC000"/>
        <bgColor rgb="FFD9E1F2"/>
      </patternFill>
    </fill>
    <fill>
      <patternFill patternType="solid">
        <fgColor rgb="FFFFFFFF"/>
        <bgColor rgb="FF000000"/>
      </patternFill>
    </fill>
    <fill>
      <patternFill patternType="solid">
        <fgColor rgb="FFFFE699"/>
        <bgColor rgb="FF000000"/>
      </patternFill>
    </fill>
    <fill>
      <patternFill patternType="solid">
        <fgColor rgb="FF00B050"/>
        <bgColor rgb="FF000000"/>
      </patternFill>
    </fill>
    <fill>
      <patternFill patternType="solid">
        <fgColor rgb="FFFF0000"/>
        <bgColor rgb="FF000000"/>
      </patternFill>
    </fill>
    <fill>
      <patternFill patternType="solid">
        <fgColor theme="1"/>
        <bgColor indexed="64"/>
      </patternFill>
    </fill>
    <fill>
      <patternFill patternType="solid">
        <fgColor theme="1"/>
        <bgColor rgb="FF000000"/>
      </patternFill>
    </fill>
    <fill>
      <patternFill patternType="solid">
        <fgColor rgb="FF002060"/>
        <bgColor indexed="64"/>
      </patternFill>
    </fill>
    <fill>
      <patternFill patternType="solid">
        <fgColor theme="7"/>
        <bgColor indexed="64"/>
      </patternFill>
    </fill>
    <fill>
      <patternFill patternType="solid">
        <fgColor theme="7"/>
        <bgColor rgb="FF000000"/>
      </patternFill>
    </fill>
    <fill>
      <patternFill patternType="solid">
        <fgColor rgb="FF000000"/>
        <bgColor rgb="FF000000"/>
      </patternFill>
    </fill>
    <fill>
      <patternFill patternType="solid">
        <fgColor theme="2"/>
        <bgColor rgb="FF000000"/>
      </patternFill>
    </fill>
    <fill>
      <patternFill patternType="solid">
        <fgColor rgb="FFFFC000"/>
        <bgColor rgb="FFD9D9D9"/>
      </patternFill>
    </fill>
    <fill>
      <patternFill patternType="solid">
        <fgColor rgb="FFE7E6E6"/>
        <bgColor rgb="FFE7E6E6"/>
      </patternFill>
    </fill>
    <fill>
      <patternFill patternType="solid">
        <fgColor rgb="FFFFE699"/>
        <bgColor rgb="FFFFE699"/>
      </patternFill>
    </fill>
    <fill>
      <patternFill patternType="solid">
        <fgColor rgb="FFFFC000"/>
        <bgColor rgb="FFFFC000"/>
      </patternFill>
    </fill>
    <fill>
      <patternFill patternType="solid">
        <fgColor rgb="FFC6EFCE"/>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8" tint="0.79998168889431442"/>
        <bgColor indexed="65"/>
      </patternFill>
    </fill>
    <fill>
      <patternFill patternType="solid">
        <fgColor theme="4" tint="0.79998168889431442"/>
        <bgColor indexed="65"/>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rgb="FF7F7F7F"/>
      </left>
      <right style="thin">
        <color rgb="FF7F7F7F"/>
      </right>
      <top/>
      <bottom style="thin">
        <color rgb="FF7F7F7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top/>
      <bottom style="double">
        <color rgb="FF3F3F3F"/>
      </bottom>
      <diagonal/>
    </border>
    <border>
      <left/>
      <right style="thin">
        <color rgb="FF7F7F7F"/>
      </right>
      <top style="thin">
        <color rgb="FF7F7F7F"/>
      </top>
      <bottom style="thin">
        <color rgb="FF7F7F7F"/>
      </bottom>
      <diagonal/>
    </border>
    <border>
      <left style="double">
        <color rgb="FF3F3F3F"/>
      </left>
      <right style="double">
        <color rgb="FF3F3F3F"/>
      </right>
      <top/>
      <bottom style="double">
        <color rgb="FF3F3F3F"/>
      </bottom>
      <diagonal/>
    </border>
    <border>
      <left/>
      <right style="thin">
        <color rgb="FF7F7F7F"/>
      </right>
      <top/>
      <bottom style="thin">
        <color rgb="FF7F7F7F"/>
      </bottom>
      <diagonal/>
    </border>
    <border>
      <left style="double">
        <color rgb="FF333333"/>
      </left>
      <right/>
      <top/>
      <bottom/>
      <diagonal/>
    </border>
    <border>
      <left/>
      <right/>
      <top style="double">
        <color rgb="FF3F3F3F"/>
      </top>
      <bottom/>
      <diagonal/>
    </border>
    <border>
      <left/>
      <right style="double">
        <color rgb="FF3F3F3F"/>
      </right>
      <top/>
      <bottom style="double">
        <color rgb="FF3F3F3F"/>
      </bottom>
      <diagonal/>
    </border>
    <border>
      <left/>
      <right/>
      <top/>
      <bottom style="double">
        <color rgb="FF3F3F3F"/>
      </bottom>
      <diagonal/>
    </border>
    <border>
      <left/>
      <right/>
      <top/>
      <bottom style="thin">
        <color rgb="FF7F7F7F"/>
      </bottom>
      <diagonal/>
    </border>
    <border>
      <left/>
      <right/>
      <top/>
      <bottom style="thin">
        <color rgb="FF8EA9DB"/>
      </bottom>
      <diagonal/>
    </border>
    <border>
      <left style="thin">
        <color rgb="FF8EA9DB"/>
      </left>
      <right/>
      <top/>
      <bottom style="thin">
        <color rgb="FF8EA9DB"/>
      </bottom>
      <diagonal/>
    </border>
    <border>
      <left style="thin">
        <color rgb="FF8EA9DB"/>
      </left>
      <right/>
      <top style="thin">
        <color rgb="FF8EA9DB"/>
      </top>
      <bottom style="thin">
        <color rgb="FF8EA9DB"/>
      </bottom>
      <diagonal/>
    </border>
    <border>
      <left/>
      <right style="thin">
        <color rgb="FF8EA9DB"/>
      </right>
      <top/>
      <bottom style="thin">
        <color rgb="FF8EA9DB"/>
      </bottom>
      <diagonal/>
    </border>
    <border>
      <left/>
      <right/>
      <top style="thin">
        <color rgb="FF8EA9DB"/>
      </top>
      <bottom style="thin">
        <color rgb="FF8EA9DB"/>
      </bottom>
      <diagonal/>
    </border>
    <border>
      <left/>
      <right style="thin">
        <color rgb="FF7F7F7F"/>
      </right>
      <top/>
      <bottom/>
      <diagonal/>
    </border>
    <border>
      <left/>
      <right/>
      <top/>
      <bottom style="double">
        <color rgb="FFFF8001"/>
      </bottom>
      <diagonal/>
    </border>
    <border>
      <left style="double">
        <color rgb="FF3F3F3F"/>
      </left>
      <right/>
      <top/>
      <bottom/>
      <diagonal/>
    </border>
    <border>
      <left/>
      <right/>
      <top style="thin">
        <color rgb="FF7F7F7F"/>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3">
    <xf numFmtId="0" fontId="0" fillId="0" borderId="0"/>
    <xf numFmtId="43" fontId="3" fillId="0" borderId="0" applyFont="0" applyFill="0" applyBorder="0" applyAlignment="0" applyProtection="0"/>
    <xf numFmtId="0" fontId="4" fillId="2" borderId="1" applyNumberFormat="0" applyAlignment="0" applyProtection="0"/>
    <xf numFmtId="0" fontId="8" fillId="2" borderId="1" applyNumberFormat="0" applyAlignment="0" applyProtection="0"/>
    <xf numFmtId="0" fontId="31" fillId="3" borderId="2" applyNumberFormat="0" applyAlignment="0" applyProtection="0"/>
    <xf numFmtId="0" fontId="67" fillId="2" borderId="1" applyNumberFormat="0" applyAlignment="0" applyProtection="0"/>
    <xf numFmtId="0" fontId="6" fillId="0" borderId="0"/>
    <xf numFmtId="0" fontId="83" fillId="0" borderId="0" applyNumberFormat="0" applyFill="0" applyBorder="0" applyAlignment="0" applyProtection="0"/>
    <xf numFmtId="0" fontId="68" fillId="0" borderId="23" applyNumberFormat="0" applyFill="0" applyAlignment="0" applyProtection="0"/>
    <xf numFmtId="0" fontId="136" fillId="0" borderId="0"/>
    <xf numFmtId="0" fontId="137" fillId="0" borderId="0"/>
    <xf numFmtId="0" fontId="144" fillId="0" borderId="0"/>
    <xf numFmtId="0" fontId="162" fillId="3" borderId="2" applyNumberFormat="0" applyAlignment="0" applyProtection="0"/>
    <xf numFmtId="0" fontId="187" fillId="0" borderId="0" applyNumberFormat="0" applyFill="0" applyBorder="0" applyAlignment="0" applyProtection="0">
      <alignment vertical="top"/>
      <protection locked="0"/>
    </xf>
    <xf numFmtId="44" fontId="186" fillId="0" borderId="0" applyFont="0" applyFill="0" applyBorder="0" applyAlignment="0" applyProtection="0"/>
    <xf numFmtId="0" fontId="6" fillId="41" borderId="0" applyNumberFormat="0" applyBorder="0" applyAlignment="0" applyProtection="0"/>
    <xf numFmtId="0" fontId="188" fillId="38" borderId="0" applyNumberFormat="0" applyBorder="0" applyAlignment="0" applyProtection="0"/>
    <xf numFmtId="0" fontId="189" fillId="42" borderId="0" applyNumberFormat="0" applyBorder="0" applyAlignment="0" applyProtection="0"/>
    <xf numFmtId="0" fontId="189" fillId="39" borderId="0" applyNumberFormat="0" applyBorder="0" applyAlignment="0" applyProtection="0"/>
    <xf numFmtId="9" fontId="186" fillId="0" borderId="0" applyFont="0" applyFill="0" applyBorder="0" applyAlignment="0" applyProtection="0"/>
    <xf numFmtId="0" fontId="190" fillId="0" borderId="0" applyNumberFormat="0" applyFill="0" applyBorder="0" applyAlignment="0" applyProtection="0">
      <alignment vertical="top"/>
      <protection locked="0"/>
    </xf>
    <xf numFmtId="44" fontId="136" fillId="0" borderId="0" applyFont="0" applyFill="0" applyBorder="0" applyAlignment="0" applyProtection="0"/>
    <xf numFmtId="0" fontId="6" fillId="0" borderId="0"/>
    <xf numFmtId="0" fontId="13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191" fillId="0" borderId="0" applyNumberFormat="0" applyFill="0" applyBorder="0" applyAlignment="0" applyProtection="0"/>
    <xf numFmtId="0" fontId="3" fillId="0" borderId="0"/>
    <xf numFmtId="0" fontId="192" fillId="0" borderId="0"/>
    <xf numFmtId="0" fontId="187" fillId="0" borderId="0" applyNumberFormat="0" applyFill="0" applyBorder="0" applyAlignment="0" applyProtection="0">
      <alignment vertical="top"/>
      <protection locked="0"/>
    </xf>
    <xf numFmtId="43" fontId="192" fillId="0" borderId="0" applyFont="0" applyFill="0" applyBorder="0" applyAlignment="0" applyProtection="0"/>
    <xf numFmtId="43" fontId="3" fillId="0" borderId="0" applyFont="0" applyFill="0" applyBorder="0" applyAlignment="0" applyProtection="0"/>
    <xf numFmtId="0" fontId="193" fillId="0" borderId="0" applyNumberFormat="0" applyFill="0" applyBorder="0" applyAlignment="0" applyProtection="0">
      <alignment vertical="top"/>
      <protection locked="0"/>
    </xf>
    <xf numFmtId="0" fontId="6" fillId="43" borderId="0" applyNumberFormat="0" applyBorder="0" applyAlignment="0" applyProtection="0"/>
    <xf numFmtId="0" fontId="194" fillId="0" borderId="0" applyNumberFormat="0" applyFill="0" applyBorder="0" applyAlignment="0" applyProtection="0"/>
    <xf numFmtId="0" fontId="195" fillId="2" borderId="28" applyNumberFormat="0" applyAlignment="0" applyProtection="0"/>
    <xf numFmtId="0" fontId="6" fillId="0" borderId="0"/>
    <xf numFmtId="0" fontId="83" fillId="0" borderId="0" applyNumberFormat="0" applyFill="0" applyBorder="0" applyAlignment="0" applyProtection="0"/>
    <xf numFmtId="0" fontId="6" fillId="41" borderId="0" applyNumberFormat="0" applyBorder="0" applyAlignment="0" applyProtection="0"/>
    <xf numFmtId="0" fontId="6" fillId="43" borderId="0" applyNumberFormat="0" applyBorder="0" applyAlignment="0" applyProtection="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43" borderId="0" applyNumberFormat="0" applyBorder="0" applyAlignment="0" applyProtection="0"/>
    <xf numFmtId="0" fontId="6" fillId="0" borderId="0"/>
    <xf numFmtId="0" fontId="65" fillId="0" borderId="29" applyNumberFormat="0" applyFill="0" applyAlignment="0" applyProtection="0"/>
    <xf numFmtId="0" fontId="6" fillId="44" borderId="0" applyNumberFormat="0" applyBorder="0" applyAlignment="0" applyProtection="0"/>
    <xf numFmtId="0" fontId="196" fillId="0" borderId="23" applyNumberFormat="0" applyFill="0" applyAlignment="0" applyProtection="0"/>
    <xf numFmtId="0" fontId="3" fillId="40" borderId="0" applyNumberFormat="0" applyBorder="0" applyAlignment="0" applyProtection="0"/>
    <xf numFmtId="0" fontId="4" fillId="2" borderId="1" applyNumberFormat="0" applyAlignment="0" applyProtection="0"/>
    <xf numFmtId="0" fontId="3" fillId="45" borderId="0" applyNumberFormat="0" applyBorder="0" applyAlignment="0" applyProtection="0"/>
  </cellStyleXfs>
  <cellXfs count="669">
    <xf numFmtId="0" fontId="0" fillId="0" borderId="0" xfId="0"/>
    <xf numFmtId="0" fontId="6" fillId="0" borderId="0" xfId="0" applyFont="1"/>
    <xf numFmtId="0" fontId="0" fillId="0" borderId="0" xfId="0" applyAlignment="1">
      <alignment vertical="center"/>
    </xf>
    <xf numFmtId="164" fontId="10" fillId="0" borderId="0" xfId="1" applyNumberFormat="1" applyFont="1" applyAlignment="1"/>
    <xf numFmtId="164" fontId="11" fillId="0" borderId="0" xfId="1" applyNumberFormat="1" applyFont="1"/>
    <xf numFmtId="164" fontId="13" fillId="0" borderId="0" xfId="1" applyNumberFormat="1" applyFont="1" applyAlignment="1"/>
    <xf numFmtId="164" fontId="11" fillId="0" borderId="0" xfId="1" applyNumberFormat="1" applyFont="1" applyAlignment="1">
      <alignment horizontal="center"/>
    </xf>
    <xf numFmtId="0" fontId="14" fillId="0" borderId="0" xfId="0" applyFont="1"/>
    <xf numFmtId="164" fontId="15" fillId="5" borderId="0" xfId="1" applyNumberFormat="1" applyFont="1" applyFill="1"/>
    <xf numFmtId="164" fontId="17" fillId="0" borderId="0" xfId="1" applyNumberFormat="1" applyFont="1"/>
    <xf numFmtId="164" fontId="15" fillId="0" borderId="0" xfId="1" applyNumberFormat="1" applyFont="1"/>
    <xf numFmtId="164" fontId="18" fillId="0" borderId="0" xfId="1" applyNumberFormat="1" applyFont="1" applyAlignment="1">
      <alignment horizontal="left"/>
    </xf>
    <xf numFmtId="0" fontId="20" fillId="0" borderId="0" xfId="0" applyFont="1"/>
    <xf numFmtId="0" fontId="4" fillId="0" borderId="1" xfId="2" applyFill="1"/>
    <xf numFmtId="164" fontId="4" fillId="2" borderId="1" xfId="2" applyNumberFormat="1" applyAlignment="1">
      <alignment horizontal="left"/>
    </xf>
    <xf numFmtId="0" fontId="21" fillId="6" borderId="0" xfId="0" applyFont="1" applyFill="1" applyAlignment="1">
      <alignment vertical="center"/>
    </xf>
    <xf numFmtId="0" fontId="22" fillId="0" borderId="0" xfId="0" applyFont="1" applyAlignment="1">
      <alignment horizontal="left" vertical="center" indent="2"/>
    </xf>
    <xf numFmtId="0" fontId="4" fillId="0" borderId="1" xfId="2" quotePrefix="1" applyFill="1" applyAlignment="1">
      <alignment horizontal="left" vertical="center"/>
    </xf>
    <xf numFmtId="0" fontId="4" fillId="2" borderId="1" xfId="2" quotePrefix="1" applyAlignment="1">
      <alignment horizontal="left" vertical="center"/>
    </xf>
    <xf numFmtId="0" fontId="23" fillId="0" borderId="0" xfId="0" applyFont="1" applyAlignment="1">
      <alignment horizontal="left" indent="2"/>
    </xf>
    <xf numFmtId="0" fontId="4" fillId="2" borderId="1" xfId="2"/>
    <xf numFmtId="0" fontId="4" fillId="2" borderId="1" xfId="2" applyAlignment="1">
      <alignment horizontal="left" vertical="center"/>
    </xf>
    <xf numFmtId="164" fontId="15" fillId="5" borderId="0" xfId="1" applyNumberFormat="1" applyFont="1" applyFill="1" applyAlignment="1">
      <alignment vertical="center"/>
    </xf>
    <xf numFmtId="164" fontId="15" fillId="0" borderId="0" xfId="1" applyNumberFormat="1" applyFont="1" applyAlignment="1">
      <alignment horizontal="left" vertical="center"/>
    </xf>
    <xf numFmtId="0" fontId="25" fillId="0" borderId="0" xfId="0" applyFont="1" applyAlignment="1">
      <alignment horizontal="left" vertical="center" indent="2"/>
    </xf>
    <xf numFmtId="0" fontId="26" fillId="0" borderId="0" xfId="0" applyFont="1" applyAlignment="1">
      <alignment vertical="center"/>
    </xf>
    <xf numFmtId="0" fontId="14" fillId="6" borderId="0" xfId="0" applyFont="1" applyFill="1"/>
    <xf numFmtId="49" fontId="28" fillId="0" borderId="0" xfId="0" applyNumberFormat="1" applyFont="1" applyAlignment="1">
      <alignment horizontal="left"/>
    </xf>
    <xf numFmtId="49" fontId="29" fillId="0" borderId="0" xfId="0" applyNumberFormat="1" applyFont="1"/>
    <xf numFmtId="164" fontId="16" fillId="5" borderId="0" xfId="1" applyNumberFormat="1" applyFont="1" applyFill="1" applyAlignment="1">
      <alignment horizontal="right" vertical="top" wrapText="1"/>
    </xf>
    <xf numFmtId="164" fontId="16" fillId="5" borderId="0" xfId="1" applyNumberFormat="1" applyFont="1" applyFill="1" applyAlignment="1">
      <alignment horizontal="center" vertical="top"/>
    </xf>
    <xf numFmtId="0" fontId="32" fillId="0" borderId="6" xfId="4" quotePrefix="1" applyFont="1" applyFill="1" applyBorder="1"/>
    <xf numFmtId="0" fontId="32" fillId="0" borderId="7" xfId="4" quotePrefix="1" applyFont="1" applyFill="1" applyBorder="1"/>
    <xf numFmtId="49" fontId="27" fillId="0" borderId="8" xfId="0" applyNumberFormat="1" applyFont="1" applyBorder="1"/>
    <xf numFmtId="164" fontId="16" fillId="5" borderId="0" xfId="1" applyNumberFormat="1" applyFont="1" applyFill="1"/>
    <xf numFmtId="164" fontId="16" fillId="0" borderId="0" xfId="1" applyNumberFormat="1" applyFont="1"/>
    <xf numFmtId="0" fontId="4" fillId="4" borderId="1" xfId="0" applyFont="1" applyFill="1" applyBorder="1"/>
    <xf numFmtId="0" fontId="4" fillId="0" borderId="9" xfId="0" applyFont="1" applyBorder="1"/>
    <xf numFmtId="0" fontId="4" fillId="4" borderId="9" xfId="0" applyFont="1" applyFill="1" applyBorder="1"/>
    <xf numFmtId="0" fontId="33" fillId="0" borderId="10" xfId="0" applyFont="1" applyBorder="1" applyAlignment="1">
      <alignment horizontal="left" vertical="center" indent="2"/>
    </xf>
    <xf numFmtId="0" fontId="4" fillId="0" borderId="5" xfId="0" applyFont="1" applyBorder="1" applyAlignment="1">
      <alignment horizontal="left" vertical="center"/>
    </xf>
    <xf numFmtId="0" fontId="4" fillId="4" borderId="11" xfId="0" applyFont="1" applyFill="1" applyBorder="1" applyAlignment="1">
      <alignment horizontal="left" vertical="center"/>
    </xf>
    <xf numFmtId="0" fontId="4" fillId="0" borderId="11" xfId="0" applyFont="1" applyBorder="1"/>
    <xf numFmtId="0" fontId="4" fillId="4" borderId="5" xfId="0" applyFont="1" applyFill="1" applyBorder="1" applyAlignment="1">
      <alignment horizontal="left" vertical="center"/>
    </xf>
    <xf numFmtId="0" fontId="4" fillId="4" borderId="11" xfId="0" applyFont="1" applyFill="1" applyBorder="1"/>
    <xf numFmtId="0" fontId="34" fillId="0" borderId="6" xfId="0" applyFont="1" applyBorder="1" applyAlignment="1">
      <alignment horizontal="left" vertical="center"/>
    </xf>
    <xf numFmtId="0" fontId="14" fillId="6" borderId="0" xfId="0" applyFont="1" applyFill="1" applyAlignment="1">
      <alignment vertical="center"/>
    </xf>
    <xf numFmtId="0" fontId="35" fillId="0" borderId="0" xfId="0" applyFont="1" applyAlignment="1">
      <alignment horizontal="left" vertical="center" indent="2"/>
    </xf>
    <xf numFmtId="0" fontId="7" fillId="0" borderId="0" xfId="0" applyFont="1"/>
    <xf numFmtId="0" fontId="38" fillId="0" borderId="0" xfId="0" applyFont="1"/>
    <xf numFmtId="0" fontId="39" fillId="0" borderId="0" xfId="0" applyFont="1"/>
    <xf numFmtId="0" fontId="40" fillId="0" borderId="0" xfId="0" applyFont="1"/>
    <xf numFmtId="0" fontId="40" fillId="5" borderId="0" xfId="0" applyFont="1" applyFill="1"/>
    <xf numFmtId="0" fontId="7" fillId="5" borderId="0" xfId="0" applyFont="1" applyFill="1"/>
    <xf numFmtId="0" fontId="40" fillId="0" borderId="0" xfId="0" applyFont="1" applyAlignment="1">
      <alignment vertical="top"/>
    </xf>
    <xf numFmtId="0" fontId="5" fillId="8" borderId="0" xfId="0" applyFont="1" applyFill="1"/>
    <xf numFmtId="0" fontId="7" fillId="0" borderId="0" xfId="0" applyFont="1" applyAlignment="1">
      <alignment horizontal="left"/>
    </xf>
    <xf numFmtId="0" fontId="7" fillId="0" borderId="0" xfId="0" applyFont="1" applyAlignment="1">
      <alignment horizontal="left" indent="1"/>
    </xf>
    <xf numFmtId="0" fontId="7" fillId="9" borderId="0" xfId="0" applyFont="1" applyFill="1" applyAlignment="1">
      <alignment horizontal="left"/>
    </xf>
    <xf numFmtId="0" fontId="7" fillId="9" borderId="0" xfId="0" applyFont="1" applyFill="1"/>
    <xf numFmtId="0" fontId="40" fillId="9" borderId="0" xfId="0" applyFont="1" applyFill="1"/>
    <xf numFmtId="0" fontId="7" fillId="0" borderId="0" xfId="0" applyFont="1" applyAlignment="1">
      <alignment horizontal="center"/>
    </xf>
    <xf numFmtId="0" fontId="40" fillId="0" borderId="0" xfId="0" applyFont="1" applyAlignment="1">
      <alignment vertical="center"/>
    </xf>
    <xf numFmtId="0" fontId="41" fillId="0" borderId="0" xfId="0" applyFont="1" applyAlignment="1">
      <alignment vertical="center"/>
    </xf>
    <xf numFmtId="0" fontId="6" fillId="0" borderId="0" xfId="0" applyFont="1" applyAlignment="1">
      <alignment horizontal="left"/>
    </xf>
    <xf numFmtId="0" fontId="30" fillId="0" borderId="0" xfId="0" applyFont="1" applyAlignment="1">
      <alignment vertical="center"/>
    </xf>
    <xf numFmtId="0" fontId="42" fillId="0" borderId="0" xfId="0" applyFont="1" applyAlignment="1">
      <alignment horizontal="left"/>
    </xf>
    <xf numFmtId="0" fontId="30" fillId="0" borderId="0" xfId="0" applyFont="1"/>
    <xf numFmtId="49" fontId="36" fillId="0" borderId="12" xfId="0" applyNumberFormat="1" applyFont="1" applyBorder="1"/>
    <xf numFmtId="0" fontId="43" fillId="0" borderId="0" xfId="0" applyFont="1" applyAlignment="1">
      <alignment horizontal="left" vertical="center"/>
    </xf>
    <xf numFmtId="0" fontId="44" fillId="5" borderId="0" xfId="0" applyFont="1" applyFill="1" applyAlignment="1">
      <alignment horizontal="left" indent="4"/>
    </xf>
    <xf numFmtId="0" fontId="42" fillId="0" borderId="0" xfId="0" applyFont="1"/>
    <xf numFmtId="0" fontId="45" fillId="0" borderId="0" xfId="0" applyFont="1" applyAlignment="1">
      <alignment horizontal="left" vertical="center" indent="2"/>
    </xf>
    <xf numFmtId="0" fontId="46" fillId="0" borderId="0" xfId="0" applyFont="1"/>
    <xf numFmtId="0" fontId="43" fillId="0" borderId="0" xfId="0" applyFont="1" applyAlignment="1">
      <alignment horizontal="left" vertical="center" indent="2"/>
    </xf>
    <xf numFmtId="0" fontId="6" fillId="0" borderId="0" xfId="0" applyFont="1" applyAlignment="1">
      <alignment horizontal="left" indent="1"/>
    </xf>
    <xf numFmtId="164" fontId="48" fillId="0" borderId="0" xfId="0" applyNumberFormat="1" applyFont="1" applyAlignment="1">
      <alignment horizontal="left"/>
    </xf>
    <xf numFmtId="0" fontId="48" fillId="0" borderId="0" xfId="0" applyFont="1"/>
    <xf numFmtId="0" fontId="49" fillId="0" borderId="0" xfId="0" applyFont="1"/>
    <xf numFmtId="164" fontId="48" fillId="0" borderId="0" xfId="0" applyNumberFormat="1" applyFont="1"/>
    <xf numFmtId="43" fontId="49" fillId="0" borderId="0" xfId="0" applyNumberFormat="1" applyFont="1" applyAlignment="1">
      <alignment horizontal="left"/>
    </xf>
    <xf numFmtId="2" fontId="49" fillId="0" borderId="0" xfId="0" applyNumberFormat="1" applyFont="1"/>
    <xf numFmtId="14" fontId="49" fillId="0" borderId="0" xfId="0" applyNumberFormat="1" applyFont="1"/>
    <xf numFmtId="0" fontId="50" fillId="0" borderId="0" xfId="0" applyFont="1"/>
    <xf numFmtId="0" fontId="51" fillId="0" borderId="0" xfId="0" applyFont="1"/>
    <xf numFmtId="164" fontId="48" fillId="0" borderId="0" xfId="0" applyNumberFormat="1" applyFont="1" applyAlignment="1">
      <alignment horizontal="center"/>
    </xf>
    <xf numFmtId="0" fontId="49" fillId="10" borderId="0" xfId="0" applyFont="1" applyFill="1"/>
    <xf numFmtId="14" fontId="49" fillId="10" borderId="0" xfId="0" applyNumberFormat="1" applyFont="1" applyFill="1"/>
    <xf numFmtId="0" fontId="37" fillId="0" borderId="0" xfId="0" applyFont="1"/>
    <xf numFmtId="0" fontId="55" fillId="0" borderId="0" xfId="0" applyFont="1"/>
    <xf numFmtId="0" fontId="56" fillId="0" borderId="0" xfId="0" applyFont="1" applyAlignment="1">
      <alignment horizontal="center" vertical="center"/>
    </xf>
    <xf numFmtId="0" fontId="50" fillId="5" borderId="0" xfId="0" applyFont="1" applyFill="1"/>
    <xf numFmtId="0" fontId="59" fillId="0" borderId="0" xfId="0" applyFont="1"/>
    <xf numFmtId="0" fontId="30" fillId="0" borderId="0" xfId="0" applyFont="1" applyAlignment="1">
      <alignment horizontal="left"/>
    </xf>
    <xf numFmtId="0" fontId="30" fillId="0" borderId="0" xfId="0" applyFont="1" applyAlignment="1">
      <alignment horizontal="center"/>
    </xf>
    <xf numFmtId="164" fontId="19" fillId="0" borderId="0" xfId="0" applyNumberFormat="1" applyFont="1" applyAlignment="1">
      <alignment horizontal="left" vertical="center" indent="2"/>
    </xf>
    <xf numFmtId="0" fontId="66" fillId="0" borderId="0" xfId="0" applyFont="1"/>
    <xf numFmtId="0" fontId="60" fillId="0" borderId="0" xfId="0" applyFont="1" applyAlignment="1">
      <alignment vertical="center"/>
    </xf>
    <xf numFmtId="0" fontId="30" fillId="0" borderId="0" xfId="0" applyFont="1" applyAlignment="1">
      <alignment horizontal="left" vertical="center"/>
    </xf>
    <xf numFmtId="0" fontId="30" fillId="0" borderId="17" xfId="0" applyFont="1" applyBorder="1" applyAlignment="1">
      <alignment vertical="center"/>
    </xf>
    <xf numFmtId="0" fontId="30" fillId="13" borderId="18" xfId="0" applyFont="1" applyFill="1" applyBorder="1" applyAlignment="1">
      <alignment vertical="center"/>
    </xf>
    <xf numFmtId="0" fontId="64" fillId="0" borderId="0" xfId="0" applyFont="1" applyAlignment="1">
      <alignment horizontal="left"/>
    </xf>
    <xf numFmtId="0" fontId="30" fillId="12" borderId="18" xfId="0" applyFont="1" applyFill="1" applyBorder="1" applyAlignment="1">
      <alignment vertical="center"/>
    </xf>
    <xf numFmtId="0" fontId="30" fillId="0" borderId="18" xfId="0" applyFont="1" applyBorder="1" applyAlignment="1">
      <alignment vertical="center"/>
    </xf>
    <xf numFmtId="0" fontId="30" fillId="12" borderId="17" xfId="0" applyFont="1" applyFill="1" applyBorder="1" applyAlignment="1">
      <alignment vertical="center"/>
    </xf>
    <xf numFmtId="0" fontId="30" fillId="14" borderId="18" xfId="0" applyFont="1" applyFill="1" applyBorder="1" applyAlignment="1">
      <alignment vertical="center"/>
    </xf>
    <xf numFmtId="0" fontId="66" fillId="12" borderId="20" xfId="0" applyFont="1" applyFill="1" applyBorder="1" applyAlignment="1">
      <alignment horizontal="left" vertical="center"/>
    </xf>
    <xf numFmtId="0" fontId="30" fillId="0" borderId="20" xfId="0" applyFont="1" applyBorder="1" applyAlignment="1">
      <alignment horizontal="left" vertical="center"/>
    </xf>
    <xf numFmtId="0" fontId="75" fillId="15" borderId="0" xfId="0" applyFont="1" applyFill="1" applyAlignment="1">
      <alignment horizontal="center" vertical="center" textRotation="255"/>
    </xf>
    <xf numFmtId="0" fontId="73" fillId="13" borderId="0" xfId="0" applyFont="1" applyFill="1" applyAlignment="1">
      <alignment vertical="center"/>
    </xf>
    <xf numFmtId="0" fontId="60" fillId="0" borderId="17" xfId="0" applyFont="1" applyBorder="1" applyAlignment="1">
      <alignment vertical="center"/>
    </xf>
    <xf numFmtId="0" fontId="60" fillId="12" borderId="17" xfId="0" applyFont="1" applyFill="1" applyBorder="1" applyAlignment="1">
      <alignment vertical="center"/>
    </xf>
    <xf numFmtId="0" fontId="76" fillId="0" borderId="17" xfId="0" applyFont="1" applyBorder="1" applyAlignment="1">
      <alignment horizontal="left" vertical="center"/>
    </xf>
    <xf numFmtId="0" fontId="77" fillId="16" borderId="0" xfId="0" applyFont="1" applyFill="1" applyAlignment="1">
      <alignment horizontal="left"/>
    </xf>
    <xf numFmtId="43" fontId="9" fillId="0" borderId="1" xfId="0" applyNumberFormat="1" applyFont="1" applyBorder="1" applyAlignment="1">
      <alignment vertical="top"/>
    </xf>
    <xf numFmtId="0" fontId="40" fillId="0" borderId="14" xfId="0" applyFont="1" applyBorder="1"/>
    <xf numFmtId="0" fontId="40" fillId="17" borderId="14" xfId="0" applyFont="1" applyFill="1" applyBorder="1"/>
    <xf numFmtId="0" fontId="40" fillId="18" borderId="14" xfId="0" applyFont="1" applyFill="1" applyBorder="1"/>
    <xf numFmtId="0" fontId="40" fillId="4" borderId="14" xfId="0" applyFont="1" applyFill="1" applyBorder="1"/>
    <xf numFmtId="43" fontId="79" fillId="0" borderId="5" xfId="0" applyNumberFormat="1" applyFont="1" applyBorder="1" applyAlignment="1">
      <alignment horizontal="center"/>
    </xf>
    <xf numFmtId="0" fontId="61" fillId="20" borderId="0" xfId="0" applyFont="1" applyFill="1" applyAlignment="1">
      <alignment horizontal="center"/>
    </xf>
    <xf numFmtId="0" fontId="37" fillId="20" borderId="0" xfId="0" applyFont="1" applyFill="1" applyAlignment="1">
      <alignment horizontal="center"/>
    </xf>
    <xf numFmtId="0" fontId="61" fillId="0" borderId="10" xfId="0" applyFont="1" applyBorder="1"/>
    <xf numFmtId="0" fontId="61" fillId="18" borderId="10" xfId="0" applyFont="1" applyFill="1" applyBorder="1"/>
    <xf numFmtId="0" fontId="61" fillId="0" borderId="0" xfId="0" applyFont="1" applyAlignment="1">
      <alignment horizontal="left"/>
    </xf>
    <xf numFmtId="0" fontId="40" fillId="0" borderId="10" xfId="0" applyFont="1" applyBorder="1"/>
    <xf numFmtId="0" fontId="82" fillId="18" borderId="10" xfId="0" applyFont="1" applyFill="1" applyBorder="1"/>
    <xf numFmtId="43" fontId="80" fillId="0" borderId="1" xfId="0" applyNumberFormat="1" applyFont="1" applyBorder="1" applyAlignment="1">
      <alignment horizontal="left" vertical="top"/>
    </xf>
    <xf numFmtId="0" fontId="82" fillId="0" borderId="10" xfId="0" applyFont="1" applyBorder="1"/>
    <xf numFmtId="43" fontId="79" fillId="0" borderId="5" xfId="0" applyNumberFormat="1" applyFont="1" applyBorder="1" applyAlignment="1">
      <alignment horizontal="left" vertical="top"/>
    </xf>
    <xf numFmtId="43" fontId="80" fillId="0" borderId="9" xfId="0" applyNumberFormat="1" applyFont="1" applyBorder="1" applyAlignment="1">
      <alignment vertical="top"/>
    </xf>
    <xf numFmtId="43" fontId="9" fillId="0" borderId="11" xfId="0" applyNumberFormat="1" applyFont="1" applyBorder="1" applyAlignment="1">
      <alignment horizontal="left" vertical="top"/>
    </xf>
    <xf numFmtId="0" fontId="30" fillId="0" borderId="18" xfId="0" applyFont="1" applyBorder="1" applyAlignment="1">
      <alignment horizontal="left" vertical="center"/>
    </xf>
    <xf numFmtId="0" fontId="61" fillId="0" borderId="0" xfId="0" applyFont="1"/>
    <xf numFmtId="43" fontId="9" fillId="20" borderId="9" xfId="0" applyNumberFormat="1" applyFont="1" applyFill="1" applyBorder="1" applyAlignment="1">
      <alignment horizontal="center" vertical="top"/>
    </xf>
    <xf numFmtId="0" fontId="78" fillId="0" borderId="22" xfId="0" applyFont="1" applyBorder="1" applyAlignment="1">
      <alignment vertical="center" textRotation="255"/>
    </xf>
    <xf numFmtId="0" fontId="6" fillId="0" borderId="0" xfId="0" applyFont="1" applyAlignment="1">
      <alignment vertical="center" textRotation="45" wrapText="1"/>
    </xf>
    <xf numFmtId="0" fontId="78" fillId="0" borderId="22" xfId="0" applyFont="1" applyBorder="1" applyAlignment="1">
      <alignment vertical="center" textRotation="255" wrapText="1"/>
    </xf>
    <xf numFmtId="0" fontId="84" fillId="0" borderId="22" xfId="0" applyFont="1" applyBorder="1" applyAlignment="1">
      <alignment horizontal="center" vertical="center" textRotation="255" wrapText="1"/>
    </xf>
    <xf numFmtId="0" fontId="81" fillId="10" borderId="0" xfId="0" applyFont="1" applyFill="1" applyAlignment="1">
      <alignment horizontal="center"/>
    </xf>
    <xf numFmtId="0" fontId="81" fillId="0" borderId="0" xfId="0" applyFont="1"/>
    <xf numFmtId="0" fontId="81" fillId="22" borderId="18" xfId="0" applyFont="1" applyFill="1" applyBorder="1"/>
    <xf numFmtId="0" fontId="86" fillId="0" borderId="0" xfId="0" applyFont="1"/>
    <xf numFmtId="0" fontId="86" fillId="0" borderId="18" xfId="0" applyFont="1" applyBorder="1"/>
    <xf numFmtId="0" fontId="87" fillId="0" borderId="0" xfId="0" applyFont="1"/>
    <xf numFmtId="0" fontId="66" fillId="0" borderId="0" xfId="0" applyFont="1" applyAlignment="1">
      <alignment horizontal="left"/>
    </xf>
    <xf numFmtId="0" fontId="88" fillId="0" borderId="0" xfId="0" applyFont="1"/>
    <xf numFmtId="0" fontId="90" fillId="0" borderId="0" xfId="0" applyFont="1"/>
    <xf numFmtId="0" fontId="91" fillId="0" borderId="0" xfId="0" applyFont="1" applyAlignment="1">
      <alignment horizontal="left"/>
    </xf>
    <xf numFmtId="0" fontId="92" fillId="0" borderId="0" xfId="0" applyFont="1"/>
    <xf numFmtId="0" fontId="93" fillId="0" borderId="0" xfId="0" applyFont="1"/>
    <xf numFmtId="0" fontId="66" fillId="0" borderId="0" xfId="0" applyFont="1" applyAlignment="1">
      <alignment horizontal="left" vertical="center"/>
    </xf>
    <xf numFmtId="0" fontId="94" fillId="24" borderId="0" xfId="0" applyFont="1" applyFill="1" applyAlignment="1">
      <alignment horizontal="left" vertical="center"/>
    </xf>
    <xf numFmtId="0" fontId="97" fillId="0" borderId="0" xfId="0" applyFont="1" applyAlignment="1">
      <alignment horizontal="left"/>
    </xf>
    <xf numFmtId="0" fontId="98" fillId="0" borderId="0" xfId="0" applyFont="1"/>
    <xf numFmtId="0" fontId="99" fillId="0" borderId="0" xfId="0" applyFont="1" applyAlignment="1">
      <alignment horizontal="right" vertical="center"/>
    </xf>
    <xf numFmtId="0" fontId="99" fillId="0" borderId="0" xfId="0" applyFont="1" applyAlignment="1">
      <alignment horizontal="left" vertical="center"/>
    </xf>
    <xf numFmtId="0" fontId="89" fillId="23" borderId="0" xfId="0" applyFont="1" applyFill="1" applyAlignment="1">
      <alignment vertical="top" wrapText="1"/>
    </xf>
    <xf numFmtId="0" fontId="60" fillId="24" borderId="0" xfId="0" applyFont="1" applyFill="1" applyAlignment="1">
      <alignment vertical="center"/>
    </xf>
    <xf numFmtId="0" fontId="74" fillId="0" borderId="17" xfId="0" applyFont="1" applyBorder="1" applyAlignment="1">
      <alignment vertical="center"/>
    </xf>
    <xf numFmtId="0" fontId="30" fillId="24" borderId="17" xfId="0" applyFont="1" applyFill="1" applyBorder="1" applyAlignment="1">
      <alignment vertical="center"/>
    </xf>
    <xf numFmtId="0" fontId="66" fillId="24" borderId="0" xfId="0" applyFont="1" applyFill="1"/>
    <xf numFmtId="0" fontId="30" fillId="16" borderId="18" xfId="0" applyFont="1" applyFill="1" applyBorder="1" applyAlignment="1">
      <alignment vertical="center"/>
    </xf>
    <xf numFmtId="0" fontId="30" fillId="0" borderId="17" xfId="0" applyFont="1" applyBorder="1" applyAlignment="1">
      <alignment horizontal="left" vertical="center"/>
    </xf>
    <xf numFmtId="0" fontId="66" fillId="16" borderId="0" xfId="0" applyFont="1" applyFill="1"/>
    <xf numFmtId="0" fontId="94" fillId="16" borderId="0" xfId="0" applyFont="1" applyFill="1" applyAlignment="1">
      <alignment vertical="center"/>
    </xf>
    <xf numFmtId="0" fontId="101" fillId="0" borderId="0" xfId="0" applyFont="1" applyAlignment="1">
      <alignment vertical="center"/>
    </xf>
    <xf numFmtId="0" fontId="101" fillId="25" borderId="0" xfId="0" applyFont="1" applyFill="1" applyAlignment="1">
      <alignment vertical="center"/>
    </xf>
    <xf numFmtId="0" fontId="60" fillId="25" borderId="0" xfId="0" applyFont="1" applyFill="1" applyAlignment="1">
      <alignment vertical="center"/>
    </xf>
    <xf numFmtId="0" fontId="30" fillId="25" borderId="0" xfId="0" applyFont="1" applyFill="1" applyAlignment="1">
      <alignment vertical="center"/>
    </xf>
    <xf numFmtId="0" fontId="30" fillId="16" borderId="0" xfId="0" applyFont="1" applyFill="1"/>
    <xf numFmtId="43" fontId="9" fillId="0" borderId="5" xfId="0" applyNumberFormat="1" applyFont="1" applyBorder="1" applyAlignment="1">
      <alignment vertical="top"/>
    </xf>
    <xf numFmtId="0" fontId="62" fillId="16" borderId="21" xfId="0" applyFont="1" applyFill="1" applyBorder="1" applyAlignment="1">
      <alignment horizontal="center" vertical="center"/>
    </xf>
    <xf numFmtId="0" fontId="40" fillId="12" borderId="19" xfId="0" applyFont="1" applyFill="1" applyBorder="1" applyAlignment="1">
      <alignment horizontal="left"/>
    </xf>
    <xf numFmtId="0" fontId="40" fillId="0" borderId="18" xfId="0" applyFont="1" applyBorder="1" applyAlignment="1">
      <alignment horizontal="left"/>
    </xf>
    <xf numFmtId="0" fontId="40" fillId="12" borderId="18" xfId="0" applyFont="1" applyFill="1" applyBorder="1" applyAlignment="1">
      <alignment horizontal="left"/>
    </xf>
    <xf numFmtId="0" fontId="40" fillId="0" borderId="17" xfId="0" applyFont="1" applyBorder="1" applyAlignment="1">
      <alignment horizontal="left"/>
    </xf>
    <xf numFmtId="0" fontId="40" fillId="12" borderId="17" xfId="0" applyFont="1" applyFill="1" applyBorder="1" applyAlignment="1">
      <alignment horizontal="left"/>
    </xf>
    <xf numFmtId="0" fontId="102" fillId="12" borderId="18" xfId="0" applyFont="1" applyFill="1" applyBorder="1" applyAlignment="1">
      <alignment horizontal="left"/>
    </xf>
    <xf numFmtId="0" fontId="40" fillId="26" borderId="0" xfId="0" applyFont="1" applyFill="1" applyAlignment="1">
      <alignment horizontal="left" wrapText="1"/>
    </xf>
    <xf numFmtId="0" fontId="103" fillId="16" borderId="0" xfId="0" applyFont="1" applyFill="1" applyAlignment="1">
      <alignment horizontal="left"/>
    </xf>
    <xf numFmtId="14" fontId="59" fillId="0" borderId="0" xfId="0" applyNumberFormat="1" applyFont="1"/>
    <xf numFmtId="0" fontId="105" fillId="13" borderId="0" xfId="0" applyFont="1" applyFill="1" applyAlignment="1">
      <alignment vertical="center"/>
    </xf>
    <xf numFmtId="0" fontId="2" fillId="0" borderId="0" xfId="0" applyFont="1"/>
    <xf numFmtId="0" fontId="105" fillId="0" borderId="0" xfId="0" applyFont="1" applyAlignment="1">
      <alignment vertical="center"/>
    </xf>
    <xf numFmtId="0" fontId="2" fillId="27" borderId="0" xfId="0" applyFont="1" applyFill="1"/>
    <xf numFmtId="0" fontId="108" fillId="0" borderId="0" xfId="0" applyFont="1"/>
    <xf numFmtId="0" fontId="59" fillId="28" borderId="0" xfId="0" applyFont="1" applyFill="1" applyAlignment="1">
      <alignment horizontal="center" wrapText="1"/>
    </xf>
    <xf numFmtId="0" fontId="109" fillId="0" borderId="0" xfId="0" applyFont="1" applyAlignment="1">
      <alignment horizontal="center"/>
    </xf>
    <xf numFmtId="0" fontId="110" fillId="6" borderId="0" xfId="0" applyFont="1" applyFill="1" applyAlignment="1">
      <alignment horizontal="center"/>
    </xf>
    <xf numFmtId="0" fontId="111" fillId="29" borderId="0" xfId="0" applyFont="1" applyFill="1" applyAlignment="1">
      <alignment horizontal="center"/>
    </xf>
    <xf numFmtId="0" fontId="110" fillId="0" borderId="0" xfId="0" applyFont="1" applyAlignment="1">
      <alignment horizontal="center"/>
    </xf>
    <xf numFmtId="0" fontId="30" fillId="6" borderId="0" xfId="0" applyFont="1" applyFill="1"/>
    <xf numFmtId="0" fontId="104" fillId="13" borderId="0" xfId="0" applyFont="1" applyFill="1" applyAlignment="1">
      <alignment horizontal="left" vertical="center" indent="1"/>
    </xf>
    <xf numFmtId="0" fontId="104" fillId="9" borderId="0" xfId="0" applyFont="1" applyFill="1"/>
    <xf numFmtId="0" fontId="59" fillId="23" borderId="0" xfId="0" applyFont="1" applyFill="1" applyAlignment="1">
      <alignment horizontal="center"/>
    </xf>
    <xf numFmtId="0" fontId="59" fillId="16" borderId="0" xfId="0" applyFont="1" applyFill="1" applyAlignment="1">
      <alignment horizontal="center"/>
    </xf>
    <xf numFmtId="0" fontId="113" fillId="0" borderId="0" xfId="0" applyFont="1"/>
    <xf numFmtId="0" fontId="114" fillId="0" borderId="0" xfId="0" applyFont="1" applyAlignment="1">
      <alignment horizontal="left" vertical="center" indent="3"/>
    </xf>
    <xf numFmtId="0" fontId="104" fillId="13" borderId="0" xfId="0" applyFont="1" applyFill="1"/>
    <xf numFmtId="0" fontId="59" fillId="0" borderId="0" xfId="0" applyFont="1" applyAlignment="1">
      <alignment horizontal="center"/>
    </xf>
    <xf numFmtId="0" fontId="59" fillId="13" borderId="0" xfId="0" applyFont="1" applyFill="1" applyAlignment="1">
      <alignment horizontal="center"/>
    </xf>
    <xf numFmtId="0" fontId="59" fillId="11" borderId="0" xfId="0" applyFont="1" applyFill="1" applyAlignment="1">
      <alignment horizontal="center"/>
    </xf>
    <xf numFmtId="0" fontId="25" fillId="16" borderId="0" xfId="0" applyFont="1" applyFill="1" applyAlignment="1">
      <alignment horizontal="center"/>
    </xf>
    <xf numFmtId="0" fontId="117" fillId="16" borderId="0" xfId="0" applyFont="1" applyFill="1" applyAlignment="1">
      <alignment horizontal="center" vertical="center"/>
    </xf>
    <xf numFmtId="0" fontId="117" fillId="23" borderId="0" xfId="0" applyFont="1" applyFill="1" applyAlignment="1">
      <alignment horizontal="center"/>
    </xf>
    <xf numFmtId="0" fontId="25" fillId="11" borderId="0" xfId="0" applyFont="1" applyFill="1" applyAlignment="1">
      <alignment horizontal="center"/>
    </xf>
    <xf numFmtId="0" fontId="118" fillId="9" borderId="0" xfId="0" applyFont="1" applyFill="1" applyAlignment="1">
      <alignment vertical="center"/>
    </xf>
    <xf numFmtId="0" fontId="119" fillId="0" borderId="0" xfId="0" applyFont="1"/>
    <xf numFmtId="0" fontId="59" fillId="27" borderId="0" xfId="0" applyFont="1" applyFill="1" applyAlignment="1">
      <alignment horizontal="center"/>
    </xf>
    <xf numFmtId="0" fontId="120" fillId="30" borderId="0" xfId="0" applyFont="1" applyFill="1"/>
    <xf numFmtId="0" fontId="120" fillId="0" borderId="0" xfId="0" applyFont="1"/>
    <xf numFmtId="0" fontId="118" fillId="30" borderId="0" xfId="0" applyFont="1" applyFill="1" applyAlignment="1">
      <alignment vertical="center"/>
    </xf>
    <xf numFmtId="0" fontId="121" fillId="9" borderId="0" xfId="0" applyFont="1" applyFill="1" applyAlignment="1">
      <alignment vertical="center"/>
    </xf>
    <xf numFmtId="0" fontId="59" fillId="9" borderId="0" xfId="0" applyFont="1" applyFill="1" applyAlignment="1">
      <alignment horizontal="center"/>
    </xf>
    <xf numFmtId="0" fontId="121" fillId="30" borderId="0" xfId="0" applyFont="1" applyFill="1" applyAlignment="1">
      <alignment vertical="center"/>
    </xf>
    <xf numFmtId="0" fontId="66" fillId="13" borderId="0" xfId="0" applyFont="1" applyFill="1"/>
    <xf numFmtId="0" fontId="120" fillId="4" borderId="0" xfId="0" applyFont="1" applyFill="1"/>
    <xf numFmtId="0" fontId="86" fillId="0" borderId="4" xfId="0" applyFont="1" applyBorder="1"/>
    <xf numFmtId="0" fontId="96" fillId="30" borderId="0" xfId="0" applyFont="1" applyFill="1" applyAlignment="1">
      <alignment vertical="center"/>
    </xf>
    <xf numFmtId="0" fontId="59" fillId="32" borderId="0" xfId="0" applyFont="1" applyFill="1"/>
    <xf numFmtId="0" fontId="118" fillId="0" borderId="0" xfId="0" applyFont="1"/>
    <xf numFmtId="0" fontId="2" fillId="29" borderId="0" xfId="0" applyFont="1" applyFill="1"/>
    <xf numFmtId="0" fontId="107" fillId="6" borderId="0" xfId="0" applyFont="1" applyFill="1"/>
    <xf numFmtId="0" fontId="107" fillId="13" borderId="0" xfId="0" applyFont="1" applyFill="1" applyAlignment="1">
      <alignment horizontal="left"/>
    </xf>
    <xf numFmtId="0" fontId="96" fillId="0" borderId="0" xfId="0" applyFont="1"/>
    <xf numFmtId="0" fontId="124" fillId="0" borderId="0" xfId="0" applyFont="1" applyAlignment="1">
      <alignment vertical="center" readingOrder="1"/>
    </xf>
    <xf numFmtId="0" fontId="39" fillId="10" borderId="0" xfId="0" applyFont="1" applyFill="1"/>
    <xf numFmtId="0" fontId="71" fillId="0" borderId="0" xfId="0" applyFont="1" applyAlignment="1">
      <alignment vertical="center"/>
    </xf>
    <xf numFmtId="0" fontId="127" fillId="0" borderId="0" xfId="0" applyFont="1" applyAlignment="1">
      <alignment vertical="center"/>
    </xf>
    <xf numFmtId="0" fontId="22" fillId="10" borderId="0" xfId="0" applyFont="1" applyFill="1" applyAlignment="1">
      <alignment horizontal="left" vertical="center"/>
    </xf>
    <xf numFmtId="0" fontId="39" fillId="0" borderId="0" xfId="0" applyFont="1" applyAlignment="1">
      <alignment horizontal="center"/>
    </xf>
    <xf numFmtId="0" fontId="33" fillId="0" borderId="24" xfId="0" applyFont="1" applyBorder="1" applyAlignment="1">
      <alignment horizontal="left"/>
    </xf>
    <xf numFmtId="0" fontId="33" fillId="0" borderId="0" xfId="0" applyFont="1" applyAlignment="1">
      <alignment horizontal="left"/>
    </xf>
    <xf numFmtId="0" fontId="128" fillId="0" borderId="0" xfId="0" applyFont="1" applyAlignment="1">
      <alignment readingOrder="1"/>
    </xf>
    <xf numFmtId="0" fontId="129" fillId="0" borderId="0" xfId="0" applyFont="1" applyAlignment="1">
      <alignment readingOrder="1"/>
    </xf>
    <xf numFmtId="0" fontId="129" fillId="0" borderId="0" xfId="0" applyFont="1" applyAlignment="1">
      <alignment horizontal="left" wrapText="1" readingOrder="1"/>
    </xf>
    <xf numFmtId="0" fontId="129" fillId="0" borderId="0" xfId="0" applyFont="1" applyAlignment="1">
      <alignment horizontal="center" wrapText="1" readingOrder="1"/>
    </xf>
    <xf numFmtId="0" fontId="131" fillId="4" borderId="0" xfId="0" applyFont="1" applyFill="1"/>
    <xf numFmtId="0" fontId="129" fillId="4" borderId="0" xfId="0" applyFont="1" applyFill="1" applyAlignment="1">
      <alignment horizontal="left" wrapText="1" readingOrder="1"/>
    </xf>
    <xf numFmtId="0" fontId="129" fillId="0" borderId="0" xfId="0" applyFont="1" applyAlignment="1">
      <alignment horizontal="left"/>
    </xf>
    <xf numFmtId="0" fontId="129" fillId="0" borderId="0" xfId="0" applyFont="1" applyAlignment="1">
      <alignment horizontal="center"/>
    </xf>
    <xf numFmtId="0" fontId="131" fillId="17" borderId="0" xfId="0" applyFont="1" applyFill="1"/>
    <xf numFmtId="0" fontId="129" fillId="0" borderId="0" xfId="0" applyFont="1"/>
    <xf numFmtId="14" fontId="131" fillId="0" borderId="0" xfId="0" applyNumberFormat="1" applyFont="1" applyAlignment="1">
      <alignment horizontal="center"/>
    </xf>
    <xf numFmtId="0" fontId="129" fillId="4" borderId="0" xfId="0" applyFont="1" applyFill="1" applyAlignment="1">
      <alignment horizontal="left"/>
    </xf>
    <xf numFmtId="0" fontId="96" fillId="0" borderId="0" xfId="0" applyFont="1" applyAlignment="1">
      <alignment horizontal="left"/>
    </xf>
    <xf numFmtId="0" fontId="30" fillId="17" borderId="0" xfId="0" applyFont="1" applyFill="1"/>
    <xf numFmtId="0" fontId="30" fillId="4" borderId="0" xfId="0" applyFont="1" applyFill="1"/>
    <xf numFmtId="0" fontId="129" fillId="0" borderId="0" xfId="0" applyFont="1" applyAlignment="1">
      <alignment horizontal="left" indent="3"/>
    </xf>
    <xf numFmtId="0" fontId="132" fillId="0" borderId="0" xfId="0" applyFont="1" applyAlignment="1">
      <alignment horizontal="left"/>
    </xf>
    <xf numFmtId="43" fontId="129" fillId="0" borderId="0" xfId="0" applyNumberFormat="1" applyFont="1" applyAlignment="1">
      <alignment horizontal="left"/>
    </xf>
    <xf numFmtId="0" fontId="7" fillId="13" borderId="0" xfId="0" applyFont="1" applyFill="1"/>
    <xf numFmtId="0" fontId="46" fillId="9" borderId="0" xfId="0" applyFont="1" applyFill="1"/>
    <xf numFmtId="0" fontId="46" fillId="0" borderId="0" xfId="0" applyFont="1" applyAlignment="1">
      <alignment horizontal="center"/>
    </xf>
    <xf numFmtId="0" fontId="46" fillId="9" borderId="0" xfId="0" applyFont="1" applyFill="1" applyAlignment="1">
      <alignment horizontal="center"/>
    </xf>
    <xf numFmtId="0" fontId="7" fillId="0" borderId="0" xfId="0" applyFont="1" applyAlignment="1">
      <alignment vertical="center" wrapText="1"/>
    </xf>
    <xf numFmtId="0" fontId="6" fillId="0" borderId="0" xfId="0" applyFont="1" applyAlignment="1">
      <alignment wrapText="1"/>
    </xf>
    <xf numFmtId="0" fontId="7" fillId="11" borderId="0" xfId="0" applyFont="1" applyFill="1"/>
    <xf numFmtId="0" fontId="0" fillId="0" borderId="0" xfId="0" applyAlignment="1">
      <alignment vertical="top"/>
    </xf>
    <xf numFmtId="0" fontId="4" fillId="2" borderId="1" xfId="2" applyAlignment="1">
      <alignment horizontal="center"/>
    </xf>
    <xf numFmtId="0" fontId="138" fillId="0" borderId="0" xfId="10" applyFont="1"/>
    <xf numFmtId="0" fontId="139" fillId="0" borderId="0" xfId="10" applyFont="1" applyAlignment="1">
      <alignment horizontal="left"/>
    </xf>
    <xf numFmtId="0" fontId="137" fillId="0" borderId="0" xfId="10"/>
    <xf numFmtId="0" fontId="140" fillId="0" borderId="0" xfId="10" applyFont="1"/>
    <xf numFmtId="0" fontId="104" fillId="0" borderId="0" xfId="10" applyFont="1" applyAlignment="1">
      <alignment horizontal="right" vertical="center"/>
    </xf>
    <xf numFmtId="0" fontId="140" fillId="0" borderId="0" xfId="10" applyFont="1" applyAlignment="1">
      <alignment horizontal="center"/>
    </xf>
    <xf numFmtId="0" fontId="140" fillId="0" borderId="0" xfId="10" applyFont="1" applyAlignment="1">
      <alignment horizontal="center" vertical="center"/>
    </xf>
    <xf numFmtId="0" fontId="140" fillId="0" borderId="0" xfId="10" applyFont="1" applyAlignment="1">
      <alignment vertical="center"/>
    </xf>
    <xf numFmtId="0" fontId="140" fillId="0" borderId="0" xfId="10" applyFont="1" applyAlignment="1">
      <alignment horizontal="left" vertical="center"/>
    </xf>
    <xf numFmtId="0" fontId="141" fillId="0" borderId="0" xfId="10" applyFont="1" applyAlignment="1">
      <alignment horizontal="right" wrapText="1"/>
    </xf>
    <xf numFmtId="0" fontId="104" fillId="0" borderId="0" xfId="10" applyFont="1" applyAlignment="1">
      <alignment horizontal="right" textRotation="180"/>
    </xf>
    <xf numFmtId="0" fontId="96" fillId="0" borderId="16" xfId="10" applyFont="1" applyBorder="1" applyAlignment="1">
      <alignment vertical="center" wrapText="1"/>
    </xf>
    <xf numFmtId="0" fontId="114" fillId="13" borderId="0" xfId="10" applyFont="1" applyFill="1" applyAlignment="1">
      <alignment vertical="center" wrapText="1"/>
    </xf>
    <xf numFmtId="0" fontId="137" fillId="0" borderId="0" xfId="10" applyAlignment="1">
      <alignment horizontal="right"/>
    </xf>
    <xf numFmtId="0" fontId="6" fillId="0" borderId="0" xfId="0" applyFont="1" applyAlignment="1">
      <alignment horizontal="center"/>
    </xf>
    <xf numFmtId="0" fontId="0" fillId="9" borderId="0" xfId="0" applyFill="1"/>
    <xf numFmtId="0" fontId="6" fillId="0" borderId="0" xfId="0" applyFont="1" applyAlignment="1">
      <alignment horizontal="center" vertical="center"/>
    </xf>
    <xf numFmtId="0" fontId="0" fillId="0" borderId="0" xfId="0" applyAlignment="1">
      <alignment horizontal="center"/>
    </xf>
    <xf numFmtId="164" fontId="148" fillId="0" borderId="0" xfId="0" applyNumberFormat="1" applyFont="1"/>
    <xf numFmtId="0" fontId="145" fillId="0" borderId="0" xfId="10" applyFont="1" applyAlignment="1">
      <alignment horizontal="left" indent="3"/>
    </xf>
    <xf numFmtId="164" fontId="140" fillId="0" borderId="0" xfId="10" applyNumberFormat="1" applyFont="1" applyAlignment="1">
      <alignment vertical="center"/>
    </xf>
    <xf numFmtId="0" fontId="149" fillId="5" borderId="0" xfId="0" applyFont="1" applyFill="1" applyAlignment="1">
      <alignment vertical="center"/>
    </xf>
    <xf numFmtId="0" fontId="38" fillId="5" borderId="0" xfId="0" applyFont="1" applyFill="1" applyAlignment="1">
      <alignment vertical="center"/>
    </xf>
    <xf numFmtId="0" fontId="0" fillId="13" borderId="0" xfId="0" applyFill="1"/>
    <xf numFmtId="0" fontId="151" fillId="13" borderId="0" xfId="0" applyFont="1" applyFill="1" applyAlignment="1">
      <alignment horizontal="center" vertical="center" wrapText="1"/>
    </xf>
    <xf numFmtId="0" fontId="37" fillId="13" borderId="0" xfId="0" applyFont="1" applyFill="1"/>
    <xf numFmtId="0" fontId="99" fillId="0" borderId="0" xfId="0" applyFont="1" applyAlignment="1">
      <alignment vertical="center"/>
    </xf>
    <xf numFmtId="0" fontId="30" fillId="13" borderId="0" xfId="0" applyFont="1" applyFill="1" applyAlignment="1">
      <alignment horizontal="center"/>
    </xf>
    <xf numFmtId="0" fontId="59" fillId="10" borderId="0" xfId="0" applyFont="1" applyFill="1" applyAlignment="1">
      <alignment vertical="center" wrapText="1"/>
    </xf>
    <xf numFmtId="0" fontId="150" fillId="0" borderId="0" xfId="0" applyFont="1" applyAlignment="1">
      <alignment horizontal="center"/>
    </xf>
    <xf numFmtId="0" fontId="153" fillId="0" borderId="0" xfId="0" applyFont="1" applyAlignment="1">
      <alignment vertical="center"/>
    </xf>
    <xf numFmtId="0" fontId="154" fillId="0" borderId="0" xfId="0" applyFont="1" applyAlignment="1">
      <alignment horizontal="center" vertical="center"/>
    </xf>
    <xf numFmtId="0" fontId="155" fillId="0" borderId="0" xfId="0" applyFont="1" applyAlignment="1">
      <alignment horizontal="center" vertical="center"/>
    </xf>
    <xf numFmtId="0" fontId="156" fillId="0" borderId="0" xfId="0" applyFont="1" applyAlignment="1">
      <alignment vertical="center"/>
    </xf>
    <xf numFmtId="0" fontId="156" fillId="0" borderId="0" xfId="0" applyFont="1" applyAlignment="1">
      <alignment horizontal="center" vertical="center"/>
    </xf>
    <xf numFmtId="0" fontId="156" fillId="13" borderId="0" xfId="0" applyFont="1" applyFill="1" applyAlignment="1">
      <alignment vertical="center"/>
    </xf>
    <xf numFmtId="0" fontId="6" fillId="13" borderId="0" xfId="0" applyFont="1" applyFill="1"/>
    <xf numFmtId="0" fontId="157" fillId="13" borderId="0" xfId="0" applyFont="1" applyFill="1" applyAlignment="1">
      <alignment horizontal="center" vertical="center"/>
    </xf>
    <xf numFmtId="0" fontId="158" fillId="10" borderId="0" xfId="0" applyFont="1" applyFill="1" applyAlignment="1">
      <alignment vertical="center"/>
    </xf>
    <xf numFmtId="0" fontId="152" fillId="0" borderId="0" xfId="0" applyFont="1" applyAlignment="1">
      <alignment vertical="center" wrapText="1"/>
    </xf>
    <xf numFmtId="0" fontId="151" fillId="13" borderId="0" xfId="0" applyFont="1" applyFill="1" applyAlignment="1">
      <alignment vertical="center"/>
    </xf>
    <xf numFmtId="0" fontId="160" fillId="33" borderId="0" xfId="0" applyFont="1" applyFill="1" applyAlignment="1">
      <alignment vertical="center"/>
    </xf>
    <xf numFmtId="0" fontId="40" fillId="13" borderId="0" xfId="0" applyFont="1" applyFill="1"/>
    <xf numFmtId="0" fontId="7" fillId="13" borderId="26" xfId="0" applyFont="1" applyFill="1" applyBorder="1"/>
    <xf numFmtId="0" fontId="40" fillId="0" borderId="27" xfId="0" applyFont="1" applyBorder="1"/>
    <xf numFmtId="0" fontId="7" fillId="13" borderId="0" xfId="0" applyFont="1" applyFill="1" applyAlignment="1">
      <alignment horizontal="left" indent="1"/>
    </xf>
    <xf numFmtId="0" fontId="40" fillId="0" borderId="27" xfId="0" applyFont="1" applyBorder="1" applyAlignment="1">
      <alignment horizontal="left" vertical="top"/>
    </xf>
    <xf numFmtId="0" fontId="40" fillId="34" borderId="27" xfId="0" applyFont="1" applyFill="1" applyBorder="1"/>
    <xf numFmtId="0" fontId="50" fillId="13" borderId="0" xfId="0" applyFont="1" applyFill="1" applyAlignment="1">
      <alignment vertical="center"/>
    </xf>
    <xf numFmtId="0" fontId="161" fillId="13" borderId="0" xfId="0" applyFont="1" applyFill="1" applyAlignment="1">
      <alignment vertical="center"/>
    </xf>
    <xf numFmtId="0" fontId="140" fillId="0" borderId="0" xfId="10" applyFont="1" applyAlignment="1">
      <alignment vertical="top"/>
    </xf>
    <xf numFmtId="164" fontId="11" fillId="0" borderId="0" xfId="1" applyNumberFormat="1" applyFont="1" applyAlignment="1">
      <alignment horizontal="left"/>
    </xf>
    <xf numFmtId="0" fontId="163" fillId="0" borderId="0" xfId="0" applyFont="1"/>
    <xf numFmtId="0" fontId="5" fillId="6" borderId="0" xfId="0" applyFont="1" applyFill="1" applyAlignment="1">
      <alignment horizontal="left"/>
    </xf>
    <xf numFmtId="0" fontId="62" fillId="9" borderId="0" xfId="0" applyFont="1" applyFill="1" applyAlignment="1">
      <alignment horizontal="center"/>
    </xf>
    <xf numFmtId="0" fontId="62" fillId="0" borderId="0" xfId="0" applyFont="1" applyAlignment="1">
      <alignment horizontal="center"/>
    </xf>
    <xf numFmtId="0" fontId="152" fillId="0" borderId="0" xfId="0" applyFont="1" applyAlignment="1">
      <alignment vertical="center"/>
    </xf>
    <xf numFmtId="0" fontId="129" fillId="0" borderId="0" xfId="0" applyFont="1" applyAlignment="1">
      <alignment horizontal="center" vertical="center"/>
    </xf>
    <xf numFmtId="0" fontId="128" fillId="0" borderId="0" xfId="0" applyFont="1" applyAlignment="1">
      <alignment horizontal="left" vertical="center"/>
    </xf>
    <xf numFmtId="0" fontId="128" fillId="0" borderId="0" xfId="0" applyFont="1" applyAlignment="1">
      <alignment horizontal="center" vertical="center" wrapText="1"/>
    </xf>
    <xf numFmtId="0" fontId="37" fillId="0" borderId="0" xfId="0" applyFont="1" applyAlignment="1">
      <alignment horizontal="center"/>
    </xf>
    <xf numFmtId="0" fontId="64" fillId="0" borderId="0" xfId="0" applyFont="1" applyAlignment="1">
      <alignment wrapText="1"/>
    </xf>
    <xf numFmtId="0" fontId="37" fillId="0" borderId="0" xfId="0" applyFont="1" applyAlignment="1">
      <alignment vertical="top"/>
    </xf>
    <xf numFmtId="0" fontId="30" fillId="0" borderId="0" xfId="0" applyFont="1" applyAlignment="1">
      <alignment vertical="top"/>
    </xf>
    <xf numFmtId="0" fontId="30" fillId="0" borderId="0" xfId="0" applyFont="1" applyAlignment="1">
      <alignment horizontal="center" vertical="top"/>
    </xf>
    <xf numFmtId="14" fontId="5" fillId="6" borderId="0" xfId="0" applyNumberFormat="1" applyFont="1" applyFill="1" applyAlignment="1">
      <alignment horizontal="center"/>
    </xf>
    <xf numFmtId="43" fontId="39" fillId="0" borderId="0" xfId="0" applyNumberFormat="1" applyFont="1" applyAlignment="1">
      <alignment horizontal="center" vertical="center"/>
    </xf>
    <xf numFmtId="0" fontId="165" fillId="0" borderId="0" xfId="0" applyFont="1" applyAlignment="1">
      <alignment horizontal="center" vertical="center"/>
    </xf>
    <xf numFmtId="0" fontId="37" fillId="0" borderId="0" xfId="0" applyFont="1" applyAlignment="1">
      <alignment vertical="center"/>
    </xf>
    <xf numFmtId="0" fontId="37" fillId="0" borderId="0" xfId="0" applyFont="1" applyAlignment="1">
      <alignment horizontal="left" vertical="center" indent="2"/>
    </xf>
    <xf numFmtId="0" fontId="128" fillId="6" borderId="0" xfId="0" applyFont="1" applyFill="1" applyAlignment="1">
      <alignment horizontal="center"/>
    </xf>
    <xf numFmtId="0" fontId="128" fillId="6" borderId="0" xfId="0" applyFont="1" applyFill="1" applyAlignment="1">
      <alignment horizontal="center" wrapText="1"/>
    </xf>
    <xf numFmtId="0" fontId="37" fillId="6" borderId="0" xfId="0" applyFont="1" applyFill="1" applyAlignment="1">
      <alignment horizontal="center"/>
    </xf>
    <xf numFmtId="0" fontId="128" fillId="6" borderId="0" xfId="0" applyFont="1" applyFill="1" applyAlignment="1">
      <alignment horizontal="center" vertical="center" wrapText="1"/>
    </xf>
    <xf numFmtId="0" fontId="128" fillId="6" borderId="0" xfId="0" applyFont="1" applyFill="1" applyAlignment="1">
      <alignment horizontal="center" vertical="center"/>
    </xf>
    <xf numFmtId="0" fontId="167" fillId="6" borderId="0" xfId="0" applyFont="1" applyFill="1" applyAlignment="1">
      <alignment vertical="center"/>
    </xf>
    <xf numFmtId="0" fontId="129" fillId="0" borderId="0" xfId="0" applyFont="1" applyAlignment="1">
      <alignment horizontal="left" vertical="center" wrapText="1"/>
    </xf>
    <xf numFmtId="0" fontId="129" fillId="0" borderId="0" xfId="0" applyFont="1" applyAlignment="1">
      <alignment horizontal="left" vertical="center"/>
    </xf>
    <xf numFmtId="0" fontId="125" fillId="6" borderId="0" xfId="0" applyFont="1" applyFill="1" applyAlignment="1">
      <alignment horizontal="center"/>
    </xf>
    <xf numFmtId="0" fontId="125" fillId="9" borderId="0" xfId="0" applyFont="1" applyFill="1" applyAlignment="1">
      <alignment horizontal="center" vertical="center" wrapText="1"/>
    </xf>
    <xf numFmtId="0" fontId="125" fillId="0" borderId="0" xfId="0" applyFont="1" applyAlignment="1">
      <alignment horizontal="left" vertical="center" wrapText="1" indent="9"/>
    </xf>
    <xf numFmtId="0" fontId="125" fillId="0" borderId="0" xfId="0" applyFont="1" applyAlignment="1">
      <alignment horizontal="left" vertical="center" wrapText="1" indent="18"/>
    </xf>
    <xf numFmtId="0" fontId="125" fillId="0" borderId="0" xfId="0" applyFont="1" applyAlignment="1">
      <alignment horizontal="left" vertical="center" indent="9"/>
    </xf>
    <xf numFmtId="0" fontId="63" fillId="0" borderId="0" xfId="0" applyFont="1" applyAlignment="1">
      <alignment horizontal="left"/>
    </xf>
    <xf numFmtId="0" fontId="167" fillId="10" borderId="0" xfId="0" applyFont="1" applyFill="1" applyAlignment="1">
      <alignment vertical="center"/>
    </xf>
    <xf numFmtId="0" fontId="167" fillId="6" borderId="0" xfId="0" applyFont="1" applyFill="1" applyAlignment="1">
      <alignment vertical="center" wrapText="1"/>
    </xf>
    <xf numFmtId="0" fontId="168" fillId="0" borderId="0" xfId="0" applyFont="1"/>
    <xf numFmtId="0" fontId="137" fillId="6" borderId="0" xfId="10" applyFill="1"/>
    <xf numFmtId="0" fontId="131" fillId="6" borderId="0" xfId="0" applyFont="1" applyFill="1"/>
    <xf numFmtId="0" fontId="118" fillId="9" borderId="0" xfId="0" applyFont="1" applyFill="1" applyAlignment="1">
      <alignment horizontal="center" vertical="center"/>
    </xf>
    <xf numFmtId="0" fontId="118" fillId="30" borderId="0" xfId="0" applyFont="1" applyFill="1" applyAlignment="1">
      <alignment horizontal="center" vertical="center"/>
    </xf>
    <xf numFmtId="0" fontId="166" fillId="0" borderId="0" xfId="0" applyFont="1"/>
    <xf numFmtId="0" fontId="169" fillId="4" borderId="0" xfId="0" applyFont="1" applyFill="1" applyAlignment="1">
      <alignment vertical="center" wrapText="1"/>
    </xf>
    <xf numFmtId="0" fontId="170" fillId="0" borderId="0" xfId="0" applyFont="1" applyAlignment="1">
      <alignment vertical="top" wrapText="1"/>
    </xf>
    <xf numFmtId="0" fontId="171" fillId="35" borderId="0" xfId="0" applyFont="1" applyFill="1" applyAlignment="1">
      <alignment horizontal="center" vertical="top" wrapText="1"/>
    </xf>
    <xf numFmtId="0" fontId="147" fillId="6" borderId="0" xfId="10" applyFont="1" applyFill="1"/>
    <xf numFmtId="0" fontId="147" fillId="6" borderId="0" xfId="10" applyFont="1" applyFill="1" applyAlignment="1">
      <alignment vertical="center"/>
    </xf>
    <xf numFmtId="0" fontId="173" fillId="6" borderId="0" xfId="10" applyFont="1" applyFill="1"/>
    <xf numFmtId="14" fontId="173" fillId="6" borderId="0" xfId="10" applyNumberFormat="1" applyFont="1" applyFill="1"/>
    <xf numFmtId="0" fontId="20" fillId="9" borderId="0" xfId="0" applyFont="1" applyFill="1"/>
    <xf numFmtId="49" fontId="27" fillId="6" borderId="0" xfId="0" applyNumberFormat="1" applyFont="1" applyFill="1" applyAlignment="1">
      <alignment horizontal="left"/>
    </xf>
    <xf numFmtId="164" fontId="24" fillId="10" borderId="0" xfId="0" applyNumberFormat="1" applyFont="1" applyFill="1" applyAlignment="1">
      <alignment horizontal="left" vertical="center"/>
    </xf>
    <xf numFmtId="164" fontId="16" fillId="6" borderId="0" xfId="1" applyNumberFormat="1" applyFont="1" applyFill="1" applyAlignment="1">
      <alignment horizontal="left" vertical="center"/>
    </xf>
    <xf numFmtId="164" fontId="16" fillId="6" borderId="0" xfId="1" applyNumberFormat="1" applyFont="1" applyFill="1" applyAlignment="1">
      <alignment horizontal="left" indent="2"/>
    </xf>
    <xf numFmtId="164" fontId="11" fillId="6" borderId="0" xfId="1" applyNumberFormat="1" applyFont="1" applyFill="1"/>
    <xf numFmtId="0" fontId="22" fillId="9" borderId="0" xfId="0" applyFont="1" applyFill="1" applyAlignment="1">
      <alignment horizontal="left" vertical="center" indent="2"/>
    </xf>
    <xf numFmtId="0" fontId="23" fillId="9" borderId="0" xfId="0" applyFont="1" applyFill="1" applyAlignment="1">
      <alignment horizontal="left" vertical="center" indent="2"/>
    </xf>
    <xf numFmtId="0" fontId="25" fillId="9" borderId="0" xfId="0" applyFont="1" applyFill="1" applyAlignment="1">
      <alignment horizontal="left" vertical="center" indent="2"/>
    </xf>
    <xf numFmtId="0" fontId="27" fillId="9" borderId="0" xfId="0" applyFont="1" applyFill="1" applyAlignment="1">
      <alignment horizontal="left" vertical="center" indent="2"/>
    </xf>
    <xf numFmtId="0" fontId="30" fillId="9" borderId="0" xfId="0" applyFont="1" applyFill="1" applyAlignment="1">
      <alignment vertical="center"/>
    </xf>
    <xf numFmtId="0" fontId="27" fillId="9" borderId="6" xfId="0" applyFont="1" applyFill="1" applyBorder="1" applyAlignment="1">
      <alignment vertical="center"/>
    </xf>
    <xf numFmtId="49" fontId="27" fillId="9" borderId="8" xfId="0" applyNumberFormat="1" applyFont="1" applyFill="1" applyBorder="1" applyAlignment="1">
      <alignment vertical="center"/>
    </xf>
    <xf numFmtId="0" fontId="27" fillId="9" borderId="6" xfId="0" applyFont="1" applyFill="1" applyBorder="1" applyAlignment="1">
      <alignment horizontal="left" vertical="center" indent="2"/>
    </xf>
    <xf numFmtId="0" fontId="34" fillId="9" borderId="6" xfId="0" applyFont="1" applyFill="1" applyBorder="1" applyAlignment="1">
      <alignment horizontal="left" vertical="center" indent="13"/>
    </xf>
    <xf numFmtId="0" fontId="35" fillId="6" borderId="0" xfId="0" applyFont="1" applyFill="1" applyAlignment="1">
      <alignment horizontal="left" vertical="center" indent="7"/>
    </xf>
    <xf numFmtId="0" fontId="20" fillId="9" borderId="0" xfId="0" applyFont="1" applyFill="1" applyAlignment="1">
      <alignment horizontal="left" indent="9"/>
    </xf>
    <xf numFmtId="164" fontId="16" fillId="6" borderId="0" xfId="1" applyNumberFormat="1" applyFont="1" applyFill="1"/>
    <xf numFmtId="0" fontId="4" fillId="0" borderId="1" xfId="0" applyFont="1" applyBorder="1" applyAlignment="1">
      <alignment horizontal="left" vertical="center"/>
    </xf>
    <xf numFmtId="0" fontId="4" fillId="4" borderId="9" xfId="0" applyFont="1" applyFill="1" applyBorder="1" applyAlignment="1">
      <alignment horizontal="left" vertical="center"/>
    </xf>
    <xf numFmtId="164" fontId="16" fillId="11" borderId="0" xfId="1" applyNumberFormat="1" applyFont="1" applyFill="1" applyAlignment="1"/>
    <xf numFmtId="164" fontId="16" fillId="5" borderId="0" xfId="1" applyNumberFormat="1" applyFont="1" applyFill="1" applyAlignment="1"/>
    <xf numFmtId="0" fontId="40" fillId="11" borderId="0" xfId="0" applyFont="1" applyFill="1"/>
    <xf numFmtId="0" fontId="39" fillId="9" borderId="0" xfId="0" applyFont="1" applyFill="1"/>
    <xf numFmtId="0" fontId="149" fillId="11" borderId="0" xfId="0" applyFont="1" applyFill="1" applyAlignment="1">
      <alignment vertical="center"/>
    </xf>
    <xf numFmtId="0" fontId="46" fillId="11" borderId="0" xfId="0" applyFont="1" applyFill="1" applyAlignment="1">
      <alignment horizontal="center" vertical="center"/>
    </xf>
    <xf numFmtId="0" fontId="150" fillId="11" borderId="0" xfId="0" applyFont="1" applyFill="1" applyAlignment="1">
      <alignment horizontal="center"/>
    </xf>
    <xf numFmtId="0" fontId="155" fillId="11" borderId="0" xfId="0" applyFont="1" applyFill="1" applyAlignment="1">
      <alignment horizontal="center" vertical="center"/>
    </xf>
    <xf numFmtId="0" fontId="156" fillId="11" borderId="0" xfId="0" applyFont="1" applyFill="1" applyAlignment="1">
      <alignment horizontal="center" vertical="center"/>
    </xf>
    <xf numFmtId="0" fontId="157" fillId="11" borderId="0" xfId="0" applyFont="1" applyFill="1" applyAlignment="1">
      <alignment horizontal="center" vertical="center"/>
    </xf>
    <xf numFmtId="0" fontId="152" fillId="11" borderId="0" xfId="0" applyFont="1" applyFill="1" applyAlignment="1">
      <alignment vertical="center" wrapText="1"/>
    </xf>
    <xf numFmtId="0" fontId="160" fillId="7" borderId="0" xfId="0" applyFont="1" applyFill="1" applyAlignment="1">
      <alignment vertical="center"/>
    </xf>
    <xf numFmtId="0" fontId="64" fillId="7" borderId="0" xfId="0" applyFont="1" applyFill="1" applyAlignment="1">
      <alignment horizontal="center"/>
    </xf>
    <xf numFmtId="0" fontId="6" fillId="11" borderId="0" xfId="0" applyFont="1" applyFill="1"/>
    <xf numFmtId="0" fontId="152" fillId="16" borderId="0" xfId="0" applyFont="1" applyFill="1" applyAlignment="1">
      <alignment vertical="center"/>
    </xf>
    <xf numFmtId="0" fontId="179" fillId="9" borderId="0" xfId="0" applyFont="1" applyFill="1" applyAlignment="1">
      <alignment horizontal="left"/>
    </xf>
    <xf numFmtId="164" fontId="48" fillId="13" borderId="0" xfId="0" applyNumberFormat="1" applyFont="1" applyFill="1" applyAlignment="1">
      <alignment horizontal="left"/>
    </xf>
    <xf numFmtId="0" fontId="180" fillId="0" borderId="0" xfId="0" applyFont="1"/>
    <xf numFmtId="0" fontId="182" fillId="0" borderId="0" xfId="0" applyFont="1"/>
    <xf numFmtId="0" fontId="181" fillId="9" borderId="0" xfId="0" applyFont="1" applyFill="1" applyAlignment="1">
      <alignment horizontal="center" vertical="center" wrapText="1"/>
    </xf>
    <xf numFmtId="164" fontId="48" fillId="16" borderId="0" xfId="0" applyNumberFormat="1" applyFont="1" applyFill="1" applyAlignment="1">
      <alignment horizontal="left"/>
    </xf>
    <xf numFmtId="0" fontId="5" fillId="0" borderId="0" xfId="0" applyFont="1"/>
    <xf numFmtId="16" fontId="60" fillId="0" borderId="0" xfId="0" applyNumberFormat="1" applyFont="1" applyAlignment="1">
      <alignment vertical="center"/>
    </xf>
    <xf numFmtId="0" fontId="155" fillId="0" borderId="0" xfId="0" applyFont="1" applyAlignment="1">
      <alignment vertical="center"/>
    </xf>
    <xf numFmtId="0" fontId="183" fillId="0" borderId="0" xfId="0" applyFont="1"/>
    <xf numFmtId="0" fontId="20" fillId="32" borderId="0" xfId="0" applyFont="1" applyFill="1"/>
    <xf numFmtId="0" fontId="173" fillId="11" borderId="0" xfId="10" applyFont="1" applyFill="1"/>
    <xf numFmtId="0" fontId="147" fillId="11" borderId="0" xfId="10" applyFont="1" applyFill="1"/>
    <xf numFmtId="0" fontId="173" fillId="11" borderId="0" xfId="10" applyFont="1" applyFill="1" applyAlignment="1">
      <alignment vertical="center"/>
    </xf>
    <xf numFmtId="14" fontId="147" fillId="6" borderId="0" xfId="10" applyNumberFormat="1" applyFont="1" applyFill="1" applyAlignment="1">
      <alignment horizontal="left"/>
    </xf>
    <xf numFmtId="0" fontId="173" fillId="0" borderId="0" xfId="10" applyFont="1"/>
    <xf numFmtId="0" fontId="145" fillId="0" borderId="0" xfId="10" applyFont="1"/>
    <xf numFmtId="0" fontId="145" fillId="6" borderId="0" xfId="10" applyFont="1" applyFill="1"/>
    <xf numFmtId="0" fontId="49" fillId="0" borderId="0" xfId="10" applyFont="1" applyAlignment="1">
      <alignment vertical="center"/>
    </xf>
    <xf numFmtId="0" fontId="49" fillId="0" borderId="0" xfId="10" applyFont="1"/>
    <xf numFmtId="0" fontId="49" fillId="0" borderId="0" xfId="10" applyFont="1" applyAlignment="1">
      <alignment horizontal="left" vertical="top" indent="4"/>
    </xf>
    <xf numFmtId="0" fontId="104" fillId="0" borderId="0" xfId="10" applyFont="1" applyAlignment="1">
      <alignment wrapText="1"/>
    </xf>
    <xf numFmtId="0" fontId="134" fillId="0" borderId="0" xfId="10" applyFont="1" applyAlignment="1">
      <alignment vertical="center"/>
    </xf>
    <xf numFmtId="0" fontId="137" fillId="0" borderId="0" xfId="10" applyAlignment="1">
      <alignment horizontal="center"/>
    </xf>
    <xf numFmtId="0" fontId="137" fillId="11" borderId="0" xfId="10" applyFill="1"/>
    <xf numFmtId="0" fontId="104" fillId="13" borderId="0" xfId="10" applyFont="1" applyFill="1" applyAlignment="1">
      <alignment horizontal="right" vertical="center" wrapText="1"/>
    </xf>
    <xf numFmtId="0" fontId="142" fillId="13" borderId="0" xfId="10" applyFont="1" applyFill="1"/>
    <xf numFmtId="0" fontId="95" fillId="0" borderId="0" xfId="0" applyFont="1" applyAlignment="1">
      <alignment vertical="center"/>
    </xf>
    <xf numFmtId="44" fontId="96" fillId="0" borderId="0" xfId="0" applyNumberFormat="1" applyFont="1" applyAlignment="1">
      <alignment horizontal="left" vertical="center"/>
    </xf>
    <xf numFmtId="0" fontId="78" fillId="0" borderId="0" xfId="0" applyFont="1" applyAlignment="1">
      <alignment vertical="center" textRotation="255" wrapText="1"/>
    </xf>
    <xf numFmtId="43" fontId="86" fillId="0" borderId="25" xfId="0" applyNumberFormat="1" applyFont="1" applyBorder="1"/>
    <xf numFmtId="0" fontId="59" fillId="18" borderId="10" xfId="0" applyFont="1" applyFill="1" applyBorder="1"/>
    <xf numFmtId="0" fontId="197" fillId="6" borderId="0" xfId="0" applyFont="1" applyFill="1" applyAlignment="1">
      <alignment horizontal="center"/>
    </xf>
    <xf numFmtId="0" fontId="20" fillId="6" borderId="0" xfId="0" applyFont="1" applyFill="1"/>
    <xf numFmtId="0" fontId="14" fillId="0" borderId="0" xfId="0" applyFont="1" applyAlignment="1">
      <alignment horizontal="center"/>
    </xf>
    <xf numFmtId="0" fontId="14" fillId="0" borderId="0" xfId="0" applyFont="1" applyAlignment="1">
      <alignment horizontal="center" vertical="center"/>
    </xf>
    <xf numFmtId="0" fontId="62" fillId="10" borderId="0" xfId="0" applyFont="1" applyFill="1" applyAlignment="1">
      <alignment horizontal="center" vertical="center"/>
    </xf>
    <xf numFmtId="0" fontId="184" fillId="6" borderId="0" xfId="10" applyFont="1" applyFill="1" applyAlignment="1">
      <alignment horizontal="center" wrapText="1"/>
    </xf>
    <xf numFmtId="0" fontId="100" fillId="24" borderId="0" xfId="0" applyFont="1" applyFill="1" applyAlignment="1">
      <alignment vertical="top"/>
    </xf>
    <xf numFmtId="0" fontId="129" fillId="17" borderId="0" xfId="0" applyFont="1" applyFill="1" applyAlignment="1">
      <alignment vertical="center"/>
    </xf>
    <xf numFmtId="0" fontId="124" fillId="0" borderId="0" xfId="0" applyFont="1" applyAlignment="1">
      <alignment horizontal="left" vertical="center" indent="6" readingOrder="1"/>
    </xf>
    <xf numFmtId="43" fontId="133" fillId="0" borderId="0" xfId="0" applyNumberFormat="1" applyFont="1" applyAlignment="1">
      <alignment vertical="center" wrapText="1"/>
    </xf>
    <xf numFmtId="0" fontId="133" fillId="0" borderId="0" xfId="0" applyFont="1" applyAlignment="1">
      <alignment vertical="center" wrapText="1"/>
    </xf>
    <xf numFmtId="0" fontId="5" fillId="11" borderId="0" xfId="0" applyFont="1" applyFill="1" applyAlignment="1">
      <alignment horizontal="left" vertical="center"/>
    </xf>
    <xf numFmtId="0" fontId="125" fillId="11" borderId="0" xfId="0" applyFont="1" applyFill="1" applyAlignment="1">
      <alignment horizontal="center" wrapText="1"/>
    </xf>
    <xf numFmtId="0" fontId="49" fillId="0" borderId="0" xfId="0" applyFont="1" applyAlignment="1">
      <alignment horizontal="left" vertical="top"/>
    </xf>
    <xf numFmtId="0" fontId="134" fillId="0" borderId="0" xfId="10" applyFont="1"/>
    <xf numFmtId="0" fontId="114" fillId="13" borderId="0" xfId="10" applyFont="1" applyFill="1" applyAlignment="1">
      <alignment vertical="center"/>
    </xf>
    <xf numFmtId="0" fontId="200" fillId="24" borderId="0" xfId="0" applyFont="1" applyFill="1" applyAlignment="1">
      <alignment vertical="center"/>
    </xf>
    <xf numFmtId="0" fontId="201" fillId="24" borderId="0" xfId="0" applyFont="1" applyFill="1" applyAlignment="1">
      <alignment vertical="center"/>
    </xf>
    <xf numFmtId="0" fontId="1" fillId="0" borderId="0" xfId="0" applyFont="1"/>
    <xf numFmtId="0" fontId="44" fillId="0" borderId="0" xfId="0" applyFont="1" applyAlignment="1">
      <alignment horizontal="center" vertical="top"/>
    </xf>
    <xf numFmtId="0" fontId="35" fillId="0" borderId="23" xfId="49" applyFont="1" applyAlignment="1">
      <alignment horizontal="left" vertical="center"/>
    </xf>
    <xf numFmtId="0" fontId="4" fillId="2" borderId="1" xfId="2" applyAlignment="1">
      <alignment vertical="center" wrapText="1"/>
    </xf>
    <xf numFmtId="0" fontId="20" fillId="0" borderId="23" xfId="49" applyFont="1" applyAlignment="1">
      <alignment horizontal="center" vertical="center"/>
    </xf>
    <xf numFmtId="0" fontId="4" fillId="2" borderId="1" xfId="2" applyAlignment="1">
      <alignment wrapText="1"/>
    </xf>
    <xf numFmtId="0" fontId="202" fillId="0" borderId="0" xfId="0" applyFont="1" applyAlignment="1">
      <alignment horizontal="left" vertical="center"/>
    </xf>
    <xf numFmtId="0" fontId="202" fillId="0" borderId="0" xfId="0" applyFont="1" applyAlignment="1">
      <alignment horizontal="left" vertical="center" indent="3"/>
    </xf>
    <xf numFmtId="0" fontId="40" fillId="0" borderId="0" xfId="0" applyFont="1" applyAlignment="1">
      <alignment horizontal="left" indent="7"/>
    </xf>
    <xf numFmtId="0" fontId="48" fillId="0" borderId="0" xfId="0" applyFont="1" applyAlignment="1">
      <alignment vertical="center"/>
    </xf>
    <xf numFmtId="0" fontId="203" fillId="0" borderId="0" xfId="0" applyFont="1" applyAlignment="1">
      <alignment horizontal="left" vertical="center" indent="1"/>
    </xf>
    <xf numFmtId="0" fontId="202" fillId="0" borderId="0" xfId="0" applyFont="1" applyAlignment="1">
      <alignment horizontal="left" vertical="center" indent="8"/>
    </xf>
    <xf numFmtId="0" fontId="35" fillId="23" borderId="23" xfId="49" applyFont="1" applyFill="1" applyAlignment="1">
      <alignment horizontal="left" vertical="center" wrapText="1"/>
    </xf>
    <xf numFmtId="0" fontId="35" fillId="23" borderId="23" xfId="49" applyFont="1" applyFill="1" applyAlignment="1">
      <alignment horizontal="left" vertical="center" wrapText="1" indent="3"/>
    </xf>
    <xf numFmtId="0" fontId="22" fillId="0" borderId="0" xfId="0" applyFont="1" applyAlignment="1">
      <alignment horizontal="right"/>
    </xf>
    <xf numFmtId="0" fontId="4" fillId="0" borderId="1" xfId="2" applyFill="1" applyAlignment="1">
      <alignment horizontal="center"/>
    </xf>
    <xf numFmtId="0" fontId="22" fillId="0" borderId="0" xfId="0" applyFont="1" applyAlignment="1">
      <alignment horizontal="left"/>
    </xf>
    <xf numFmtId="0" fontId="86" fillId="8" borderId="23" xfId="49" applyFont="1" applyFill="1" applyAlignment="1">
      <alignment wrapText="1"/>
    </xf>
    <xf numFmtId="0" fontId="39" fillId="0" borderId="0" xfId="0" applyFont="1" applyAlignment="1">
      <alignment horizontal="left"/>
    </xf>
    <xf numFmtId="0" fontId="146" fillId="5" borderId="0" xfId="0" applyFont="1" applyFill="1" applyAlignment="1">
      <alignment horizontal="left"/>
    </xf>
    <xf numFmtId="0" fontId="35" fillId="4" borderId="23" xfId="0" applyFont="1" applyFill="1" applyBorder="1" applyAlignment="1">
      <alignment wrapText="1"/>
    </xf>
    <xf numFmtId="0" fontId="35" fillId="8" borderId="23" xfId="49" applyFont="1" applyFill="1" applyAlignment="1">
      <alignment wrapText="1"/>
    </xf>
    <xf numFmtId="0" fontId="35" fillId="23" borderId="23" xfId="49" applyFont="1" applyFill="1" applyAlignment="1">
      <alignment horizontal="left" vertical="top" wrapText="1" indent="4"/>
    </xf>
    <xf numFmtId="0" fontId="35" fillId="23" borderId="23" xfId="49" applyFont="1" applyFill="1" applyAlignment="1">
      <alignment wrapText="1"/>
    </xf>
    <xf numFmtId="0" fontId="22" fillId="0" borderId="0" xfId="0" applyFont="1"/>
    <xf numFmtId="0" fontId="35" fillId="23" borderId="23" xfId="49" applyFont="1" applyFill="1" applyAlignment="1">
      <alignment horizontal="left" vertical="center" wrapText="1" indent="4"/>
    </xf>
    <xf numFmtId="0" fontId="35" fillId="8" borderId="23" xfId="49" applyFont="1" applyFill="1" applyAlignment="1">
      <alignment horizontal="left" wrapText="1"/>
    </xf>
    <xf numFmtId="0" fontId="204" fillId="0" borderId="0" xfId="0" applyFont="1" applyAlignment="1">
      <alignment wrapText="1"/>
    </xf>
    <xf numFmtId="0" fontId="35" fillId="23" borderId="23" xfId="49" applyFont="1" applyFill="1" applyAlignment="1">
      <alignment horizontal="left" wrapText="1"/>
    </xf>
    <xf numFmtId="0" fontId="35" fillId="0" borderId="23" xfId="49" applyFont="1" applyAlignment="1">
      <alignment horizontal="left" vertical="center" wrapText="1" indent="4"/>
    </xf>
    <xf numFmtId="0" fontId="39" fillId="4" borderId="0" xfId="0" applyFont="1" applyFill="1" applyAlignment="1">
      <alignment horizontal="left"/>
    </xf>
    <xf numFmtId="0" fontId="135" fillId="0" borderId="0" xfId="0" applyFont="1" applyAlignment="1">
      <alignment horizontal="left" wrapText="1"/>
    </xf>
    <xf numFmtId="0" fontId="207" fillId="0" borderId="0" xfId="0" applyFont="1" applyAlignment="1">
      <alignment horizontal="center" vertical="center"/>
    </xf>
    <xf numFmtId="0" fontId="7" fillId="0" borderId="0" xfId="0" applyFont="1" applyAlignment="1">
      <alignment horizontal="left" indent="7"/>
    </xf>
    <xf numFmtId="0" fontId="202" fillId="0" borderId="0" xfId="0" applyFont="1" applyAlignment="1">
      <alignment vertical="center"/>
    </xf>
    <xf numFmtId="0" fontId="202" fillId="0" borderId="0" xfId="0" applyFont="1" applyAlignment="1">
      <alignment horizontal="left" vertical="center" indent="7"/>
    </xf>
    <xf numFmtId="0" fontId="150" fillId="0" borderId="0" xfId="0" applyFont="1" applyAlignment="1">
      <alignment vertical="center"/>
    </xf>
    <xf numFmtId="0" fontId="152" fillId="0" borderId="0" xfId="0" applyFont="1" applyAlignment="1">
      <alignment horizontal="center" vertical="center" wrapText="1"/>
    </xf>
    <xf numFmtId="0" fontId="150" fillId="0" borderId="0" xfId="0" applyFont="1" applyAlignment="1">
      <alignment horizontal="left" vertical="center" indent="8"/>
    </xf>
    <xf numFmtId="0" fontId="150" fillId="0" borderId="0" xfId="0" applyFont="1" applyAlignment="1">
      <alignment horizontal="left" vertical="center"/>
    </xf>
    <xf numFmtId="0" fontId="150" fillId="0" borderId="0" xfId="0" applyFont="1" applyAlignment="1">
      <alignment horizontal="center" vertical="center"/>
    </xf>
    <xf numFmtId="0" fontId="208" fillId="5" borderId="0" xfId="0" applyFont="1" applyFill="1" applyAlignment="1">
      <alignment horizontal="left" vertical="center"/>
    </xf>
    <xf numFmtId="0" fontId="208" fillId="5" borderId="0" xfId="0" applyFont="1" applyFill="1" applyAlignment="1">
      <alignment horizontal="left" vertical="center" indent="1"/>
    </xf>
    <xf numFmtId="0" fontId="208" fillId="5" borderId="0" xfId="0" applyFont="1" applyFill="1" applyAlignment="1">
      <alignment horizontal="left" vertical="center" indent="2"/>
    </xf>
    <xf numFmtId="0" fontId="210" fillId="0" borderId="0" xfId="0" applyFont="1" applyAlignment="1">
      <alignment vertical="top" wrapText="1"/>
    </xf>
    <xf numFmtId="0" fontId="208" fillId="5" borderId="0" xfId="0" applyFont="1" applyFill="1" applyAlignment="1">
      <alignment horizontal="left" vertical="center" indent="3"/>
    </xf>
    <xf numFmtId="0" fontId="185" fillId="0" borderId="0" xfId="0" applyFont="1" applyAlignment="1">
      <alignment vertical="center" wrapText="1"/>
    </xf>
    <xf numFmtId="0" fontId="208" fillId="5" borderId="0" xfId="0" applyFont="1" applyFill="1" applyAlignment="1">
      <alignment horizontal="left" vertical="center" indent="4"/>
    </xf>
    <xf numFmtId="0" fontId="208" fillId="5" borderId="0" xfId="0" applyFont="1" applyFill="1" applyAlignment="1">
      <alignment horizontal="left" vertical="center" indent="5"/>
    </xf>
    <xf numFmtId="0" fontId="211" fillId="0" borderId="0" xfId="0" applyFont="1" applyAlignment="1">
      <alignment vertical="top" wrapText="1"/>
    </xf>
    <xf numFmtId="0" fontId="208" fillId="5" borderId="0" xfId="0" applyFont="1" applyFill="1" applyAlignment="1">
      <alignment horizontal="left" vertical="center" indent="7"/>
    </xf>
    <xf numFmtId="0" fontId="208" fillId="5" borderId="0" xfId="0" applyFont="1" applyFill="1" applyAlignment="1">
      <alignment horizontal="left" vertical="center" indent="8"/>
    </xf>
    <xf numFmtId="0" fontId="208" fillId="5" borderId="0" xfId="0" applyFont="1" applyFill="1" applyAlignment="1">
      <alignment horizontal="left" vertical="center" indent="9"/>
    </xf>
    <xf numFmtId="0" fontId="208" fillId="5" borderId="0" xfId="0" applyFont="1" applyFill="1" applyAlignment="1">
      <alignment horizontal="left" vertical="center" indent="11"/>
    </xf>
    <xf numFmtId="0" fontId="208" fillId="5" borderId="0" xfId="0" applyFont="1" applyFill="1" applyAlignment="1">
      <alignment horizontal="left" vertical="center" indent="12"/>
    </xf>
    <xf numFmtId="0" fontId="208" fillId="5" borderId="0" xfId="0" applyFont="1" applyFill="1" applyAlignment="1">
      <alignment horizontal="left" vertical="center" indent="13"/>
    </xf>
    <xf numFmtId="0" fontId="208" fillId="5" borderId="0" xfId="0" applyFont="1" applyFill="1" applyAlignment="1">
      <alignment horizontal="left" vertical="center" indent="14"/>
    </xf>
    <xf numFmtId="0" fontId="1" fillId="6" borderId="0" xfId="0" applyFont="1" applyFill="1"/>
    <xf numFmtId="0" fontId="1" fillId="13" borderId="0" xfId="0" applyFont="1" applyFill="1" applyAlignment="1">
      <alignment horizontal="left"/>
    </xf>
    <xf numFmtId="14" fontId="1" fillId="6" borderId="0" xfId="0" applyNumberFormat="1" applyFont="1" applyFill="1"/>
    <xf numFmtId="0" fontId="1" fillId="0" borderId="0" xfId="0" applyFont="1" applyAlignment="1">
      <alignment horizontal="left"/>
    </xf>
    <xf numFmtId="0" fontId="1" fillId="9" borderId="0" xfId="0" applyFont="1" applyFill="1"/>
    <xf numFmtId="14" fontId="1" fillId="9" borderId="0" xfId="0" applyNumberFormat="1" applyFont="1" applyFill="1"/>
    <xf numFmtId="0" fontId="1" fillId="27" borderId="0" xfId="0" applyFont="1" applyFill="1"/>
    <xf numFmtId="0" fontId="1" fillId="0" borderId="0" xfId="0" applyFont="1" applyAlignment="1">
      <alignment horizontal="center"/>
    </xf>
    <xf numFmtId="0" fontId="1" fillId="30" borderId="0" xfId="0" applyFont="1" applyFill="1"/>
    <xf numFmtId="0" fontId="1" fillId="27" borderId="0" xfId="0" applyFont="1" applyFill="1" applyAlignment="1">
      <alignment horizontal="right"/>
    </xf>
    <xf numFmtId="0" fontId="1" fillId="27" borderId="0" xfId="0" applyFont="1" applyFill="1" applyAlignment="1">
      <alignment horizontal="center"/>
    </xf>
    <xf numFmtId="0" fontId="1" fillId="0" borderId="0" xfId="0" applyFont="1" applyAlignment="1">
      <alignment horizontal="right"/>
    </xf>
    <xf numFmtId="0" fontId="1" fillId="30" borderId="0" xfId="0" applyFont="1" applyFill="1" applyAlignment="1">
      <alignment horizontal="left"/>
    </xf>
    <xf numFmtId="0" fontId="1" fillId="5" borderId="0" xfId="0" applyFont="1" applyFill="1" applyAlignment="1">
      <alignment horizontal="left" indent="21"/>
    </xf>
    <xf numFmtId="0" fontId="1" fillId="13" borderId="0" xfId="0" applyFont="1" applyFill="1"/>
    <xf numFmtId="0" fontId="1" fillId="29" borderId="0" xfId="0" applyFont="1" applyFill="1"/>
    <xf numFmtId="0" fontId="1" fillId="13" borderId="0" xfId="0" applyFont="1" applyFill="1" applyAlignment="1">
      <alignment vertical="center"/>
    </xf>
    <xf numFmtId="0" fontId="1" fillId="0" borderId="0" xfId="0" applyFont="1" applyAlignment="1">
      <alignment vertical="center"/>
    </xf>
    <xf numFmtId="0" fontId="104" fillId="13" borderId="0" xfId="10" applyFont="1" applyFill="1" applyAlignment="1">
      <alignment horizontal="right" vertical="center" textRotation="180" wrapText="1"/>
    </xf>
    <xf numFmtId="0" fontId="199" fillId="0" borderId="0" xfId="10" applyFont="1" applyAlignment="1">
      <alignment horizontal="right" vertical="center" textRotation="180" wrapText="1"/>
    </xf>
    <xf numFmtId="0" fontId="174" fillId="0" borderId="0" xfId="0" applyFont="1" applyAlignment="1">
      <alignment horizontal="center" vertical="center" textRotation="255"/>
    </xf>
    <xf numFmtId="0" fontId="104" fillId="13" borderId="0" xfId="10" applyFont="1" applyFill="1" applyAlignment="1">
      <alignment horizontal="right" vertical="center"/>
    </xf>
    <xf numFmtId="0" fontId="104" fillId="0" borderId="0" xfId="10" applyFont="1" applyAlignment="1">
      <alignment horizontal="right" vertical="top" textRotation="180" wrapText="1"/>
    </xf>
    <xf numFmtId="0" fontId="104" fillId="0" borderId="0" xfId="10" applyFont="1" applyAlignment="1">
      <alignment horizontal="right" vertical="center" wrapText="1"/>
    </xf>
    <xf numFmtId="0" fontId="118" fillId="13" borderId="0" xfId="10" applyFont="1" applyFill="1" applyAlignment="1">
      <alignment horizontal="right" vertical="center" wrapText="1"/>
    </xf>
    <xf numFmtId="0" fontId="184" fillId="6" borderId="0" xfId="10" applyFont="1" applyFill="1" applyAlignment="1">
      <alignment horizontal="center" wrapText="1"/>
    </xf>
    <xf numFmtId="0" fontId="118" fillId="0" borderId="0" xfId="10" applyFont="1" applyAlignment="1">
      <alignment horizontal="right" vertical="center" wrapText="1"/>
    </xf>
    <xf numFmtId="0" fontId="104" fillId="0" borderId="0" xfId="10" applyFont="1" applyAlignment="1">
      <alignment horizontal="right" vertical="center" textRotation="180" wrapText="1"/>
    </xf>
    <xf numFmtId="0" fontId="137" fillId="0" borderId="0" xfId="10" applyAlignment="1">
      <alignment wrapText="1"/>
    </xf>
    <xf numFmtId="0" fontId="104" fillId="13" borderId="16" xfId="10" applyFont="1" applyFill="1" applyBorder="1" applyAlignment="1">
      <alignment horizontal="right" vertical="center" textRotation="180" wrapText="1"/>
    </xf>
    <xf numFmtId="0" fontId="104" fillId="13" borderId="0" xfId="10" applyFont="1" applyFill="1" applyAlignment="1">
      <alignment horizontal="right" vertical="center" wrapText="1"/>
    </xf>
    <xf numFmtId="0" fontId="104" fillId="13" borderId="16" xfId="10" applyFont="1" applyFill="1" applyBorder="1" applyAlignment="1">
      <alignment horizontal="right" vertical="center" wrapText="1"/>
    </xf>
    <xf numFmtId="0" fontId="96" fillId="0" borderId="25" xfId="10" applyFont="1" applyBorder="1" applyAlignment="1">
      <alignment horizontal="right" vertical="center" textRotation="180" wrapText="1"/>
    </xf>
    <xf numFmtId="0" fontId="137" fillId="0" borderId="0" xfId="10"/>
    <xf numFmtId="0" fontId="96" fillId="0" borderId="25" xfId="10" applyFont="1" applyBorder="1" applyAlignment="1">
      <alignment horizontal="right" vertical="center" wrapText="1"/>
    </xf>
    <xf numFmtId="0" fontId="96" fillId="0" borderId="0" xfId="10" applyFont="1" applyAlignment="1">
      <alignment horizontal="right" vertical="center" wrapText="1"/>
    </xf>
    <xf numFmtId="0" fontId="160" fillId="36" borderId="0" xfId="0" applyFont="1" applyFill="1" applyAlignment="1">
      <alignment horizontal="center" vertical="top" textRotation="255"/>
    </xf>
    <xf numFmtId="0" fontId="172" fillId="0" borderId="0" xfId="0" applyFont="1"/>
    <xf numFmtId="0" fontId="116" fillId="37" borderId="0" xfId="0" applyFont="1" applyFill="1" applyAlignment="1">
      <alignment horizontal="center" vertical="top" textRotation="255" wrapText="1"/>
    </xf>
    <xf numFmtId="0" fontId="169" fillId="35" borderId="0" xfId="0" applyFont="1" applyFill="1" applyAlignment="1">
      <alignment horizontal="center" vertical="center" textRotation="255" wrapText="1"/>
    </xf>
    <xf numFmtId="0" fontId="14" fillId="6" borderId="0" xfId="0" applyFont="1" applyFill="1" applyAlignment="1">
      <alignment horizontal="center" vertical="center"/>
    </xf>
    <xf numFmtId="164" fontId="12" fillId="0" borderId="0" xfId="1" applyNumberFormat="1" applyFont="1" applyAlignment="1">
      <alignment horizontal="center" wrapText="1"/>
    </xf>
    <xf numFmtId="164" fontId="16" fillId="5" borderId="0" xfId="1" applyNumberFormat="1" applyFont="1" applyFill="1" applyAlignment="1">
      <alignment horizontal="left"/>
    </xf>
    <xf numFmtId="0" fontId="21" fillId="6" borderId="0" xfId="0" applyFont="1" applyFill="1" applyAlignment="1">
      <alignment horizontal="center" vertical="center"/>
    </xf>
    <xf numFmtId="0" fontId="106" fillId="9" borderId="0" xfId="0" applyFont="1" applyFill="1" applyAlignment="1">
      <alignment horizontal="center" vertical="center"/>
    </xf>
    <xf numFmtId="0" fontId="112" fillId="0" borderId="0" xfId="0" applyFont="1" applyAlignment="1">
      <alignment horizontal="center" vertical="center" wrapText="1"/>
    </xf>
    <xf numFmtId="0" fontId="104" fillId="0" borderId="0" xfId="0" applyFont="1" applyAlignment="1">
      <alignment horizontal="center" vertical="center"/>
    </xf>
    <xf numFmtId="0" fontId="116" fillId="31" borderId="0" xfId="0" applyFont="1" applyFill="1" applyAlignment="1">
      <alignment horizontal="center" vertical="center"/>
    </xf>
    <xf numFmtId="0" fontId="59" fillId="0" borderId="0" xfId="0" applyFont="1" applyAlignment="1">
      <alignment horizontal="center" vertical="center"/>
    </xf>
    <xf numFmtId="0" fontId="122" fillId="9" borderId="0" xfId="0" applyFont="1" applyFill="1" applyAlignment="1">
      <alignment horizontal="center" vertical="center" wrapText="1"/>
    </xf>
    <xf numFmtId="0" fontId="118" fillId="0" borderId="0" xfId="0" applyFont="1" applyAlignment="1">
      <alignment horizontal="center" vertical="center"/>
    </xf>
    <xf numFmtId="0" fontId="1" fillId="0" borderId="0" xfId="0" quotePrefix="1" applyFont="1" applyAlignment="1">
      <alignment horizontal="center"/>
    </xf>
    <xf numFmtId="0" fontId="123" fillId="0" borderId="0" xfId="0" applyFont="1" applyAlignment="1">
      <alignment horizontal="center" vertical="center"/>
    </xf>
    <xf numFmtId="0" fontId="59" fillId="0" borderId="0" xfId="0" applyFont="1" applyAlignment="1">
      <alignment horizontal="center" vertical="center" wrapText="1"/>
    </xf>
    <xf numFmtId="0" fontId="118" fillId="9" borderId="0" xfId="0" applyFont="1" applyFill="1" applyAlignment="1">
      <alignment horizontal="center" vertical="center"/>
    </xf>
    <xf numFmtId="0" fontId="82" fillId="23" borderId="0" xfId="0" applyFont="1" applyFill="1" applyAlignment="1">
      <alignment horizontal="center" vertical="center" wrapText="1"/>
    </xf>
    <xf numFmtId="0" fontId="116" fillId="30" borderId="0" xfId="0" applyFont="1" applyFill="1" applyAlignment="1">
      <alignment horizontal="center" vertical="center"/>
    </xf>
    <xf numFmtId="0" fontId="59" fillId="16" borderId="0" xfId="0" applyFont="1" applyFill="1" applyAlignment="1">
      <alignment horizontal="center" vertical="center" wrapText="1"/>
    </xf>
    <xf numFmtId="0" fontId="118" fillId="30" borderId="0" xfId="0" applyFont="1" applyFill="1" applyAlignment="1">
      <alignment horizontal="center" vertical="center"/>
    </xf>
    <xf numFmtId="0" fontId="59" fillId="0" borderId="0" xfId="0" applyFont="1" applyAlignment="1">
      <alignment horizontal="center"/>
    </xf>
    <xf numFmtId="0" fontId="122" fillId="0" borderId="0" xfId="0" applyFont="1" applyAlignment="1">
      <alignment horizontal="center" vertical="center" wrapText="1"/>
    </xf>
    <xf numFmtId="0" fontId="37" fillId="0" borderId="0" xfId="0" applyFont="1" applyAlignment="1">
      <alignment horizontal="center"/>
    </xf>
    <xf numFmtId="0" fontId="125" fillId="0" borderId="0" xfId="0" applyFont="1" applyAlignment="1">
      <alignment horizontal="left" vertical="center" wrapText="1" indent="9"/>
    </xf>
    <xf numFmtId="0" fontId="125" fillId="9" borderId="0" xfId="0" applyFont="1" applyFill="1" applyAlignment="1">
      <alignment horizontal="center"/>
    </xf>
    <xf numFmtId="0" fontId="198" fillId="9" borderId="0" xfId="0" applyFont="1" applyFill="1" applyAlignment="1">
      <alignment horizontal="left" vertical="center" wrapText="1"/>
    </xf>
    <xf numFmtId="0" fontId="129" fillId="0" borderId="0" xfId="0" applyFont="1" applyAlignment="1">
      <alignment horizontal="center" vertical="center"/>
    </xf>
    <xf numFmtId="0" fontId="25" fillId="0" borderId="0" xfId="0" applyFont="1" applyAlignment="1">
      <alignment horizontal="left" wrapText="1"/>
    </xf>
    <xf numFmtId="0" fontId="39" fillId="0" borderId="0" xfId="0" applyFont="1" applyAlignment="1">
      <alignment horizontal="left" wrapText="1"/>
    </xf>
    <xf numFmtId="0" fontId="129" fillId="17" borderId="0" xfId="0" applyFont="1" applyFill="1" applyAlignment="1">
      <alignment horizontal="center" vertical="center" wrapText="1"/>
    </xf>
    <xf numFmtId="0" fontId="126" fillId="15" borderId="24" xfId="0" applyFont="1" applyFill="1" applyBorder="1" applyAlignment="1">
      <alignment horizontal="center"/>
    </xf>
    <xf numFmtId="0" fontId="126" fillId="15" borderId="0" xfId="0" applyFont="1" applyFill="1" applyAlignment="1">
      <alignment horizontal="center"/>
    </xf>
    <xf numFmtId="0" fontId="36" fillId="15" borderId="0" xfId="0" applyFont="1" applyFill="1" applyAlignment="1">
      <alignment horizontal="center" vertical="center"/>
    </xf>
    <xf numFmtId="0" fontId="30" fillId="0" borderId="0" xfId="0" applyFont="1" applyAlignment="1">
      <alignment horizontal="center" vertical="center"/>
    </xf>
    <xf numFmtId="0" fontId="62" fillId="17" borderId="0" xfId="0" applyFont="1" applyFill="1" applyAlignment="1">
      <alignment horizontal="center" vertical="center"/>
    </xf>
    <xf numFmtId="0" fontId="62" fillId="10" borderId="0" xfId="0" applyFont="1" applyFill="1" applyAlignment="1">
      <alignment horizontal="center" vertical="center"/>
    </xf>
    <xf numFmtId="0" fontId="130"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horizontal="left" vertical="center"/>
    </xf>
    <xf numFmtId="0" fontId="175" fillId="11" borderId="0" xfId="0" applyFont="1" applyFill="1" applyAlignment="1">
      <alignment horizontal="center" vertical="center"/>
    </xf>
    <xf numFmtId="0" fontId="176" fillId="9" borderId="0" xfId="0" applyFont="1" applyFill="1" applyAlignment="1">
      <alignment horizontal="center" vertical="center"/>
    </xf>
    <xf numFmtId="0" fontId="52" fillId="9" borderId="0" xfId="0" applyFont="1" applyFill="1" applyAlignment="1">
      <alignment horizontal="center" vertical="center" wrapText="1"/>
    </xf>
    <xf numFmtId="0" fontId="115" fillId="0" borderId="0" xfId="0" applyFont="1" applyAlignment="1">
      <alignment horizontal="center" vertical="center"/>
    </xf>
    <xf numFmtId="0" fontId="177" fillId="9" borderId="0" xfId="0" applyFont="1" applyFill="1" applyAlignment="1">
      <alignment horizontal="center" vertical="center"/>
    </xf>
    <xf numFmtId="0" fontId="143" fillId="0" borderId="0" xfId="0" applyFont="1" applyAlignment="1">
      <alignment horizontal="center"/>
    </xf>
    <xf numFmtId="0" fontId="7" fillId="0" borderId="0" xfId="0" applyFont="1" applyAlignment="1">
      <alignment horizontal="center" vertical="center"/>
    </xf>
    <xf numFmtId="0" fontId="178" fillId="13" borderId="0" xfId="0" applyFont="1" applyFill="1" applyAlignment="1">
      <alignment horizontal="center" vertical="center" wrapText="1"/>
    </xf>
    <xf numFmtId="0" fontId="59" fillId="10" borderId="0" xfId="0" applyFont="1" applyFill="1" applyAlignment="1">
      <alignment horizontal="center" vertical="center" wrapText="1"/>
    </xf>
    <xf numFmtId="0" fontId="7" fillId="13" borderId="0" xfId="0" applyFont="1" applyFill="1" applyAlignment="1">
      <alignment horizontal="left" wrapText="1"/>
    </xf>
    <xf numFmtId="0" fontId="46" fillId="6" borderId="0" xfId="0" applyFont="1" applyFill="1" applyAlignment="1">
      <alignment horizontal="center" vertical="center"/>
    </xf>
    <xf numFmtId="0" fontId="159" fillId="13" borderId="0" xfId="0" applyFont="1" applyFill="1" applyAlignment="1">
      <alignment horizontal="center" vertical="top" wrapText="1"/>
    </xf>
    <xf numFmtId="0" fontId="40" fillId="0" borderId="0" xfId="0" applyFont="1" applyAlignment="1">
      <alignment horizontal="center" vertical="center" wrapText="1"/>
    </xf>
    <xf numFmtId="0" fontId="57" fillId="0" borderId="0" xfId="0" applyFont="1" applyAlignment="1">
      <alignment horizontal="center" vertical="center" wrapText="1"/>
    </xf>
    <xf numFmtId="0" fontId="47" fillId="5" borderId="0" xfId="0" applyFont="1" applyFill="1" applyAlignment="1">
      <alignment horizontal="center" vertical="center" textRotation="45" wrapText="1"/>
    </xf>
    <xf numFmtId="0" fontId="52" fillId="0" borderId="0" xfId="0" applyFont="1" applyAlignment="1">
      <alignment horizontal="center" vertical="center" textRotation="45"/>
    </xf>
    <xf numFmtId="0" fontId="53" fillId="5" borderId="0" xfId="0" applyFont="1" applyFill="1" applyAlignment="1">
      <alignment horizontal="center" vertical="center" textRotation="30"/>
    </xf>
    <xf numFmtId="0" fontId="54" fillId="0" borderId="0" xfId="0" applyFont="1" applyAlignment="1">
      <alignment horizontal="center" vertical="center" textRotation="15" wrapText="1"/>
    </xf>
    <xf numFmtId="0" fontId="52" fillId="5" borderId="0" xfId="0" applyFont="1" applyFill="1" applyAlignment="1">
      <alignment horizontal="left" vertical="center" wrapText="1"/>
    </xf>
    <xf numFmtId="0" fontId="52" fillId="5" borderId="0" xfId="0" applyFont="1" applyFill="1" applyAlignment="1">
      <alignment horizontal="left" vertical="center"/>
    </xf>
    <xf numFmtId="0" fontId="5" fillId="9" borderId="0" xfId="0" applyFont="1" applyFill="1" applyAlignment="1">
      <alignment horizontal="center" vertical="center" wrapText="1"/>
    </xf>
    <xf numFmtId="0" fontId="163" fillId="0" borderId="0" xfId="0" applyFont="1" applyAlignment="1">
      <alignment horizontal="left" wrapText="1"/>
    </xf>
    <xf numFmtId="0" fontId="163" fillId="0" borderId="0" xfId="0" applyFont="1" applyAlignment="1">
      <alignment horizontal="center" vertical="center"/>
    </xf>
    <xf numFmtId="0" fontId="7" fillId="9" borderId="0" xfId="0" applyFont="1" applyFill="1" applyAlignment="1">
      <alignment horizontal="center" vertical="center" wrapText="1"/>
    </xf>
    <xf numFmtId="0" fontId="181" fillId="9" borderId="0" xfId="0" applyFont="1" applyFill="1" applyAlignment="1">
      <alignment horizontal="center" vertical="center" wrapText="1"/>
    </xf>
    <xf numFmtId="0" fontId="180" fillId="9" borderId="0" xfId="0" applyFont="1" applyFill="1" applyAlignment="1">
      <alignment horizontal="center" vertical="center" wrapText="1"/>
    </xf>
    <xf numFmtId="0" fontId="212" fillId="0" borderId="0" xfId="0" applyFont="1" applyAlignment="1">
      <alignment horizontal="center" vertical="top" wrapText="1"/>
    </xf>
    <xf numFmtId="0" fontId="4" fillId="2" borderId="1" xfId="2" applyAlignment="1">
      <alignment horizontal="center"/>
    </xf>
    <xf numFmtId="0" fontId="4" fillId="0" borderId="1" xfId="2" applyFill="1" applyAlignment="1">
      <alignment horizontal="center"/>
    </xf>
    <xf numFmtId="0" fontId="4" fillId="0" borderId="1" xfId="2" applyFill="1" applyAlignment="1"/>
    <xf numFmtId="0" fontId="66" fillId="0" borderId="0" xfId="0" applyFont="1" applyAlignment="1">
      <alignment horizontal="center" vertical="center" wrapText="1"/>
    </xf>
    <xf numFmtId="0" fontId="66" fillId="0" borderId="0" xfId="0" applyFont="1" applyAlignment="1">
      <alignment horizontal="center"/>
    </xf>
    <xf numFmtId="0" fontId="205" fillId="0" borderId="0" xfId="0" applyFont="1" applyAlignment="1">
      <alignment horizontal="center" vertical="center"/>
    </xf>
    <xf numFmtId="0" fontId="48" fillId="0" borderId="0" xfId="0" applyFont="1" applyAlignment="1">
      <alignment horizontal="left" wrapText="1"/>
    </xf>
    <xf numFmtId="0" fontId="209" fillId="0" borderId="0" xfId="0" applyFont="1" applyAlignment="1">
      <alignment horizontal="center" vertical="top" wrapText="1"/>
    </xf>
    <xf numFmtId="0" fontId="4" fillId="5" borderId="3" xfId="2" applyFill="1" applyBorder="1" applyAlignment="1">
      <alignment horizontal="center"/>
    </xf>
    <xf numFmtId="0" fontId="4" fillId="5" borderId="5" xfId="2" applyFill="1" applyBorder="1" applyAlignment="1">
      <alignment horizontal="center"/>
    </xf>
    <xf numFmtId="0" fontId="4" fillId="0" borderId="3" xfId="2" applyFill="1" applyBorder="1" applyAlignment="1">
      <alignment horizontal="center"/>
    </xf>
    <xf numFmtId="0" fontId="4" fillId="0" borderId="5" xfId="2" applyFill="1" applyBorder="1" applyAlignment="1">
      <alignment horizontal="center"/>
    </xf>
    <xf numFmtId="0" fontId="4" fillId="2" borderId="3" xfId="2" applyBorder="1" applyAlignment="1">
      <alignment horizontal="center" vertical="center" wrapText="1"/>
    </xf>
    <xf numFmtId="0" fontId="4" fillId="2" borderId="5" xfId="2" applyBorder="1" applyAlignment="1">
      <alignment horizontal="center" vertical="center" wrapText="1"/>
    </xf>
    <xf numFmtId="0" fontId="4" fillId="2" borderId="3" xfId="2" applyBorder="1" applyAlignment="1">
      <alignment horizontal="center" wrapText="1"/>
    </xf>
    <xf numFmtId="0" fontId="4" fillId="2" borderId="5" xfId="2" applyBorder="1" applyAlignment="1">
      <alignment horizontal="center" wrapText="1"/>
    </xf>
    <xf numFmtId="0" fontId="46" fillId="0" borderId="0" xfId="0" applyFont="1" applyAlignment="1">
      <alignment horizontal="center" vertical="top" textRotation="15"/>
    </xf>
    <xf numFmtId="0" fontId="4" fillId="2" borderId="1" xfId="2" applyAlignment="1"/>
    <xf numFmtId="0" fontId="72" fillId="8" borderId="13" xfId="0" applyFont="1" applyFill="1" applyBorder="1" applyAlignment="1">
      <alignment horizontal="center" vertical="center" textRotation="255"/>
    </xf>
    <xf numFmtId="0" fontId="72" fillId="8" borderId="0" xfId="0" applyFont="1" applyFill="1" applyAlignment="1">
      <alignment horizontal="center" vertical="center" textRotation="255"/>
    </xf>
    <xf numFmtId="0" fontId="51" fillId="0" borderId="0" xfId="0" applyFont="1" applyAlignment="1">
      <alignment horizontal="center" vertical="center" textRotation="255" wrapText="1"/>
    </xf>
    <xf numFmtId="0" fontId="23" fillId="5" borderId="0" xfId="0" applyFont="1" applyFill="1" applyAlignment="1">
      <alignment horizontal="center" vertical="center" textRotation="255"/>
    </xf>
    <xf numFmtId="0" fontId="34" fillId="0" borderId="0" xfId="0" applyFont="1" applyAlignment="1">
      <alignment horizontal="center" vertical="center" textRotation="255" wrapText="1"/>
    </xf>
    <xf numFmtId="0" fontId="85" fillId="21" borderId="0" xfId="0" applyFont="1" applyFill="1" applyAlignment="1">
      <alignment horizontal="center" vertical="center" wrapText="1"/>
    </xf>
    <xf numFmtId="0" fontId="22" fillId="0" borderId="0" xfId="0" applyFont="1" applyAlignment="1">
      <alignment horizontal="center"/>
    </xf>
    <xf numFmtId="0" fontId="83" fillId="0" borderId="0" xfId="7" applyAlignment="1">
      <alignment horizontal="center"/>
    </xf>
    <xf numFmtId="0" fontId="6" fillId="0" borderId="0" xfId="0" applyFont="1" applyAlignment="1">
      <alignment horizontal="center" vertical="center" textRotation="255"/>
    </xf>
    <xf numFmtId="0" fontId="6" fillId="0" borderId="15" xfId="0" applyFont="1" applyBorder="1" applyAlignment="1">
      <alignment horizontal="center" vertical="center" textRotation="255"/>
    </xf>
    <xf numFmtId="0" fontId="213" fillId="6" borderId="24" xfId="0" applyFont="1" applyFill="1" applyBorder="1" applyAlignment="1">
      <alignment horizontal="left" vertical="center"/>
    </xf>
    <xf numFmtId="0" fontId="213" fillId="6" borderId="0" xfId="0" applyFont="1" applyFill="1" applyAlignment="1">
      <alignment horizontal="left" vertical="center"/>
    </xf>
    <xf numFmtId="0" fontId="213" fillId="6" borderId="22" xfId="0" applyFont="1" applyFill="1" applyBorder="1" applyAlignment="1">
      <alignment horizontal="left" vertical="center"/>
    </xf>
    <xf numFmtId="49" fontId="34" fillId="0" borderId="0" xfId="0" applyNumberFormat="1" applyFont="1" applyAlignment="1">
      <alignment horizontal="left" indent="1"/>
    </xf>
    <xf numFmtId="0" fontId="214" fillId="23" borderId="0" xfId="0" applyFont="1" applyFill="1" applyAlignment="1">
      <alignment vertical="center"/>
    </xf>
    <xf numFmtId="0" fontId="215" fillId="0" borderId="0" xfId="0" applyFont="1"/>
    <xf numFmtId="0" fontId="187" fillId="0" borderId="0" xfId="30" applyAlignment="1" applyProtection="1"/>
    <xf numFmtId="0" fontId="216" fillId="0" borderId="0" xfId="0" applyFont="1"/>
    <xf numFmtId="15" fontId="168" fillId="0" borderId="0" xfId="0" applyNumberFormat="1" applyFont="1"/>
    <xf numFmtId="14" fontId="168" fillId="0" borderId="0" xfId="0" applyNumberFormat="1" applyFont="1"/>
    <xf numFmtId="0" fontId="217" fillId="0" borderId="0" xfId="0" applyFont="1"/>
    <xf numFmtId="0" fontId="218" fillId="0" borderId="0" xfId="0" applyFont="1"/>
    <xf numFmtId="0" fontId="219" fillId="23" borderId="0" xfId="0" applyFont="1" applyFill="1"/>
    <xf numFmtId="0" fontId="219" fillId="23" borderId="0" xfId="0" applyFont="1" applyFill="1" applyAlignment="1">
      <alignment wrapText="1"/>
    </xf>
    <xf numFmtId="0" fontId="220" fillId="0" borderId="0" xfId="0" applyFont="1"/>
    <xf numFmtId="0" fontId="221" fillId="0" borderId="0" xfId="0" applyFont="1"/>
    <xf numFmtId="22" fontId="37" fillId="0" borderId="0" xfId="0" applyNumberFormat="1" applyFont="1"/>
    <xf numFmtId="0" fontId="222" fillId="0" borderId="0" xfId="0" applyFont="1"/>
    <xf numFmtId="0" fontId="223" fillId="0" borderId="0" xfId="0" applyFont="1"/>
    <xf numFmtId="0" fontId="224" fillId="0" borderId="0" xfId="0" applyFont="1"/>
    <xf numFmtId="0" fontId="168" fillId="0" borderId="0" xfId="0" applyFont="1" applyAlignment="1">
      <alignment horizontal="left"/>
    </xf>
    <xf numFmtId="0" fontId="187" fillId="0" borderId="0" xfId="30" applyAlignment="1" applyProtection="1">
      <alignment horizontal="left" vertical="center" wrapText="1"/>
    </xf>
    <xf numFmtId="0" fontId="225" fillId="0" borderId="0" xfId="0" applyFont="1" applyAlignment="1">
      <alignment horizontal="left"/>
    </xf>
    <xf numFmtId="0" fontId="168" fillId="0" borderId="0" xfId="0" applyFont="1" applyAlignment="1">
      <alignment horizontal="left" vertical="center"/>
    </xf>
    <xf numFmtId="0" fontId="168" fillId="0" borderId="0" xfId="0" applyFont="1" applyAlignment="1">
      <alignment horizontal="left" vertical="center" wrapText="1"/>
    </xf>
    <xf numFmtId="0" fontId="48" fillId="0" borderId="0" xfId="0" applyFont="1" applyAlignment="1">
      <alignment horizontal="left" vertical="center"/>
    </xf>
    <xf numFmtId="0" fontId="226" fillId="0" borderId="0" xfId="0" applyFont="1" applyAlignment="1">
      <alignment horizontal="left" vertical="center"/>
    </xf>
    <xf numFmtId="0" fontId="187" fillId="0" borderId="0" xfId="30" applyAlignment="1" applyProtection="1">
      <alignment horizontal="left"/>
    </xf>
    <xf numFmtId="0" fontId="90" fillId="0" borderId="0" xfId="0" applyFont="1" applyAlignment="1">
      <alignment horizontal="left"/>
    </xf>
    <xf numFmtId="0" fontId="81" fillId="0" borderId="0" xfId="0" applyFont="1" applyAlignment="1">
      <alignment horizontal="left"/>
    </xf>
    <xf numFmtId="0" fontId="48" fillId="0" borderId="0" xfId="0" applyFont="1" applyAlignment="1">
      <alignment horizontal="left"/>
    </xf>
    <xf numFmtId="0" fontId="227" fillId="0" borderId="0" xfId="0" applyFont="1"/>
    <xf numFmtId="0" fontId="228" fillId="0" borderId="0" xfId="0" applyFont="1"/>
    <xf numFmtId="0" fontId="81" fillId="19" borderId="0" xfId="0" applyFont="1" applyFill="1" applyAlignment="1">
      <alignment horizontal="left"/>
    </xf>
  </cellXfs>
  <cellStyles count="53">
    <cellStyle name="20% - Accent1 2" xfId="52" xr:uid="{6894A37B-360E-4115-85A7-0273DB8C185E}"/>
    <cellStyle name="20% - Accent2 2" xfId="50" xr:uid="{6D518D0E-E1DB-4C9C-BE43-A4CEB4EEFE40}"/>
    <cellStyle name="20% - Accent3 2" xfId="34" xr:uid="{0A519C92-13F8-4054-B02B-20B9426581A4}"/>
    <cellStyle name="20% - Accent3 2 2" xfId="45" xr:uid="{42782643-EE77-4A05-AB1C-6CD9C02906D9}"/>
    <cellStyle name="20% - Accent3 3" xfId="40" xr:uid="{3A445D48-DE36-4B7E-AD54-1D5806D2EC4D}"/>
    <cellStyle name="20% - Accent5 2" xfId="48" xr:uid="{334A950A-46DD-43D2-B853-843ACE7A73B6}"/>
    <cellStyle name="40% - Accent2 2 2" xfId="15" xr:uid="{12886078-497B-423D-A6F1-6DCDA1E665FE}"/>
    <cellStyle name="40% - Accent2 2 2 2" xfId="39" xr:uid="{C0D18B9F-E5E8-4DD0-9C26-5C0A131AFAD4}"/>
    <cellStyle name="Accent2 2" xfId="18" xr:uid="{F6864DAA-5097-4AFA-A245-0C76B9B8F2D4}"/>
    <cellStyle name="Accent3 2" xfId="17" xr:uid="{87F749FB-431E-4973-A0BE-E99456D2BC3C}"/>
    <cellStyle name="Calculation" xfId="2" builtinId="22"/>
    <cellStyle name="Calculation 2" xfId="5" xr:uid="{D0031C95-9208-4E2C-BE69-B4CD88D68F62}"/>
    <cellStyle name="Calculation 3" xfId="3" xr:uid="{A952A0B2-83FD-41AF-ADCE-2D1A6378E6AD}"/>
    <cellStyle name="Calculation 4" xfId="51" xr:uid="{4E63B34E-5F57-4AFD-8837-7FA40F7173AA}"/>
    <cellStyle name="Check Cell 2" xfId="4" xr:uid="{8D2F55CA-1199-42C9-BF85-ADBA91969CB4}"/>
    <cellStyle name="Check Cell 3" xfId="12" xr:uid="{343BC626-7485-4F40-9B36-10DDEECC3121}"/>
    <cellStyle name="Comma" xfId="1" builtinId="3"/>
    <cellStyle name="Comma 2" xfId="32" xr:uid="{25F36240-EF46-40C1-8554-A307330B0080}"/>
    <cellStyle name="Comma 4" xfId="31" xr:uid="{DD8F3329-1166-4C76-9E76-F8AD56E6998E}"/>
    <cellStyle name="Currency 2" xfId="14" xr:uid="{D9190C7B-1A86-47A7-B7D5-EE26C779F2DD}"/>
    <cellStyle name="Currency 3" xfId="21" xr:uid="{E6DE35A3-65D3-45E3-B0D8-6C24D18C10AC}"/>
    <cellStyle name="Currency 4" xfId="25" xr:uid="{6E2DA233-F9FA-437E-A005-0308822DF4A3}"/>
    <cellStyle name="Currency 4 2" xfId="43" xr:uid="{7820ABE1-F748-4A13-91A9-2FDE9B07ADE6}"/>
    <cellStyle name="Good 2" xfId="16" xr:uid="{8485DC3D-48DD-4A95-8466-363DC8CB967F}"/>
    <cellStyle name="Hyperlink" xfId="7" builtinId="8"/>
    <cellStyle name="Hyperlink 2" xfId="20" xr:uid="{31BA3BC0-02FE-41D0-A363-DAA7CD236272}"/>
    <cellStyle name="Hyperlink 2 2" xfId="30" xr:uid="{F2A9F155-0EB5-48B6-BE55-069D4FF2B833}"/>
    <cellStyle name="Hyperlink 3" xfId="27" xr:uid="{4F1F1D9C-C9CC-4690-A935-74282EEE1CEC}"/>
    <cellStyle name="Hyperlink 3 2" xfId="33" xr:uid="{7CEA38A1-404B-43C9-B38F-DB6536E95F09}"/>
    <cellStyle name="Hyperlink 4" xfId="38" xr:uid="{599A508B-EFC0-4E7D-AEA4-D51E1C1C2324}"/>
    <cellStyle name="Hyperlink 5" xfId="13" xr:uid="{0266F7FC-FFE8-4DEA-8C94-7D5B23215CBA}"/>
    <cellStyle name="Linked Cell 2" xfId="8" xr:uid="{DE606BFA-C950-4507-A2ED-EAFEBF16A120}"/>
    <cellStyle name="Linked Cell 3" xfId="49" xr:uid="{31BD674A-899D-49A4-A415-BEE4A7FA6699}"/>
    <cellStyle name="Normal" xfId="0" builtinId="0"/>
    <cellStyle name="Normal 2" xfId="9" xr:uid="{24B60863-CFB0-47C0-8167-4761B72AF4F0}"/>
    <cellStyle name="Normal 2 2" xfId="22" xr:uid="{3EA1ED92-5CD0-4881-BF10-D740AE7FA6BB}"/>
    <cellStyle name="Normal 2 2 2" xfId="28" xr:uid="{50E21D71-3E36-4660-8CDF-08C4C699017A}"/>
    <cellStyle name="Normal 2 2 3" xfId="41" xr:uid="{6193B24A-70CB-408F-B9E6-1DCF61193A07}"/>
    <cellStyle name="Normal 3" xfId="10" xr:uid="{465C4DC2-88A2-435E-9E95-18A51F0598CB}"/>
    <cellStyle name="Normal 3 2" xfId="42" xr:uid="{09FF7D7A-50FB-4981-BB22-550A09035466}"/>
    <cellStyle name="Normal 3 3" xfId="24" xr:uid="{7057B51D-ECD0-49C2-A978-AE3987EB4389}"/>
    <cellStyle name="Normal 4" xfId="29" xr:uid="{9E3A02EA-A5BB-4EED-9B5B-BB36D0FE829C}"/>
    <cellStyle name="Normal 5" xfId="23" xr:uid="{F4C4A9B3-8C80-4551-8C86-24EB64DA1C6A}"/>
    <cellStyle name="Normal 6" xfId="6" xr:uid="{734F2C0E-7702-448B-97E3-3F41C30A24C9}"/>
    <cellStyle name="Normal 6 2" xfId="46" xr:uid="{1A9945C8-F188-4521-8640-2BF73DFF1869}"/>
    <cellStyle name="Normal 7" xfId="11" xr:uid="{F82A5CDF-D7CB-45B2-959D-661840755412}"/>
    <cellStyle name="Normal 7 2" xfId="37" xr:uid="{588CD342-E430-48C0-9343-A4FB978D8DD5}"/>
    <cellStyle name="Output 2" xfId="36" xr:uid="{E3E43822-B883-4775-B7EE-0ED1421A5C77}"/>
    <cellStyle name="Percent 2" xfId="19" xr:uid="{9E6AB706-DE57-49D8-ACA9-619EC4206FC0}"/>
    <cellStyle name="Percent 3" xfId="26" xr:uid="{8F0E854C-BDC3-424C-A7E3-71AE096C0E0E}"/>
    <cellStyle name="Percent 3 2" xfId="44" xr:uid="{86B740E1-02C7-4474-A114-5023B5ACED36}"/>
    <cellStyle name="Title 2" xfId="35" xr:uid="{3898386C-FF84-43AB-A2C9-E345A99AD909}"/>
    <cellStyle name="Total 2" xfId="47" xr:uid="{D1745984-61B8-4A9D-BC18-75D89C8E5877}"/>
  </cellStyles>
  <dxfs count="1">
    <dxf>
      <font>
        <b val="0"/>
        <i val="0"/>
        <strike val="0"/>
        <condense val="0"/>
        <extend val="0"/>
        <outline val="0"/>
        <shadow val="0"/>
        <u val="none"/>
        <vertAlign val="baseline"/>
        <sz val="14"/>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gif"/><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76200</xdr:colOff>
      <xdr:row>5</xdr:row>
      <xdr:rowOff>60960</xdr:rowOff>
    </xdr:from>
    <xdr:to>
      <xdr:col>0</xdr:col>
      <xdr:colOff>1432560</xdr:colOff>
      <xdr:row>8</xdr:row>
      <xdr:rowOff>312420</xdr:rowOff>
    </xdr:to>
    <xdr:sp macro="" textlink="">
      <xdr:nvSpPr>
        <xdr:cNvPr id="2" name="Flowchart: Process 1">
          <a:extLst>
            <a:ext uri="{FF2B5EF4-FFF2-40B4-BE49-F238E27FC236}">
              <a16:creationId xmlns:a16="http://schemas.microsoft.com/office/drawing/2014/main" id="{00000000-0008-0000-0600-000002000000}"/>
            </a:ext>
          </a:extLst>
        </xdr:cNvPr>
        <xdr:cNvSpPr/>
      </xdr:nvSpPr>
      <xdr:spPr>
        <a:xfrm>
          <a:off x="76200" y="1463040"/>
          <a:ext cx="1356360" cy="1501140"/>
        </a:xfrm>
        <a:prstGeom prst="flowChartProcess">
          <a:avLst/>
        </a:prstGeom>
        <a:no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28575">
              <a:solidFill>
                <a:schemeClr val="tx1"/>
              </a:solidFill>
            </a:ln>
          </a:endParaRPr>
        </a:p>
      </xdr:txBody>
    </xdr:sp>
    <xdr:clientData/>
  </xdr:twoCellAnchor>
  <xdr:twoCellAnchor>
    <xdr:from>
      <xdr:col>4</xdr:col>
      <xdr:colOff>205740</xdr:colOff>
      <xdr:row>5</xdr:row>
      <xdr:rowOff>411480</xdr:rowOff>
    </xdr:from>
    <xdr:to>
      <xdr:col>4</xdr:col>
      <xdr:colOff>281940</xdr:colOff>
      <xdr:row>6</xdr:row>
      <xdr:rowOff>266700</xdr:rowOff>
    </xdr:to>
    <xdr:sp macro="" textlink="">
      <xdr:nvSpPr>
        <xdr:cNvPr id="3" name="Arrow: Down 2">
          <a:extLst>
            <a:ext uri="{FF2B5EF4-FFF2-40B4-BE49-F238E27FC236}">
              <a16:creationId xmlns:a16="http://schemas.microsoft.com/office/drawing/2014/main" id="{00000000-0008-0000-0600-000003000000}"/>
            </a:ext>
          </a:extLst>
        </xdr:cNvPr>
        <xdr:cNvSpPr/>
      </xdr:nvSpPr>
      <xdr:spPr>
        <a:xfrm>
          <a:off x="5478780" y="1676400"/>
          <a:ext cx="7620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27</xdr:row>
      <xdr:rowOff>0</xdr:rowOff>
    </xdr:from>
    <xdr:to>
      <xdr:col>3</xdr:col>
      <xdr:colOff>24130</xdr:colOff>
      <xdr:row>27</xdr:row>
      <xdr:rowOff>24130</xdr:rowOff>
    </xdr:to>
    <xdr:pic>
      <xdr:nvPicPr>
        <xdr:cNvPr id="4" name=":1wb">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7860" y="9662160"/>
          <a:ext cx="24130" cy="24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xdr:row>
      <xdr:rowOff>15240</xdr:rowOff>
    </xdr:from>
    <xdr:to>
      <xdr:col>5</xdr:col>
      <xdr:colOff>144780</xdr:colOff>
      <xdr:row>14</xdr:row>
      <xdr:rowOff>152400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3480" y="3291840"/>
          <a:ext cx="762000" cy="1668780"/>
        </a:xfrm>
        <a:prstGeom prst="rect">
          <a:avLst/>
        </a:prstGeom>
      </xdr:spPr>
    </xdr:pic>
    <xdr:clientData/>
  </xdr:twoCellAnchor>
  <xdr:twoCellAnchor editAs="oneCell">
    <xdr:from>
      <xdr:col>0</xdr:col>
      <xdr:colOff>87697</xdr:colOff>
      <xdr:row>10</xdr:row>
      <xdr:rowOff>144780</xdr:rowOff>
    </xdr:from>
    <xdr:to>
      <xdr:col>0</xdr:col>
      <xdr:colOff>1413577</xdr:colOff>
      <xdr:row>12</xdr:row>
      <xdr:rowOff>297180</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97" y="3421380"/>
          <a:ext cx="1325880" cy="990600"/>
        </a:xfrm>
        <a:prstGeom prst="rect">
          <a:avLst/>
        </a:prstGeom>
      </xdr:spPr>
    </xdr:pic>
    <xdr:clientData/>
  </xdr:twoCellAnchor>
  <xdr:twoCellAnchor editAs="oneCell">
    <xdr:from>
      <xdr:col>2</xdr:col>
      <xdr:colOff>58750</xdr:colOff>
      <xdr:row>10</xdr:row>
      <xdr:rowOff>60960</xdr:rowOff>
    </xdr:from>
    <xdr:to>
      <xdr:col>3</xdr:col>
      <xdr:colOff>1097280</xdr:colOff>
      <xdr:row>13</xdr:row>
      <xdr:rowOff>22860</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67510" y="3337560"/>
          <a:ext cx="1373810" cy="1219200"/>
        </a:xfrm>
        <a:prstGeom prst="rect">
          <a:avLst/>
        </a:prstGeom>
      </xdr:spPr>
    </xdr:pic>
    <xdr:clientData/>
  </xdr:twoCellAnchor>
  <xdr:twoCellAnchor editAs="oneCell">
    <xdr:from>
      <xdr:col>3</xdr:col>
      <xdr:colOff>1157169</xdr:colOff>
      <xdr:row>10</xdr:row>
      <xdr:rowOff>45725</xdr:rowOff>
    </xdr:from>
    <xdr:to>
      <xdr:col>3</xdr:col>
      <xdr:colOff>3017520</xdr:colOff>
      <xdr:row>13</xdr:row>
      <xdr:rowOff>70453</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0233" r="1861"/>
        <a:stretch/>
      </xdr:blipFill>
      <xdr:spPr>
        <a:xfrm rot="5400000">
          <a:off x="3374191" y="3033163"/>
          <a:ext cx="1282028" cy="1860351"/>
        </a:xfrm>
        <a:prstGeom prst="rect">
          <a:avLst/>
        </a:prstGeom>
      </xdr:spPr>
    </xdr:pic>
    <xdr:clientData/>
  </xdr:twoCellAnchor>
  <xdr:oneCellAnchor>
    <xdr:from>
      <xdr:col>4</xdr:col>
      <xdr:colOff>0</xdr:colOff>
      <xdr:row>10</xdr:row>
      <xdr:rowOff>365760</xdr:rowOff>
    </xdr:from>
    <xdr:ext cx="354263" cy="320842"/>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4255035" y="3642360"/>
          <a:ext cx="354263" cy="3208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rPr>
            <a:t>W</a:t>
          </a:r>
        </a:p>
      </xdr:txBody>
    </xdr:sp>
    <xdr:clientData/>
  </xdr:oneCellAnchor>
  <xdr:oneCellAnchor>
    <xdr:from>
      <xdr:col>3</xdr:col>
      <xdr:colOff>1433763</xdr:colOff>
      <xdr:row>11</xdr:row>
      <xdr:rowOff>0</xdr:rowOff>
    </xdr:from>
    <xdr:ext cx="334211" cy="347578"/>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3361623" y="3695700"/>
          <a:ext cx="334211" cy="347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latin typeface="+mn-lt"/>
              <a:ea typeface="+mn-ea"/>
              <a:cs typeface="+mn-cs"/>
            </a:rPr>
            <a:t>W</a:t>
          </a:r>
          <a:endParaRPr lang="en-US" sz="1800">
            <a:solidFill>
              <a:schemeClr val="bg1"/>
            </a:solidFill>
            <a:effectLst/>
          </a:endParaRPr>
        </a:p>
        <a:p>
          <a:endParaRPr lang="en-US" sz="1100"/>
        </a:p>
      </xdr:txBody>
    </xdr:sp>
    <xdr:clientData/>
  </xdr:oneCellAnchor>
  <xdr:twoCellAnchor>
    <xdr:from>
      <xdr:col>3</xdr:col>
      <xdr:colOff>2080260</xdr:colOff>
      <xdr:row>17</xdr:row>
      <xdr:rowOff>198120</xdr:rowOff>
    </xdr:from>
    <xdr:to>
      <xdr:col>3</xdr:col>
      <xdr:colOff>4030980</xdr:colOff>
      <xdr:row>19</xdr:row>
      <xdr:rowOff>91440</xdr:rowOff>
    </xdr:to>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4168140" y="6164580"/>
          <a:ext cx="195072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Look for exposed wood/roof decking &amp; Roof Penetrations</a:t>
          </a:r>
          <a:r>
            <a:rPr lang="en-US"/>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47</xdr:row>
      <xdr:rowOff>274320</xdr:rowOff>
    </xdr:from>
    <xdr:to>
      <xdr:col>2</xdr:col>
      <xdr:colOff>553720</xdr:colOff>
      <xdr:row>51</xdr:row>
      <xdr:rowOff>106680</xdr:rowOff>
    </xdr:to>
    <xdr:sp macro="" textlink="">
      <xdr:nvSpPr>
        <xdr:cNvPr id="2" name="Arrow: Curved Left 1">
          <a:extLst>
            <a:ext uri="{FF2B5EF4-FFF2-40B4-BE49-F238E27FC236}">
              <a16:creationId xmlns:a16="http://schemas.microsoft.com/office/drawing/2014/main" id="{548EE6C3-1293-4DFD-A051-7E84DC802535}"/>
            </a:ext>
          </a:extLst>
        </xdr:cNvPr>
        <xdr:cNvSpPr/>
      </xdr:nvSpPr>
      <xdr:spPr>
        <a:xfrm rot="10800000">
          <a:off x="5288280" y="12313920"/>
          <a:ext cx="363220" cy="123444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solidFill>
              <a:schemeClr val="tx1"/>
            </a:solidFill>
          </a:endParaRPr>
        </a:p>
      </xdr:txBody>
    </xdr:sp>
    <xdr:clientData/>
  </xdr:twoCellAnchor>
  <xdr:twoCellAnchor editAs="oneCell">
    <xdr:from>
      <xdr:col>4</xdr:col>
      <xdr:colOff>30480</xdr:colOff>
      <xdr:row>47</xdr:row>
      <xdr:rowOff>342900</xdr:rowOff>
    </xdr:from>
    <xdr:to>
      <xdr:col>4</xdr:col>
      <xdr:colOff>403860</xdr:colOff>
      <xdr:row>51</xdr:row>
      <xdr:rowOff>205740</xdr:rowOff>
    </xdr:to>
    <xdr:sp macro="" textlink="">
      <xdr:nvSpPr>
        <xdr:cNvPr id="3" name="Arrow: Curved Down 2">
          <a:extLst>
            <a:ext uri="{FF2B5EF4-FFF2-40B4-BE49-F238E27FC236}">
              <a16:creationId xmlns:a16="http://schemas.microsoft.com/office/drawing/2014/main" id="{9E686CA7-9173-4B7D-BA97-FD2B7B242801}"/>
            </a:ext>
          </a:extLst>
        </xdr:cNvPr>
        <xdr:cNvSpPr/>
      </xdr:nvSpPr>
      <xdr:spPr>
        <a:xfrm rot="5400000">
          <a:off x="5932170" y="12828270"/>
          <a:ext cx="1264920" cy="373380"/>
        </a:xfrm>
        <a:prstGeom prst="curvedDownArrow">
          <a:avLst>
            <a:gd name="adj1" fmla="val 25000"/>
            <a:gd name="adj2" fmla="val 50000"/>
            <a:gd name="adj3" fmla="val 38452"/>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solidFill>
              <a:schemeClr val="tx1"/>
            </a:solidFill>
          </a:endParaRPr>
        </a:p>
      </xdr:txBody>
    </xdr:sp>
    <xdr:clientData/>
  </xdr:twoCellAnchor>
  <xdr:twoCellAnchor editAs="oneCell">
    <xdr:from>
      <xdr:col>3</xdr:col>
      <xdr:colOff>144780</xdr:colOff>
      <xdr:row>52</xdr:row>
      <xdr:rowOff>60960</xdr:rowOff>
    </xdr:from>
    <xdr:to>
      <xdr:col>3</xdr:col>
      <xdr:colOff>304799</xdr:colOff>
      <xdr:row>52</xdr:row>
      <xdr:rowOff>309880</xdr:rowOff>
    </xdr:to>
    <xdr:sp macro="" textlink="">
      <xdr:nvSpPr>
        <xdr:cNvPr id="4" name="Arrow: Down 3">
          <a:extLst>
            <a:ext uri="{FF2B5EF4-FFF2-40B4-BE49-F238E27FC236}">
              <a16:creationId xmlns:a16="http://schemas.microsoft.com/office/drawing/2014/main" id="{78777C79-4989-4E7E-B3D8-389E7F720DF7}"/>
            </a:ext>
          </a:extLst>
        </xdr:cNvPr>
        <xdr:cNvSpPr/>
      </xdr:nvSpPr>
      <xdr:spPr>
        <a:xfrm rot="10800000">
          <a:off x="5905500" y="13883640"/>
          <a:ext cx="160019" cy="2489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2</xdr:col>
      <xdr:colOff>160020</xdr:colOff>
      <xdr:row>51</xdr:row>
      <xdr:rowOff>7620</xdr:rowOff>
    </xdr:from>
    <xdr:to>
      <xdr:col>2</xdr:col>
      <xdr:colOff>190500</xdr:colOff>
      <xdr:row>55</xdr:row>
      <xdr:rowOff>175260</xdr:rowOff>
    </xdr:to>
    <xdr:cxnSp macro="">
      <xdr:nvCxnSpPr>
        <xdr:cNvPr id="5" name="Straight Arrow Connector 4">
          <a:extLst>
            <a:ext uri="{FF2B5EF4-FFF2-40B4-BE49-F238E27FC236}">
              <a16:creationId xmlns:a16="http://schemas.microsoft.com/office/drawing/2014/main" id="{4A67DEF5-3E47-4485-937E-A7DC4CE5D329}"/>
            </a:ext>
          </a:extLst>
        </xdr:cNvPr>
        <xdr:cNvCxnSpPr/>
      </xdr:nvCxnSpPr>
      <xdr:spPr>
        <a:xfrm flipV="1">
          <a:off x="5257800" y="13449300"/>
          <a:ext cx="30480" cy="1600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4785360</xdr:colOff>
      <xdr:row>47</xdr:row>
      <xdr:rowOff>198120</xdr:rowOff>
    </xdr:from>
    <xdr:to>
      <xdr:col>2</xdr:col>
      <xdr:colOff>30480</xdr:colOff>
      <xdr:row>56</xdr:row>
      <xdr:rowOff>182880</xdr:rowOff>
    </xdr:to>
    <xdr:cxnSp macro="">
      <xdr:nvCxnSpPr>
        <xdr:cNvPr id="6" name="Straight Arrow Connector 5">
          <a:extLst>
            <a:ext uri="{FF2B5EF4-FFF2-40B4-BE49-F238E27FC236}">
              <a16:creationId xmlns:a16="http://schemas.microsoft.com/office/drawing/2014/main" id="{455DEE7F-D1E1-482B-96CF-DB53F16A612E}"/>
            </a:ext>
          </a:extLst>
        </xdr:cNvPr>
        <xdr:cNvCxnSpPr/>
      </xdr:nvCxnSpPr>
      <xdr:spPr>
        <a:xfrm flipV="1">
          <a:off x="5082540" y="12237720"/>
          <a:ext cx="45720" cy="31699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xdr:colOff>
      <xdr:row>47</xdr:row>
      <xdr:rowOff>228600</xdr:rowOff>
    </xdr:from>
    <xdr:to>
      <xdr:col>2</xdr:col>
      <xdr:colOff>312420</xdr:colOff>
      <xdr:row>47</xdr:row>
      <xdr:rowOff>228600</xdr:rowOff>
    </xdr:to>
    <xdr:cxnSp macro="">
      <xdr:nvCxnSpPr>
        <xdr:cNvPr id="7" name="Straight Arrow Connector 6">
          <a:extLst>
            <a:ext uri="{FF2B5EF4-FFF2-40B4-BE49-F238E27FC236}">
              <a16:creationId xmlns:a16="http://schemas.microsoft.com/office/drawing/2014/main" id="{F3A418AC-8BBA-470C-90B4-6D1182097A4F}"/>
            </a:ext>
          </a:extLst>
        </xdr:cNvPr>
        <xdr:cNvCxnSpPr/>
      </xdr:nvCxnSpPr>
      <xdr:spPr>
        <a:xfrm>
          <a:off x="5105400" y="12268200"/>
          <a:ext cx="3048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289560</xdr:colOff>
      <xdr:row>47</xdr:row>
      <xdr:rowOff>259080</xdr:rowOff>
    </xdr:from>
    <xdr:to>
      <xdr:col>4</xdr:col>
      <xdr:colOff>342900</xdr:colOff>
      <xdr:row>57</xdr:row>
      <xdr:rowOff>266700</xdr:rowOff>
    </xdr:to>
    <xdr:cxnSp macro="">
      <xdr:nvCxnSpPr>
        <xdr:cNvPr id="8" name="Straight Arrow Connector 7">
          <a:extLst>
            <a:ext uri="{FF2B5EF4-FFF2-40B4-BE49-F238E27FC236}">
              <a16:creationId xmlns:a16="http://schemas.microsoft.com/office/drawing/2014/main" id="{5CF38D15-E2EF-42B4-B03F-D8D5A1EE1026}"/>
            </a:ext>
          </a:extLst>
        </xdr:cNvPr>
        <xdr:cNvCxnSpPr/>
      </xdr:nvCxnSpPr>
      <xdr:spPr>
        <a:xfrm flipH="1" flipV="1">
          <a:off x="6637020" y="12298680"/>
          <a:ext cx="53340" cy="3543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51</xdr:row>
      <xdr:rowOff>99060</xdr:rowOff>
    </xdr:from>
    <xdr:to>
      <xdr:col>4</xdr:col>
      <xdr:colOff>411480</xdr:colOff>
      <xdr:row>58</xdr:row>
      <xdr:rowOff>175260</xdr:rowOff>
    </xdr:to>
    <xdr:cxnSp macro="">
      <xdr:nvCxnSpPr>
        <xdr:cNvPr id="9" name="Straight Arrow Connector 8">
          <a:extLst>
            <a:ext uri="{FF2B5EF4-FFF2-40B4-BE49-F238E27FC236}">
              <a16:creationId xmlns:a16="http://schemas.microsoft.com/office/drawing/2014/main" id="{C9C130F1-033A-4914-A7EA-A27ABE28AEEB}"/>
            </a:ext>
          </a:extLst>
        </xdr:cNvPr>
        <xdr:cNvCxnSpPr/>
      </xdr:nvCxnSpPr>
      <xdr:spPr>
        <a:xfrm flipH="1" flipV="1">
          <a:off x="6728460" y="13540740"/>
          <a:ext cx="30480" cy="2560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4244340</xdr:colOff>
      <xdr:row>58</xdr:row>
      <xdr:rowOff>190500</xdr:rowOff>
    </xdr:from>
    <xdr:to>
      <xdr:col>4</xdr:col>
      <xdr:colOff>449580</xdr:colOff>
      <xdr:row>58</xdr:row>
      <xdr:rowOff>190500</xdr:rowOff>
    </xdr:to>
    <xdr:cxnSp macro="">
      <xdr:nvCxnSpPr>
        <xdr:cNvPr id="10" name="Straight Arrow Connector 9">
          <a:extLst>
            <a:ext uri="{FF2B5EF4-FFF2-40B4-BE49-F238E27FC236}">
              <a16:creationId xmlns:a16="http://schemas.microsoft.com/office/drawing/2014/main" id="{7D5C1F99-428B-488D-A10D-8A9BA8B42233}"/>
            </a:ext>
          </a:extLst>
        </xdr:cNvPr>
        <xdr:cNvCxnSpPr/>
      </xdr:nvCxnSpPr>
      <xdr:spPr>
        <a:xfrm>
          <a:off x="4541520" y="16116300"/>
          <a:ext cx="225552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4259580</xdr:colOff>
      <xdr:row>57</xdr:row>
      <xdr:rowOff>213360</xdr:rowOff>
    </xdr:from>
    <xdr:to>
      <xdr:col>4</xdr:col>
      <xdr:colOff>320040</xdr:colOff>
      <xdr:row>57</xdr:row>
      <xdr:rowOff>243840</xdr:rowOff>
    </xdr:to>
    <xdr:cxnSp macro="">
      <xdr:nvCxnSpPr>
        <xdr:cNvPr id="11" name="Straight Arrow Connector 10">
          <a:extLst>
            <a:ext uri="{FF2B5EF4-FFF2-40B4-BE49-F238E27FC236}">
              <a16:creationId xmlns:a16="http://schemas.microsoft.com/office/drawing/2014/main" id="{F2DCB7EF-D416-4251-B3A8-C2F1258E1757}"/>
            </a:ext>
          </a:extLst>
        </xdr:cNvPr>
        <xdr:cNvCxnSpPr/>
      </xdr:nvCxnSpPr>
      <xdr:spPr>
        <a:xfrm>
          <a:off x="4556760" y="15788640"/>
          <a:ext cx="2110740" cy="304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4084320</xdr:colOff>
      <xdr:row>55</xdr:row>
      <xdr:rowOff>205740</xdr:rowOff>
    </xdr:from>
    <xdr:to>
      <xdr:col>2</xdr:col>
      <xdr:colOff>129540</xdr:colOff>
      <xdr:row>55</xdr:row>
      <xdr:rowOff>205740</xdr:rowOff>
    </xdr:to>
    <xdr:cxnSp macro="">
      <xdr:nvCxnSpPr>
        <xdr:cNvPr id="12" name="Straight Arrow Connector 11">
          <a:extLst>
            <a:ext uri="{FF2B5EF4-FFF2-40B4-BE49-F238E27FC236}">
              <a16:creationId xmlns:a16="http://schemas.microsoft.com/office/drawing/2014/main" id="{2885A669-73EF-4D99-A5C5-32C111F14F9C}"/>
            </a:ext>
          </a:extLst>
        </xdr:cNvPr>
        <xdr:cNvCxnSpPr/>
      </xdr:nvCxnSpPr>
      <xdr:spPr>
        <a:xfrm>
          <a:off x="4381500" y="15079980"/>
          <a:ext cx="84582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4091940</xdr:colOff>
      <xdr:row>56</xdr:row>
      <xdr:rowOff>198120</xdr:rowOff>
    </xdr:from>
    <xdr:to>
      <xdr:col>1</xdr:col>
      <xdr:colOff>4754880</xdr:colOff>
      <xdr:row>56</xdr:row>
      <xdr:rowOff>213360</xdr:rowOff>
    </xdr:to>
    <xdr:cxnSp macro="">
      <xdr:nvCxnSpPr>
        <xdr:cNvPr id="13" name="Straight Arrow Connector 12">
          <a:extLst>
            <a:ext uri="{FF2B5EF4-FFF2-40B4-BE49-F238E27FC236}">
              <a16:creationId xmlns:a16="http://schemas.microsoft.com/office/drawing/2014/main" id="{9003376B-E411-4958-96C8-BA36D6105B3A}"/>
            </a:ext>
          </a:extLst>
        </xdr:cNvPr>
        <xdr:cNvCxnSpPr/>
      </xdr:nvCxnSpPr>
      <xdr:spPr>
        <a:xfrm>
          <a:off x="4389120" y="15422880"/>
          <a:ext cx="66294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Owner\Documents\a%20ESTIMATES\X%20ins%20claim%20history\CLE%20Jamal%20BemanAllen%20Fire%20Cle%202017\Ins%20Job%20Tracker%20FORM%20aa%20Beman%20Fire%20Curren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Owner\Documents\a%20ESTIMATES\GA21%20DAYCARE\GA21%20DAYCARE%2090%20CON%20CPS%20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User\My%20Documents\a%20INS%20current%20FILES\1a%20CLV%20mia\Mia%20Jones%20Claim%20%23%200%20224%20298%20777%20clv.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Owner\Documents\a%20Checklists\checklist%201150%20contract%20current%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wsbjo/Downloads/ClientFiles/GA24K%20SCOTT@THOMAS%20RD/GA24K%20SCOTT%20DOCS%20@THOMAS%20RD/GA24K%20SCOTT-01-INF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current"/>
      <sheetName val="input data"/>
      <sheetName val="A.R"/>
      <sheetName val="mtge co "/>
      <sheetName val="letter close"/>
      <sheetName val="Sheet1"/>
      <sheetName val="intake form"/>
      <sheetName val="cst list"/>
      <sheetName val="co name"/>
      <sheetName val="wtr mit char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info (2)"/>
      <sheetName val="brief how2"/>
      <sheetName val="brief narrative"/>
      <sheetName val="rm labels"/>
      <sheetName val="CPS Quick"/>
      <sheetName val="box labels10"/>
      <sheetName val="BOX LABELS 20"/>
      <sheetName val="WRITE LIST"/>
      <sheetName val="supplies"/>
      <sheetName val="Storage"/>
      <sheetName val="CLN.inhouse"/>
      <sheetName val="CLN.2vendor"/>
      <sheetName val="8.rplcmnt"/>
      <sheetName val="loss form"/>
      <sheetName val="TOTALS"/>
      <sheetName val="checklistC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LIST"/>
      <sheetName val="QUOTE"/>
      <sheetName val="DRAWING"/>
      <sheetName val="roof 1.8"/>
      <sheetName val="DRAW INT."/>
      <sheetName val="Sheet1"/>
      <sheetName val="ins info"/>
      <sheetName val="bid mold"/>
      <sheetName val="JOB CHECK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ail cvr"/>
      <sheetName val="cvr ltr"/>
      <sheetName val="cvr(2)"/>
      <sheetName val="sign pgs"/>
      <sheetName val="notary1"/>
      <sheetName val="pay"/>
      <sheetName val="notary2"/>
      <sheetName val="AOB101"/>
      <sheetName val="adj visit"/>
      <sheetName val="claim call"/>
      <sheetName val="job info"/>
      <sheetName val="index"/>
      <sheetName val="pics"/>
      <sheetName val="CPS Quick"/>
      <sheetName val="chcklst"/>
      <sheetName val="how2newfile"/>
      <sheetName val="x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FLOW"/>
      <sheetName val="job info"/>
      <sheetName val="docs"/>
      <sheetName val="quick chklst"/>
      <sheetName val="New Files"/>
      <sheetName val="XACTIMATE"/>
      <sheetName val="XACT ENC MICA"/>
      <sheetName val="MICA"/>
      <sheetName val="jobinfo(2)"/>
      <sheetName val="ho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C1" t="str">
            <v>Stephanie Scott</v>
          </cell>
        </row>
        <row r="2">
          <cell r="C2" t="str">
            <v>1441 Thomas Road,</v>
          </cell>
        </row>
        <row r="3">
          <cell r="C3" t="str">
            <v>Decatur, GA</v>
          </cell>
        </row>
        <row r="4">
          <cell r="C4" t="str">
            <v>stephanie@trisproductions.com</v>
          </cell>
        </row>
        <row r="5">
          <cell r="C5" t="str">
            <v>678) 361-6713</v>
          </cell>
        </row>
        <row r="6">
          <cell r="C6" t="str">
            <v>TBD</v>
          </cell>
        </row>
        <row r="7">
          <cell r="C7" t="str">
            <v>TBD</v>
          </cell>
        </row>
        <row r="8">
          <cell r="C8" t="str">
            <v>TBD</v>
          </cell>
        </row>
        <row r="9">
          <cell r="C9" t="str">
            <v>TBD</v>
          </cell>
        </row>
        <row r="10">
          <cell r="C10" t="str">
            <v>TBD</v>
          </cell>
        </row>
        <row r="11">
          <cell r="C11" t="str">
            <v>WIND HAIL</v>
          </cell>
        </row>
        <row r="12">
          <cell r="C12">
            <v>45300</v>
          </cell>
        </row>
        <row r="13">
          <cell r="C13" t="str">
            <v>ROOF SHINGLES</v>
          </cell>
        </row>
        <row r="14">
          <cell r="C14" t="str">
            <v>interior repairs</v>
          </cell>
        </row>
        <row r="15">
          <cell r="C15" t="str">
            <v>exterior repairs</v>
          </cell>
        </row>
        <row r="16">
          <cell r="C16" t="str">
            <v>Y</v>
          </cell>
        </row>
        <row r="17">
          <cell r="C17" t="str">
            <v>Y</v>
          </cell>
        </row>
        <row r="18">
          <cell r="C18" t="str">
            <v>TBD</v>
          </cell>
        </row>
        <row r="19">
          <cell r="C19" t="str">
            <v>Y</v>
          </cell>
        </row>
        <row r="20">
          <cell r="C20" t="str">
            <v>Y</v>
          </cell>
        </row>
        <row r="21">
          <cell r="C21" t="str">
            <v>TBD</v>
          </cell>
        </row>
        <row r="23">
          <cell r="C23" t="str">
            <v>Y</v>
          </cell>
        </row>
        <row r="24">
          <cell r="C24" t="str">
            <v>Y</v>
          </cell>
        </row>
        <row r="25">
          <cell r="C25" t="str">
            <v>Y</v>
          </cell>
        </row>
        <row r="26">
          <cell r="C26" t="str">
            <v>STATE FARM</v>
          </cell>
        </row>
        <row r="27">
          <cell r="C27" t="str">
            <v>CL 11-</v>
          </cell>
        </row>
        <row r="28">
          <cell r="C28" t="str">
            <v>TBD PL#</v>
          </cell>
        </row>
        <row r="29">
          <cell r="C29" t="str">
            <v>STATEFARMFIRECLAIMS@STATEFARM.COM</v>
          </cell>
        </row>
        <row r="30">
          <cell r="C30" t="str">
            <v>DA</v>
          </cell>
        </row>
        <row r="31">
          <cell r="C31" t="str">
            <v>DA PH</v>
          </cell>
        </row>
        <row r="32">
          <cell r="C32" t="str">
            <v>DA EXT</v>
          </cell>
        </row>
        <row r="33">
          <cell r="C33" t="str">
            <v>TBD</v>
          </cell>
        </row>
        <row r="34">
          <cell r="C34" t="str">
            <v>TBD</v>
          </cell>
        </row>
        <row r="35">
          <cell r="C35" t="str">
            <v>TBD</v>
          </cell>
        </row>
        <row r="36">
          <cell r="C36" t="str">
            <v>TBD</v>
          </cell>
        </row>
        <row r="37">
          <cell r="C37" t="str">
            <v>TBD</v>
          </cell>
        </row>
        <row r="38">
          <cell r="C38" t="str">
            <v>TBD</v>
          </cell>
        </row>
        <row r="39">
          <cell r="C39" t="str">
            <v>TBD</v>
          </cell>
        </row>
        <row r="40">
          <cell r="C40" t="str">
            <v>TBD</v>
          </cell>
        </row>
        <row r="41">
          <cell r="C41" t="str">
            <v>TBD</v>
          </cell>
        </row>
        <row r="42">
          <cell r="C42" t="str">
            <v>TBD</v>
          </cell>
        </row>
        <row r="43">
          <cell r="C43" t="str">
            <v>TBD</v>
          </cell>
        </row>
        <row r="44">
          <cell r="C44" t="str">
            <v>TBD</v>
          </cell>
        </row>
        <row r="45">
          <cell r="C45" t="str">
            <v>TBD</v>
          </cell>
        </row>
        <row r="46">
          <cell r="C46" t="str">
            <v>TBD</v>
          </cell>
        </row>
        <row r="47">
          <cell r="C47" t="str">
            <v>TBD</v>
          </cell>
        </row>
        <row r="48">
          <cell r="C48" t="str">
            <v>TBD</v>
          </cell>
        </row>
        <row r="49">
          <cell r="C49" t="str">
            <v>TBD</v>
          </cell>
        </row>
        <row r="50">
          <cell r="C50" t="str">
            <v>TBD</v>
          </cell>
        </row>
        <row r="53">
          <cell r="C53" t="str">
            <v>FOYER/ENTRY ROOM</v>
          </cell>
        </row>
        <row r="54">
          <cell r="C54" t="str">
            <v>GUEST CLOSET</v>
          </cell>
        </row>
        <row r="55">
          <cell r="C55" t="str">
            <v>Living Room</v>
          </cell>
        </row>
        <row r="56">
          <cell r="C56" t="str">
            <v>TBD</v>
          </cell>
        </row>
        <row r="57">
          <cell r="C57" t="str">
            <v>TBD</v>
          </cell>
        </row>
        <row r="58">
          <cell r="C58" t="str">
            <v>TBD</v>
          </cell>
        </row>
        <row r="59">
          <cell r="C59" t="str">
            <v>TBD</v>
          </cell>
        </row>
        <row r="60">
          <cell r="C60" t="str">
            <v>TBD</v>
          </cell>
        </row>
        <row r="61">
          <cell r="C61" t="str">
            <v>TBD</v>
          </cell>
        </row>
        <row r="62">
          <cell r="C62" t="str">
            <v>TBD</v>
          </cell>
        </row>
        <row r="63">
          <cell r="C63" t="str">
            <v>TBD</v>
          </cell>
        </row>
        <row r="64">
          <cell r="C64" t="str">
            <v>TBD</v>
          </cell>
        </row>
        <row r="65">
          <cell r="C65" t="str">
            <v>TBD</v>
          </cell>
        </row>
        <row r="66">
          <cell r="C66" t="str">
            <v>TBD</v>
          </cell>
        </row>
        <row r="67">
          <cell r="C67" t="str">
            <v>TBD</v>
          </cell>
        </row>
        <row r="68">
          <cell r="C68" t="str">
            <v>TBD</v>
          </cell>
        </row>
        <row r="69">
          <cell r="C69" t="str">
            <v>TBD</v>
          </cell>
        </row>
        <row r="70">
          <cell r="C70" t="str">
            <v>TBD</v>
          </cell>
        </row>
        <row r="71">
          <cell r="C71" t="str">
            <v>TBD</v>
          </cell>
        </row>
        <row r="72">
          <cell r="C72" t="str">
            <v>TBD</v>
          </cell>
        </row>
        <row r="73">
          <cell r="C73" t="str">
            <v>TBD</v>
          </cell>
        </row>
        <row r="74">
          <cell r="C74" t="str">
            <v>TBD</v>
          </cell>
        </row>
        <row r="75">
          <cell r="C75" t="str">
            <v>TBD</v>
          </cell>
        </row>
        <row r="76">
          <cell r="C76" t="str">
            <v>TBD</v>
          </cell>
        </row>
        <row r="77">
          <cell r="C77" t="str">
            <v>TBD</v>
          </cell>
        </row>
        <row r="78">
          <cell r="C78" t="str">
            <v>TBD</v>
          </cell>
        </row>
        <row r="79">
          <cell r="C79" t="str">
            <v>TBD</v>
          </cell>
        </row>
        <row r="80">
          <cell r="C80" t="str">
            <v>TBD</v>
          </cell>
        </row>
        <row r="81">
          <cell r="C81" t="str">
            <v>TBD</v>
          </cell>
        </row>
        <row r="82">
          <cell r="C82" t="str">
            <v>TBD</v>
          </cell>
        </row>
        <row r="83">
          <cell r="C83" t="str">
            <v>TBD</v>
          </cell>
        </row>
        <row r="84">
          <cell r="C84" t="str">
            <v>TBD</v>
          </cell>
        </row>
        <row r="85">
          <cell r="C85" t="str">
            <v>TBD</v>
          </cell>
        </row>
        <row r="86">
          <cell r="C86" t="str">
            <v>TBD</v>
          </cell>
        </row>
        <row r="87">
          <cell r="C87" t="str">
            <v>TBD</v>
          </cell>
        </row>
        <row r="88">
          <cell r="C88" t="str">
            <v>TBD</v>
          </cell>
        </row>
        <row r="89">
          <cell r="C89" t="str">
            <v>TBD</v>
          </cell>
        </row>
        <row r="90">
          <cell r="C90" t="str">
            <v>TBD</v>
          </cell>
        </row>
        <row r="91">
          <cell r="C91" t="str">
            <v>TBD</v>
          </cell>
        </row>
        <row r="92">
          <cell r="C92" t="str">
            <v>TBD</v>
          </cell>
        </row>
        <row r="93">
          <cell r="C93" t="str">
            <v>TBD</v>
          </cell>
        </row>
        <row r="94">
          <cell r="C94" t="str">
            <v>TBD</v>
          </cell>
        </row>
        <row r="95">
          <cell r="C95" t="str">
            <v>TBD</v>
          </cell>
        </row>
        <row r="96">
          <cell r="C96" t="str">
            <v>TBD</v>
          </cell>
        </row>
        <row r="97">
          <cell r="C97" t="str">
            <v>TBD</v>
          </cell>
        </row>
        <row r="98">
          <cell r="C98" t="str">
            <v>TBD</v>
          </cell>
        </row>
        <row r="99">
          <cell r="C99" t="str">
            <v>TBD</v>
          </cell>
        </row>
        <row r="122">
          <cell r="C122"/>
        </row>
        <row r="123">
          <cell r="C123" t="e">
            <v>#N/A</v>
          </cell>
        </row>
        <row r="124">
          <cell r="C124" t="str">
            <v>TBD</v>
          </cell>
        </row>
        <row r="125">
          <cell r="C125" t="str">
            <v>TBD</v>
          </cell>
        </row>
        <row r="126">
          <cell r="C126" t="str">
            <v>TBD</v>
          </cell>
        </row>
        <row r="127">
          <cell r="C127" t="str">
            <v>TBD</v>
          </cell>
        </row>
        <row r="128">
          <cell r="C128" t="str">
            <v>TBD</v>
          </cell>
        </row>
        <row r="129">
          <cell r="C129" t="str">
            <v>TBD</v>
          </cell>
        </row>
        <row r="130">
          <cell r="C130" t="str">
            <v>TBD</v>
          </cell>
        </row>
        <row r="131">
          <cell r="C131" t="str">
            <v>TBD</v>
          </cell>
        </row>
        <row r="132">
          <cell r="C132" t="str">
            <v>TBD</v>
          </cell>
        </row>
        <row r="133">
          <cell r="C133" t="str">
            <v>TBD</v>
          </cell>
        </row>
        <row r="134">
          <cell r="C134" t="str">
            <v>TBD</v>
          </cell>
        </row>
        <row r="135">
          <cell r="C135" t="str">
            <v>TBD</v>
          </cell>
        </row>
        <row r="136">
          <cell r="C136" t="str">
            <v>TBD</v>
          </cell>
        </row>
        <row r="137">
          <cell r="C137" t="str">
            <v>TBD</v>
          </cell>
        </row>
        <row r="138">
          <cell r="C138" t="str">
            <v>TBD</v>
          </cell>
        </row>
        <row r="139">
          <cell r="C139" t="str">
            <v>TBD</v>
          </cell>
        </row>
        <row r="140">
          <cell r="C140" t="str">
            <v>TBD</v>
          </cell>
        </row>
        <row r="141">
          <cell r="C141" t="str">
            <v>TBD</v>
          </cell>
        </row>
        <row r="142">
          <cell r="C142" t="str">
            <v>TBD</v>
          </cell>
        </row>
        <row r="143">
          <cell r="C143" t="str">
            <v>TBD</v>
          </cell>
        </row>
        <row r="144">
          <cell r="C144" t="str">
            <v>TBD</v>
          </cell>
        </row>
        <row r="145">
          <cell r="C145" t="str">
            <v>TBD</v>
          </cell>
        </row>
        <row r="146">
          <cell r="C146" t="str">
            <v>TBD</v>
          </cell>
        </row>
        <row r="147">
          <cell r="C147" t="str">
            <v>TBD</v>
          </cell>
        </row>
        <row r="148">
          <cell r="C148" t="str">
            <v>TBD</v>
          </cell>
        </row>
        <row r="149">
          <cell r="C149" t="str">
            <v>TBD</v>
          </cell>
        </row>
        <row r="150">
          <cell r="C150" t="str">
            <v>TBD</v>
          </cell>
        </row>
        <row r="151">
          <cell r="C151" t="str">
            <v>TBD</v>
          </cell>
        </row>
        <row r="152">
          <cell r="C152" t="str">
            <v>TBD</v>
          </cell>
        </row>
        <row r="153">
          <cell r="C153" t="str">
            <v>TBD</v>
          </cell>
        </row>
        <row r="154">
          <cell r="C154" t="str">
            <v>TBD</v>
          </cell>
        </row>
        <row r="155">
          <cell r="C155" t="str">
            <v>TBD</v>
          </cell>
        </row>
        <row r="156">
          <cell r="C156" t="str">
            <v>TBD</v>
          </cell>
        </row>
      </sheetData>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1FF6AA-593E-4D13-B38B-13C0A8E3B8AF}" name="Table24" displayName="Table24" ref="C8:D27" totalsRowShown="0">
  <autoFilter ref="C8:D27" xr:uid="{10EC4480-E2E1-4E6F-8B42-9694B1F5DD3A}"/>
  <tableColumns count="2">
    <tableColumn id="1" xr3:uid="{6F4F6616-ABFD-4B95-AC10-5F3CE951AA2B}" name="Caulk Failure" dataDxfId="0"/>
    <tableColumn id="2" xr3:uid="{60EB38A3-43E3-42F4-864C-761BDD1E5C63}" name="Column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mailto:ddevonJohnson@gmail.com" TargetMode="External"/><Relationship Id="rId7" Type="http://schemas.openxmlformats.org/officeDocument/2006/relationships/hyperlink" Target="mailto:wsbjoe9@gmail.com" TargetMode="External"/><Relationship Id="rId2" Type="http://schemas.openxmlformats.org/officeDocument/2006/relationships/hyperlink" Target="mailto:wsbjoe9@gmail.com" TargetMode="External"/><Relationship Id="rId1" Type="http://schemas.openxmlformats.org/officeDocument/2006/relationships/hyperlink" Target="mailto:info@myapcllc.com" TargetMode="External"/><Relationship Id="rId6" Type="http://schemas.openxmlformats.org/officeDocument/2006/relationships/hyperlink" Target="http://www.akbuilds.com/" TargetMode="External"/><Relationship Id="rId5" Type="http://schemas.openxmlformats.org/officeDocument/2006/relationships/hyperlink" Target="mailto:OH23T@10912%20Elmwood%20Ave" TargetMode="External"/><Relationship Id="rId4" Type="http://schemas.openxmlformats.org/officeDocument/2006/relationships/hyperlink" Target="mailto:eakoswatta@aol.com"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0672-B282-4151-A6A0-A9A831024F71}">
  <sheetPr codeName="Sheet7">
    <tabColor rgb="FFFFC000"/>
  </sheetPr>
  <dimension ref="A1:E30"/>
  <sheetViews>
    <sheetView view="pageBreakPreview" topLeftCell="A14" zoomScaleNormal="100" zoomScaleSheetLayoutView="100" workbookViewId="0">
      <selection activeCell="D42" sqref="D42"/>
    </sheetView>
  </sheetViews>
  <sheetFormatPr defaultRowHeight="18"/>
  <cols>
    <col min="1" max="1" width="24.88671875" style="48" customWidth="1"/>
    <col min="2" max="2" width="8" style="48" customWidth="1"/>
    <col min="3" max="3" width="37.109375" style="48" customWidth="1"/>
    <col min="4" max="4" width="22.6640625" style="48" customWidth="1"/>
    <col min="5" max="5" width="8.88671875" style="48"/>
  </cols>
  <sheetData>
    <row r="1" spans="1:4">
      <c r="A1" s="69" t="s">
        <v>219</v>
      </c>
      <c r="C1" s="68"/>
      <c r="D1" s="257" t="str">
        <f>+'jobinfo(2)'!C4</f>
        <v>stephanie@trisproductions.com</v>
      </c>
    </row>
    <row r="2" spans="1:4" ht="16.2" customHeight="1">
      <c r="A2" s="585" t="str">
        <f>+'jobinfo(2)'!C1</f>
        <v>BENJAMIN, SANDRA L.</v>
      </c>
      <c r="B2" s="585"/>
      <c r="C2" s="586" t="str">
        <f>+'jobinfo(2)'!C2</f>
        <v>1441 Thomas Road,</v>
      </c>
      <c r="D2" s="579" t="str">
        <f>+'jobinfo(2)'!C3</f>
        <v>Decatur, GA</v>
      </c>
    </row>
    <row r="3" spans="1:4" ht="16.2" customHeight="1">
      <c r="A3" s="61" t="str">
        <f>+'jobinfo(2)'!C5</f>
        <v>678) 361-6713</v>
      </c>
      <c r="B3" s="65"/>
      <c r="C3" s="586"/>
      <c r="D3" s="579"/>
    </row>
    <row r="4" spans="1:4" ht="4.95" customHeight="1">
      <c r="A4" s="63"/>
      <c r="B4" s="62"/>
      <c r="C4" s="61"/>
    </row>
    <row r="5" spans="1:4" ht="22.2" customHeight="1">
      <c r="A5" s="584" t="s">
        <v>220</v>
      </c>
      <c r="B5" s="51" t="s">
        <v>221</v>
      </c>
      <c r="C5" s="60" t="s">
        <v>222</v>
      </c>
      <c r="D5" s="59" t="s">
        <v>223</v>
      </c>
    </row>
    <row r="6" spans="1:4" ht="22.2" customHeight="1">
      <c r="A6" s="584"/>
      <c r="B6" s="51" t="s">
        <v>221</v>
      </c>
      <c r="C6" s="59" t="s">
        <v>224</v>
      </c>
      <c r="D6" s="58"/>
    </row>
    <row r="7" spans="1:4" ht="4.95" customHeight="1">
      <c r="A7" s="583" t="s">
        <v>225</v>
      </c>
      <c r="B7" s="51"/>
    </row>
    <row r="8" spans="1:4" ht="22.2" customHeight="1">
      <c r="A8" s="583"/>
      <c r="B8" s="60" t="s">
        <v>221</v>
      </c>
      <c r="C8" s="57" t="s">
        <v>226</v>
      </c>
      <c r="D8" s="57"/>
    </row>
    <row r="9" spans="1:4" ht="25.95" customHeight="1">
      <c r="A9" s="583"/>
      <c r="B9" s="382" t="s">
        <v>221</v>
      </c>
      <c r="C9" s="59" t="s">
        <v>227</v>
      </c>
      <c r="D9" s="48" t="s">
        <v>228</v>
      </c>
    </row>
    <row r="10" spans="1:4" ht="25.95" customHeight="1">
      <c r="A10" s="583"/>
      <c r="B10" s="60" t="s">
        <v>221</v>
      </c>
      <c r="C10" s="56" t="s">
        <v>229</v>
      </c>
    </row>
    <row r="11" spans="1:4" ht="33" customHeight="1">
      <c r="A11" s="582" t="s">
        <v>230</v>
      </c>
      <c r="B11" s="51" t="s">
        <v>221</v>
      </c>
      <c r="C11" s="52" t="s">
        <v>231</v>
      </c>
      <c r="D11" s="53" t="s">
        <v>232</v>
      </c>
    </row>
    <row r="12" spans="1:4" ht="25.95" customHeight="1">
      <c r="A12" s="582"/>
      <c r="B12" s="51" t="s">
        <v>221</v>
      </c>
      <c r="C12" s="382" t="s">
        <v>233</v>
      </c>
      <c r="D12" s="52"/>
    </row>
    <row r="13" spans="1:4" ht="25.95" customHeight="1">
      <c r="A13" s="582"/>
      <c r="B13" s="51" t="s">
        <v>221</v>
      </c>
      <c r="C13" s="55" t="s">
        <v>234</v>
      </c>
      <c r="D13" s="52"/>
    </row>
    <row r="14" spans="1:4" ht="33" customHeight="1">
      <c r="A14" s="580" t="s">
        <v>235</v>
      </c>
      <c r="B14" s="60" t="s">
        <v>221</v>
      </c>
      <c r="C14" s="51" t="s">
        <v>236</v>
      </c>
      <c r="D14" s="51" t="s">
        <v>237</v>
      </c>
    </row>
    <row r="15" spans="1:4" ht="25.95" customHeight="1">
      <c r="A15" s="580"/>
      <c r="B15" s="51" t="s">
        <v>221</v>
      </c>
      <c r="C15" s="51" t="s">
        <v>238</v>
      </c>
      <c r="D15" s="51"/>
    </row>
    <row r="16" spans="1:4" ht="25.95" customHeight="1">
      <c r="A16" s="580"/>
      <c r="B16" s="51" t="s">
        <v>221</v>
      </c>
      <c r="C16" s="60" t="s">
        <v>239</v>
      </c>
      <c r="D16" s="51"/>
    </row>
    <row r="17" spans="1:4" ht="25.95" customHeight="1">
      <c r="A17" s="580"/>
      <c r="B17" s="60" t="s">
        <v>221</v>
      </c>
      <c r="C17" s="51" t="s">
        <v>240</v>
      </c>
      <c r="D17" s="51"/>
    </row>
    <row r="18" spans="1:4" ht="33" customHeight="1">
      <c r="A18" s="581" t="s">
        <v>241</v>
      </c>
      <c r="B18" s="52" t="s">
        <v>221</v>
      </c>
      <c r="C18" s="53" t="s">
        <v>242</v>
      </c>
      <c r="D18" s="52"/>
    </row>
    <row r="19" spans="1:4" ht="25.95" customHeight="1">
      <c r="A19" s="581"/>
      <c r="B19" s="52" t="s">
        <v>221</v>
      </c>
      <c r="C19" s="258" t="s">
        <v>243</v>
      </c>
      <c r="D19" s="52"/>
    </row>
    <row r="20" spans="1:4" ht="25.95" customHeight="1">
      <c r="A20" s="581"/>
      <c r="B20" s="52" t="s">
        <v>221</v>
      </c>
      <c r="C20" s="53" t="s">
        <v>244</v>
      </c>
      <c r="D20" s="52"/>
    </row>
    <row r="21" spans="1:4" ht="33" customHeight="1">
      <c r="A21" s="580" t="s">
        <v>245</v>
      </c>
      <c r="B21" s="51" t="s">
        <v>221</v>
      </c>
      <c r="C21" s="48" t="s">
        <v>246</v>
      </c>
      <c r="D21" s="48" t="s">
        <v>247</v>
      </c>
    </row>
    <row r="22" spans="1:4" ht="25.95" customHeight="1">
      <c r="A22" s="580"/>
      <c r="B22" s="60" t="s">
        <v>221</v>
      </c>
      <c r="C22" s="48" t="s">
        <v>248</v>
      </c>
      <c r="D22" s="48" t="s">
        <v>249</v>
      </c>
    </row>
    <row r="23" spans="1:4" ht="25.95" customHeight="1">
      <c r="A23" s="580"/>
      <c r="B23" s="51" t="s">
        <v>221</v>
      </c>
      <c r="C23" s="59" t="s">
        <v>250</v>
      </c>
    </row>
    <row r="24" spans="1:4" ht="25.95" customHeight="1">
      <c r="A24" s="580"/>
      <c r="B24" s="60" t="s">
        <v>221</v>
      </c>
      <c r="C24" s="48" t="s">
        <v>251</v>
      </c>
    </row>
    <row r="25" spans="1:4" ht="25.95" customHeight="1">
      <c r="A25" s="580"/>
      <c r="B25" s="51" t="s">
        <v>221</v>
      </c>
      <c r="C25" s="59" t="s">
        <v>252</v>
      </c>
    </row>
    <row r="26" spans="1:4" ht="25.95" customHeight="1">
      <c r="A26" s="580"/>
      <c r="B26" s="60" t="s">
        <v>221</v>
      </c>
      <c r="C26" s="48" t="s">
        <v>253</v>
      </c>
      <c r="D26" s="48" t="s">
        <v>254</v>
      </c>
    </row>
    <row r="27" spans="1:4" ht="25.95" customHeight="1">
      <c r="A27" s="580"/>
      <c r="B27" s="51" t="s">
        <v>221</v>
      </c>
      <c r="C27" s="48" t="s">
        <v>255</v>
      </c>
      <c r="D27" s="48" t="s">
        <v>256</v>
      </c>
    </row>
    <row r="28" spans="1:4" ht="25.95" customHeight="1">
      <c r="A28" s="580"/>
      <c r="B28" s="51" t="s">
        <v>221</v>
      </c>
      <c r="C28" s="59" t="s">
        <v>257</v>
      </c>
      <c r="D28" s="48" t="s">
        <v>258</v>
      </c>
    </row>
    <row r="29" spans="1:4" ht="25.95" customHeight="1">
      <c r="A29" s="580"/>
      <c r="B29" s="383" t="s">
        <v>221</v>
      </c>
      <c r="C29" s="49" t="s">
        <v>259</v>
      </c>
      <c r="D29" s="49" t="s">
        <v>260</v>
      </c>
    </row>
    <row r="30" spans="1:4" ht="27" customHeight="1">
      <c r="A30" s="578" t="s">
        <v>261</v>
      </c>
      <c r="B30" s="578"/>
      <c r="C30" s="578"/>
      <c r="D30" s="578"/>
    </row>
  </sheetData>
  <mergeCells count="10">
    <mergeCell ref="A30:D30"/>
    <mergeCell ref="D2:D3"/>
    <mergeCell ref="A21:A29"/>
    <mergeCell ref="A18:A20"/>
    <mergeCell ref="A11:A13"/>
    <mergeCell ref="A14:A17"/>
    <mergeCell ref="A7:A10"/>
    <mergeCell ref="A5:A6"/>
    <mergeCell ref="A2:B2"/>
    <mergeCell ref="C2:C3"/>
  </mergeCells>
  <pageMargins left="0.56999999999999995" right="0.25" top="0.26" bottom="0.33" header="0.3" footer="0.3"/>
  <pageSetup orientation="portrait" r:id="rId1"/>
  <headerFooter>
    <oddFooter>&amp;LPage # &amp;P Checklist&amp;C&amp;A&amp;R&amp;F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7F40-76FE-4B88-BEBE-984E7BDF2C42}">
  <sheetPr codeName="Sheet9">
    <tabColor rgb="FFFFC000"/>
  </sheetPr>
  <dimension ref="A1:AK56"/>
  <sheetViews>
    <sheetView showGridLines="0" view="pageBreakPreview" topLeftCell="A19" zoomScaleNormal="100" zoomScaleSheetLayoutView="100" workbookViewId="0">
      <selection activeCell="A35" sqref="A35"/>
    </sheetView>
  </sheetViews>
  <sheetFormatPr defaultRowHeight="15.6"/>
  <cols>
    <col min="1" max="1" width="24.88671875" style="1" customWidth="1"/>
    <col min="2" max="2" width="3.6640625" style="1" customWidth="1"/>
    <col min="3" max="3" width="18.6640625" style="1" customWidth="1"/>
    <col min="4" max="4" width="9.6640625" style="1" customWidth="1"/>
    <col min="5" max="5" width="10.6640625" style="1" customWidth="1"/>
    <col min="6" max="6" width="9.6640625" style="1" customWidth="1"/>
    <col min="7" max="7" width="12.6640625" customWidth="1"/>
    <col min="8" max="8" width="7.109375" style="1" customWidth="1"/>
  </cols>
  <sheetData>
    <row r="1" spans="1:37" ht="25.2" customHeight="1">
      <c r="A1" s="70" t="s">
        <v>295</v>
      </c>
      <c r="B1" s="71"/>
      <c r="C1" s="71"/>
      <c r="D1" s="71"/>
      <c r="E1" s="72" t="s">
        <v>296</v>
      </c>
    </row>
    <row r="2" spans="1:37" ht="21" customHeight="1">
      <c r="A2" s="73" t="str">
        <f>+'jobinfo(2)'!C1</f>
        <v>BENJAMIN, SANDRA L.</v>
      </c>
      <c r="B2"/>
      <c r="C2" s="48" t="str">
        <f>+'jobinfo(2)'!C2</f>
        <v>1441 Thomas Road,</v>
      </c>
      <c r="D2"/>
      <c r="E2" s="48" t="str">
        <f>+'jobinfo(2)'!C3</f>
        <v>Decatur, GA</v>
      </c>
      <c r="G2" s="73"/>
    </row>
    <row r="3" spans="1:37" ht="21" customHeight="1">
      <c r="C3" s="1" t="s">
        <v>297</v>
      </c>
      <c r="E3" s="1" t="s">
        <v>298</v>
      </c>
      <c r="G3" s="74" t="s">
        <v>119</v>
      </c>
    </row>
    <row r="4" spans="1:37" ht="22.95" customHeight="1">
      <c r="A4" s="594" t="s">
        <v>299</v>
      </c>
      <c r="B4" s="594"/>
      <c r="C4" s="1" t="s">
        <v>300</v>
      </c>
      <c r="E4" s="75" t="s">
        <v>301</v>
      </c>
      <c r="F4"/>
      <c r="H4" s="76" t="s">
        <v>302</v>
      </c>
    </row>
    <row r="5" spans="1:37" ht="22.95" customHeight="1">
      <c r="A5" s="594"/>
      <c r="B5" s="594"/>
      <c r="C5" s="77" t="s">
        <v>303</v>
      </c>
      <c r="D5" s="78"/>
      <c r="E5"/>
      <c r="F5"/>
      <c r="G5" s="79" t="s">
        <v>304</v>
      </c>
      <c r="H5" s="76" t="s">
        <v>302</v>
      </c>
      <c r="I5" s="80"/>
      <c r="J5" s="80"/>
      <c r="K5" s="81"/>
      <c r="L5" s="78"/>
      <c r="M5" s="81"/>
      <c r="N5" s="78"/>
      <c r="O5" s="78"/>
      <c r="P5" s="78"/>
      <c r="Q5" s="78"/>
      <c r="R5" s="78"/>
      <c r="S5" s="82"/>
      <c r="T5" s="78"/>
      <c r="U5" s="78"/>
      <c r="V5" s="78"/>
      <c r="W5" s="78"/>
      <c r="X5" s="78"/>
      <c r="Y5" s="78"/>
      <c r="Z5" s="78"/>
      <c r="AA5" s="78"/>
      <c r="AB5" s="78"/>
      <c r="AC5" s="78"/>
      <c r="AD5" s="78"/>
      <c r="AE5" s="78"/>
      <c r="AF5" s="78"/>
      <c r="AG5" s="77"/>
      <c r="AH5" s="77"/>
      <c r="AI5" s="77"/>
      <c r="AJ5" s="77"/>
      <c r="AK5" s="77"/>
    </row>
    <row r="6" spans="1:37" ht="22.95" customHeight="1">
      <c r="A6" s="594"/>
      <c r="B6" s="594"/>
      <c r="C6" s="77" t="s">
        <v>305</v>
      </c>
      <c r="D6" s="78"/>
      <c r="E6"/>
      <c r="F6"/>
      <c r="G6" s="79" t="s">
        <v>306</v>
      </c>
      <c r="H6" s="79" t="s">
        <v>307</v>
      </c>
      <c r="I6" s="80"/>
      <c r="J6" s="80"/>
      <c r="K6" s="81"/>
      <c r="L6" s="78"/>
      <c r="M6" s="81"/>
      <c r="N6" s="78"/>
      <c r="O6" s="78"/>
      <c r="P6" s="78"/>
      <c r="Q6" s="78"/>
      <c r="R6" s="78"/>
      <c r="S6" s="82"/>
      <c r="T6" s="78"/>
      <c r="U6" s="78"/>
      <c r="V6" s="78"/>
      <c r="W6" s="78"/>
      <c r="X6" s="78"/>
      <c r="Y6" s="78"/>
      <c r="Z6" s="78"/>
      <c r="AA6" s="78"/>
      <c r="AB6" s="78"/>
      <c r="AC6" s="78"/>
      <c r="AD6" s="78"/>
      <c r="AE6" s="78"/>
      <c r="AF6" s="78"/>
      <c r="AG6" s="77"/>
      <c r="AH6" s="77"/>
      <c r="AI6" s="77"/>
      <c r="AJ6" s="77"/>
      <c r="AK6" s="77"/>
    </row>
    <row r="7" spans="1:37" ht="22.95" customHeight="1">
      <c r="A7" s="594"/>
      <c r="B7" s="594"/>
      <c r="C7" s="77" t="s">
        <v>308</v>
      </c>
      <c r="D7" s="78"/>
      <c r="E7"/>
      <c r="F7"/>
      <c r="G7" s="79" t="s">
        <v>306</v>
      </c>
      <c r="H7" s="79" t="s">
        <v>307</v>
      </c>
      <c r="I7" s="80"/>
      <c r="J7" s="80"/>
      <c r="K7" s="81"/>
      <c r="L7" s="78"/>
      <c r="M7" s="81"/>
      <c r="N7" s="78"/>
      <c r="O7" s="78"/>
      <c r="P7" s="78"/>
      <c r="Q7" s="78"/>
      <c r="R7" s="78"/>
      <c r="S7" s="82"/>
      <c r="T7" s="78"/>
      <c r="U7" s="78"/>
      <c r="V7" s="78"/>
      <c r="W7" s="78"/>
      <c r="X7" s="78"/>
      <c r="Y7" s="78"/>
      <c r="Z7" s="78"/>
      <c r="AA7" s="78"/>
      <c r="AB7" s="78"/>
      <c r="AC7" s="78"/>
      <c r="AD7" s="78"/>
      <c r="AE7" s="78"/>
      <c r="AF7" s="78"/>
      <c r="AG7" s="77"/>
      <c r="AH7" s="77"/>
      <c r="AI7" s="77"/>
      <c r="AJ7" s="77"/>
      <c r="AK7" s="77"/>
    </row>
    <row r="8" spans="1:37" ht="22.95" customHeight="1">
      <c r="A8" s="594"/>
      <c r="B8" s="594"/>
      <c r="C8" s="83" t="s">
        <v>309</v>
      </c>
      <c r="D8" s="84"/>
      <c r="E8"/>
      <c r="F8"/>
      <c r="G8" s="79" t="s">
        <v>306</v>
      </c>
      <c r="H8" s="79" t="s">
        <v>307</v>
      </c>
      <c r="I8" s="80"/>
      <c r="J8" s="80"/>
      <c r="K8" s="81"/>
      <c r="L8" s="78"/>
      <c r="M8" s="81"/>
      <c r="N8" s="78"/>
      <c r="O8" s="78"/>
      <c r="P8" s="78"/>
      <c r="Q8" s="78"/>
      <c r="R8" s="78"/>
      <c r="S8" s="82"/>
      <c r="T8" s="78"/>
      <c r="U8" s="78"/>
      <c r="V8" s="78"/>
      <c r="W8" s="78"/>
      <c r="X8" s="78"/>
      <c r="Y8" s="78"/>
      <c r="Z8" s="78"/>
      <c r="AA8" s="78"/>
      <c r="AB8" s="78"/>
      <c r="AC8" s="78"/>
      <c r="AD8" s="78"/>
      <c r="AE8" s="78"/>
      <c r="AF8" s="78"/>
      <c r="AG8" s="77"/>
      <c r="AH8" s="77"/>
      <c r="AI8" s="77"/>
      <c r="AJ8" s="77"/>
      <c r="AK8" s="77"/>
    </row>
    <row r="9" spans="1:37" ht="22.95" customHeight="1">
      <c r="A9" s="594"/>
      <c r="B9" s="594"/>
      <c r="C9" s="83" t="s">
        <v>310</v>
      </c>
      <c r="D9" s="84"/>
      <c r="E9" s="83" t="s">
        <v>311</v>
      </c>
      <c r="F9"/>
      <c r="G9" s="76" t="s">
        <v>306</v>
      </c>
      <c r="H9" s="85" t="s">
        <v>307</v>
      </c>
      <c r="I9" s="80"/>
      <c r="J9" s="80"/>
      <c r="K9" s="81"/>
      <c r="L9" s="78"/>
      <c r="M9" s="81"/>
      <c r="N9" s="78"/>
      <c r="O9" s="78"/>
      <c r="P9" s="78"/>
      <c r="Q9" s="78"/>
      <c r="R9" s="78"/>
      <c r="S9" s="82"/>
      <c r="T9" s="78"/>
      <c r="U9" s="78"/>
      <c r="V9" s="78"/>
      <c r="W9" s="78"/>
      <c r="X9" s="78"/>
      <c r="Y9" s="78"/>
      <c r="Z9" s="78"/>
      <c r="AA9" s="78"/>
      <c r="AB9" s="78"/>
      <c r="AC9" s="78"/>
      <c r="AD9" s="78"/>
      <c r="AE9" s="78"/>
      <c r="AF9" s="78"/>
      <c r="AG9" s="77"/>
      <c r="AH9" s="77"/>
      <c r="AI9" s="77"/>
      <c r="AJ9" s="77"/>
      <c r="AK9" s="77"/>
    </row>
    <row r="10" spans="1:37" ht="22.95" customHeight="1">
      <c r="A10" s="595" t="s">
        <v>312</v>
      </c>
      <c r="B10" s="595"/>
      <c r="C10" s="77" t="s">
        <v>313</v>
      </c>
      <c r="D10" s="78"/>
      <c r="E10"/>
      <c r="F10"/>
      <c r="G10" s="79" t="s">
        <v>314</v>
      </c>
      <c r="H10" s="79" t="s">
        <v>315</v>
      </c>
      <c r="I10" s="80"/>
      <c r="J10" s="80"/>
      <c r="K10" s="81"/>
      <c r="L10" s="78"/>
      <c r="M10" s="81"/>
      <c r="N10" s="78"/>
      <c r="O10" s="78"/>
      <c r="P10" s="78"/>
      <c r="Q10" s="78"/>
      <c r="R10" s="78"/>
      <c r="S10" s="82"/>
      <c r="T10" s="78"/>
      <c r="U10" s="78"/>
      <c r="V10" s="78"/>
      <c r="W10" s="78"/>
      <c r="X10" s="78"/>
      <c r="Y10" s="78"/>
      <c r="Z10" s="78"/>
      <c r="AA10" s="78"/>
      <c r="AB10" s="78"/>
      <c r="AC10" s="78"/>
      <c r="AD10" s="78"/>
      <c r="AE10" s="78"/>
      <c r="AF10" s="78"/>
      <c r="AG10" s="77"/>
      <c r="AH10" s="77"/>
      <c r="AI10" s="77"/>
      <c r="AJ10" s="77"/>
      <c r="AK10" s="77"/>
    </row>
    <row r="11" spans="1:37" ht="22.95" customHeight="1">
      <c r="A11" s="595"/>
      <c r="B11" s="595"/>
      <c r="C11" s="77" t="s">
        <v>316</v>
      </c>
      <c r="D11" s="78"/>
      <c r="E11"/>
      <c r="F11" t="s">
        <v>317</v>
      </c>
      <c r="G11" s="79" t="s">
        <v>318</v>
      </c>
      <c r="H11" s="76" t="s">
        <v>319</v>
      </c>
      <c r="I11" s="80"/>
      <c r="J11" s="80"/>
      <c r="K11" s="86"/>
      <c r="L11" s="86"/>
      <c r="M11" s="86"/>
      <c r="N11" s="86"/>
      <c r="O11" s="86"/>
      <c r="P11" s="86"/>
      <c r="Q11" s="86"/>
      <c r="R11" s="86"/>
      <c r="S11" s="87"/>
      <c r="T11" s="78"/>
      <c r="U11" s="78"/>
      <c r="V11" s="78"/>
      <c r="W11" s="78"/>
      <c r="X11" s="78"/>
      <c r="Y11" s="78"/>
      <c r="Z11" s="78"/>
      <c r="AA11" s="78"/>
      <c r="AB11" s="78"/>
      <c r="AC11" s="78"/>
      <c r="AD11" s="78"/>
      <c r="AE11" s="78"/>
      <c r="AF11" s="78"/>
      <c r="AG11" s="77"/>
      <c r="AH11" s="77"/>
      <c r="AI11" s="77"/>
      <c r="AJ11" s="77"/>
      <c r="AK11" s="77"/>
    </row>
    <row r="12" spans="1:37" ht="22.95" customHeight="1">
      <c r="A12" s="595"/>
      <c r="B12" s="595"/>
      <c r="C12" s="77" t="s">
        <v>320</v>
      </c>
      <c r="D12" s="78"/>
      <c r="E12"/>
      <c r="F12"/>
      <c r="G12" s="79" t="s">
        <v>318</v>
      </c>
      <c r="H12" s="76" t="s">
        <v>319</v>
      </c>
      <c r="I12" s="80"/>
      <c r="J12" s="80"/>
      <c r="K12" s="81"/>
      <c r="L12" s="78"/>
      <c r="M12" s="81"/>
      <c r="N12" s="78"/>
      <c r="O12" s="78"/>
      <c r="P12" s="78"/>
      <c r="Q12" s="78"/>
      <c r="R12" s="78"/>
      <c r="S12" s="82"/>
      <c r="T12" s="78"/>
      <c r="U12" s="78"/>
      <c r="V12" s="78"/>
      <c r="W12" s="78"/>
      <c r="X12" s="78"/>
      <c r="Y12" s="78"/>
      <c r="Z12" s="78"/>
      <c r="AA12" s="78"/>
      <c r="AB12" s="78"/>
      <c r="AC12" s="78"/>
      <c r="AD12" s="78"/>
      <c r="AE12" s="78"/>
      <c r="AF12" s="78"/>
      <c r="AG12" s="77"/>
      <c r="AH12" s="77"/>
      <c r="AI12" s="77"/>
      <c r="AJ12" s="77"/>
      <c r="AK12" s="77"/>
    </row>
    <row r="13" spans="1:37" ht="22.95" customHeight="1">
      <c r="A13" s="595"/>
      <c r="B13" s="595"/>
      <c r="C13" s="83" t="s">
        <v>321</v>
      </c>
      <c r="D13" s="84"/>
      <c r="E13"/>
      <c r="F13" t="s">
        <v>317</v>
      </c>
      <c r="G13" s="79" t="s">
        <v>322</v>
      </c>
      <c r="H13" s="76" t="s">
        <v>323</v>
      </c>
      <c r="I13" s="80"/>
      <c r="J13" s="80"/>
      <c r="K13" s="81"/>
      <c r="L13" s="78"/>
      <c r="M13" s="81"/>
      <c r="N13" s="78"/>
      <c r="O13" s="78"/>
      <c r="P13" s="78"/>
      <c r="Q13" s="78"/>
      <c r="R13" s="78"/>
      <c r="S13" s="82"/>
      <c r="T13" s="78"/>
      <c r="U13" s="78"/>
      <c r="V13" s="78"/>
      <c r="W13" s="78"/>
      <c r="X13" s="78"/>
      <c r="Y13" s="78"/>
      <c r="Z13" s="78"/>
      <c r="AA13" s="78"/>
      <c r="AB13" s="78"/>
      <c r="AC13" s="78"/>
      <c r="AD13" s="78"/>
      <c r="AE13" s="78"/>
      <c r="AF13" s="78"/>
      <c r="AG13" s="77"/>
      <c r="AH13" s="77"/>
      <c r="AI13" s="77"/>
      <c r="AJ13" s="77"/>
      <c r="AK13" s="77"/>
    </row>
    <row r="14" spans="1:37" ht="22.95" customHeight="1">
      <c r="A14" s="595"/>
      <c r="B14" s="595"/>
      <c r="C14" s="83" t="s">
        <v>324</v>
      </c>
      <c r="D14" s="84"/>
      <c r="E14" t="s">
        <v>112</v>
      </c>
      <c r="F14"/>
      <c r="G14" s="79" t="s">
        <v>314</v>
      </c>
      <c r="H14" s="79" t="s">
        <v>315</v>
      </c>
    </row>
    <row r="15" spans="1:37" ht="22.95" customHeight="1">
      <c r="A15" s="595"/>
      <c r="B15" s="595"/>
      <c r="C15" s="83" t="s">
        <v>325</v>
      </c>
      <c r="D15" s="84"/>
      <c r="E15"/>
      <c r="F15"/>
      <c r="G15" s="79" t="s">
        <v>314</v>
      </c>
      <c r="H15" s="79" t="s">
        <v>315</v>
      </c>
    </row>
    <row r="16" spans="1:37" ht="22.95" customHeight="1">
      <c r="A16" s="595"/>
      <c r="B16" s="595"/>
      <c r="C16" s="83" t="s">
        <v>326</v>
      </c>
      <c r="D16" s="84"/>
      <c r="E16" t="s">
        <v>112</v>
      </c>
      <c r="F16"/>
      <c r="G16" s="79" t="s">
        <v>314</v>
      </c>
      <c r="H16" s="79" t="s">
        <v>315</v>
      </c>
    </row>
    <row r="17" spans="1:8" ht="22.95" customHeight="1">
      <c r="A17" s="595"/>
      <c r="B17" s="595"/>
      <c r="C17" s="83" t="s">
        <v>327</v>
      </c>
      <c r="D17" s="84"/>
      <c r="E17" t="s">
        <v>112</v>
      </c>
      <c r="F17"/>
      <c r="G17" s="79" t="s">
        <v>314</v>
      </c>
      <c r="H17" s="79" t="s">
        <v>315</v>
      </c>
    </row>
    <row r="18" spans="1:8" ht="22.95" customHeight="1">
      <c r="A18" s="595"/>
      <c r="B18" s="595"/>
      <c r="C18" s="83" t="s">
        <v>328</v>
      </c>
      <c r="D18" s="84"/>
      <c r="E18"/>
      <c r="F18" t="s">
        <v>317</v>
      </c>
      <c r="G18" s="79" t="s">
        <v>314</v>
      </c>
      <c r="H18" s="79" t="s">
        <v>315</v>
      </c>
    </row>
    <row r="19" spans="1:8" ht="22.95" customHeight="1">
      <c r="A19" s="596" t="s">
        <v>329</v>
      </c>
      <c r="B19" s="596"/>
      <c r="C19" s="83" t="s">
        <v>330</v>
      </c>
      <c r="D19" s="84"/>
      <c r="E19"/>
      <c r="F19"/>
      <c r="G19" s="79" t="s">
        <v>314</v>
      </c>
      <c r="H19" s="79" t="s">
        <v>315</v>
      </c>
    </row>
    <row r="20" spans="1:8" ht="22.95" customHeight="1">
      <c r="A20" s="596"/>
      <c r="B20" s="596"/>
      <c r="C20" s="83" t="s">
        <v>331</v>
      </c>
      <c r="D20" s="84"/>
      <c r="E20"/>
      <c r="F20"/>
      <c r="G20" s="79" t="s">
        <v>314</v>
      </c>
      <c r="H20" s="79" t="s">
        <v>315</v>
      </c>
    </row>
    <row r="21" spans="1:8" ht="22.95" customHeight="1">
      <c r="A21" s="596"/>
      <c r="B21" s="596"/>
      <c r="C21" s="83" t="s">
        <v>332</v>
      </c>
      <c r="D21" s="84"/>
      <c r="E21"/>
      <c r="F21" s="88" t="s">
        <v>317</v>
      </c>
      <c r="G21" s="79" t="s">
        <v>322</v>
      </c>
      <c r="H21" s="76" t="s">
        <v>323</v>
      </c>
    </row>
    <row r="22" spans="1:8" ht="22.95" customHeight="1">
      <c r="A22" s="596"/>
      <c r="B22" s="596"/>
      <c r="C22" s="83" t="s">
        <v>333</v>
      </c>
      <c r="D22" s="84"/>
      <c r="E22"/>
      <c r="F22" s="88" t="s">
        <v>317</v>
      </c>
      <c r="G22" s="79" t="s">
        <v>318</v>
      </c>
      <c r="H22" s="76" t="s">
        <v>319</v>
      </c>
    </row>
    <row r="23" spans="1:8" ht="22.95" customHeight="1">
      <c r="A23" s="596"/>
      <c r="B23" s="596"/>
      <c r="C23" s="83" t="s">
        <v>334</v>
      </c>
      <c r="D23" s="84"/>
      <c r="E23"/>
      <c r="F23" s="88" t="s">
        <v>317</v>
      </c>
      <c r="G23" s="79" t="s">
        <v>322</v>
      </c>
      <c r="H23" s="76" t="s">
        <v>323</v>
      </c>
    </row>
    <row r="24" spans="1:8" ht="22.95" customHeight="1">
      <c r="A24" s="597" t="s">
        <v>335</v>
      </c>
      <c r="B24" s="89"/>
      <c r="C24" s="83" t="s">
        <v>336</v>
      </c>
      <c r="D24" s="84"/>
      <c r="E24" s="84"/>
      <c r="F24" s="90" t="s">
        <v>337</v>
      </c>
      <c r="G24" s="79" t="s">
        <v>314</v>
      </c>
      <c r="H24" s="79" t="s">
        <v>315</v>
      </c>
    </row>
    <row r="25" spans="1:8" ht="22.95" customHeight="1">
      <c r="A25" s="597"/>
      <c r="B25" s="89"/>
      <c r="C25" s="83" t="s">
        <v>338</v>
      </c>
      <c r="D25" s="84"/>
      <c r="E25" s="84"/>
      <c r="F25" s="88" t="s">
        <v>317</v>
      </c>
      <c r="G25" s="79" t="s">
        <v>314</v>
      </c>
      <c r="H25" s="79" t="s">
        <v>315</v>
      </c>
    </row>
    <row r="26" spans="1:8" ht="22.95" customHeight="1">
      <c r="A26" s="597"/>
      <c r="B26" s="89"/>
      <c r="C26" s="83" t="s">
        <v>339</v>
      </c>
      <c r="D26" s="84"/>
      <c r="E26" s="84"/>
      <c r="F26" s="84" t="s">
        <v>337</v>
      </c>
      <c r="G26" s="79" t="s">
        <v>314</v>
      </c>
      <c r="H26" s="79" t="s">
        <v>315</v>
      </c>
    </row>
    <row r="27" spans="1:8" ht="22.95" customHeight="1">
      <c r="A27" s="597"/>
      <c r="B27" s="89"/>
      <c r="C27" s="83" t="s">
        <v>340</v>
      </c>
      <c r="D27" s="84"/>
      <c r="E27" t="s">
        <v>341</v>
      </c>
      <c r="F27" s="88" t="s">
        <v>317</v>
      </c>
      <c r="G27" s="79" t="s">
        <v>314</v>
      </c>
      <c r="H27" s="79" t="s">
        <v>315</v>
      </c>
    </row>
    <row r="28" spans="1:8" ht="22.95" customHeight="1">
      <c r="A28" s="598" t="s">
        <v>342</v>
      </c>
      <c r="B28" s="89"/>
      <c r="C28" s="91" t="s">
        <v>343</v>
      </c>
      <c r="D28" s="84"/>
      <c r="E28" s="84" t="s">
        <v>344</v>
      </c>
      <c r="F28" s="88" t="s">
        <v>317</v>
      </c>
      <c r="G28" s="79" t="s">
        <v>322</v>
      </c>
      <c r="H28" s="76" t="s">
        <v>323</v>
      </c>
    </row>
    <row r="29" spans="1:8" ht="22.95" customHeight="1">
      <c r="A29" s="599"/>
      <c r="B29" s="89"/>
      <c r="C29" s="83" t="s">
        <v>345</v>
      </c>
      <c r="D29" s="84"/>
      <c r="E29" s="84"/>
      <c r="F29" s="88" t="s">
        <v>317</v>
      </c>
      <c r="G29" s="79" t="s">
        <v>314</v>
      </c>
      <c r="H29" s="79" t="s">
        <v>315</v>
      </c>
    </row>
    <row r="30" spans="1:8" ht="22.95" customHeight="1">
      <c r="A30" s="599"/>
      <c r="B30" s="89"/>
      <c r="C30" s="445" t="s">
        <v>346</v>
      </c>
      <c r="D30" s="84"/>
      <c r="E30" s="84"/>
      <c r="F30" s="88" t="s">
        <v>317</v>
      </c>
      <c r="G30" s="79" t="s">
        <v>314</v>
      </c>
      <c r="H30" s="79" t="s">
        <v>315</v>
      </c>
    </row>
    <row r="31" spans="1:8" ht="22.95" customHeight="1">
      <c r="A31" s="599"/>
      <c r="B31" s="89"/>
      <c r="C31" s="83" t="s">
        <v>347</v>
      </c>
      <c r="D31" s="84"/>
      <c r="E31" s="84"/>
      <c r="F31" s="88" t="s">
        <v>317</v>
      </c>
      <c r="G31" s="79" t="s">
        <v>348</v>
      </c>
      <c r="H31" s="79" t="s">
        <v>349</v>
      </c>
    </row>
    <row r="32" spans="1:8" ht="28.95" customHeight="1">
      <c r="A32" s="593" t="s">
        <v>350</v>
      </c>
      <c r="B32" s="593"/>
      <c r="C32" s="593"/>
      <c r="D32" s="593"/>
      <c r="E32" s="593"/>
      <c r="F32" s="593"/>
      <c r="G32" s="593"/>
      <c r="H32" s="593"/>
    </row>
    <row r="33" ht="33" customHeight="1"/>
    <row r="36" ht="24" customHeight="1"/>
    <row r="37" ht="24" customHeight="1"/>
    <row r="38" ht="24" customHeight="1"/>
    <row r="39" ht="24" customHeight="1"/>
    <row r="40" ht="24" customHeight="1"/>
    <row r="41" ht="24" customHeight="1"/>
    <row r="42" ht="24" customHeight="1"/>
    <row r="43" ht="24" customHeight="1"/>
    <row r="44" ht="24" customHeight="1"/>
    <row r="45" ht="24" customHeight="1"/>
    <row r="46" ht="24" customHeight="1"/>
    <row r="47" ht="24" customHeight="1"/>
    <row r="48" ht="24" customHeight="1"/>
    <row r="49" ht="24" customHeight="1"/>
    <row r="50" ht="24" customHeight="1"/>
    <row r="51" ht="24" customHeight="1"/>
    <row r="52" ht="24" customHeight="1"/>
    <row r="53" ht="24" customHeight="1"/>
    <row r="54" ht="24" customHeight="1"/>
    <row r="55" ht="24" customHeight="1"/>
    <row r="56" ht="24" customHeight="1"/>
  </sheetData>
  <mergeCells count="6">
    <mergeCell ref="A32:H32"/>
    <mergeCell ref="A4:B9"/>
    <mergeCell ref="A10:B18"/>
    <mergeCell ref="A19:B23"/>
    <mergeCell ref="A24:A27"/>
    <mergeCell ref="A28:A31"/>
  </mergeCells>
  <pageMargins left="0.25" right="0.25" top="0.26" bottom="0.33" header="0.3" footer="0.3"/>
  <pageSetup orientation="portrait" r:id="rId1"/>
  <headerFooter>
    <oddFooter>&amp;LPage # &amp;P Checklist&amp;C&amp;A&amp;R&amp;F</oddFooter>
  </headerFooter>
  <rowBreaks count="1" manualBreakCount="1">
    <brk id="32" max="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1528-45DE-4962-9A12-90BF868618A6}">
  <sheetPr codeName="Sheet8">
    <tabColor rgb="FFFFC000"/>
  </sheetPr>
  <dimension ref="A1:H27"/>
  <sheetViews>
    <sheetView showGridLines="0" topLeftCell="A21" zoomScaleNormal="100" zoomScaleSheetLayoutView="100" workbookViewId="0">
      <selection activeCell="D31" sqref="D31"/>
    </sheetView>
  </sheetViews>
  <sheetFormatPr defaultRowHeight="15.6"/>
  <cols>
    <col min="1" max="1" width="22" style="1" customWidth="1"/>
    <col min="2" max="2" width="3.5546875" style="393" customWidth="1"/>
    <col min="3" max="3" width="4.88671875" style="1" customWidth="1"/>
    <col min="4" max="4" width="59.88671875" style="1" customWidth="1"/>
    <col min="5" max="5" width="9" style="1" customWidth="1"/>
  </cols>
  <sheetData>
    <row r="1" spans="1:6" ht="21">
      <c r="A1" s="282" t="s">
        <v>262</v>
      </c>
      <c r="B1" s="384"/>
      <c r="C1" s="283"/>
      <c r="D1" s="283"/>
    </row>
    <row r="2" spans="1:6" ht="22.2" customHeight="1">
      <c r="A2" s="588" t="s">
        <v>263</v>
      </c>
      <c r="B2" s="385"/>
      <c r="C2" s="518" t="s">
        <v>264</v>
      </c>
      <c r="D2" s="284"/>
      <c r="E2" s="286"/>
    </row>
    <row r="3" spans="1:6" ht="22.2" customHeight="1">
      <c r="A3" s="588"/>
      <c r="B3" s="385"/>
      <c r="C3" s="519" t="s">
        <v>265</v>
      </c>
      <c r="D3"/>
      <c r="E3" s="88"/>
    </row>
    <row r="4" spans="1:6" ht="22.2" customHeight="1">
      <c r="A4" s="590" t="s">
        <v>266</v>
      </c>
      <c r="B4" s="385"/>
      <c r="C4" s="287" t="s">
        <v>267</v>
      </c>
      <c r="D4" s="285"/>
      <c r="E4" s="288"/>
    </row>
    <row r="5" spans="1:6" ht="33" customHeight="1">
      <c r="A5" s="590"/>
      <c r="B5" s="385"/>
      <c r="C5" s="394" t="s">
        <v>268</v>
      </c>
      <c r="D5" s="394"/>
      <c r="E5" s="288"/>
      <c r="F5" s="289"/>
    </row>
    <row r="6" spans="1:6" ht="22.2" customHeight="1">
      <c r="A6" s="290" t="s">
        <v>269</v>
      </c>
      <c r="B6" s="386"/>
      <c r="C6" s="291" t="s">
        <v>270</v>
      </c>
      <c r="D6"/>
      <c r="E6" s="292" t="s">
        <v>271</v>
      </c>
      <c r="F6" s="289"/>
    </row>
    <row r="7" spans="1:6" ht="43.95" customHeight="1">
      <c r="A7" s="293" t="s">
        <v>272</v>
      </c>
      <c r="B7" s="387"/>
      <c r="C7" s="294" t="s">
        <v>273</v>
      </c>
      <c r="E7" s="1" t="s">
        <v>274</v>
      </c>
      <c r="F7" s="289"/>
    </row>
    <row r="8" spans="1:6" ht="33" customHeight="1">
      <c r="A8" s="295" t="s">
        <v>275</v>
      </c>
      <c r="B8" s="388"/>
      <c r="C8" s="296" t="s">
        <v>276</v>
      </c>
      <c r="D8" s="284"/>
      <c r="E8" s="297" t="s">
        <v>274</v>
      </c>
    </row>
    <row r="9" spans="1:6" ht="28.2" customHeight="1">
      <c r="A9" s="298" t="s">
        <v>277</v>
      </c>
      <c r="B9" s="389"/>
      <c r="C9" s="299" t="s">
        <v>278</v>
      </c>
      <c r="D9" s="299"/>
    </row>
    <row r="10" spans="1:6" ht="22.2" customHeight="1">
      <c r="A10" s="591" t="s">
        <v>279</v>
      </c>
      <c r="B10" s="387"/>
      <c r="C10" s="296" t="s">
        <v>280</v>
      </c>
      <c r="D10" s="284"/>
      <c r="E10" s="297" t="s">
        <v>274</v>
      </c>
    </row>
    <row r="11" spans="1:6" ht="33" customHeight="1">
      <c r="A11" s="591"/>
      <c r="B11" s="390"/>
      <c r="C11" s="300"/>
      <c r="D11" s="300"/>
    </row>
    <row r="12" spans="1:6" ht="33" customHeight="1">
      <c r="A12" s="301"/>
      <c r="B12" s="390"/>
      <c r="C12" s="300"/>
      <c r="D12" s="300"/>
    </row>
    <row r="13" spans="1:6" ht="33" customHeight="1">
      <c r="A13" s="301"/>
      <c r="B13" s="390"/>
      <c r="C13" s="300"/>
      <c r="D13" s="300"/>
    </row>
    <row r="14" spans="1:6" ht="22.2" customHeight="1">
      <c r="A14" s="302" t="s">
        <v>281</v>
      </c>
      <c r="B14" s="391"/>
      <c r="C14" s="302"/>
      <c r="D14" s="302"/>
      <c r="E14" s="302"/>
    </row>
    <row r="15" spans="1:6" ht="28.2" customHeight="1">
      <c r="A15" s="592" t="s">
        <v>282</v>
      </c>
      <c r="B15" s="392"/>
      <c r="C15" s="303" t="s">
        <v>221</v>
      </c>
      <c r="D15" s="304" t="s">
        <v>283</v>
      </c>
      <c r="E15" s="1" t="s">
        <v>274</v>
      </c>
    </row>
    <row r="16" spans="1:6" ht="28.2" customHeight="1">
      <c r="A16" s="592"/>
      <c r="B16" s="392"/>
      <c r="C16" s="305" t="s">
        <v>221</v>
      </c>
      <c r="D16" s="48" t="s">
        <v>284</v>
      </c>
      <c r="E16" s="297" t="s">
        <v>274</v>
      </c>
    </row>
    <row r="17" spans="1:8" ht="28.2" customHeight="1">
      <c r="A17" s="592"/>
      <c r="B17" s="392"/>
      <c r="C17" s="303" t="s">
        <v>221</v>
      </c>
      <c r="D17" s="306" t="s">
        <v>285</v>
      </c>
      <c r="E17" s="1" t="s">
        <v>274</v>
      </c>
    </row>
    <row r="18" spans="1:8" ht="18" customHeight="1">
      <c r="A18" s="592"/>
      <c r="B18" s="392"/>
      <c r="C18" s="305" t="s">
        <v>221</v>
      </c>
      <c r="D18" s="307" t="s">
        <v>286</v>
      </c>
      <c r="E18" s="1" t="s">
        <v>274</v>
      </c>
    </row>
    <row r="19" spans="1:8" ht="28.2" customHeight="1">
      <c r="A19" s="592"/>
      <c r="B19" s="392"/>
      <c r="C19" s="308" t="s">
        <v>221</v>
      </c>
      <c r="D19" s="309" t="s">
        <v>287</v>
      </c>
      <c r="E19" s="297" t="s">
        <v>274</v>
      </c>
      <c r="G19" s="587" t="s">
        <v>288</v>
      </c>
      <c r="H19" s="587"/>
    </row>
    <row r="20" spans="1:8" ht="28.2" customHeight="1">
      <c r="A20" s="592"/>
      <c r="B20" s="392"/>
      <c r="C20" s="310" t="s">
        <v>289</v>
      </c>
      <c r="E20" s="1" t="s">
        <v>274</v>
      </c>
      <c r="G20" s="587"/>
      <c r="H20" s="587"/>
    </row>
    <row r="21" spans="1:8" ht="28.2" customHeight="1">
      <c r="A21" s="592"/>
      <c r="B21" s="392"/>
      <c r="C21" s="51" t="s">
        <v>221</v>
      </c>
      <c r="D21" s="52" t="s">
        <v>233</v>
      </c>
      <c r="E21" s="297" t="s">
        <v>274</v>
      </c>
    </row>
    <row r="22" spans="1:8" ht="28.2" customHeight="1">
      <c r="A22" s="592"/>
      <c r="B22" s="392"/>
      <c r="C22" s="303" t="s">
        <v>221</v>
      </c>
      <c r="D22" s="252" t="s">
        <v>255</v>
      </c>
      <c r="E22" s="1" t="s">
        <v>274</v>
      </c>
    </row>
    <row r="23" spans="1:8" ht="28.2" customHeight="1">
      <c r="A23" s="592"/>
      <c r="B23" s="392"/>
      <c r="C23" s="51" t="s">
        <v>221</v>
      </c>
      <c r="D23" s="48" t="s">
        <v>290</v>
      </c>
      <c r="E23" s="1" t="s">
        <v>274</v>
      </c>
    </row>
    <row r="24" spans="1:8" ht="28.2" customHeight="1">
      <c r="A24" s="592"/>
      <c r="B24" s="392"/>
      <c r="C24" s="303" t="s">
        <v>221</v>
      </c>
      <c r="D24" s="252" t="s">
        <v>291</v>
      </c>
      <c r="E24" s="297" t="s">
        <v>274</v>
      </c>
    </row>
    <row r="25" spans="1:8" ht="28.2" customHeight="1">
      <c r="A25" s="592"/>
      <c r="B25" s="392"/>
      <c r="C25" s="303"/>
      <c r="D25" s="252" t="s">
        <v>292</v>
      </c>
      <c r="E25" s="297"/>
    </row>
    <row r="26" spans="1:8" ht="28.2" customHeight="1">
      <c r="A26" s="592"/>
      <c r="B26" s="392"/>
      <c r="C26" s="305" t="s">
        <v>221</v>
      </c>
      <c r="D26" s="48" t="s">
        <v>293</v>
      </c>
      <c r="E26" s="1" t="s">
        <v>274</v>
      </c>
    </row>
    <row r="27" spans="1:8" ht="33" customHeight="1">
      <c r="A27" s="589" t="s">
        <v>294</v>
      </c>
      <c r="B27" s="589"/>
      <c r="C27" s="589"/>
      <c r="D27" s="589"/>
      <c r="E27" s="589"/>
    </row>
  </sheetData>
  <mergeCells count="6">
    <mergeCell ref="G19:H20"/>
    <mergeCell ref="A2:A3"/>
    <mergeCell ref="A27:E27"/>
    <mergeCell ref="A4:A5"/>
    <mergeCell ref="A10:A11"/>
    <mergeCell ref="A15:A26"/>
  </mergeCells>
  <pageMargins left="0.41" right="0.25" top="0.26" bottom="0.18" header="0.3" footer="0.17"/>
  <pageSetup orientation="portrait" r:id="rId1"/>
  <headerFooter>
    <oddFooter>&amp;LPage # &amp;P Checklist&amp;C&amp;A&amp;R&amp;F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DCC6-0EC5-48CF-B3E9-64F5E8918DC9}">
  <sheetPr codeName="Sheet27"/>
  <dimension ref="A1:E47"/>
  <sheetViews>
    <sheetView view="pageBreakPreview" topLeftCell="B1" zoomScaleNormal="100" zoomScaleSheetLayoutView="100" workbookViewId="0">
      <selection activeCell="I27" sqref="I27"/>
    </sheetView>
  </sheetViews>
  <sheetFormatPr defaultRowHeight="14.4"/>
  <cols>
    <col min="1" max="1" width="15.5546875" customWidth="1"/>
    <col min="2" max="2" width="6.109375" customWidth="1"/>
    <col min="3" max="3" width="45.5546875" customWidth="1"/>
    <col min="4" max="4" width="16.88671875" customWidth="1"/>
  </cols>
  <sheetData>
    <row r="1" spans="1:4" ht="21">
      <c r="A1" s="601" t="s">
        <v>351</v>
      </c>
      <c r="B1" s="601"/>
      <c r="C1" s="601"/>
      <c r="D1" s="601"/>
    </row>
    <row r="2" spans="1:4" ht="33" customHeight="1">
      <c r="A2" s="602" t="s">
        <v>352</v>
      </c>
      <c r="B2" s="602"/>
      <c r="C2" s="602"/>
      <c r="D2" s="602"/>
    </row>
    <row r="3" spans="1:4" ht="28.95" customHeight="1">
      <c r="A3" s="395" t="s">
        <v>353</v>
      </c>
      <c r="B3" s="395"/>
      <c r="C3" s="276"/>
      <c r="D3" s="276"/>
    </row>
    <row r="4" spans="1:4" ht="28.95" customHeight="1">
      <c r="A4" s="603" t="s">
        <v>354</v>
      </c>
      <c r="B4" s="396" t="s">
        <v>302</v>
      </c>
      <c r="C4" s="506" t="s">
        <v>355</v>
      </c>
      <c r="D4" s="506" t="s">
        <v>356</v>
      </c>
    </row>
    <row r="5" spans="1:4" ht="28.95" customHeight="1">
      <c r="A5" s="603"/>
      <c r="B5" s="76" t="s">
        <v>302</v>
      </c>
      <c r="C5" s="445" t="s">
        <v>357</v>
      </c>
      <c r="D5" s="506" t="s">
        <v>358</v>
      </c>
    </row>
    <row r="6" spans="1:4" ht="28.95" customHeight="1">
      <c r="A6" s="603"/>
      <c r="B6" s="396" t="s">
        <v>302</v>
      </c>
      <c r="C6" s="48" t="s">
        <v>359</v>
      </c>
    </row>
    <row r="7" spans="1:4" ht="12" customHeight="1">
      <c r="B7" s="76"/>
      <c r="D7" s="397"/>
    </row>
    <row r="8" spans="1:4" ht="22.2" customHeight="1">
      <c r="A8" s="604" t="s">
        <v>360</v>
      </c>
      <c r="B8" s="396" t="s">
        <v>302</v>
      </c>
      <c r="C8" s="398" t="s">
        <v>361</v>
      </c>
      <c r="D8" t="s">
        <v>362</v>
      </c>
    </row>
    <row r="9" spans="1:4" ht="27" customHeight="1">
      <c r="A9" s="604"/>
      <c r="B9" s="76" t="s">
        <v>302</v>
      </c>
      <c r="C9" s="397" t="s">
        <v>363</v>
      </c>
    </row>
    <row r="10" spans="1:4" ht="27" customHeight="1">
      <c r="A10" s="604"/>
      <c r="B10" s="396" t="s">
        <v>302</v>
      </c>
      <c r="C10" s="397" t="s">
        <v>364</v>
      </c>
    </row>
    <row r="11" spans="1:4" ht="27" customHeight="1">
      <c r="A11" s="604"/>
      <c r="B11" s="76" t="s">
        <v>302</v>
      </c>
      <c r="C11" s="397" t="s">
        <v>365</v>
      </c>
      <c r="D11" s="397"/>
    </row>
    <row r="12" spans="1:4" ht="27" customHeight="1">
      <c r="A12" s="399"/>
      <c r="B12" s="396" t="s">
        <v>302</v>
      </c>
      <c r="C12" s="397" t="s">
        <v>366</v>
      </c>
      <c r="D12" s="397"/>
    </row>
    <row r="13" spans="1:4" ht="27" customHeight="1">
      <c r="A13" s="399"/>
      <c r="B13" s="76" t="s">
        <v>302</v>
      </c>
      <c r="C13" s="397" t="s">
        <v>367</v>
      </c>
      <c r="D13" s="397"/>
    </row>
    <row r="14" spans="1:4" ht="27" customHeight="1">
      <c r="A14" s="399"/>
      <c r="B14" s="396" t="s">
        <v>302</v>
      </c>
      <c r="C14" s="397" t="s">
        <v>368</v>
      </c>
      <c r="D14" s="397"/>
    </row>
    <row r="15" spans="1:4" ht="10.95" customHeight="1">
      <c r="D15" s="397"/>
    </row>
    <row r="16" spans="1:4" ht="27" customHeight="1">
      <c r="A16" s="605" t="s">
        <v>369</v>
      </c>
      <c r="B16" s="400" t="s">
        <v>319</v>
      </c>
      <c r="C16" s="397" t="s">
        <v>370</v>
      </c>
    </row>
    <row r="17" spans="1:5" ht="27" customHeight="1">
      <c r="A17" s="605"/>
      <c r="B17" s="76" t="s">
        <v>319</v>
      </c>
      <c r="C17" s="401" t="s">
        <v>371</v>
      </c>
    </row>
    <row r="18" spans="1:5" ht="27" customHeight="1">
      <c r="A18" s="605"/>
      <c r="B18" s="400" t="s">
        <v>319</v>
      </c>
      <c r="C18" s="401" t="s">
        <v>372</v>
      </c>
    </row>
    <row r="19" spans="1:5" ht="27" customHeight="1">
      <c r="A19" s="605"/>
      <c r="B19" s="76" t="s">
        <v>319</v>
      </c>
      <c r="C19" s="401" t="s">
        <v>373</v>
      </c>
      <c r="D19" s="397"/>
    </row>
    <row r="20" spans="1:5" ht="27" customHeight="1">
      <c r="A20" s="605"/>
      <c r="B20" s="400" t="s">
        <v>319</v>
      </c>
      <c r="C20" s="401" t="s">
        <v>374</v>
      </c>
      <c r="D20" s="397"/>
    </row>
    <row r="21" spans="1:5" ht="27" customHeight="1">
      <c r="A21" s="605"/>
      <c r="B21" s="76" t="s">
        <v>319</v>
      </c>
      <c r="C21" s="401" t="s">
        <v>375</v>
      </c>
      <c r="D21" s="397"/>
    </row>
    <row r="22" spans="1:5" ht="27" customHeight="1">
      <c r="A22" s="397"/>
      <c r="B22" s="400" t="s">
        <v>319</v>
      </c>
      <c r="C22" s="401" t="s">
        <v>376</v>
      </c>
      <c r="D22" s="397"/>
    </row>
    <row r="23" spans="1:5" ht="27" customHeight="1">
      <c r="A23" s="397"/>
      <c r="B23" s="76" t="s">
        <v>319</v>
      </c>
      <c r="C23" s="401" t="s">
        <v>377</v>
      </c>
      <c r="D23" s="397"/>
    </row>
    <row r="24" spans="1:5" ht="27" customHeight="1">
      <c r="A24" s="397"/>
      <c r="B24" s="400" t="s">
        <v>319</v>
      </c>
      <c r="C24" s="401" t="s">
        <v>378</v>
      </c>
      <c r="D24" s="397"/>
    </row>
    <row r="25" spans="1:5" ht="27" customHeight="1">
      <c r="A25" s="600" t="s">
        <v>379</v>
      </c>
      <c r="B25" s="76" t="s">
        <v>319</v>
      </c>
      <c r="C25" s="51" t="s">
        <v>380</v>
      </c>
      <c r="D25" s="402" t="s">
        <v>381</v>
      </c>
    </row>
    <row r="26" spans="1:5" ht="27" customHeight="1">
      <c r="A26" s="600"/>
      <c r="B26" s="400" t="s">
        <v>319</v>
      </c>
      <c r="C26" s="51" t="s">
        <v>313</v>
      </c>
      <c r="D26" s="403"/>
      <c r="E26" s="67"/>
    </row>
    <row r="27" spans="1:5" ht="27" customHeight="1">
      <c r="A27" s="600"/>
      <c r="B27" s="76" t="s">
        <v>319</v>
      </c>
      <c r="C27" s="51" t="s">
        <v>382</v>
      </c>
      <c r="D27" s="403"/>
      <c r="E27" s="67"/>
    </row>
    <row r="28" spans="1:5" ht="9" customHeight="1">
      <c r="E28" s="51"/>
    </row>
    <row r="29" spans="1:5" ht="16.8">
      <c r="A29" s="404" t="s">
        <v>383</v>
      </c>
      <c r="B29" s="76"/>
    </row>
    <row r="30" spans="1:5" ht="15.6">
      <c r="B30" s="76"/>
    </row>
    <row r="31" spans="1:5" ht="15.6">
      <c r="B31" s="396"/>
    </row>
    <row r="32" spans="1:5" ht="15.6">
      <c r="B32" s="76"/>
    </row>
    <row r="33" spans="2:2" ht="15.6">
      <c r="B33" s="396"/>
    </row>
    <row r="34" spans="2:2" ht="15.6">
      <c r="B34" s="76"/>
    </row>
    <row r="35" spans="2:2" ht="15.6">
      <c r="B35" s="396"/>
    </row>
    <row r="36" spans="2:2" ht="15.6">
      <c r="B36" s="76"/>
    </row>
    <row r="37" spans="2:2" ht="15.6">
      <c r="B37" s="405"/>
    </row>
    <row r="38" spans="2:2" ht="15.6">
      <c r="B38" s="400"/>
    </row>
    <row r="39" spans="2:2" ht="15.6">
      <c r="B39" s="76"/>
    </row>
    <row r="40" spans="2:2" ht="15.6">
      <c r="B40" s="400"/>
    </row>
    <row r="41" spans="2:2" ht="15.6">
      <c r="B41" s="76"/>
    </row>
    <row r="42" spans="2:2" ht="15.6">
      <c r="B42" s="400"/>
    </row>
    <row r="43" spans="2:2" ht="15.6">
      <c r="B43" s="76"/>
    </row>
    <row r="44" spans="2:2" ht="15.6">
      <c r="B44" s="1"/>
    </row>
    <row r="45" spans="2:2" ht="15.6">
      <c r="B45" s="1"/>
    </row>
    <row r="46" spans="2:2" ht="15.6">
      <c r="B46" s="1"/>
    </row>
    <row r="47" spans="2:2" ht="15.6">
      <c r="B47" s="1"/>
    </row>
  </sheetData>
  <mergeCells count="6">
    <mergeCell ref="A25:A27"/>
    <mergeCell ref="A1:D1"/>
    <mergeCell ref="A2:D2"/>
    <mergeCell ref="A4:A6"/>
    <mergeCell ref="A8:A11"/>
    <mergeCell ref="A16:A21"/>
  </mergeCells>
  <printOptions gridLines="1"/>
  <pageMargins left="1.38" right="0.25" top="0.26" bottom="0.17" header="0.3" footer="0.21"/>
  <pageSetup orientation="portrait" r:id="rId1"/>
  <headerFooter>
    <oddFooter>&amp;LPage &amp;P of &amp;N&amp;C&amp;A&amp;R&amp;F</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1EB3-CE4E-4D9E-8ACF-2C479B28E8F4}">
  <sheetPr codeName="Sheet5"/>
  <dimension ref="A1:F64"/>
  <sheetViews>
    <sheetView showGridLines="0" view="pageBreakPreview" zoomScaleNormal="100" zoomScaleSheetLayoutView="100" workbookViewId="0">
      <selection activeCell="H49" sqref="H49"/>
    </sheetView>
  </sheetViews>
  <sheetFormatPr defaultColWidth="8.88671875" defaultRowHeight="21"/>
  <cols>
    <col min="1" max="1" width="4.33203125" style="254" customWidth="1"/>
    <col min="2" max="2" width="70" style="48" customWidth="1"/>
    <col min="3" max="3" width="9.6640625" customWidth="1"/>
    <col min="4" max="4" width="8.5546875" customWidth="1"/>
    <col min="5" max="5" width="7.44140625" customWidth="1"/>
  </cols>
  <sheetData>
    <row r="1" spans="1:5" ht="21.6" thickBot="1">
      <c r="B1" s="446" t="s">
        <v>384</v>
      </c>
      <c r="C1" s="447" t="str">
        <f>+'jobinfo(2)'!C2</f>
        <v>1441 Thomas Road,</v>
      </c>
    </row>
    <row r="2" spans="1:5" ht="46.2" customHeight="1" thickTop="1" thickBot="1">
      <c r="B2" s="447" t="str">
        <f>+'jobinfo(2)'!C1</f>
        <v>BENJAMIN, SANDRA L.</v>
      </c>
      <c r="C2" s="619" t="s">
        <v>385</v>
      </c>
      <c r="D2" s="448" t="s">
        <v>386</v>
      </c>
      <c r="E2" s="621" t="s">
        <v>387</v>
      </c>
    </row>
    <row r="3" spans="1:5" ht="13.95" customHeight="1" thickTop="1" thickBot="1">
      <c r="B3" s="449" t="s">
        <v>388</v>
      </c>
      <c r="C3" s="620"/>
      <c r="D3" s="450"/>
      <c r="E3" s="622"/>
    </row>
    <row r="4" spans="1:5" ht="19.95" customHeight="1" thickTop="1">
      <c r="B4" s="451" t="s">
        <v>389</v>
      </c>
      <c r="C4" s="452"/>
      <c r="D4" s="452"/>
      <c r="E4" s="97"/>
    </row>
    <row r="5" spans="1:5" ht="18" customHeight="1">
      <c r="B5" s="453" t="s">
        <v>390</v>
      </c>
      <c r="C5" s="623" t="s">
        <v>391</v>
      </c>
      <c r="D5" s="623"/>
      <c r="E5" s="623"/>
    </row>
    <row r="6" spans="1:5" ht="22.2" customHeight="1">
      <c r="B6" s="454" t="s">
        <v>392</v>
      </c>
      <c r="C6" s="623"/>
      <c r="D6" s="623"/>
      <c r="E6" s="623"/>
    </row>
    <row r="7" spans="1:5" ht="10.95" customHeight="1">
      <c r="B7" s="455" t="s">
        <v>393</v>
      </c>
      <c r="C7" s="623"/>
      <c r="D7" s="623"/>
      <c r="E7" s="623"/>
    </row>
    <row r="8" spans="1:5" ht="4.95" customHeight="1">
      <c r="B8" s="452"/>
      <c r="C8" s="456"/>
      <c r="D8" s="456"/>
      <c r="E8" s="456"/>
    </row>
    <row r="9" spans="1:5" ht="13.95" customHeight="1" thickBot="1">
      <c r="A9" s="254">
        <v>1</v>
      </c>
      <c r="B9" s="457" t="s">
        <v>394</v>
      </c>
      <c r="C9" s="624"/>
      <c r="D9" s="608"/>
      <c r="E9" s="607"/>
    </row>
    <row r="10" spans="1:5" ht="22.2" customHeight="1" thickTop="1" thickBot="1">
      <c r="B10" s="458" t="s">
        <v>395</v>
      </c>
      <c r="C10" s="624"/>
      <c r="D10" s="608"/>
      <c r="E10" s="607"/>
    </row>
    <row r="11" spans="1:5" ht="22.2" customHeight="1" thickTop="1" thickBot="1">
      <c r="B11" s="458" t="s">
        <v>396</v>
      </c>
      <c r="C11" s="624"/>
      <c r="D11" s="608"/>
      <c r="E11" s="607"/>
    </row>
    <row r="12" spans="1:5" ht="22.2" customHeight="1" thickTop="1">
      <c r="B12" s="459" t="s">
        <v>397</v>
      </c>
      <c r="C12" s="20"/>
      <c r="D12" s="460"/>
      <c r="E12" s="260"/>
    </row>
    <row r="13" spans="1:5" ht="22.2" customHeight="1">
      <c r="A13" s="254">
        <v>2</v>
      </c>
      <c r="B13" s="461" t="s">
        <v>398</v>
      </c>
      <c r="C13" s="20"/>
      <c r="D13" s="460"/>
      <c r="E13" s="260"/>
    </row>
    <row r="14" spans="1:5" ht="24" customHeight="1" thickBot="1">
      <c r="A14" s="254">
        <v>3</v>
      </c>
      <c r="B14" s="462" t="s">
        <v>399</v>
      </c>
      <c r="C14" s="460"/>
      <c r="D14" s="260"/>
      <c r="E14" s="460"/>
    </row>
    <row r="15" spans="1:5" ht="21.6" thickTop="1">
      <c r="B15" s="463" t="s">
        <v>400</v>
      </c>
      <c r="C15" s="460"/>
      <c r="D15" s="260"/>
      <c r="E15" s="460"/>
    </row>
    <row r="16" spans="1:5">
      <c r="B16" s="464" t="s">
        <v>401</v>
      </c>
      <c r="C16" s="460"/>
      <c r="D16" s="260"/>
      <c r="E16" s="460"/>
    </row>
    <row r="17" spans="1:6" ht="21.6" thickBot="1">
      <c r="A17" s="254">
        <v>4</v>
      </c>
      <c r="B17" s="465" t="s">
        <v>402</v>
      </c>
      <c r="C17" s="460"/>
      <c r="D17" s="260"/>
      <c r="E17" s="460"/>
    </row>
    <row r="18" spans="1:6" ht="22.2" thickTop="1" thickBot="1">
      <c r="B18" s="458" t="s">
        <v>403</v>
      </c>
      <c r="C18" s="460"/>
      <c r="D18" s="260"/>
      <c r="E18" s="460"/>
    </row>
    <row r="19" spans="1:6" ht="22.2" customHeight="1" thickTop="1" thickBot="1">
      <c r="A19" s="254">
        <v>5</v>
      </c>
      <c r="B19" s="466" t="s">
        <v>404</v>
      </c>
      <c r="C19" s="608"/>
      <c r="D19" s="608"/>
      <c r="E19" s="607"/>
    </row>
    <row r="20" spans="1:6" ht="37.200000000000003" customHeight="1" thickTop="1" thickBot="1">
      <c r="B20" s="467" t="s">
        <v>405</v>
      </c>
      <c r="C20" s="608"/>
      <c r="D20" s="608"/>
      <c r="E20" s="607"/>
    </row>
    <row r="21" spans="1:6" ht="28.2" customHeight="1" thickTop="1" thickBot="1">
      <c r="A21" s="254">
        <v>6</v>
      </c>
      <c r="B21" s="468" t="s">
        <v>406</v>
      </c>
      <c r="C21" s="615"/>
      <c r="D21" s="617"/>
      <c r="E21" s="615"/>
      <c r="F21" s="469"/>
    </row>
    <row r="22" spans="1:6" ht="18" customHeight="1" thickTop="1" thickBot="1">
      <c r="B22" s="458" t="s">
        <v>407</v>
      </c>
      <c r="C22" s="616"/>
      <c r="D22" s="618"/>
      <c r="E22" s="616"/>
      <c r="F22" s="469"/>
    </row>
    <row r="23" spans="1:6" ht="16.2" customHeight="1" thickTop="1" thickBot="1">
      <c r="B23" s="470" t="s">
        <v>408</v>
      </c>
      <c r="C23" s="13"/>
      <c r="D23" s="20"/>
      <c r="E23" s="13"/>
      <c r="F23" s="469"/>
    </row>
    <row r="24" spans="1:6" ht="22.2" thickTop="1" thickBot="1">
      <c r="A24" s="254">
        <v>7</v>
      </c>
      <c r="B24" s="457" t="s">
        <v>409</v>
      </c>
      <c r="C24" s="13"/>
      <c r="D24" s="20"/>
      <c r="E24" s="13"/>
      <c r="F24" s="469"/>
    </row>
    <row r="25" spans="1:6" ht="24" customHeight="1" thickTop="1" thickBot="1">
      <c r="A25" s="254">
        <v>8</v>
      </c>
      <c r="B25" s="471" t="s">
        <v>410</v>
      </c>
      <c r="C25" s="607"/>
      <c r="D25" s="608"/>
      <c r="E25" s="607"/>
      <c r="F25" s="469"/>
    </row>
    <row r="26" spans="1:6" ht="18" customHeight="1" thickTop="1" thickBot="1">
      <c r="B26" s="457" t="s">
        <v>411</v>
      </c>
      <c r="C26" s="607"/>
      <c r="D26" s="608"/>
      <c r="E26" s="607"/>
      <c r="F26" s="472"/>
    </row>
    <row r="27" spans="1:6" ht="22.2" customHeight="1" thickTop="1" thickBot="1">
      <c r="A27" s="254">
        <v>9</v>
      </c>
      <c r="B27" s="473" t="s">
        <v>412</v>
      </c>
      <c r="C27" s="609"/>
      <c r="D27" s="607"/>
      <c r="E27" s="608"/>
      <c r="F27" s="469"/>
    </row>
    <row r="28" spans="1:6" ht="16.2" customHeight="1" thickTop="1" thickBot="1">
      <c r="B28" s="474" t="s">
        <v>413</v>
      </c>
      <c r="C28" s="609"/>
      <c r="D28" s="607"/>
      <c r="E28" s="608"/>
      <c r="F28" s="472"/>
    </row>
    <row r="29" spans="1:6" ht="16.2" customHeight="1" thickTop="1" thickBot="1">
      <c r="B29" s="474" t="s">
        <v>414</v>
      </c>
      <c r="C29" s="609"/>
      <c r="D29" s="607"/>
      <c r="E29" s="608"/>
      <c r="F29" s="469"/>
    </row>
    <row r="30" spans="1:6" ht="15" customHeight="1" thickTop="1">
      <c r="B30" s="459" t="s">
        <v>397</v>
      </c>
      <c r="C30" s="13"/>
      <c r="D30" s="260"/>
      <c r="E30" s="460"/>
      <c r="F30" s="469"/>
    </row>
    <row r="31" spans="1:6" ht="15" customHeight="1">
      <c r="A31" s="254">
        <v>10</v>
      </c>
      <c r="B31" s="475" t="s">
        <v>415</v>
      </c>
      <c r="C31" s="13"/>
      <c r="D31" s="260"/>
      <c r="E31" s="460"/>
      <c r="F31" s="469"/>
    </row>
    <row r="32" spans="1:6" ht="15" customHeight="1">
      <c r="A32" s="254">
        <v>11</v>
      </c>
      <c r="B32" s="475" t="s">
        <v>416</v>
      </c>
      <c r="C32" s="13"/>
      <c r="D32" s="260"/>
      <c r="E32" s="460"/>
      <c r="F32" s="469"/>
    </row>
    <row r="33" spans="1:5" ht="16.2" customHeight="1">
      <c r="B33" s="476" t="s">
        <v>417</v>
      </c>
    </row>
    <row r="34" spans="1:5" ht="12" customHeight="1">
      <c r="B34" s="610" t="s">
        <v>418</v>
      </c>
      <c r="C34" s="610"/>
      <c r="D34" s="610"/>
      <c r="E34" s="610"/>
    </row>
    <row r="35" spans="1:5" ht="16.2" customHeight="1">
      <c r="B35" s="611" t="s">
        <v>419</v>
      </c>
      <c r="C35" s="611"/>
      <c r="D35" s="611"/>
      <c r="E35" s="611"/>
    </row>
    <row r="37" spans="1:5" ht="20.399999999999999">
      <c r="A37" s="612" t="s">
        <v>420</v>
      </c>
      <c r="B37" s="612"/>
      <c r="C37" s="612"/>
      <c r="D37" s="612"/>
    </row>
    <row r="38" spans="1:5" ht="15.6">
      <c r="A38" s="613" t="s">
        <v>421</v>
      </c>
      <c r="B38" s="613"/>
      <c r="C38" s="613"/>
      <c r="D38" s="613"/>
    </row>
    <row r="39" spans="1:5" ht="18">
      <c r="A39" s="452" t="s">
        <v>389</v>
      </c>
      <c r="B39"/>
      <c r="D39" s="97"/>
    </row>
    <row r="40" spans="1:5" ht="18">
      <c r="A40" s="477"/>
      <c r="B40" s="478" t="s">
        <v>422</v>
      </c>
      <c r="D40" s="479"/>
    </row>
    <row r="41" spans="1:5" ht="18">
      <c r="A41" s="477"/>
      <c r="B41" s="480" t="s">
        <v>423</v>
      </c>
      <c r="C41" s="479"/>
      <c r="D41" s="479"/>
    </row>
    <row r="42" spans="1:5" ht="18">
      <c r="A42" s="481" t="s">
        <v>424</v>
      </c>
      <c r="C42" s="482"/>
      <c r="D42" s="482"/>
    </row>
    <row r="43" spans="1:5" ht="18">
      <c r="A43" s="483" t="s">
        <v>425</v>
      </c>
      <c r="B43" s="482"/>
      <c r="C43" s="482"/>
      <c r="D43" s="482"/>
    </row>
    <row r="44" spans="1:5" ht="18">
      <c r="A44" s="484" t="s">
        <v>426</v>
      </c>
      <c r="B44" s="482"/>
      <c r="C44" s="482"/>
      <c r="D44" s="482"/>
    </row>
    <row r="45" spans="1:5" ht="28.2" customHeight="1">
      <c r="A45" s="485">
        <v>1</v>
      </c>
      <c r="B45" s="486" t="s">
        <v>427</v>
      </c>
      <c r="C45" s="614" t="s">
        <v>428</v>
      </c>
      <c r="D45" s="614"/>
      <c r="E45" s="614"/>
    </row>
    <row r="46" spans="1:5" ht="28.2" customHeight="1">
      <c r="A46" s="485">
        <f t="shared" ref="A46:A64" si="0">1+A45</f>
        <v>2</v>
      </c>
      <c r="B46" s="487" t="s">
        <v>429</v>
      </c>
      <c r="C46" s="614"/>
      <c r="D46" s="614"/>
      <c r="E46" s="614"/>
    </row>
    <row r="47" spans="1:5" ht="28.2" customHeight="1">
      <c r="A47" s="485">
        <f t="shared" si="0"/>
        <v>3</v>
      </c>
      <c r="B47" s="488" t="s">
        <v>430</v>
      </c>
      <c r="C47" s="489"/>
      <c r="D47" s="489"/>
    </row>
    <row r="48" spans="1:5" ht="28.2" customHeight="1">
      <c r="A48" s="485">
        <f t="shared" si="0"/>
        <v>4</v>
      </c>
      <c r="B48" s="490" t="s">
        <v>431</v>
      </c>
      <c r="C48" s="88"/>
      <c r="D48" s="88" t="s">
        <v>432</v>
      </c>
      <c r="E48" s="88"/>
    </row>
    <row r="49" spans="1:5" ht="28.2" customHeight="1">
      <c r="A49" s="485">
        <f t="shared" si="0"/>
        <v>5</v>
      </c>
      <c r="B49" s="488" t="s">
        <v>433</v>
      </c>
      <c r="D49" s="491"/>
    </row>
    <row r="50" spans="1:5" ht="28.2" customHeight="1">
      <c r="A50" s="485">
        <f t="shared" si="0"/>
        <v>6</v>
      </c>
      <c r="B50" s="490" t="s">
        <v>434</v>
      </c>
      <c r="C50" s="330" t="s">
        <v>435</v>
      </c>
      <c r="D50" s="328"/>
      <c r="E50" s="329" t="s">
        <v>436</v>
      </c>
    </row>
    <row r="51" spans="1:5" ht="28.2" customHeight="1">
      <c r="A51" s="485">
        <f t="shared" si="0"/>
        <v>7</v>
      </c>
      <c r="B51" s="492" t="s">
        <v>437</v>
      </c>
      <c r="C51" s="489"/>
    </row>
    <row r="52" spans="1:5" ht="30" customHeight="1">
      <c r="A52" s="485">
        <f t="shared" si="0"/>
        <v>8</v>
      </c>
      <c r="B52" s="493" t="s">
        <v>438</v>
      </c>
      <c r="C52" s="489"/>
      <c r="D52" s="494" t="s">
        <v>439</v>
      </c>
    </row>
    <row r="53" spans="1:5" ht="28.2" customHeight="1">
      <c r="A53" s="485">
        <f t="shared" si="0"/>
        <v>9</v>
      </c>
      <c r="B53" s="495" t="s">
        <v>440</v>
      </c>
    </row>
    <row r="54" spans="1:5" ht="28.2" customHeight="1">
      <c r="A54" s="485">
        <f t="shared" si="0"/>
        <v>10</v>
      </c>
      <c r="B54" s="496" t="s">
        <v>441</v>
      </c>
      <c r="C54" s="606" t="s">
        <v>442</v>
      </c>
      <c r="D54" s="606"/>
      <c r="E54" s="606"/>
    </row>
    <row r="55" spans="1:5" ht="28.2" customHeight="1">
      <c r="A55" s="485">
        <f t="shared" si="0"/>
        <v>11</v>
      </c>
      <c r="B55" s="497" t="s">
        <v>443</v>
      </c>
      <c r="C55" s="489"/>
      <c r="D55" s="489"/>
    </row>
    <row r="56" spans="1:5" ht="28.2" customHeight="1">
      <c r="A56" s="485">
        <f t="shared" si="0"/>
        <v>12</v>
      </c>
      <c r="B56" s="498" t="s">
        <v>444</v>
      </c>
      <c r="C56" s="489"/>
      <c r="D56" s="489"/>
    </row>
    <row r="57" spans="1:5" ht="28.2" customHeight="1">
      <c r="A57" s="485">
        <f t="shared" si="0"/>
        <v>13</v>
      </c>
      <c r="B57" s="499" t="s">
        <v>445</v>
      </c>
      <c r="C57" s="489"/>
      <c r="D57" s="489"/>
    </row>
    <row r="58" spans="1:5" ht="28.2" customHeight="1">
      <c r="A58" s="485">
        <f t="shared" si="0"/>
        <v>14</v>
      </c>
      <c r="B58" s="500" t="s">
        <v>446</v>
      </c>
      <c r="C58" s="489"/>
      <c r="D58" s="489"/>
    </row>
    <row r="59" spans="1:5" ht="28.2" customHeight="1">
      <c r="A59" s="485">
        <f t="shared" si="0"/>
        <v>15</v>
      </c>
      <c r="B59" s="501" t="s">
        <v>447</v>
      </c>
      <c r="C59" s="489"/>
      <c r="D59" s="489"/>
    </row>
    <row r="60" spans="1:5" ht="28.2" customHeight="1">
      <c r="A60" s="485">
        <f t="shared" si="0"/>
        <v>16</v>
      </c>
      <c r="B60" s="501" t="s">
        <v>448</v>
      </c>
      <c r="C60" s="489"/>
      <c r="D60" s="489"/>
    </row>
    <row r="61" spans="1:5" ht="28.2" customHeight="1">
      <c r="A61" s="485">
        <f t="shared" si="0"/>
        <v>17</v>
      </c>
      <c r="B61" s="501" t="s">
        <v>449</v>
      </c>
      <c r="C61" s="489"/>
      <c r="D61" s="489"/>
    </row>
    <row r="62" spans="1:5" ht="28.2" customHeight="1">
      <c r="A62" s="485">
        <f t="shared" si="0"/>
        <v>18</v>
      </c>
      <c r="B62" s="501" t="s">
        <v>450</v>
      </c>
      <c r="C62" s="489"/>
      <c r="D62" s="489"/>
    </row>
    <row r="63" spans="1:5" ht="28.2" customHeight="1">
      <c r="A63" s="485">
        <f t="shared" si="0"/>
        <v>19</v>
      </c>
      <c r="B63" s="501" t="s">
        <v>451</v>
      </c>
      <c r="C63" s="489"/>
      <c r="D63" s="489"/>
    </row>
    <row r="64" spans="1:5" ht="28.2" customHeight="1">
      <c r="A64" s="485">
        <f t="shared" si="0"/>
        <v>20</v>
      </c>
      <c r="B64" s="501" t="s">
        <v>452</v>
      </c>
      <c r="C64" s="489"/>
      <c r="D64" s="489"/>
    </row>
  </sheetData>
  <mergeCells count="24">
    <mergeCell ref="C2:C3"/>
    <mergeCell ref="E2:E3"/>
    <mergeCell ref="C5:E7"/>
    <mergeCell ref="C9:C11"/>
    <mergeCell ref="D9:D11"/>
    <mergeCell ref="E9:E11"/>
    <mergeCell ref="C19:C20"/>
    <mergeCell ref="D19:D20"/>
    <mergeCell ref="E19:E20"/>
    <mergeCell ref="C21:C22"/>
    <mergeCell ref="D21:D22"/>
    <mergeCell ref="E21:E22"/>
    <mergeCell ref="C54:E54"/>
    <mergeCell ref="C25:C26"/>
    <mergeCell ref="D25:D26"/>
    <mergeCell ref="E25:E26"/>
    <mergeCell ref="C27:C29"/>
    <mergeCell ref="D27:D29"/>
    <mergeCell ref="E27:E29"/>
    <mergeCell ref="B34:E34"/>
    <mergeCell ref="B35:E35"/>
    <mergeCell ref="A37:D37"/>
    <mergeCell ref="A38:D38"/>
    <mergeCell ref="C45:E46"/>
  </mergeCells>
  <pageMargins left="0.43" right="0.21" top="0.36" bottom="0.45" header="0.3" footer="0.17"/>
  <pageSetup orientation="portrait" r:id="rId1"/>
  <headerFooter>
    <oddFooter>&amp;LPage &amp;P of &amp;N&amp;C&amp;A &amp;D &amp;T&amp;R&amp;F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BC9D-0F07-4161-9880-2B524D4003A4}">
  <sheetPr codeName="Sheet2">
    <tabColor rgb="FF002060"/>
  </sheetPr>
  <dimension ref="A1:G36"/>
  <sheetViews>
    <sheetView showGridLines="0" view="pageBreakPreview" topLeftCell="A22" zoomScaleNormal="100" zoomScaleSheetLayoutView="100" workbookViewId="0">
      <selection activeCell="C2" sqref="C2"/>
    </sheetView>
  </sheetViews>
  <sheetFormatPr defaultRowHeight="20.7" customHeight="1"/>
  <cols>
    <col min="1" max="1" width="6.6640625" style="3" bestFit="1" customWidth="1"/>
    <col min="2" max="2" width="1.5546875" style="12" hidden="1" customWidth="1"/>
    <col min="3" max="3" width="63.6640625" style="12" customWidth="1"/>
    <col min="4" max="4" width="17.44140625" style="12" customWidth="1"/>
    <col min="5" max="6" width="5.33203125" style="12" customWidth="1"/>
  </cols>
  <sheetData>
    <row r="1" spans="1:7" ht="20.7" customHeight="1">
      <c r="A1" s="365" t="s">
        <v>28</v>
      </c>
      <c r="B1" s="365"/>
      <c r="C1" s="428"/>
      <c r="D1" s="312" t="str">
        <f>+'jobinfo(2)'!C2</f>
        <v>1441 Thomas Road,</v>
      </c>
      <c r="E1" s="4"/>
      <c r="F1" s="543" t="s">
        <v>29</v>
      </c>
    </row>
    <row r="2" spans="1:7" ht="20.7" customHeight="1">
      <c r="A2" s="5" t="s">
        <v>30</v>
      </c>
      <c r="B2" s="6"/>
      <c r="C2" s="312" t="str">
        <f>+'jobinfo(2)'!C1</f>
        <v>BENJAMIN, SANDRA L.</v>
      </c>
      <c r="D2" s="6" t="s">
        <v>31</v>
      </c>
      <c r="E2" s="6" t="s">
        <v>32</v>
      </c>
      <c r="F2" s="543"/>
    </row>
    <row r="3" spans="1:7" ht="20.7" customHeight="1">
      <c r="A3" s="430">
        <v>1</v>
      </c>
      <c r="B3" s="8" t="s">
        <v>33</v>
      </c>
      <c r="C3" s="363" t="s">
        <v>33</v>
      </c>
      <c r="D3" s="9" t="s">
        <v>34</v>
      </c>
      <c r="E3" s="10"/>
      <c r="F3" s="10"/>
    </row>
    <row r="4" spans="1:7" ht="20.7" customHeight="1">
      <c r="A4" s="545" t="s">
        <v>35</v>
      </c>
      <c r="B4" s="11"/>
      <c r="C4" s="95" t="s">
        <v>36</v>
      </c>
      <c r="D4" s="360"/>
      <c r="E4" s="13"/>
      <c r="F4" s="14"/>
    </row>
    <row r="5" spans="1:7" ht="20.7" customHeight="1">
      <c r="A5" s="545"/>
      <c r="C5" s="366" t="s">
        <v>37</v>
      </c>
      <c r="D5" s="17"/>
      <c r="E5" s="18"/>
      <c r="F5" s="13"/>
    </row>
    <row r="6" spans="1:7" ht="20.7" customHeight="1">
      <c r="A6" s="545"/>
      <c r="C6" s="19" t="s">
        <v>38</v>
      </c>
      <c r="D6" s="20"/>
      <c r="E6" s="13"/>
      <c r="F6" s="20"/>
    </row>
    <row r="7" spans="1:7" ht="20.7" customHeight="1">
      <c r="A7" s="545"/>
      <c r="C7" s="367" t="s">
        <v>39</v>
      </c>
      <c r="D7" s="17"/>
      <c r="E7" s="18"/>
      <c r="F7" s="13"/>
    </row>
    <row r="8" spans="1:7" ht="20.7" customHeight="1">
      <c r="A8" s="545"/>
      <c r="C8" s="16" t="s">
        <v>40</v>
      </c>
      <c r="D8" s="21"/>
      <c r="E8" s="13"/>
      <c r="F8" s="20"/>
      <c r="G8" t="s">
        <v>41</v>
      </c>
    </row>
    <row r="9" spans="1:7" ht="20.7" customHeight="1">
      <c r="A9" s="429">
        <v>2</v>
      </c>
      <c r="B9" s="22" t="s">
        <v>42</v>
      </c>
      <c r="C9" s="362" t="s">
        <v>43</v>
      </c>
      <c r="D9" s="23"/>
      <c r="E9" s="23"/>
      <c r="F9" s="23"/>
      <c r="G9" t="s">
        <v>44</v>
      </c>
    </row>
    <row r="10" spans="1:7" ht="20.7" customHeight="1">
      <c r="A10" s="545" t="s">
        <v>45</v>
      </c>
      <c r="B10" s="10"/>
      <c r="C10" s="16" t="s">
        <v>46</v>
      </c>
      <c r="D10" s="14"/>
      <c r="E10" s="13"/>
      <c r="F10" s="14"/>
    </row>
    <row r="11" spans="1:7" ht="20.7" customHeight="1">
      <c r="A11" s="545"/>
      <c r="B11" s="10"/>
      <c r="C11" s="368" t="s">
        <v>47</v>
      </c>
      <c r="D11" s="17"/>
      <c r="E11" s="18"/>
      <c r="F11" s="13"/>
    </row>
    <row r="12" spans="1:7" ht="20.7" customHeight="1">
      <c r="A12" s="545"/>
      <c r="B12" s="10"/>
      <c r="C12" s="24" t="s">
        <v>48</v>
      </c>
      <c r="D12" s="20"/>
      <c r="E12" s="13"/>
      <c r="F12" s="20"/>
      <c r="G12" t="s">
        <v>49</v>
      </c>
    </row>
    <row r="13" spans="1:7" ht="20.7" customHeight="1">
      <c r="A13" s="25"/>
      <c r="B13" s="10"/>
      <c r="C13" s="369" t="s">
        <v>50</v>
      </c>
      <c r="D13" s="17"/>
      <c r="E13" s="18"/>
      <c r="F13" s="13"/>
    </row>
    <row r="14" spans="1:7" ht="20.7" customHeight="1">
      <c r="A14" s="15" t="s">
        <v>51</v>
      </c>
      <c r="B14" s="10"/>
      <c r="C14" s="24" t="s">
        <v>52</v>
      </c>
      <c r="D14" s="17"/>
      <c r="E14" s="18"/>
      <c r="F14" s="13"/>
    </row>
    <row r="15" spans="1:7" ht="20.7" customHeight="1">
      <c r="A15" s="429">
        <v>3</v>
      </c>
      <c r="C15" s="361" t="s">
        <v>53</v>
      </c>
      <c r="D15" s="21"/>
      <c r="E15" s="13"/>
      <c r="F15" s="20"/>
    </row>
    <row r="16" spans="1:7" ht="20.7" customHeight="1">
      <c r="A16" s="26" t="s">
        <v>54</v>
      </c>
      <c r="C16" s="638" t="s">
        <v>55</v>
      </c>
      <c r="D16" s="27"/>
      <c r="E16" s="27"/>
      <c r="F16" s="27"/>
    </row>
    <row r="17" spans="1:7" ht="20.7" customHeight="1">
      <c r="A17" s="28"/>
      <c r="B17" s="27"/>
      <c r="C17" s="370" t="s">
        <v>56</v>
      </c>
      <c r="D17" s="21"/>
      <c r="E17" s="13"/>
      <c r="F17" s="20"/>
    </row>
    <row r="18" spans="1:7" ht="20.7" customHeight="1" thickBot="1">
      <c r="A18" s="26" t="s">
        <v>57</v>
      </c>
      <c r="B18" s="29" t="s">
        <v>58</v>
      </c>
      <c r="C18" s="30" t="s">
        <v>58</v>
      </c>
      <c r="D18" s="378"/>
      <c r="E18" s="379"/>
      <c r="F18" s="37"/>
    </row>
    <row r="19" spans="1:7" ht="20.7" customHeight="1" thickTop="1" thickBot="1">
      <c r="A19" s="429">
        <v>4</v>
      </c>
      <c r="C19" s="31" t="s">
        <v>59</v>
      </c>
      <c r="D19" s="32"/>
      <c r="E19" s="32"/>
      <c r="F19" s="32"/>
      <c r="G19">
        <v>2</v>
      </c>
    </row>
    <row r="20" spans="1:7" ht="20.7" customHeight="1" thickTop="1" thickBot="1">
      <c r="A20" s="429">
        <v>5</v>
      </c>
      <c r="C20" s="371" t="s">
        <v>60</v>
      </c>
      <c r="D20" s="20"/>
      <c r="E20" s="13"/>
      <c r="F20" s="20"/>
    </row>
    <row r="21" spans="1:7" ht="20.7" customHeight="1" thickTop="1" thickBot="1">
      <c r="A21" s="429">
        <v>6</v>
      </c>
      <c r="C21" s="33" t="s">
        <v>61</v>
      </c>
      <c r="D21" s="17"/>
      <c r="E21" s="18"/>
      <c r="F21" s="13"/>
    </row>
    <row r="22" spans="1:7" ht="20.7" customHeight="1" thickTop="1" thickBot="1">
      <c r="A22" s="429">
        <v>7</v>
      </c>
      <c r="C22" s="372" t="s">
        <v>62</v>
      </c>
      <c r="D22" s="21"/>
      <c r="E22" s="13"/>
      <c r="F22" s="20"/>
    </row>
    <row r="23" spans="1:7" ht="20.7" customHeight="1" thickTop="1" thickBot="1">
      <c r="A23" s="26" t="s">
        <v>63</v>
      </c>
      <c r="B23" s="34" t="s">
        <v>64</v>
      </c>
      <c r="C23" s="364" t="s">
        <v>64</v>
      </c>
      <c r="D23" s="35"/>
      <c r="E23" s="35"/>
      <c r="F23" s="35"/>
    </row>
    <row r="24" spans="1:7" ht="20.7" customHeight="1" thickTop="1" thickBot="1">
      <c r="A24" s="429">
        <v>8</v>
      </c>
      <c r="B24" s="10"/>
      <c r="C24" s="373" t="s">
        <v>65</v>
      </c>
      <c r="D24" s="36"/>
      <c r="E24" s="37"/>
      <c r="F24" s="38"/>
    </row>
    <row r="25" spans="1:7" ht="20.7" customHeight="1" thickTop="1" thickBot="1">
      <c r="A25" s="7"/>
      <c r="B25" s="10"/>
      <c r="C25" s="39" t="s">
        <v>66</v>
      </c>
      <c r="D25" s="40"/>
      <c r="E25" s="41"/>
      <c r="F25" s="42"/>
    </row>
    <row r="26" spans="1:7" ht="18" customHeight="1" thickTop="1" thickBot="1">
      <c r="B26" s="10"/>
      <c r="C26" s="635" t="s">
        <v>67</v>
      </c>
      <c r="D26" s="636"/>
      <c r="E26" s="636"/>
      <c r="F26" s="637"/>
    </row>
    <row r="27" spans="1:7" ht="20.7" customHeight="1" thickTop="1" thickBot="1">
      <c r="A27" s="7"/>
      <c r="B27" s="10"/>
      <c r="C27" s="45" t="s">
        <v>68</v>
      </c>
      <c r="D27" s="378"/>
      <c r="E27" s="379"/>
      <c r="F27" s="37"/>
    </row>
    <row r="28" spans="1:7" ht="20.7" customHeight="1" thickTop="1" thickBot="1">
      <c r="A28" s="7"/>
      <c r="B28" s="10"/>
      <c r="C28" s="374" t="s">
        <v>69</v>
      </c>
      <c r="D28" s="43"/>
      <c r="E28" s="42"/>
      <c r="F28" s="44"/>
    </row>
    <row r="29" spans="1:7" ht="20.7" customHeight="1" thickTop="1">
      <c r="A29" s="429">
        <v>9</v>
      </c>
      <c r="B29" s="35" t="s">
        <v>70</v>
      </c>
      <c r="C29" s="34" t="s">
        <v>71</v>
      </c>
      <c r="D29" s="35"/>
      <c r="E29" s="35"/>
      <c r="F29" s="35"/>
    </row>
    <row r="30" spans="1:7" ht="20.7" customHeight="1">
      <c r="A30" s="46" t="s">
        <v>72</v>
      </c>
      <c r="B30" s="10"/>
      <c r="C30" s="47" t="s">
        <v>73</v>
      </c>
      <c r="D30" s="43"/>
      <c r="E30" s="42"/>
      <c r="F30" s="44"/>
    </row>
    <row r="31" spans="1:7" ht="20.7" customHeight="1">
      <c r="A31" s="429">
        <v>10</v>
      </c>
      <c r="B31" s="544" t="s">
        <v>74</v>
      </c>
      <c r="C31" s="544"/>
      <c r="D31" s="544"/>
      <c r="E31" s="544"/>
      <c r="F31" s="544"/>
    </row>
    <row r="32" spans="1:7" ht="18" customHeight="1">
      <c r="A32" s="542" t="s">
        <v>75</v>
      </c>
      <c r="B32" s="35"/>
      <c r="C32" s="375" t="s">
        <v>76</v>
      </c>
      <c r="D32" s="40"/>
      <c r="E32" s="41"/>
      <c r="F32" s="42"/>
    </row>
    <row r="33" spans="1:6" ht="20.7" customHeight="1">
      <c r="A33" s="542"/>
      <c r="B33" s="12" t="s">
        <v>58</v>
      </c>
      <c r="C33" s="376" t="s">
        <v>58</v>
      </c>
      <c r="D33" s="43"/>
      <c r="E33" s="42"/>
      <c r="F33" s="44"/>
    </row>
    <row r="34" spans="1:6" ht="20.7" customHeight="1">
      <c r="A34" s="542"/>
      <c r="B34" s="380" t="s">
        <v>77</v>
      </c>
      <c r="C34" s="380" t="s">
        <v>78</v>
      </c>
      <c r="D34" s="380"/>
      <c r="E34" s="380"/>
      <c r="F34" s="380"/>
    </row>
    <row r="35" spans="1:6" ht="20.7" customHeight="1">
      <c r="A35" s="542"/>
      <c r="B35" s="381" t="s">
        <v>79</v>
      </c>
      <c r="C35" s="381" t="s">
        <v>80</v>
      </c>
      <c r="D35" s="378"/>
      <c r="E35" s="379"/>
      <c r="F35" s="37"/>
    </row>
    <row r="36" spans="1:6" ht="20.7" customHeight="1">
      <c r="A36" s="542"/>
      <c r="B36" s="34" t="s">
        <v>81</v>
      </c>
      <c r="C36" s="377" t="s">
        <v>81</v>
      </c>
      <c r="D36" s="43"/>
      <c r="E36" s="42"/>
      <c r="F36" s="44"/>
    </row>
  </sheetData>
  <mergeCells count="6">
    <mergeCell ref="A32:A36"/>
    <mergeCell ref="F1:F2"/>
    <mergeCell ref="B31:F31"/>
    <mergeCell ref="C26:F26"/>
    <mergeCell ref="A4:A8"/>
    <mergeCell ref="A10:A12"/>
  </mergeCells>
  <pageMargins left="0.32" right="0.27" top="0.15" bottom="0.45" header="0.3" footer="0.11"/>
  <pageSetup orientation="portrait" r:id="rId1"/>
  <headerFooter>
    <oddFooter>&amp;LPage@  &amp;P  &amp;D &amp;T&amp;C&amp;A
&amp;R&amp;F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3883-05C5-4F48-9BBB-A6C204E8A15F}">
  <sheetPr codeName="Sheet3">
    <tabColor rgb="FF002060"/>
  </sheetPr>
  <dimension ref="A1:I53"/>
  <sheetViews>
    <sheetView view="pageBreakPreview" topLeftCell="A38" zoomScaleNormal="100" zoomScaleSheetLayoutView="100" workbookViewId="0">
      <selection activeCell="A48" sqref="A48"/>
    </sheetView>
  </sheetViews>
  <sheetFormatPr defaultRowHeight="25.2" customHeight="1"/>
  <cols>
    <col min="1" max="1" width="46" style="183" customWidth="1"/>
    <col min="2" max="2" width="4.5546875" style="183" customWidth="1"/>
    <col min="3" max="3" width="14.44140625" style="183" customWidth="1"/>
    <col min="4" max="4" width="0.44140625" style="222" customWidth="1"/>
    <col min="5" max="5" width="6.6640625" style="183" customWidth="1"/>
    <col min="6" max="6" width="7.109375" style="183" customWidth="1"/>
    <col min="7" max="7" width="9.5546875" customWidth="1"/>
    <col min="8" max="8" width="9.6640625" customWidth="1"/>
  </cols>
  <sheetData>
    <row r="1" spans="1:9" ht="18" customHeight="1">
      <c r="A1" s="182" t="s">
        <v>82</v>
      </c>
      <c r="B1" s="445"/>
      <c r="C1" s="546">
        <v>0</v>
      </c>
      <c r="D1" s="546"/>
      <c r="E1" s="546"/>
      <c r="F1" s="546"/>
      <c r="G1" s="546"/>
    </row>
    <row r="2" spans="1:9" ht="18" customHeight="1">
      <c r="A2" s="184" t="s">
        <v>83</v>
      </c>
      <c r="B2" s="223" t="str">
        <f>+'jobinfo(2)'!B11</f>
        <v>Cause of Loss</v>
      </c>
      <c r="C2" s="502" t="str">
        <f>+'jobinfo(2)'!C11</f>
        <v>WIND HAIL</v>
      </c>
      <c r="D2" s="445"/>
      <c r="E2" s="445"/>
      <c r="F2" s="224" t="str">
        <f>+'jobinfo(2)'!B26</f>
        <v xml:space="preserve">Insurance Co. Name </v>
      </c>
      <c r="G2" s="503" t="str">
        <f>+'jobinfo(2)'!C26</f>
        <v>STATE FARM</v>
      </c>
      <c r="H2" s="503"/>
    </row>
    <row r="3" spans="1:9" ht="16.2" customHeight="1">
      <c r="A3" s="445" t="str">
        <f>+'jobinfo(2)'!C1</f>
        <v>BENJAMIN, SANDRA L.</v>
      </c>
      <c r="B3" s="223" t="str">
        <f>+'jobinfo(2)'!B12</f>
        <v>date of loss</v>
      </c>
      <c r="C3" s="504">
        <f>+'jobinfo(2)'!C12</f>
        <v>45300</v>
      </c>
      <c r="D3" s="505"/>
      <c r="E3" s="505"/>
      <c r="F3" s="224" t="str">
        <f>+'jobinfo(2)'!B27</f>
        <v xml:space="preserve">Claim # </v>
      </c>
      <c r="G3" s="503" t="str">
        <f>+'jobinfo(2)'!C27</f>
        <v>CL 11-</v>
      </c>
      <c r="H3" s="505"/>
      <c r="I3" s="503"/>
    </row>
    <row r="4" spans="1:9" ht="16.2" customHeight="1">
      <c r="A4" s="506" t="str">
        <f>+'jobinfo(2)'!C2</f>
        <v>1441 Thomas Road,</v>
      </c>
      <c r="B4" s="223" t="str">
        <f>+'jobinfo(2)'!B13</f>
        <v>rebuild  type 1</v>
      </c>
      <c r="C4" s="502" t="str">
        <f>+'jobinfo(2)'!C13</f>
        <v>ROOF SHINGLES</v>
      </c>
      <c r="D4" s="445"/>
      <c r="E4" s="445"/>
      <c r="F4" s="224" t="str">
        <f>+'jobinfo(2)'!B28</f>
        <v>policy #</v>
      </c>
      <c r="G4" s="503" t="str">
        <f>+'jobinfo(2)'!C28</f>
        <v>TBD PL#</v>
      </c>
      <c r="H4" s="503"/>
      <c r="I4" s="505"/>
    </row>
    <row r="5" spans="1:9" ht="16.2" customHeight="1">
      <c r="A5" s="445" t="str">
        <f>+'jobinfo(2)'!C3</f>
        <v>Decatur, GA</v>
      </c>
      <c r="B5" s="223" t="str">
        <f>+'jobinfo(2)'!B14</f>
        <v>rebuild  type 2</v>
      </c>
      <c r="C5" s="502" t="str">
        <f>+'jobinfo(2)'!C14</f>
        <v>interior repairs</v>
      </c>
      <c r="D5" s="445"/>
      <c r="E5" s="507"/>
      <c r="F5" s="224" t="str">
        <f>+'jobinfo(2)'!B29</f>
        <v>Email INS. co.</v>
      </c>
      <c r="G5" s="503" t="str">
        <f>+'jobinfo(2)'!C29</f>
        <v>STATEFARMFIRECLAIMS@STATEFARM.COM</v>
      </c>
      <c r="H5" s="505"/>
      <c r="I5" s="503"/>
    </row>
    <row r="6" spans="1:9" ht="16.2" customHeight="1">
      <c r="A6" s="506" t="str">
        <f>+'jobinfo(2)'!C4</f>
        <v>stephanie@trisproductions.com</v>
      </c>
      <c r="B6" s="223" t="str">
        <f>+'jobinfo(2)'!B15</f>
        <v>rebuild  type 3</v>
      </c>
      <c r="C6" s="502" t="str">
        <f>+'jobinfo(2)'!C15</f>
        <v>exterior repairs</v>
      </c>
      <c r="D6" s="445"/>
      <c r="E6" s="507"/>
      <c r="F6" s="224" t="str">
        <f>+'jobinfo(2)'!B30</f>
        <v>DESK Adjuster DA</v>
      </c>
      <c r="G6" s="503" t="str">
        <f>+'jobinfo(2)'!C30</f>
        <v>DA</v>
      </c>
      <c r="H6" s="505"/>
      <c r="I6" s="505"/>
    </row>
    <row r="7" spans="1:9" ht="16.2" customHeight="1">
      <c r="A7" s="445" t="str">
        <f>+'jobinfo(2)'!C5</f>
        <v>678) 361-6713</v>
      </c>
      <c r="B7" s="223" t="str">
        <f>+'jobinfo(2)'!B16</f>
        <v>DEMO</v>
      </c>
      <c r="C7" s="502" t="str">
        <f>+'jobinfo(2)'!C16</f>
        <v>Y</v>
      </c>
      <c r="D7" s="445"/>
      <c r="E7" s="507"/>
      <c r="F7" s="224" t="str">
        <f>+'jobinfo(2)'!B31</f>
        <v>DA Phone</v>
      </c>
      <c r="G7" s="503" t="str">
        <f>+'jobinfo(2)'!C31</f>
        <v>DA PH</v>
      </c>
      <c r="H7" s="505"/>
    </row>
    <row r="8" spans="1:9" ht="3" customHeight="1">
      <c r="A8" s="508"/>
      <c r="B8" s="508"/>
      <c r="C8" s="508"/>
      <c r="D8" s="186"/>
      <c r="E8" s="508"/>
      <c r="F8" s="187"/>
      <c r="G8" s="187"/>
      <c r="H8" s="187"/>
    </row>
    <row r="9" spans="1:9" ht="16.2" customHeight="1">
      <c r="A9" s="509" t="s">
        <v>84</v>
      </c>
      <c r="B9" s="188" t="s">
        <v>85</v>
      </c>
      <c r="C9" s="189" t="s">
        <v>86</v>
      </c>
      <c r="D9" s="190" t="s">
        <v>23</v>
      </c>
      <c r="E9" s="191" t="s">
        <v>87</v>
      </c>
      <c r="F9" s="192" t="s">
        <v>88</v>
      </c>
      <c r="G9" s="189" t="s">
        <v>89</v>
      </c>
      <c r="H9" s="547" t="s">
        <v>90</v>
      </c>
    </row>
    <row r="10" spans="1:9" s="197" customFormat="1" ht="16.2" customHeight="1">
      <c r="A10" s="193" t="s">
        <v>91</v>
      </c>
      <c r="B10" s="194">
        <v>3</v>
      </c>
      <c r="C10" s="548" t="s">
        <v>92</v>
      </c>
      <c r="D10" s="190" t="s">
        <v>23</v>
      </c>
      <c r="E10" s="195" t="s">
        <v>93</v>
      </c>
      <c r="F10" s="196" t="s">
        <v>93</v>
      </c>
      <c r="G10" s="195" t="s">
        <v>93</v>
      </c>
      <c r="H10" s="547"/>
    </row>
    <row r="11" spans="1:9" s="197" customFormat="1" ht="16.2" customHeight="1">
      <c r="A11" s="198" t="s">
        <v>94</v>
      </c>
      <c r="B11" s="199">
        <v>20</v>
      </c>
      <c r="C11" s="548"/>
      <c r="D11" s="190" t="s">
        <v>23</v>
      </c>
      <c r="E11" s="196" t="s">
        <v>93</v>
      </c>
      <c r="F11" s="195" t="s">
        <v>93</v>
      </c>
      <c r="G11" s="196" t="s">
        <v>93</v>
      </c>
      <c r="H11" s="547"/>
    </row>
    <row r="12" spans="1:9" ht="19.95" customHeight="1">
      <c r="A12" s="510" t="s">
        <v>95</v>
      </c>
      <c r="B12" s="550">
        <v>25</v>
      </c>
      <c r="C12" s="196" t="s">
        <v>96</v>
      </c>
      <c r="D12" s="190" t="s">
        <v>23</v>
      </c>
      <c r="E12" s="196" t="s">
        <v>93</v>
      </c>
      <c r="F12" s="195" t="s">
        <v>93</v>
      </c>
      <c r="G12" s="196" t="s">
        <v>93</v>
      </c>
      <c r="H12" s="549" t="s">
        <v>97</v>
      </c>
    </row>
    <row r="13" spans="1:9" ht="19.95" customHeight="1">
      <c r="A13" s="445" t="s">
        <v>98</v>
      </c>
      <c r="B13" s="550"/>
      <c r="C13" s="202" t="s">
        <v>93</v>
      </c>
      <c r="D13" s="190" t="s">
        <v>23</v>
      </c>
      <c r="E13" s="196" t="s">
        <v>93</v>
      </c>
      <c r="F13" s="195" t="s">
        <v>93</v>
      </c>
      <c r="G13" s="196" t="s">
        <v>93</v>
      </c>
      <c r="H13" s="549"/>
    </row>
    <row r="14" spans="1:9" ht="19.95" customHeight="1">
      <c r="A14" s="510" t="s">
        <v>99</v>
      </c>
      <c r="B14" s="200">
        <v>1</v>
      </c>
      <c r="C14" s="196" t="s">
        <v>93</v>
      </c>
      <c r="D14" s="190" t="s">
        <v>23</v>
      </c>
      <c r="E14" s="196" t="s">
        <v>93</v>
      </c>
      <c r="F14" s="195" t="s">
        <v>93</v>
      </c>
      <c r="G14" s="196" t="s">
        <v>93</v>
      </c>
      <c r="H14" s="549"/>
    </row>
    <row r="15" spans="1:9" ht="19.95" customHeight="1">
      <c r="A15" s="445" t="s">
        <v>100</v>
      </c>
      <c r="B15" s="203">
        <v>1</v>
      </c>
      <c r="C15" s="202" t="s">
        <v>93</v>
      </c>
      <c r="D15" s="190" t="s">
        <v>23</v>
      </c>
      <c r="E15" s="196" t="s">
        <v>93</v>
      </c>
      <c r="F15" s="195" t="s">
        <v>93</v>
      </c>
      <c r="G15" s="196" t="s">
        <v>93</v>
      </c>
      <c r="H15" s="549"/>
    </row>
    <row r="16" spans="1:9" ht="19.95" customHeight="1">
      <c r="A16" s="510" t="s">
        <v>101</v>
      </c>
      <c r="B16" s="509">
        <v>3</v>
      </c>
      <c r="C16" s="196" t="s">
        <v>93</v>
      </c>
      <c r="D16" s="190" t="s">
        <v>23</v>
      </c>
      <c r="E16" s="204" t="s">
        <v>93</v>
      </c>
      <c r="F16" s="205" t="s">
        <v>93</v>
      </c>
      <c r="G16" s="204" t="s">
        <v>93</v>
      </c>
      <c r="H16" s="549"/>
    </row>
    <row r="17" spans="1:9" s="208" customFormat="1" ht="19.95" customHeight="1">
      <c r="A17" s="92" t="s">
        <v>102</v>
      </c>
      <c r="B17" s="196">
        <v>6</v>
      </c>
      <c r="C17" s="206" t="s">
        <v>93</v>
      </c>
      <c r="D17" s="190" t="s">
        <v>23</v>
      </c>
      <c r="E17" s="195" t="s">
        <v>93</v>
      </c>
      <c r="F17" s="196" t="s">
        <v>93</v>
      </c>
      <c r="G17" s="195" t="s">
        <v>93</v>
      </c>
      <c r="H17" s="350" t="s">
        <v>103</v>
      </c>
    </row>
    <row r="18" spans="1:9" s="208" customFormat="1" ht="3" customHeight="1">
      <c r="A18" s="508"/>
      <c r="B18" s="511"/>
      <c r="C18" s="209"/>
      <c r="D18" s="190" t="s">
        <v>23</v>
      </c>
      <c r="E18" s="508"/>
      <c r="F18" s="508"/>
      <c r="G18" s="508"/>
      <c r="H18" s="512"/>
    </row>
    <row r="19" spans="1:9" ht="22.2" customHeight="1">
      <c r="A19" s="210" t="s">
        <v>104</v>
      </c>
      <c r="B19" s="211"/>
      <c r="C19" s="561" t="s">
        <v>105</v>
      </c>
      <c r="D19" s="190" t="s">
        <v>23</v>
      </c>
      <c r="E19" s="196" t="s">
        <v>93</v>
      </c>
      <c r="F19" s="195" t="s">
        <v>93</v>
      </c>
      <c r="G19" s="196" t="s">
        <v>93</v>
      </c>
      <c r="H19" s="351" t="s">
        <v>106</v>
      </c>
    </row>
    <row r="20" spans="1:9" ht="22.2" customHeight="1">
      <c r="A20" s="217" t="s">
        <v>107</v>
      </c>
      <c r="B20" s="211"/>
      <c r="C20" s="561"/>
      <c r="D20" s="190"/>
      <c r="E20" s="196"/>
      <c r="F20" s="195"/>
      <c r="G20" s="196"/>
      <c r="H20" s="212"/>
    </row>
    <row r="21" spans="1:9" ht="22.2" customHeight="1">
      <c r="A21" s="445" t="s">
        <v>108</v>
      </c>
      <c r="B21" s="509"/>
      <c r="C21" s="201" t="s">
        <v>93</v>
      </c>
      <c r="D21" s="190" t="s">
        <v>23</v>
      </c>
      <c r="E21" s="195" t="s">
        <v>93</v>
      </c>
      <c r="F21" s="196" t="s">
        <v>93</v>
      </c>
      <c r="G21" s="195" t="s">
        <v>93</v>
      </c>
      <c r="H21" s="213"/>
    </row>
    <row r="22" spans="1:9" ht="22.2" customHeight="1">
      <c r="A22" s="510" t="s">
        <v>109</v>
      </c>
      <c r="B22" s="513"/>
      <c r="C22" s="214" t="s">
        <v>93</v>
      </c>
      <c r="D22" s="190" t="s">
        <v>23</v>
      </c>
      <c r="E22" s="196" t="s">
        <v>93</v>
      </c>
      <c r="F22" s="195" t="s">
        <v>93</v>
      </c>
      <c r="G22" s="196" t="s">
        <v>93</v>
      </c>
      <c r="H22" s="215"/>
    </row>
    <row r="23" spans="1:9" ht="3" customHeight="1">
      <c r="A23" s="508"/>
      <c r="B23" s="511"/>
      <c r="C23" s="209"/>
      <c r="D23" s="190" t="s">
        <v>23</v>
      </c>
      <c r="E23" s="508"/>
      <c r="F23" s="508"/>
      <c r="G23" s="508"/>
      <c r="H23" s="508"/>
      <c r="I23" s="208"/>
    </row>
    <row r="24" spans="1:9" ht="22.95" customHeight="1">
      <c r="A24" s="445" t="s">
        <v>110</v>
      </c>
      <c r="B24" s="200" t="s">
        <v>93</v>
      </c>
      <c r="C24" s="216" t="s">
        <v>111</v>
      </c>
      <c r="D24" s="190" t="s">
        <v>23</v>
      </c>
      <c r="E24" s="550" t="s">
        <v>92</v>
      </c>
      <c r="F24" s="196" t="s">
        <v>93</v>
      </c>
      <c r="G24" s="195" t="s">
        <v>93</v>
      </c>
      <c r="H24" s="552" t="s">
        <v>112</v>
      </c>
    </row>
    <row r="25" spans="1:9" ht="22.95" customHeight="1">
      <c r="A25" s="514" t="s">
        <v>113</v>
      </c>
      <c r="B25" s="200" t="s">
        <v>93</v>
      </c>
      <c r="C25" s="445" t="s">
        <v>114</v>
      </c>
      <c r="D25" s="190" t="s">
        <v>23</v>
      </c>
      <c r="E25" s="550"/>
      <c r="F25" s="195" t="s">
        <v>93</v>
      </c>
      <c r="G25" s="196" t="s">
        <v>93</v>
      </c>
      <c r="H25" s="552"/>
    </row>
    <row r="26" spans="1:9" s="185" customFormat="1" ht="3" customHeight="1">
      <c r="A26" s="508"/>
      <c r="B26" s="508"/>
      <c r="C26" s="508"/>
      <c r="D26" s="508"/>
      <c r="E26" s="508"/>
      <c r="F26" s="508"/>
      <c r="G26" s="508"/>
      <c r="H26" s="508"/>
      <c r="I26" s="508"/>
    </row>
    <row r="27" spans="1:9" ht="22.95" customHeight="1">
      <c r="A27" s="210" t="s">
        <v>115</v>
      </c>
      <c r="B27" s="200" t="s">
        <v>93</v>
      </c>
      <c r="C27" s="562" t="s">
        <v>116</v>
      </c>
      <c r="D27" s="190" t="s">
        <v>23</v>
      </c>
      <c r="E27" s="196" t="s">
        <v>93</v>
      </c>
      <c r="F27" s="195" t="s">
        <v>93</v>
      </c>
      <c r="G27" s="196" t="s">
        <v>93</v>
      </c>
      <c r="H27" s="560"/>
    </row>
    <row r="28" spans="1:9" ht="22.95" customHeight="1">
      <c r="A28" s="218" t="s">
        <v>117</v>
      </c>
      <c r="B28" s="201" t="s">
        <v>93</v>
      </c>
      <c r="C28" s="562"/>
      <c r="D28" s="190" t="s">
        <v>23</v>
      </c>
      <c r="E28" s="195" t="s">
        <v>93</v>
      </c>
      <c r="F28" s="196" t="s">
        <v>93</v>
      </c>
      <c r="G28" s="195" t="s">
        <v>93</v>
      </c>
      <c r="H28" s="560"/>
    </row>
    <row r="29" spans="1:9" ht="3" customHeight="1">
      <c r="A29" s="508"/>
      <c r="B29" s="508"/>
      <c r="C29" s="508"/>
      <c r="D29" s="508"/>
      <c r="E29" s="508"/>
      <c r="F29" s="508"/>
      <c r="G29" s="508"/>
      <c r="H29" s="508"/>
    </row>
    <row r="30" spans="1:9" ht="22.95" customHeight="1">
      <c r="A30" s="219" t="s">
        <v>118</v>
      </c>
      <c r="B30" s="200" t="s">
        <v>93</v>
      </c>
      <c r="C30" s="551" t="s">
        <v>119</v>
      </c>
      <c r="D30" s="190" t="s">
        <v>23</v>
      </c>
      <c r="E30" s="196" t="s">
        <v>92</v>
      </c>
      <c r="F30" s="202" t="s">
        <v>93</v>
      </c>
      <c r="G30" s="202" t="s">
        <v>93</v>
      </c>
      <c r="H30" s="552" t="s">
        <v>44</v>
      </c>
    </row>
    <row r="31" spans="1:9" ht="22.2" customHeight="1">
      <c r="A31" s="554" t="s">
        <v>120</v>
      </c>
      <c r="B31" s="554"/>
      <c r="C31" s="551"/>
      <c r="D31" s="190" t="s">
        <v>23</v>
      </c>
      <c r="E31" s="191" t="s">
        <v>87</v>
      </c>
      <c r="F31" s="67" t="s">
        <v>88</v>
      </c>
      <c r="G31" s="191" t="s">
        <v>89</v>
      </c>
      <c r="H31" s="552"/>
    </row>
    <row r="32" spans="1:9" ht="3" customHeight="1">
      <c r="A32" s="220"/>
      <c r="B32" s="220"/>
      <c r="C32" s="220"/>
      <c r="D32" s="220"/>
      <c r="E32" s="220"/>
      <c r="F32" s="220"/>
      <c r="G32" s="220"/>
      <c r="H32" s="220"/>
    </row>
    <row r="33" spans="1:8" ht="19.2" customHeight="1">
      <c r="A33" s="510" t="s">
        <v>121</v>
      </c>
      <c r="B33" s="200" t="s">
        <v>93</v>
      </c>
      <c r="C33" s="559" t="s">
        <v>122</v>
      </c>
      <c r="D33" s="190" t="s">
        <v>23</v>
      </c>
      <c r="E33" s="200" t="s">
        <v>93</v>
      </c>
      <c r="F33" s="196" t="str">
        <f>+F30</f>
        <v>[   ]</v>
      </c>
      <c r="G33" s="196" t="s">
        <v>93</v>
      </c>
      <c r="H33" s="560" t="s">
        <v>123</v>
      </c>
    </row>
    <row r="34" spans="1:8" ht="19.2" customHeight="1">
      <c r="A34" s="515" t="s">
        <v>124</v>
      </c>
      <c r="B34" s="196" t="s">
        <v>93</v>
      </c>
      <c r="C34" s="559"/>
      <c r="D34" s="190"/>
      <c r="E34" s="196" t="s">
        <v>93</v>
      </c>
      <c r="F34" s="195" t="s">
        <v>93</v>
      </c>
      <c r="G34" s="195" t="s">
        <v>93</v>
      </c>
      <c r="H34" s="560"/>
    </row>
    <row r="35" spans="1:8" ht="19.2" customHeight="1">
      <c r="A35" s="515" t="s">
        <v>125</v>
      </c>
      <c r="B35" s="195" t="s">
        <v>93</v>
      </c>
      <c r="C35" s="559"/>
      <c r="D35" s="190"/>
      <c r="E35" s="195" t="s">
        <v>93</v>
      </c>
      <c r="F35" s="196" t="s">
        <v>93</v>
      </c>
      <c r="G35" s="196" t="s">
        <v>93</v>
      </c>
      <c r="H35" s="560"/>
    </row>
    <row r="36" spans="1:8" ht="1.95" customHeight="1">
      <c r="A36" s="220"/>
      <c r="B36" s="220"/>
      <c r="C36" s="220"/>
      <c r="D36" s="220"/>
      <c r="E36" s="220"/>
      <c r="F36" s="220"/>
      <c r="G36" s="220"/>
      <c r="H36" s="220"/>
    </row>
    <row r="37" spans="1:8" ht="19.2" customHeight="1">
      <c r="A37" s="510" t="s">
        <v>126</v>
      </c>
      <c r="B37" s="196" t="s">
        <v>93</v>
      </c>
      <c r="C37" s="555" t="s">
        <v>127</v>
      </c>
      <c r="D37" s="190" t="s">
        <v>23</v>
      </c>
      <c r="E37" s="196" t="s">
        <v>93</v>
      </c>
      <c r="F37" s="195" t="s">
        <v>93</v>
      </c>
      <c r="G37" s="195" t="s">
        <v>93</v>
      </c>
      <c r="H37" s="556" t="s">
        <v>128</v>
      </c>
    </row>
    <row r="38" spans="1:8" ht="19.2" customHeight="1">
      <c r="A38" s="515" t="s">
        <v>124</v>
      </c>
      <c r="B38" s="195" t="s">
        <v>93</v>
      </c>
      <c r="C38" s="555"/>
      <c r="D38" s="190"/>
      <c r="E38" s="195" t="s">
        <v>93</v>
      </c>
      <c r="F38" s="196" t="s">
        <v>93</v>
      </c>
      <c r="G38" s="196" t="s">
        <v>93</v>
      </c>
      <c r="H38" s="556"/>
    </row>
    <row r="39" spans="1:8" ht="19.2" customHeight="1">
      <c r="A39" s="515" t="s">
        <v>125</v>
      </c>
      <c r="B39" s="196" t="s">
        <v>93</v>
      </c>
      <c r="C39" s="555"/>
      <c r="D39" s="190"/>
      <c r="E39" s="196" t="s">
        <v>93</v>
      </c>
      <c r="F39" s="195" t="s">
        <v>93</v>
      </c>
      <c r="G39" s="195" t="s">
        <v>93</v>
      </c>
      <c r="H39" s="556"/>
    </row>
    <row r="40" spans="1:8" ht="1.95" customHeight="1">
      <c r="A40" s="220"/>
      <c r="B40" s="220"/>
      <c r="C40" s="220"/>
      <c r="D40" s="220"/>
      <c r="E40" s="220"/>
      <c r="F40" s="220"/>
      <c r="G40" s="220"/>
      <c r="H40" s="220"/>
    </row>
    <row r="41" spans="1:8" ht="16.95" customHeight="1">
      <c r="A41" s="510" t="s">
        <v>129</v>
      </c>
      <c r="B41" s="195" t="s">
        <v>93</v>
      </c>
      <c r="C41" s="196" t="s">
        <v>130</v>
      </c>
      <c r="D41" s="190" t="s">
        <v>23</v>
      </c>
      <c r="E41" s="195" t="s">
        <v>93</v>
      </c>
      <c r="F41" s="196" t="s">
        <v>93</v>
      </c>
      <c r="G41" s="196" t="s">
        <v>93</v>
      </c>
      <c r="H41" s="207"/>
    </row>
    <row r="42" spans="1:8" ht="1.95" customHeight="1">
      <c r="A42" s="220"/>
      <c r="B42" s="220"/>
      <c r="C42" s="220"/>
      <c r="D42" s="220"/>
      <c r="E42" s="220"/>
      <c r="F42" s="220"/>
      <c r="G42" s="220"/>
      <c r="H42" s="220"/>
    </row>
    <row r="43" spans="1:8" ht="16.95" customHeight="1">
      <c r="A43" s="510" t="s">
        <v>131</v>
      </c>
      <c r="B43" s="196" t="s">
        <v>93</v>
      </c>
      <c r="C43" s="557" t="s">
        <v>132</v>
      </c>
      <c r="D43" s="190" t="s">
        <v>23</v>
      </c>
      <c r="E43" s="196" t="s">
        <v>93</v>
      </c>
      <c r="F43" s="195" t="s">
        <v>93</v>
      </c>
      <c r="G43" s="195" t="s">
        <v>93</v>
      </c>
      <c r="H43" s="558" t="s">
        <v>133</v>
      </c>
    </row>
    <row r="44" spans="1:8" ht="18" customHeight="1">
      <c r="A44" s="515" t="s">
        <v>124</v>
      </c>
      <c r="B44" s="195" t="s">
        <v>93</v>
      </c>
      <c r="C44" s="557"/>
      <c r="D44" s="190"/>
      <c r="E44" s="195" t="s">
        <v>93</v>
      </c>
      <c r="F44" s="196" t="s">
        <v>93</v>
      </c>
      <c r="G44" s="196" t="s">
        <v>93</v>
      </c>
      <c r="H44" s="558"/>
    </row>
    <row r="45" spans="1:8" ht="18" customHeight="1">
      <c r="A45" s="515" t="s">
        <v>125</v>
      </c>
      <c r="B45" s="196" t="s">
        <v>93</v>
      </c>
      <c r="C45" s="557"/>
      <c r="D45" s="190"/>
      <c r="E45" s="196" t="s">
        <v>93</v>
      </c>
      <c r="F45" s="195" t="s">
        <v>93</v>
      </c>
      <c r="G45" s="195" t="s">
        <v>93</v>
      </c>
      <c r="H45" s="558"/>
    </row>
    <row r="46" spans="1:8" ht="1.2" customHeight="1">
      <c r="A46" s="220"/>
      <c r="B46" s="220"/>
      <c r="C46" s="220"/>
      <c r="D46" s="220"/>
      <c r="E46" s="220"/>
      <c r="F46" s="220"/>
      <c r="G46" s="220"/>
      <c r="H46" s="220"/>
    </row>
    <row r="47" spans="1:8" ht="18" customHeight="1">
      <c r="A47" s="516" t="s">
        <v>134</v>
      </c>
      <c r="B47" s="445"/>
      <c r="C47" s="553">
        <v>0</v>
      </c>
      <c r="D47" s="553"/>
      <c r="E47" s="553"/>
      <c r="F47" s="553"/>
      <c r="G47" s="553"/>
      <c r="H47" s="221"/>
    </row>
    <row r="48" spans="1:8" ht="25.2" customHeight="1">
      <c r="A48" s="445"/>
      <c r="B48" s="445"/>
      <c r="C48" s="445"/>
      <c r="D48" s="517"/>
      <c r="E48" s="445"/>
      <c r="F48" s="445"/>
      <c r="H48" s="221"/>
    </row>
    <row r="49" spans="8:8" ht="25.2" customHeight="1">
      <c r="H49" s="221"/>
    </row>
    <row r="50" spans="8:8" ht="25.2" customHeight="1">
      <c r="H50" s="221"/>
    </row>
    <row r="51" spans="8:8" ht="25.2" customHeight="1">
      <c r="H51" s="221"/>
    </row>
    <row r="52" spans="8:8" ht="25.2" customHeight="1">
      <c r="H52" s="221"/>
    </row>
    <row r="53" spans="8:8" ht="25.2" customHeight="1">
      <c r="H53" s="221"/>
    </row>
  </sheetData>
  <mergeCells count="20">
    <mergeCell ref="C19:C20"/>
    <mergeCell ref="E24:E25"/>
    <mergeCell ref="H24:H25"/>
    <mergeCell ref="C27:C28"/>
    <mergeCell ref="H27:H28"/>
    <mergeCell ref="C30:C31"/>
    <mergeCell ref="H30:H31"/>
    <mergeCell ref="C47:G47"/>
    <mergeCell ref="A31:B31"/>
    <mergeCell ref="C37:C39"/>
    <mergeCell ref="H37:H39"/>
    <mergeCell ref="C43:C45"/>
    <mergeCell ref="H43:H45"/>
    <mergeCell ref="C33:C35"/>
    <mergeCell ref="H33:H35"/>
    <mergeCell ref="C1:G1"/>
    <mergeCell ref="H9:H11"/>
    <mergeCell ref="C10:C11"/>
    <mergeCell ref="H12:H16"/>
    <mergeCell ref="B12:B13"/>
  </mergeCells>
  <printOptions gridLines="1"/>
  <pageMargins left="0.49" right="0.24" top="0.17" bottom="0.44" header="0.17" footer="0.17"/>
  <pageSetup orientation="portrait" r:id="rId1"/>
  <headerFooter>
    <oddFooter>&amp;L&amp;D&amp;T&amp;C&amp;A&amp;R&amp;F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C063-E2F4-4EC5-AB5B-31779E308B4C}">
  <sheetPr codeName="Sheet22"/>
  <dimension ref="A1:M179"/>
  <sheetViews>
    <sheetView tabSelected="1" topLeftCell="A50" zoomScaleNormal="100" zoomScaleSheetLayoutView="96" workbookViewId="0">
      <selection activeCell="B50" sqref="B50"/>
    </sheetView>
  </sheetViews>
  <sheetFormatPr defaultRowHeight="18"/>
  <cols>
    <col min="1" max="1" width="5.88671875" style="1" customWidth="1"/>
    <col min="2" max="2" width="23.77734375" style="1" customWidth="1"/>
    <col min="3" max="3" width="27.44140625" style="445" bestFit="1" customWidth="1"/>
    <col min="4" max="4" width="28.109375" style="1" bestFit="1" customWidth="1"/>
    <col min="5" max="5" width="18.5546875" style="1" customWidth="1"/>
    <col min="6" max="6" width="18.33203125" style="1" customWidth="1"/>
    <col min="7" max="7" width="12.88671875" style="1" customWidth="1"/>
  </cols>
  <sheetData>
    <row r="1" spans="1:6" ht="19.5" customHeight="1" thickTop="1">
      <c r="A1" s="625" t="s">
        <v>453</v>
      </c>
      <c r="B1" s="152" t="s">
        <v>454</v>
      </c>
      <c r="C1" s="639" t="s">
        <v>658</v>
      </c>
      <c r="D1" s="139" t="s">
        <v>455</v>
      </c>
    </row>
    <row r="2" spans="1:6" ht="15.6">
      <c r="A2" s="626"/>
      <c r="B2" s="97" t="s">
        <v>456</v>
      </c>
      <c r="C2" s="640" t="str">
        <f>'[5]jobinfo(2)'!$C$2</f>
        <v>1441 Thomas Road,</v>
      </c>
      <c r="D2" s="630" t="s">
        <v>457</v>
      </c>
    </row>
    <row r="3" spans="1:6" ht="22.8">
      <c r="A3" s="626"/>
      <c r="B3" s="433" t="s">
        <v>458</v>
      </c>
      <c r="C3" s="640" t="str">
        <f>'[5]jobinfo(2)'!$C$3</f>
        <v>Decatur, GA</v>
      </c>
      <c r="D3" s="630"/>
    </row>
    <row r="4" spans="1:6" ht="15.6">
      <c r="A4" s="626"/>
      <c r="B4" s="97" t="s">
        <v>459</v>
      </c>
      <c r="C4" s="641" t="str">
        <f>'[5]jobinfo(2)'!$C$4</f>
        <v>stephanie@trisproductions.com</v>
      </c>
      <c r="D4" s="630"/>
    </row>
    <row r="5" spans="1:6" ht="15.6">
      <c r="A5" s="626"/>
      <c r="B5" s="158" t="s">
        <v>460</v>
      </c>
      <c r="C5" s="642" t="str">
        <f>'[5]jobinfo(2)'!$C$5</f>
        <v>678) 361-6713</v>
      </c>
      <c r="D5" s="630"/>
    </row>
    <row r="6" spans="1:6" ht="16.2">
      <c r="A6" s="626"/>
      <c r="B6" s="159" t="s">
        <v>461</v>
      </c>
      <c r="C6" s="347" t="str">
        <f>'[5]jobinfo(2)'!$C$6</f>
        <v>TBD</v>
      </c>
      <c r="D6" s="630"/>
    </row>
    <row r="7" spans="1:6" ht="15.6">
      <c r="A7" s="626"/>
      <c r="B7" s="160" t="s">
        <v>462</v>
      </c>
      <c r="C7" s="347" t="str">
        <f>'[5]jobinfo(2)'!$C$7</f>
        <v>TBD</v>
      </c>
      <c r="D7" s="630"/>
    </row>
    <row r="8" spans="1:6" ht="15.6">
      <c r="A8" s="626"/>
      <c r="B8" s="96" t="s">
        <v>463</v>
      </c>
      <c r="C8" s="347" t="str">
        <f>'[5]jobinfo(2)'!$C$8</f>
        <v>TBD</v>
      </c>
      <c r="D8" s="630"/>
      <c r="E8" s="100" t="s">
        <v>464</v>
      </c>
    </row>
    <row r="9" spans="1:6" ht="15.6">
      <c r="A9" s="626"/>
      <c r="B9" s="161" t="s">
        <v>465</v>
      </c>
      <c r="C9" s="347" t="str">
        <f>'[5]jobinfo(2)'!$C$9</f>
        <v>TBD</v>
      </c>
      <c r="D9" s="630"/>
      <c r="E9" s="1" t="s">
        <v>466</v>
      </c>
    </row>
    <row r="10" spans="1:6" ht="15.6">
      <c r="A10" s="626"/>
      <c r="B10" s="96" t="s">
        <v>467</v>
      </c>
      <c r="C10" s="347" t="str">
        <f>'[5]jobinfo(2)'!$C$10</f>
        <v>TBD</v>
      </c>
      <c r="D10" s="630"/>
      <c r="E10" s="66" t="s">
        <v>468</v>
      </c>
    </row>
    <row r="11" spans="1:6" ht="20.399999999999999">
      <c r="A11" s="627" t="s">
        <v>469</v>
      </c>
      <c r="B11" s="162" t="s">
        <v>464</v>
      </c>
      <c r="C11" s="347" t="str">
        <f>'[5]jobinfo(2)'!$C$11</f>
        <v>WIND HAIL</v>
      </c>
      <c r="D11" s="140" t="s">
        <v>470</v>
      </c>
      <c r="E11" s="64" t="s">
        <v>471</v>
      </c>
    </row>
    <row r="12" spans="1:6" ht="20.399999999999999">
      <c r="A12" s="627"/>
      <c r="B12" s="103" t="s">
        <v>472</v>
      </c>
      <c r="C12" s="643">
        <f>'[5]jobinfo(2)'!$C$12</f>
        <v>45300</v>
      </c>
      <c r="D12" s="141" t="s">
        <v>473</v>
      </c>
      <c r="E12" s="101" t="s">
        <v>474</v>
      </c>
    </row>
    <row r="13" spans="1:6">
      <c r="A13" s="627"/>
      <c r="B13" s="102" t="s">
        <v>475</v>
      </c>
      <c r="C13" s="88" t="str">
        <f>'[5]jobinfo(2)'!$C$13</f>
        <v>ROOF SHINGLES</v>
      </c>
      <c r="D13" s="142" t="s">
        <v>476</v>
      </c>
      <c r="E13" s="101" t="s">
        <v>477</v>
      </c>
    </row>
    <row r="14" spans="1:6">
      <c r="A14" s="627"/>
      <c r="B14" s="103" t="s">
        <v>478</v>
      </c>
      <c r="C14" s="88" t="str">
        <f>'[5]jobinfo(2)'!$C$14</f>
        <v>interior repairs</v>
      </c>
      <c r="D14" s="143" t="s">
        <v>479</v>
      </c>
      <c r="E14" s="66" t="s">
        <v>480</v>
      </c>
    </row>
    <row r="15" spans="1:6">
      <c r="A15" s="627"/>
      <c r="B15" s="102" t="s">
        <v>481</v>
      </c>
      <c r="C15" s="88" t="str">
        <f>'[5]jobinfo(2)'!$C$15</f>
        <v>exterior repairs</v>
      </c>
      <c r="D15" s="143" t="s">
        <v>482</v>
      </c>
      <c r="E15" s="66" t="s">
        <v>483</v>
      </c>
      <c r="F15" s="101" t="s">
        <v>484</v>
      </c>
    </row>
    <row r="16" spans="1:6" ht="20.399999999999999">
      <c r="A16" s="627"/>
      <c r="B16" s="99" t="s">
        <v>485</v>
      </c>
      <c r="C16" s="347" t="str">
        <f>'[5]jobinfo(2)'!$C$16</f>
        <v>Y</v>
      </c>
      <c r="D16" s="140"/>
      <c r="E16" s="66" t="s">
        <v>486</v>
      </c>
    </row>
    <row r="17" spans="1:5" ht="20.399999999999999">
      <c r="A17" s="627"/>
      <c r="B17" s="104" t="s">
        <v>487</v>
      </c>
      <c r="C17" s="347" t="str">
        <f>'[5]jobinfo(2)'!$C$17</f>
        <v>Y</v>
      </c>
      <c r="D17" s="140"/>
    </row>
    <row r="18" spans="1:5" ht="20.399999999999999">
      <c r="A18" s="627"/>
      <c r="B18" s="163" t="s">
        <v>157</v>
      </c>
      <c r="C18" s="347" t="str">
        <f>'[5]jobinfo(2)'!$C$18</f>
        <v>TBD</v>
      </c>
      <c r="D18" s="140"/>
      <c r="E18" s="105" t="s">
        <v>475</v>
      </c>
    </row>
    <row r="19" spans="1:5" ht="20.399999999999999">
      <c r="A19" s="628" t="s">
        <v>488</v>
      </c>
      <c r="B19" s="106" t="s">
        <v>489</v>
      </c>
      <c r="C19" s="347" t="str">
        <f>'[5]jobinfo(2)'!$C$19</f>
        <v>Y</v>
      </c>
      <c r="D19" s="140"/>
      <c r="E19" s="103" t="s">
        <v>482</v>
      </c>
    </row>
    <row r="20" spans="1:5" ht="20.399999999999999">
      <c r="A20" s="628"/>
      <c r="B20" s="107" t="s">
        <v>490</v>
      </c>
      <c r="C20" s="347" t="str">
        <f>'[5]jobinfo(2)'!$C$20</f>
        <v>Y</v>
      </c>
      <c r="D20" s="140"/>
      <c r="E20" s="103" t="s">
        <v>479</v>
      </c>
    </row>
    <row r="21" spans="1:5" ht="20.399999999999999">
      <c r="A21" s="628"/>
      <c r="B21" s="98" t="s">
        <v>491</v>
      </c>
      <c r="C21" s="88" t="str">
        <f>'[5]jobinfo(2)'!$C$21</f>
        <v>TBD</v>
      </c>
      <c r="D21" s="140"/>
      <c r="E21" s="103" t="s">
        <v>215</v>
      </c>
    </row>
    <row r="22" spans="1:5" ht="20.399999999999999">
      <c r="A22" s="628"/>
      <c r="B22" s="164" t="s">
        <v>492</v>
      </c>
      <c r="C22" s="644">
        <v>45301</v>
      </c>
      <c r="D22" s="140" t="s">
        <v>215</v>
      </c>
      <c r="E22" s="1" t="s">
        <v>476</v>
      </c>
    </row>
    <row r="23" spans="1:5" ht="20.399999999999999">
      <c r="A23" s="108"/>
      <c r="B23" s="96" t="s">
        <v>493</v>
      </c>
      <c r="C23" s="347" t="str">
        <f>'[5]jobinfo(2)'!$C$23</f>
        <v>Y</v>
      </c>
      <c r="D23" s="144" t="s">
        <v>494</v>
      </c>
      <c r="E23" s="1" t="s">
        <v>495</v>
      </c>
    </row>
    <row r="24" spans="1:5" ht="20.399999999999999">
      <c r="A24" s="108"/>
      <c r="B24" s="98" t="s">
        <v>496</v>
      </c>
      <c r="C24" s="347" t="str">
        <f>'[5]jobinfo(2)'!$C$24</f>
        <v>Y</v>
      </c>
      <c r="D24" s="140" t="s">
        <v>497</v>
      </c>
      <c r="E24" s="1" t="s">
        <v>498</v>
      </c>
    </row>
    <row r="25" spans="1:5" ht="20.399999999999999">
      <c r="A25" s="108"/>
      <c r="B25" s="98" t="s">
        <v>499</v>
      </c>
      <c r="C25" s="347" t="str">
        <f>'[5]jobinfo(2)'!$C$25</f>
        <v>Y</v>
      </c>
      <c r="D25" s="140" t="s">
        <v>500</v>
      </c>
    </row>
    <row r="26" spans="1:5" ht="15.6">
      <c r="B26" s="165" t="s">
        <v>168</v>
      </c>
      <c r="C26" s="347" t="str">
        <f>'[5]jobinfo(2)'!$C$26</f>
        <v>STATE FARM</v>
      </c>
      <c r="D26" s="145"/>
      <c r="E26" s="109" t="s">
        <v>168</v>
      </c>
    </row>
    <row r="27" spans="1:5" ht="19.2">
      <c r="A27" s="629" t="s">
        <v>501</v>
      </c>
      <c r="B27" s="166" t="s">
        <v>502</v>
      </c>
      <c r="C27" s="347" t="str">
        <f>'[5]jobinfo(2)'!$C$27</f>
        <v>CL 11-</v>
      </c>
      <c r="D27" s="146"/>
    </row>
    <row r="28" spans="1:5" ht="19.2">
      <c r="A28" s="629"/>
      <c r="B28" s="167" t="s">
        <v>169</v>
      </c>
      <c r="C28" s="645" t="str">
        <f>'[5]jobinfo(2)'!$C$28</f>
        <v>TBD PL#</v>
      </c>
      <c r="D28" s="146"/>
    </row>
    <row r="29" spans="1:5" ht="15.6">
      <c r="A29" s="629"/>
      <c r="B29" s="65" t="s">
        <v>503</v>
      </c>
      <c r="C29" s="645" t="str">
        <f>'[5]jobinfo(2)'!$C$29</f>
        <v>STATEFARMFIRECLAIMS@STATEFARM.COM</v>
      </c>
      <c r="D29" s="157"/>
    </row>
    <row r="30" spans="1:5">
      <c r="A30" s="629"/>
      <c r="B30" s="168" t="s">
        <v>504</v>
      </c>
      <c r="C30" s="646" t="str">
        <f>'[5]jobinfo(2)'!$C$30</f>
        <v>DA</v>
      </c>
      <c r="D30" s="147"/>
    </row>
    <row r="31" spans="1:5">
      <c r="A31" s="629"/>
      <c r="B31" s="168" t="s">
        <v>505</v>
      </c>
      <c r="C31" s="647" t="str">
        <f>'[5]jobinfo(2)'!$C$31</f>
        <v>DA PH</v>
      </c>
      <c r="D31" s="92"/>
    </row>
    <row r="32" spans="1:5">
      <c r="A32" s="629"/>
      <c r="B32" s="169" t="s">
        <v>506</v>
      </c>
      <c r="C32" s="648" t="str">
        <f>'[5]jobinfo(2)'!$C$32</f>
        <v>DA EXT</v>
      </c>
      <c r="D32" s="92"/>
    </row>
    <row r="33" spans="1:4" ht="15.6">
      <c r="A33" s="629"/>
      <c r="B33" s="169" t="s">
        <v>507</v>
      </c>
      <c r="C33" s="645" t="str">
        <f>'[5]jobinfo(2)'!$C$33</f>
        <v>TBD</v>
      </c>
      <c r="D33" s="148"/>
    </row>
    <row r="34" spans="1:4" ht="15.6">
      <c r="A34" s="629"/>
      <c r="B34" s="97" t="s">
        <v>508</v>
      </c>
      <c r="C34" s="347" t="str">
        <f>'[5]jobinfo(2)'!$C$34</f>
        <v>TBD</v>
      </c>
      <c r="D34" s="149"/>
    </row>
    <row r="35" spans="1:4" ht="17.399999999999999">
      <c r="A35" s="629"/>
      <c r="B35" s="65" t="s">
        <v>509</v>
      </c>
      <c r="C35" s="347" t="str">
        <f>'[5]jobinfo(2)'!$C$35</f>
        <v>TBD</v>
      </c>
      <c r="D35" s="150"/>
    </row>
    <row r="36" spans="1:4" ht="15.6">
      <c r="A36" s="629"/>
      <c r="B36" s="65" t="s">
        <v>510</v>
      </c>
      <c r="C36" s="649" t="str">
        <f>'[5]jobinfo(2)'!$C$36</f>
        <v>TBD</v>
      </c>
      <c r="D36" s="149"/>
    </row>
    <row r="37" spans="1:4" ht="15.6">
      <c r="A37" s="629"/>
      <c r="B37" s="169" t="s">
        <v>511</v>
      </c>
      <c r="C37" s="347" t="str">
        <f>'[5]jobinfo(2)'!$C$37</f>
        <v>TBD</v>
      </c>
      <c r="D37" s="65"/>
    </row>
    <row r="38" spans="1:4" ht="15.6">
      <c r="A38" s="629"/>
      <c r="B38" s="169" t="s">
        <v>512</v>
      </c>
      <c r="C38" s="347" t="str">
        <f>'[5]jobinfo(2)'!$C$38</f>
        <v>TBD</v>
      </c>
      <c r="D38" s="65"/>
    </row>
    <row r="39" spans="1:4" ht="15.6">
      <c r="A39" s="629"/>
      <c r="B39" s="169" t="s">
        <v>513</v>
      </c>
      <c r="C39" s="347" t="str">
        <f>'[5]jobinfo(2)'!$C$39</f>
        <v>TBD</v>
      </c>
      <c r="D39" s="148"/>
    </row>
    <row r="40" spans="1:4" ht="15.6">
      <c r="A40" s="629"/>
      <c r="B40" s="65" t="s">
        <v>514</v>
      </c>
      <c r="C40" s="347" t="str">
        <f>'[5]jobinfo(2)'!$C$40</f>
        <v>TBD</v>
      </c>
      <c r="D40" s="88"/>
    </row>
    <row r="41" spans="1:4" ht="15.6">
      <c r="A41" s="629"/>
      <c r="B41" s="65" t="s">
        <v>515</v>
      </c>
      <c r="C41" s="347" t="str">
        <f>'[5]jobinfo(2)'!$C$41</f>
        <v>TBD</v>
      </c>
      <c r="D41" s="65"/>
    </row>
    <row r="42" spans="1:4" ht="15.6">
      <c r="A42" s="629"/>
      <c r="B42" s="65" t="s">
        <v>516</v>
      </c>
      <c r="C42" s="347" t="str">
        <f>'[5]jobinfo(2)'!$C$42</f>
        <v>TBD</v>
      </c>
      <c r="D42" s="88"/>
    </row>
    <row r="43" spans="1:4" ht="15.6">
      <c r="A43" s="629"/>
      <c r="B43" s="169" t="s">
        <v>517</v>
      </c>
      <c r="C43" s="347" t="str">
        <f>'[5]jobinfo(2)'!$C$43</f>
        <v>TBD</v>
      </c>
      <c r="D43" s="151"/>
    </row>
    <row r="44" spans="1:4" ht="15.6">
      <c r="A44" s="629"/>
      <c r="B44" s="169" t="s">
        <v>518</v>
      </c>
      <c r="C44" s="347" t="str">
        <f>'[5]jobinfo(2)'!$C$44</f>
        <v>TBD</v>
      </c>
      <c r="D44" s="145"/>
    </row>
    <row r="45" spans="1:4" ht="15.6">
      <c r="A45" s="629"/>
      <c r="B45" s="169" t="s">
        <v>519</v>
      </c>
      <c r="C45" s="347" t="str">
        <f>'[5]jobinfo(2)'!$C$45</f>
        <v>TBD</v>
      </c>
      <c r="D45" s="145"/>
    </row>
    <row r="46" spans="1:4" ht="15.6">
      <c r="A46" s="629"/>
      <c r="B46" s="168" t="s">
        <v>520</v>
      </c>
      <c r="C46" s="650" t="str">
        <f>'[5]jobinfo(2)'!$C$46</f>
        <v>TBD</v>
      </c>
      <c r="D46" s="145"/>
    </row>
    <row r="47" spans="1:4" ht="15.6">
      <c r="A47" s="629"/>
      <c r="B47" s="169" t="s">
        <v>521</v>
      </c>
      <c r="C47" s="645" t="str">
        <f>'[5]jobinfo(2)'!$C$47</f>
        <v>TBD</v>
      </c>
      <c r="D47" s="148"/>
    </row>
    <row r="48" spans="1:4" ht="15.6">
      <c r="A48" s="629"/>
      <c r="B48" s="169" t="s">
        <v>522</v>
      </c>
      <c r="C48" s="347" t="str">
        <f>'[5]jobinfo(2)'!$C$48</f>
        <v>TBD</v>
      </c>
      <c r="D48" s="65"/>
    </row>
    <row r="49" spans="1:7" ht="15.6">
      <c r="A49" s="629"/>
      <c r="B49" s="169" t="s">
        <v>523</v>
      </c>
      <c r="C49" s="347" t="str">
        <f>'[5]jobinfo(2)'!$C$49</f>
        <v>TBD</v>
      </c>
      <c r="D49" s="65"/>
    </row>
    <row r="50" spans="1:7" ht="15.6">
      <c r="A50" s="108"/>
      <c r="B50" s="169" t="s">
        <v>524</v>
      </c>
      <c r="C50" s="347" t="str">
        <f>'[5]jobinfo(2)'!$C$50</f>
        <v>TBD</v>
      </c>
      <c r="D50" s="65"/>
    </row>
    <row r="51" spans="1:7" ht="24" customHeight="1">
      <c r="A51" s="136"/>
      <c r="B51" s="170" t="s">
        <v>212</v>
      </c>
      <c r="C51" s="641" t="s">
        <v>659</v>
      </c>
    </row>
    <row r="52" spans="1:7" ht="1.2" customHeight="1">
      <c r="A52" s="135">
        <v>1</v>
      </c>
      <c r="C52" s="88" t="str">
        <f>C1</f>
        <v>BENJAMIN, SANDRA L.</v>
      </c>
    </row>
    <row r="53" spans="1:7" ht="28.2" customHeight="1">
      <c r="A53" s="135">
        <v>1</v>
      </c>
      <c r="B53" s="114" t="s">
        <v>525</v>
      </c>
      <c r="C53" s="88" t="str">
        <f>'[5]jobinfo(2)'!$C$53</f>
        <v>FOYER/ENTRY ROOM</v>
      </c>
      <c r="D53" s="668" t="s">
        <v>209</v>
      </c>
      <c r="E53" s="668"/>
      <c r="F53" s="668"/>
      <c r="G53" s="1">
        <v>1</v>
      </c>
    </row>
    <row r="54" spans="1:7" ht="28.2" customHeight="1">
      <c r="A54" s="135">
        <f t="shared" ref="A54:A70" si="0">1+A53</f>
        <v>2</v>
      </c>
      <c r="B54" s="171" t="s">
        <v>526</v>
      </c>
      <c r="C54" s="152" t="str">
        <f>'[5]jobinfo(2)'!$C$54</f>
        <v>GUEST CLOSET</v>
      </c>
      <c r="D54" s="120" t="s">
        <v>527</v>
      </c>
      <c r="E54" s="94" t="s">
        <v>528</v>
      </c>
      <c r="F54" s="121" t="s">
        <v>529</v>
      </c>
      <c r="G54" s="1">
        <v>1</v>
      </c>
    </row>
    <row r="55" spans="1:7" ht="28.2" customHeight="1" thickBot="1">
      <c r="A55" s="135">
        <f t="shared" si="0"/>
        <v>3</v>
      </c>
      <c r="B55" s="171" t="s">
        <v>530</v>
      </c>
      <c r="C55" s="651" t="str">
        <f>'[5]jobinfo(2)'!$C$55</f>
        <v>Living Room</v>
      </c>
      <c r="D55" s="122" t="s">
        <v>531</v>
      </c>
      <c r="E55" s="93" t="s">
        <v>532</v>
      </c>
      <c r="F55" s="117" t="s">
        <v>533</v>
      </c>
    </row>
    <row r="56" spans="1:7" ht="28.2" customHeight="1" thickTop="1" thickBot="1">
      <c r="A56" s="135">
        <f t="shared" si="0"/>
        <v>4</v>
      </c>
      <c r="B56" s="171" t="s">
        <v>534</v>
      </c>
      <c r="C56" s="88" t="str">
        <f>'[5]jobinfo(2)'!$C$56</f>
        <v>TBD</v>
      </c>
      <c r="D56" s="123" t="s">
        <v>535</v>
      </c>
      <c r="E56" s="116" t="s">
        <v>536</v>
      </c>
      <c r="F56" s="117" t="s">
        <v>537</v>
      </c>
    </row>
    <row r="57" spans="1:7" ht="28.2" customHeight="1" thickTop="1" thickBot="1">
      <c r="A57" s="135">
        <f t="shared" si="0"/>
        <v>5</v>
      </c>
      <c r="B57" s="171" t="s">
        <v>538</v>
      </c>
      <c r="C57" s="88" t="str">
        <f>'[5]jobinfo(2)'!$C$57</f>
        <v>TBD</v>
      </c>
      <c r="D57" s="124" t="s">
        <v>539</v>
      </c>
      <c r="E57" s="125" t="s">
        <v>540</v>
      </c>
      <c r="F57" s="93" t="s">
        <v>541</v>
      </c>
    </row>
    <row r="58" spans="1:7" ht="28.2" customHeight="1" thickTop="1" thickBot="1">
      <c r="A58" s="135">
        <f t="shared" si="0"/>
        <v>6</v>
      </c>
      <c r="B58" s="171" t="s">
        <v>542</v>
      </c>
      <c r="C58" s="651" t="str">
        <f>'[5]jobinfo(2)'!$C$58</f>
        <v>TBD</v>
      </c>
      <c r="D58" s="123" t="s">
        <v>543</v>
      </c>
      <c r="E58" s="88" t="s">
        <v>544</v>
      </c>
      <c r="F58" s="125" t="s">
        <v>545</v>
      </c>
    </row>
    <row r="59" spans="1:7" ht="28.2" customHeight="1" thickTop="1" thickBot="1">
      <c r="A59" s="135">
        <f t="shared" si="0"/>
        <v>7</v>
      </c>
      <c r="B59" s="171" t="s">
        <v>546</v>
      </c>
      <c r="C59" s="88" t="str">
        <f>'[5]jobinfo(2)'!$C$59</f>
        <v>TBD</v>
      </c>
      <c r="D59" s="122" t="s">
        <v>547</v>
      </c>
      <c r="E59" s="117" t="s">
        <v>548</v>
      </c>
      <c r="F59" s="93" t="s">
        <v>549</v>
      </c>
    </row>
    <row r="60" spans="1:7" ht="28.2" customHeight="1" thickTop="1" thickBot="1">
      <c r="A60" s="135">
        <f t="shared" si="0"/>
        <v>8</v>
      </c>
      <c r="B60" s="171" t="s">
        <v>550</v>
      </c>
      <c r="C60" s="88" t="str">
        <f>'[5]jobinfo(2)'!$C$60</f>
        <v>TBD</v>
      </c>
      <c r="D60" s="126" t="s">
        <v>551</v>
      </c>
      <c r="E60" s="115" t="s">
        <v>552</v>
      </c>
      <c r="F60" s="127" t="s">
        <v>553</v>
      </c>
      <c r="G60" s="1">
        <v>1</v>
      </c>
    </row>
    <row r="61" spans="1:7" ht="28.2" customHeight="1" thickTop="1" thickBot="1">
      <c r="A61" s="138">
        <f t="shared" si="0"/>
        <v>9</v>
      </c>
      <c r="B61" s="171" t="s">
        <v>554</v>
      </c>
      <c r="C61" s="88" t="str">
        <f>'[5]jobinfo(2)'!$C$61</f>
        <v>TBD</v>
      </c>
      <c r="D61" s="128" t="s">
        <v>555</v>
      </c>
      <c r="E61" s="118" t="s">
        <v>556</v>
      </c>
      <c r="F61" s="88" t="s">
        <v>557</v>
      </c>
    </row>
    <row r="62" spans="1:7" ht="28.2" customHeight="1" thickTop="1" thickBot="1">
      <c r="A62" s="137">
        <f t="shared" si="0"/>
        <v>10</v>
      </c>
      <c r="B62" s="171" t="s">
        <v>558</v>
      </c>
      <c r="C62" s="88" t="str">
        <f>'[5]jobinfo(2)'!$C$62</f>
        <v>TBD</v>
      </c>
      <c r="D62" s="123" t="s">
        <v>559</v>
      </c>
      <c r="E62" s="115" t="s">
        <v>560</v>
      </c>
      <c r="F62" s="88"/>
    </row>
    <row r="63" spans="1:7" ht="28.2" customHeight="1" thickTop="1" thickBot="1">
      <c r="A63" s="137">
        <f t="shared" si="0"/>
        <v>11</v>
      </c>
      <c r="B63" s="171" t="s">
        <v>561</v>
      </c>
      <c r="C63" s="88" t="str">
        <f>'[5]jobinfo(2)'!$C$63</f>
        <v>TBD</v>
      </c>
      <c r="D63" s="122" t="s">
        <v>562</v>
      </c>
      <c r="E63" s="116" t="s">
        <v>563</v>
      </c>
      <c r="F63" s="88"/>
      <c r="G63" s="1">
        <v>1</v>
      </c>
    </row>
    <row r="64" spans="1:7" ht="28.2" customHeight="1" thickTop="1" thickBot="1">
      <c r="A64" s="137">
        <f t="shared" si="0"/>
        <v>12</v>
      </c>
      <c r="B64" s="171" t="s">
        <v>564</v>
      </c>
      <c r="C64" s="88" t="str">
        <f>'[5]jobinfo(2)'!$C$64</f>
        <v>TBD</v>
      </c>
      <c r="D64" s="129" t="s">
        <v>565</v>
      </c>
      <c r="E64" s="125" t="s">
        <v>566</v>
      </c>
      <c r="F64" s="88"/>
      <c r="G64" s="1">
        <v>1</v>
      </c>
    </row>
    <row r="65" spans="1:13" ht="28.2" customHeight="1" thickTop="1" thickBot="1">
      <c r="A65" s="137">
        <f t="shared" si="0"/>
        <v>13</v>
      </c>
      <c r="B65" s="171" t="s">
        <v>567</v>
      </c>
      <c r="C65" s="88" t="str">
        <f>'[5]jobinfo(2)'!$C$65</f>
        <v>TBD</v>
      </c>
      <c r="D65" s="122" t="s">
        <v>568</v>
      </c>
      <c r="E65" s="115" t="s">
        <v>569</v>
      </c>
      <c r="F65" s="121" t="s">
        <v>570</v>
      </c>
      <c r="G65" s="1">
        <v>1</v>
      </c>
    </row>
    <row r="66" spans="1:13" ht="28.2" customHeight="1" thickTop="1" thickBot="1">
      <c r="A66" s="137">
        <f t="shared" si="0"/>
        <v>14</v>
      </c>
      <c r="B66" s="171" t="s">
        <v>571</v>
      </c>
      <c r="C66" s="88" t="str">
        <f>'[5]jobinfo(2)'!$C$66</f>
        <v>TBD</v>
      </c>
      <c r="D66" s="122" t="s">
        <v>572</v>
      </c>
      <c r="E66" s="117" t="s">
        <v>573</v>
      </c>
      <c r="F66" s="130" t="s">
        <v>574</v>
      </c>
    </row>
    <row r="67" spans="1:13" ht="28.2" customHeight="1" thickTop="1" thickBot="1">
      <c r="A67" s="137">
        <f t="shared" si="0"/>
        <v>15</v>
      </c>
      <c r="B67" s="171" t="s">
        <v>575</v>
      </c>
      <c r="C67" s="88" t="str">
        <f>'[5]jobinfo(2)'!$C$67</f>
        <v>TBD</v>
      </c>
      <c r="D67" s="124"/>
      <c r="E67" s="125" t="s">
        <v>576</v>
      </c>
      <c r="F67" s="131" t="s">
        <v>577</v>
      </c>
      <c r="G67" s="1">
        <v>1</v>
      </c>
    </row>
    <row r="68" spans="1:13" ht="28.2" customHeight="1" thickTop="1">
      <c r="A68" s="137">
        <f t="shared" si="0"/>
        <v>16</v>
      </c>
      <c r="B68" s="171" t="s">
        <v>578</v>
      </c>
      <c r="C68" s="88" t="str">
        <f>'[5]jobinfo(2)'!$C$68</f>
        <v>TBD</v>
      </c>
      <c r="D68" s="124"/>
      <c r="E68" s="88"/>
      <c r="F68" s="93" t="s">
        <v>495</v>
      </c>
    </row>
    <row r="69" spans="1:13" ht="28.2" customHeight="1">
      <c r="A69" s="137">
        <f t="shared" si="0"/>
        <v>17</v>
      </c>
      <c r="B69" s="171" t="s">
        <v>579</v>
      </c>
      <c r="C69" s="88" t="str">
        <f>'[5]jobinfo(2)'!$C$69</f>
        <v>TBD</v>
      </c>
      <c r="D69" s="119" t="s">
        <v>580</v>
      </c>
      <c r="E69" s="88"/>
      <c r="F69" s="93" t="s">
        <v>498</v>
      </c>
      <c r="G69" s="1">
        <v>1</v>
      </c>
    </row>
    <row r="70" spans="1:13" ht="28.2" customHeight="1" thickBot="1">
      <c r="A70" s="137">
        <f t="shared" si="0"/>
        <v>18</v>
      </c>
      <c r="B70" s="171" t="s">
        <v>581</v>
      </c>
      <c r="C70" s="88" t="str">
        <f>'[5]jobinfo(2)'!$C$70</f>
        <v>TBD</v>
      </c>
      <c r="D70" s="122" t="s">
        <v>541</v>
      </c>
      <c r="E70" s="93"/>
      <c r="F70" s="132" t="s">
        <v>482</v>
      </c>
    </row>
    <row r="71" spans="1:13" ht="28.2" customHeight="1" thickTop="1" thickBot="1">
      <c r="A71" s="137">
        <f>1+A70</f>
        <v>19</v>
      </c>
      <c r="B71" s="171" t="s">
        <v>582</v>
      </c>
      <c r="C71" s="88" t="str">
        <f>'[5]jobinfo(2)'!$C$71</f>
        <v>TBD</v>
      </c>
      <c r="D71" s="123" t="s">
        <v>583</v>
      </c>
      <c r="E71" s="93"/>
      <c r="F71" s="93" t="s">
        <v>584</v>
      </c>
      <c r="G71" s="1">
        <v>1</v>
      </c>
    </row>
    <row r="72" spans="1:13" ht="28.2" customHeight="1" thickTop="1">
      <c r="A72" s="137">
        <f t="shared" ref="A72:A77" si="1">1+A71</f>
        <v>20</v>
      </c>
      <c r="B72" s="171" t="s">
        <v>585</v>
      </c>
      <c r="C72" s="88" t="str">
        <f>'[5]jobinfo(2)'!$C$72</f>
        <v>TBD</v>
      </c>
      <c r="D72" s="133"/>
      <c r="E72" s="88"/>
      <c r="F72" s="134" t="s">
        <v>586</v>
      </c>
      <c r="G72" s="1">
        <v>0</v>
      </c>
    </row>
    <row r="73" spans="1:13" ht="28.2" customHeight="1" thickBot="1">
      <c r="A73" s="137">
        <f t="shared" si="1"/>
        <v>21</v>
      </c>
      <c r="B73" s="171" t="s">
        <v>587</v>
      </c>
      <c r="C73" s="88" t="str">
        <f>'[5]jobinfo(2)'!$C$73</f>
        <v>TBD</v>
      </c>
      <c r="D73" s="425"/>
      <c r="E73" s="426"/>
      <c r="F73" s="425"/>
      <c r="G73" s="1">
        <v>1</v>
      </c>
    </row>
    <row r="74" spans="1:13" ht="28.2" customHeight="1" thickTop="1" thickBot="1">
      <c r="A74" s="137">
        <f t="shared" si="1"/>
        <v>22</v>
      </c>
      <c r="B74" s="171" t="s">
        <v>588</v>
      </c>
      <c r="C74" s="88" t="str">
        <f>'[5]jobinfo(2)'!$C$74</f>
        <v>TBD</v>
      </c>
      <c r="D74" s="426"/>
      <c r="E74" s="425"/>
      <c r="F74" s="426"/>
      <c r="G74" s="1">
        <v>0</v>
      </c>
    </row>
    <row r="75" spans="1:13" ht="28.2" customHeight="1" thickTop="1" thickBot="1">
      <c r="A75" s="137">
        <f t="shared" si="1"/>
        <v>23</v>
      </c>
      <c r="B75" s="171" t="s">
        <v>589</v>
      </c>
      <c r="C75" s="88" t="str">
        <f>'[5]jobinfo(2)'!$C$75</f>
        <v>TBD</v>
      </c>
      <c r="D75" s="425"/>
      <c r="E75" s="426"/>
      <c r="F75" s="425"/>
      <c r="G75">
        <v>1</v>
      </c>
    </row>
    <row r="76" spans="1:13" ht="28.2" customHeight="1" thickTop="1" thickBot="1">
      <c r="A76" s="137">
        <f t="shared" si="1"/>
        <v>24</v>
      </c>
      <c r="B76" s="171" t="s">
        <v>590</v>
      </c>
      <c r="C76" s="88" t="str">
        <f>'[5]jobinfo(2)'!$C$76</f>
        <v>TBD</v>
      </c>
      <c r="D76" s="426"/>
      <c r="E76" s="425"/>
      <c r="F76" s="426"/>
      <c r="G76"/>
    </row>
    <row r="77" spans="1:13" ht="28.2" customHeight="1" thickTop="1">
      <c r="A77" s="137">
        <f t="shared" si="1"/>
        <v>25</v>
      </c>
      <c r="B77" s="171" t="s">
        <v>591</v>
      </c>
      <c r="C77" s="88" t="str">
        <f>'[5]jobinfo(2)'!$C$77</f>
        <v>TBD</v>
      </c>
      <c r="D77" s="427"/>
      <c r="K77" s="425"/>
      <c r="L77" s="425"/>
      <c r="M77" s="425"/>
    </row>
    <row r="78" spans="1:13" ht="22.2" customHeight="1">
      <c r="A78" s="424"/>
      <c r="B78" s="172" t="s">
        <v>592</v>
      </c>
      <c r="C78" s="92" t="str">
        <f>'[5]jobinfo(2)'!$C$78</f>
        <v>TBD</v>
      </c>
      <c r="D78" s="133"/>
      <c r="E78" s="88"/>
      <c r="F78" s="93"/>
    </row>
    <row r="79" spans="1:13" ht="18.600000000000001">
      <c r="A79" s="633" t="s">
        <v>593</v>
      </c>
      <c r="B79" s="110" t="s">
        <v>594</v>
      </c>
      <c r="C79" s="652" t="str">
        <f>'[5]jobinfo(2)'!$C$79</f>
        <v>TBD</v>
      </c>
    </row>
    <row r="80" spans="1:13" ht="18.600000000000001">
      <c r="A80" s="633"/>
      <c r="B80" s="111" t="s">
        <v>595</v>
      </c>
      <c r="C80" s="652" t="str">
        <f>'[5]jobinfo(2)'!$C$80</f>
        <v>TBD</v>
      </c>
      <c r="D80" s="111" t="s">
        <v>595</v>
      </c>
    </row>
    <row r="81" spans="1:4" ht="18.600000000000001">
      <c r="A81" s="633"/>
      <c r="B81" s="99" t="s">
        <v>596</v>
      </c>
      <c r="C81" s="652" t="str">
        <f>'[5]jobinfo(2)'!$C$81</f>
        <v>TBD</v>
      </c>
      <c r="D81" s="1" t="s">
        <v>597</v>
      </c>
    </row>
    <row r="82" spans="1:4" ht="18.600000000000001">
      <c r="A82" s="633"/>
      <c r="B82" s="104" t="s">
        <v>598</v>
      </c>
      <c r="C82" s="652" t="str">
        <f>'[5]jobinfo(2)'!$C$82</f>
        <v>TBD</v>
      </c>
      <c r="D82" s="1" t="s">
        <v>599</v>
      </c>
    </row>
    <row r="83" spans="1:4" ht="17.399999999999999">
      <c r="A83" s="633"/>
      <c r="B83" s="65" t="s">
        <v>600</v>
      </c>
      <c r="C83" s="653" t="str">
        <f>'[5]jobinfo(2)'!$C$83</f>
        <v>TBD</v>
      </c>
      <c r="D83" s="1" t="s">
        <v>601</v>
      </c>
    </row>
    <row r="84" spans="1:4" ht="18.600000000000001">
      <c r="A84" s="633"/>
      <c r="B84" s="104"/>
      <c r="C84" s="652" t="str">
        <f>'[5]jobinfo(2)'!$C$84</f>
        <v>TBD</v>
      </c>
      <c r="D84" s="1" t="s">
        <v>602</v>
      </c>
    </row>
    <row r="85" spans="1:4" ht="15.6">
      <c r="A85" s="633"/>
      <c r="B85" s="112" t="s">
        <v>603</v>
      </c>
      <c r="C85" s="654" t="str">
        <f>'[5]jobinfo(2)'!$C$85</f>
        <v>TBD</v>
      </c>
    </row>
    <row r="86" spans="1:4" ht="15.6">
      <c r="A86" s="633"/>
      <c r="B86" s="104" t="s">
        <v>604</v>
      </c>
      <c r="C86" s="347" t="str">
        <f>'[5]jobinfo(2)'!$C$86</f>
        <v>TBD</v>
      </c>
      <c r="D86" s="112" t="s">
        <v>603</v>
      </c>
    </row>
    <row r="87" spans="1:4" ht="15.6">
      <c r="A87" s="633"/>
      <c r="B87" s="99" t="s">
        <v>605</v>
      </c>
      <c r="C87" s="347" t="str">
        <f>'[5]jobinfo(2)'!$C$87</f>
        <v>TBD</v>
      </c>
    </row>
    <row r="88" spans="1:4" ht="15.6">
      <c r="A88" s="633"/>
      <c r="B88" s="99" t="s">
        <v>606</v>
      </c>
      <c r="C88" s="347" t="str">
        <f>'[5]jobinfo(2)'!$C$88</f>
        <v>TBD</v>
      </c>
    </row>
    <row r="89" spans="1:4" ht="15.6">
      <c r="A89" s="633"/>
      <c r="B89" s="104" t="s">
        <v>607</v>
      </c>
      <c r="C89" s="347" t="str">
        <f>'[5]jobinfo(2)'!$C$89</f>
        <v>TBD</v>
      </c>
    </row>
    <row r="90" spans="1:4" ht="15.6">
      <c r="A90" s="633"/>
      <c r="B90" s="104" t="s">
        <v>608</v>
      </c>
      <c r="C90" s="347" t="str">
        <f>'[5]jobinfo(2)'!$C$90</f>
        <v>TBD</v>
      </c>
    </row>
    <row r="91" spans="1:4" ht="15.6">
      <c r="A91" s="633"/>
      <c r="B91" s="99" t="s">
        <v>609</v>
      </c>
      <c r="C91" s="347" t="str">
        <f>'[5]jobinfo(2)'!$C$91</f>
        <v>TBD</v>
      </c>
    </row>
    <row r="92" spans="1:4" ht="15.6">
      <c r="A92" s="633"/>
      <c r="B92" s="96" t="s">
        <v>610</v>
      </c>
      <c r="C92" s="347" t="str">
        <f>'[5]jobinfo(2)'!$C$92</f>
        <v>TBD</v>
      </c>
    </row>
    <row r="93" spans="1:4" ht="15.6">
      <c r="A93" s="633"/>
      <c r="B93" s="96" t="s">
        <v>611</v>
      </c>
      <c r="C93" s="347" t="str">
        <f>'[5]jobinfo(2)'!$C$93</f>
        <v>TBD</v>
      </c>
    </row>
    <row r="94" spans="1:4" ht="16.2" thickBot="1">
      <c r="A94" s="634"/>
      <c r="B94" s="67"/>
      <c r="C94" s="347" t="str">
        <f>'[5]jobinfo(2)'!$C$94</f>
        <v>TBD</v>
      </c>
    </row>
    <row r="95" spans="1:4" ht="16.2" thickTop="1">
      <c r="B95" s="113" t="s">
        <v>612</v>
      </c>
      <c r="C95" s="347" t="str">
        <f>'[5]jobinfo(2)'!$C$95</f>
        <v>TBD</v>
      </c>
    </row>
    <row r="96" spans="1:4" ht="15.6">
      <c r="B96" s="113" t="s">
        <v>613</v>
      </c>
      <c r="C96" s="347" t="str">
        <f>'[5]jobinfo(2)'!$C$96</f>
        <v>TBD</v>
      </c>
    </row>
    <row r="97" spans="2:8" ht="15.6">
      <c r="B97" s="67" t="s">
        <v>614</v>
      </c>
      <c r="C97" s="347" t="str">
        <f>'[5]jobinfo(2)'!$C$97</f>
        <v>TBD</v>
      </c>
    </row>
    <row r="98" spans="2:8" ht="15.6">
      <c r="B98" s="67"/>
      <c r="C98" s="347" t="str">
        <f>'[5]jobinfo(2)'!$C$98</f>
        <v>TBD</v>
      </c>
    </row>
    <row r="99" spans="2:8" ht="23.4">
      <c r="B99" s="422" t="s">
        <v>615</v>
      </c>
      <c r="C99" s="347" t="str">
        <f>'[5]jobinfo(2)'!$C$99</f>
        <v>TBD</v>
      </c>
      <c r="D99" s="422"/>
      <c r="E99" s="422"/>
    </row>
    <row r="100" spans="2:8">
      <c r="B100" s="173" t="s">
        <v>616</v>
      </c>
      <c r="C100" s="655" t="s">
        <v>660</v>
      </c>
      <c r="D100" s="632" t="s">
        <v>617</v>
      </c>
      <c r="E100" s="632"/>
      <c r="H100" s="443" t="s">
        <v>618</v>
      </c>
    </row>
    <row r="101" spans="2:8">
      <c r="B101" s="174" t="s">
        <v>619</v>
      </c>
      <c r="C101" s="656" t="s">
        <v>661</v>
      </c>
      <c r="D101" s="225"/>
      <c r="E101" s="153" t="s">
        <v>620</v>
      </c>
      <c r="H101" s="444" t="s">
        <v>621</v>
      </c>
    </row>
    <row r="102" spans="2:8">
      <c r="B102" s="175" t="s">
        <v>622</v>
      </c>
      <c r="C102" s="657" t="s">
        <v>662</v>
      </c>
      <c r="D102" s="225"/>
      <c r="E102" s="153" t="s">
        <v>623</v>
      </c>
      <c r="H102" s="444" t="s">
        <v>624</v>
      </c>
    </row>
    <row r="103" spans="2:8">
      <c r="B103" s="423" t="s">
        <v>625</v>
      </c>
      <c r="C103" s="658" t="s">
        <v>663</v>
      </c>
      <c r="D103" s="423"/>
      <c r="E103" s="423"/>
      <c r="H103" s="443" t="s">
        <v>626</v>
      </c>
    </row>
    <row r="104" spans="2:8">
      <c r="B104" s="175" t="s">
        <v>627</v>
      </c>
      <c r="C104" s="659" t="s">
        <v>664</v>
      </c>
      <c r="D104" s="631" t="s">
        <v>628</v>
      </c>
      <c r="E104" s="631"/>
      <c r="H104" s="443" t="s">
        <v>629</v>
      </c>
    </row>
    <row r="105" spans="2:8">
      <c r="B105" s="174" t="s">
        <v>630</v>
      </c>
      <c r="C105" s="246"/>
      <c r="D105" s="632" t="s">
        <v>631</v>
      </c>
      <c r="E105" s="632"/>
      <c r="H105" s="443">
        <v>0</v>
      </c>
    </row>
    <row r="106" spans="2:8">
      <c r="B106" s="175" t="s">
        <v>632</v>
      </c>
      <c r="C106" s="246"/>
      <c r="D106" s="632" t="s">
        <v>633</v>
      </c>
      <c r="E106" s="632"/>
      <c r="H106" s="443"/>
    </row>
    <row r="107" spans="2:8">
      <c r="B107" s="175" t="s">
        <v>634</v>
      </c>
      <c r="C107" s="246"/>
      <c r="D107" s="155" t="s">
        <v>635</v>
      </c>
      <c r="E107" s="156" t="s">
        <v>636</v>
      </c>
      <c r="H107" s="444"/>
    </row>
    <row r="108" spans="2:8">
      <c r="B108" s="175" t="s">
        <v>637</v>
      </c>
      <c r="C108" s="246"/>
      <c r="H108" s="444"/>
    </row>
    <row r="109" spans="2:8">
      <c r="B109" s="176" t="s">
        <v>638</v>
      </c>
      <c r="C109" s="658" t="s">
        <v>665</v>
      </c>
      <c r="H109" s="443"/>
    </row>
    <row r="110" spans="2:8">
      <c r="B110" s="176" t="s">
        <v>639</v>
      </c>
      <c r="C110" s="660" t="s">
        <v>666</v>
      </c>
      <c r="H110" s="443"/>
    </row>
    <row r="111" spans="2:8">
      <c r="B111" s="177" t="s">
        <v>640</v>
      </c>
      <c r="C111" s="661" t="s">
        <v>667</v>
      </c>
      <c r="H111" s="443"/>
    </row>
    <row r="112" spans="2:8" ht="15.6">
      <c r="B112" s="178" t="s">
        <v>641</v>
      </c>
      <c r="C112" s="658" t="s">
        <v>668</v>
      </c>
      <c r="H112" s="443" t="s">
        <v>642</v>
      </c>
    </row>
    <row r="113" spans="2:8">
      <c r="B113" s="174" t="s">
        <v>643</v>
      </c>
      <c r="C113" s="655" t="s">
        <v>669</v>
      </c>
      <c r="H113" s="443" t="s">
        <v>624</v>
      </c>
    </row>
    <row r="114" spans="2:8">
      <c r="B114" s="174" t="s">
        <v>644</v>
      </c>
      <c r="C114" s="152" t="s">
        <v>670</v>
      </c>
      <c r="H114" s="443" t="s">
        <v>642</v>
      </c>
    </row>
    <row r="115" spans="2:8">
      <c r="B115" s="175" t="s">
        <v>645</v>
      </c>
      <c r="C115" s="662" t="s">
        <v>631</v>
      </c>
      <c r="H115" s="443" t="s">
        <v>646</v>
      </c>
    </row>
    <row r="116" spans="2:8">
      <c r="B116" s="179" t="s">
        <v>647</v>
      </c>
      <c r="C116" s="663" t="s">
        <v>671</v>
      </c>
      <c r="H116" s="443" t="s">
        <v>648</v>
      </c>
    </row>
    <row r="117" spans="2:8" ht="20.399999999999999">
      <c r="B117" s="180" t="s">
        <v>649</v>
      </c>
      <c r="C117" s="664"/>
      <c r="H117" s="443"/>
    </row>
    <row r="118" spans="2:8" ht="15.6">
      <c r="B118" s="154" t="s">
        <v>650</v>
      </c>
      <c r="C118" s="156" t="s">
        <v>635</v>
      </c>
      <c r="H118" s="443"/>
    </row>
    <row r="119" spans="2:8">
      <c r="B119" s="181" t="s">
        <v>651</v>
      </c>
      <c r="C119" s="665"/>
      <c r="H119" s="444"/>
    </row>
    <row r="120" spans="2:8" ht="15.6">
      <c r="B120" s="154" t="s">
        <v>652</v>
      </c>
      <c r="C120" s="665"/>
      <c r="H120" s="443"/>
    </row>
    <row r="121" spans="2:8" ht="15.6">
      <c r="B121" s="154" t="s">
        <v>653</v>
      </c>
      <c r="C121" s="665"/>
      <c r="H121" s="444"/>
    </row>
    <row r="122" spans="2:8" ht="15.6">
      <c r="B122" s="154" t="s">
        <v>654</v>
      </c>
      <c r="C122" s="347">
        <f>'[5]jobinfo(2)'!$C$122</f>
        <v>0</v>
      </c>
      <c r="H122" s="443"/>
    </row>
    <row r="123" spans="2:8" ht="15.6">
      <c r="B123" s="154" t="s">
        <v>655</v>
      </c>
      <c r="C123" s="666" t="e">
        <f>'[5]jobinfo(2)'!$C$123</f>
        <v>#N/A</v>
      </c>
      <c r="H123" s="443"/>
    </row>
    <row r="124" spans="2:8" ht="15.6">
      <c r="B124" s="154" t="s">
        <v>656</v>
      </c>
      <c r="C124" s="666" t="str">
        <f>'[5]jobinfo(2)'!$C$124</f>
        <v>TBD</v>
      </c>
      <c r="H124" s="443"/>
    </row>
    <row r="125" spans="2:8" ht="15.6">
      <c r="B125" s="154" t="s">
        <v>657</v>
      </c>
      <c r="C125" s="667" t="str">
        <f>'[5]jobinfo(2)'!$C$125</f>
        <v>TBD</v>
      </c>
      <c r="H125" s="443"/>
    </row>
    <row r="126" spans="2:8" ht="15.6">
      <c r="B126" s="67"/>
      <c r="C126" s="667" t="str">
        <f>'[5]jobinfo(2)'!$C$126</f>
        <v>TBD</v>
      </c>
      <c r="H126" s="443"/>
    </row>
    <row r="127" spans="2:8" ht="15.6">
      <c r="B127" s="67"/>
      <c r="C127" s="666" t="str">
        <f>'[5]jobinfo(2)'!$C$127</f>
        <v>TBD</v>
      </c>
      <c r="H127" s="443"/>
    </row>
    <row r="128" spans="2:8" ht="15.6">
      <c r="B128" s="154"/>
      <c r="C128" s="667" t="str">
        <f>'[5]jobinfo(2)'!$C$128</f>
        <v>TBD</v>
      </c>
      <c r="H128" s="443"/>
    </row>
    <row r="129" spans="2:3">
      <c r="B129" s="181"/>
      <c r="C129" s="666" t="str">
        <f>'[5]jobinfo(2)'!$C$129</f>
        <v>TBD</v>
      </c>
    </row>
    <row r="130" spans="2:3" ht="15.6">
      <c r="B130" s="154"/>
      <c r="C130" s="667" t="str">
        <f>'[5]jobinfo(2)'!$C$130</f>
        <v>TBD</v>
      </c>
    </row>
    <row r="131" spans="2:3" ht="15.6">
      <c r="B131" s="154"/>
      <c r="C131" s="667" t="str">
        <f>'[5]jobinfo(2)'!$C$131</f>
        <v>TBD</v>
      </c>
    </row>
    <row r="132" spans="2:3" ht="15.6">
      <c r="B132" s="67"/>
      <c r="C132" s="666" t="str">
        <f>'[5]jobinfo(2)'!$C$132</f>
        <v>TBD</v>
      </c>
    </row>
    <row r="133" spans="2:3" ht="15.6">
      <c r="B133" s="67"/>
      <c r="C133" s="666" t="str">
        <f>'[5]jobinfo(2)'!$C$133</f>
        <v>TBD</v>
      </c>
    </row>
    <row r="134" spans="2:3" ht="15.6">
      <c r="B134" s="67"/>
      <c r="C134" s="666" t="str">
        <f>'[5]jobinfo(2)'!$C$134</f>
        <v>TBD</v>
      </c>
    </row>
    <row r="135" spans="2:3" ht="15.6">
      <c r="B135" s="67"/>
      <c r="C135" s="666" t="str">
        <f>'[5]jobinfo(2)'!$C$135</f>
        <v>TBD</v>
      </c>
    </row>
    <row r="136" spans="2:3" ht="15.6">
      <c r="B136" s="67"/>
      <c r="C136" s="666" t="str">
        <f>'[5]jobinfo(2)'!$C$136</f>
        <v>TBD</v>
      </c>
    </row>
    <row r="137" spans="2:3" ht="15.6">
      <c r="B137" s="67"/>
      <c r="C137" s="666" t="str">
        <f>'[5]jobinfo(2)'!$C$137</f>
        <v>TBD</v>
      </c>
    </row>
    <row r="138" spans="2:3" ht="15.6">
      <c r="C138" s="666" t="str">
        <f>'[5]jobinfo(2)'!$C$138</f>
        <v>TBD</v>
      </c>
    </row>
    <row r="139" spans="2:3" ht="15.6">
      <c r="C139" s="666" t="str">
        <f>'[5]jobinfo(2)'!$C$139</f>
        <v>TBD</v>
      </c>
    </row>
    <row r="140" spans="2:3" ht="15.6">
      <c r="C140" s="666" t="str">
        <f>'[5]jobinfo(2)'!$C$140</f>
        <v>TBD</v>
      </c>
    </row>
    <row r="141" spans="2:3" ht="15.6">
      <c r="C141" s="667" t="str">
        <f>'[5]jobinfo(2)'!$C$141</f>
        <v>TBD</v>
      </c>
    </row>
    <row r="142" spans="2:3" ht="15.6">
      <c r="C142" s="666" t="str">
        <f>'[5]jobinfo(2)'!$C$142</f>
        <v>TBD</v>
      </c>
    </row>
    <row r="143" spans="2:3" ht="15.6">
      <c r="C143" s="666" t="str">
        <f>'[5]jobinfo(2)'!$C$143</f>
        <v>TBD</v>
      </c>
    </row>
    <row r="144" spans="2:3" ht="15.6">
      <c r="C144" s="666" t="str">
        <f>'[5]jobinfo(2)'!$C$144</f>
        <v>TBD</v>
      </c>
    </row>
    <row r="145" spans="3:3" ht="15.6">
      <c r="C145" s="666" t="str">
        <f>'[5]jobinfo(2)'!$C$145</f>
        <v>TBD</v>
      </c>
    </row>
    <row r="146" spans="3:3" ht="15.6">
      <c r="C146" s="666" t="str">
        <f>'[5]jobinfo(2)'!$C$146</f>
        <v>TBD</v>
      </c>
    </row>
    <row r="147" spans="3:3" ht="15.6">
      <c r="C147" s="666" t="str">
        <f>'[5]jobinfo(2)'!$C$147</f>
        <v>TBD</v>
      </c>
    </row>
    <row r="148" spans="3:3">
      <c r="C148" s="92" t="str">
        <f>'[5]jobinfo(2)'!$C$148</f>
        <v>TBD</v>
      </c>
    </row>
    <row r="149" spans="3:3">
      <c r="C149" s="92" t="str">
        <f>'[5]jobinfo(2)'!$C$149</f>
        <v>TBD</v>
      </c>
    </row>
    <row r="150" spans="3:3">
      <c r="C150" s="92" t="str">
        <f>'[5]jobinfo(2)'!$C$150</f>
        <v>TBD</v>
      </c>
    </row>
    <row r="151" spans="3:3">
      <c r="C151" s="92" t="str">
        <f>'[5]jobinfo(2)'!$C$151</f>
        <v>TBD</v>
      </c>
    </row>
    <row r="152" spans="3:3">
      <c r="C152" s="92" t="str">
        <f>'[5]jobinfo(2)'!$C$152</f>
        <v>TBD</v>
      </c>
    </row>
    <row r="153" spans="3:3" ht="15.6">
      <c r="C153" s="88" t="str">
        <f>'[5]jobinfo(2)'!$C$153</f>
        <v>TBD</v>
      </c>
    </row>
    <row r="154" spans="3:3" ht="15.6">
      <c r="C154" s="88" t="str">
        <f>'[5]jobinfo(2)'!$C$154</f>
        <v>TBD</v>
      </c>
    </row>
    <row r="155" spans="3:3" ht="15.6">
      <c r="C155" s="88" t="str">
        <f>'[5]jobinfo(2)'!$C$155</f>
        <v>TBD</v>
      </c>
    </row>
    <row r="156" spans="3:3" ht="15.6">
      <c r="C156" s="88" t="str">
        <f>'[5]jobinfo(2)'!$C$156</f>
        <v>TBD</v>
      </c>
    </row>
    <row r="157" spans="3:3" ht="15.6">
      <c r="C157" s="88"/>
    </row>
    <row r="158" spans="3:3" ht="15.6">
      <c r="C158" s="88"/>
    </row>
    <row r="159" spans="3:3" ht="15.6">
      <c r="C159" s="88"/>
    </row>
    <row r="160" spans="3:3" ht="15.6">
      <c r="C160" s="88"/>
    </row>
    <row r="161" spans="3:3" ht="15.6">
      <c r="C161" s="88"/>
    </row>
    <row r="162" spans="3:3" ht="15.6">
      <c r="C162" s="88"/>
    </row>
    <row r="163" spans="3:3" ht="15.6">
      <c r="C163" s="88"/>
    </row>
    <row r="164" spans="3:3" ht="15.6">
      <c r="C164" s="88"/>
    </row>
    <row r="165" spans="3:3" ht="15.6">
      <c r="C165" s="88"/>
    </row>
    <row r="166" spans="3:3" ht="15.6">
      <c r="C166" s="88"/>
    </row>
    <row r="167" spans="3:3" ht="15.6">
      <c r="C167" s="88"/>
    </row>
    <row r="168" spans="3:3" ht="15.6">
      <c r="C168" s="88"/>
    </row>
    <row r="169" spans="3:3" ht="15.6">
      <c r="C169" s="88"/>
    </row>
    <row r="170" spans="3:3" ht="15.6">
      <c r="C170" s="88"/>
    </row>
    <row r="171" spans="3:3" ht="15.6">
      <c r="C171" s="88"/>
    </row>
    <row r="172" spans="3:3" ht="15.6">
      <c r="C172" s="88"/>
    </row>
    <row r="173" spans="3:3" ht="15.6">
      <c r="C173" s="88"/>
    </row>
    <row r="174" spans="3:3" ht="15.6">
      <c r="C174" s="88"/>
    </row>
    <row r="175" spans="3:3" ht="15.6">
      <c r="C175" s="88"/>
    </row>
    <row r="176" spans="3:3" ht="15.6">
      <c r="C176" s="88"/>
    </row>
    <row r="177" spans="3:3" ht="15.6">
      <c r="C177" s="88"/>
    </row>
    <row r="178" spans="3:3" ht="15.6">
      <c r="C178" s="88"/>
    </row>
    <row r="179" spans="3:3" ht="15.6">
      <c r="C179" s="88"/>
    </row>
  </sheetData>
  <mergeCells count="11">
    <mergeCell ref="D104:E104"/>
    <mergeCell ref="D105:E105"/>
    <mergeCell ref="D106:E106"/>
    <mergeCell ref="D100:E100"/>
    <mergeCell ref="A79:A94"/>
    <mergeCell ref="D53:F53"/>
    <mergeCell ref="A1:A10"/>
    <mergeCell ref="A11:A18"/>
    <mergeCell ref="A19:A22"/>
    <mergeCell ref="A27:A49"/>
    <mergeCell ref="D2:D10"/>
  </mergeCells>
  <hyperlinks>
    <hyperlink ref="D100" r:id="rId1" display="mailto:info@myapcllc.com" xr:uid="{A667B871-669A-4D01-B505-E61C7EC3E834}"/>
    <hyperlink ref="D105" r:id="rId2" display="mailto:wsbjoe9@gmail.com" xr:uid="{D0F8A386-A472-468D-B0D5-321454FAD1B3}"/>
    <hyperlink ref="D106" r:id="rId3" display="mailto:ddevonJohnson@gmail.com" xr:uid="{1DC7938C-406E-4A80-9D3E-27C03E11DFF0}"/>
    <hyperlink ref="C4" r:id="rId4" display="mailto:eakoswatta@aol.com" xr:uid="{FAFC9E28-6041-48E4-86CB-EC13EEB7CD7B}"/>
    <hyperlink ref="C51" r:id="rId5" display="mailto:OH23T@10912%20Elmwood%20Ave" xr:uid="{944F176B-0C05-4C58-9BFB-F3BB8347E30F}"/>
    <hyperlink ref="C101" r:id="rId6" display="http://www.akbuilds.com/" xr:uid="{3A11696C-0E70-4F9A-98EC-1C49AB8C44A9}"/>
    <hyperlink ref="C115" r:id="rId7" display="mailto:wsbjoe9@gmail.com" xr:uid="{70CC9679-D049-44D1-B966-AD3E6AA45F23}"/>
  </hyperlinks>
  <printOptions gridLines="1"/>
  <pageMargins left="0.7" right="0.7" top="0.19" bottom="0.17" header="0.17" footer="0.17"/>
  <pageSetup orientation="portrait" r:id="rId8"/>
  <headerFooter>
    <oddFooter>&amp;L&amp;D&amp;C&amp;A&amp;R&amp;F</oddFooter>
  </headerFooter>
  <rowBreaks count="1" manualBreakCount="1">
    <brk id="25" max="2"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C63D-336F-4D37-BFC8-F6EC81C60C30}">
  <sheetPr codeName="Sheet4">
    <tabColor rgb="FF92D050"/>
  </sheetPr>
  <dimension ref="A1:F94"/>
  <sheetViews>
    <sheetView view="pageBreakPreview" topLeftCell="A10" zoomScaleNormal="100" zoomScaleSheetLayoutView="100" workbookViewId="0">
      <selection activeCell="A56" sqref="A56"/>
    </sheetView>
  </sheetViews>
  <sheetFormatPr defaultRowHeight="14.4"/>
  <cols>
    <col min="1" max="1" width="19.6640625" customWidth="1"/>
    <col min="2" max="2" width="39.109375" customWidth="1"/>
    <col min="3" max="3" width="15.6640625" customWidth="1"/>
    <col min="4" max="4" width="16" customWidth="1"/>
    <col min="5" max="5" width="8.88671875" customWidth="1"/>
    <col min="6" max="6" width="1" customWidth="1"/>
  </cols>
  <sheetData>
    <row r="1" spans="1:6" ht="21" customHeight="1">
      <c r="A1" s="313" t="s">
        <v>135</v>
      </c>
      <c r="B1" s="313"/>
      <c r="C1" s="314" t="str">
        <f>+'jobinfo(2)'!C2</f>
        <v>1441 Thomas Road,</v>
      </c>
    </row>
    <row r="2" spans="1:6" ht="22.2" customHeight="1">
      <c r="A2" s="314" t="str">
        <f>+'jobinfo(2)'!C1</f>
        <v>BENJAMIN, SANDRA L.</v>
      </c>
      <c r="B2" s="314" t="str">
        <f>+'jobinfo(2)'!C5</f>
        <v>678) 361-6713</v>
      </c>
      <c r="C2" s="314" t="str">
        <f>+'jobinfo(2)'!C3</f>
        <v>Decatur, GA</v>
      </c>
    </row>
    <row r="3" spans="1:6" ht="22.2" customHeight="1">
      <c r="A3" s="314" t="str">
        <f>+'jobinfo(2)'!B27</f>
        <v xml:space="preserve">Claim # </v>
      </c>
      <c r="B3" s="314" t="str">
        <f>+'jobinfo(2)'!C27</f>
        <v>CL 11-</v>
      </c>
      <c r="C3" s="314" t="str">
        <f>+'jobinfo(2)'!C26</f>
        <v>STATE FARM</v>
      </c>
      <c r="D3" s="235"/>
    </row>
    <row r="4" spans="1:6" ht="33" customHeight="1">
      <c r="A4" s="314" t="str">
        <f>+'jobinfo(2)'!B12</f>
        <v>date of loss</v>
      </c>
      <c r="B4" s="326">
        <f>+'jobinfo(2)'!C12</f>
        <v>45300</v>
      </c>
      <c r="C4" s="315" t="str">
        <f>+'jobinfo(2)'!B11</f>
        <v>Cause of Loss</v>
      </c>
      <c r="D4" s="316" t="str">
        <f>+'jobinfo(2)'!C11</f>
        <v>WIND HAIL</v>
      </c>
    </row>
    <row r="5" spans="1:6" ht="33" customHeight="1">
      <c r="A5" s="240" t="s">
        <v>136</v>
      </c>
      <c r="B5" s="438" t="str">
        <f>+'jobinfo(2)'!C13</f>
        <v>ROOF SHINGLES</v>
      </c>
      <c r="C5" s="438" t="str">
        <f>+'jobinfo(2)'!C14</f>
        <v>interior repairs</v>
      </c>
      <c r="D5" s="316" t="str">
        <f>+'jobinfo(2)'!C15</f>
        <v>exterior repairs</v>
      </c>
    </row>
    <row r="6" spans="1:6" ht="33" customHeight="1">
      <c r="A6" s="317" t="s">
        <v>137</v>
      </c>
      <c r="B6" s="317"/>
      <c r="C6" s="567" t="s">
        <v>138</v>
      </c>
      <c r="D6" s="567"/>
    </row>
    <row r="7" spans="1:6" ht="33" customHeight="1">
      <c r="A7" s="317"/>
      <c r="B7" s="317"/>
      <c r="C7" s="318"/>
      <c r="D7" s="318"/>
    </row>
    <row r="8" spans="1:6" ht="33" customHeight="1">
      <c r="A8" s="317"/>
      <c r="B8" s="317"/>
      <c r="C8" s="318"/>
      <c r="D8" s="318"/>
    </row>
    <row r="9" spans="1:6" ht="33" customHeight="1">
      <c r="A9" s="317"/>
      <c r="B9" s="317"/>
      <c r="C9" s="318"/>
      <c r="D9" s="318"/>
    </row>
    <row r="10" spans="1:6" ht="33" customHeight="1">
      <c r="A10" s="563" t="s">
        <v>139</v>
      </c>
      <c r="B10" s="563"/>
      <c r="C10" s="563" t="s">
        <v>139</v>
      </c>
      <c r="D10" s="563"/>
    </row>
    <row r="11" spans="1:6" ht="16.2" customHeight="1">
      <c r="A11" s="319" t="s">
        <v>140</v>
      </c>
      <c r="B11" s="320" t="s">
        <v>141</v>
      </c>
      <c r="C11" s="320" t="s">
        <v>142</v>
      </c>
      <c r="D11" s="320" t="s">
        <v>143</v>
      </c>
      <c r="E11" s="320" t="s">
        <v>144</v>
      </c>
      <c r="F11" s="320"/>
    </row>
    <row r="12" spans="1:6" ht="33" customHeight="1">
      <c r="A12" s="331" t="s">
        <v>145</v>
      </c>
      <c r="B12" s="332" t="s">
        <v>146</v>
      </c>
      <c r="C12" s="333" t="s">
        <v>139</v>
      </c>
      <c r="D12" s="334" t="s">
        <v>147</v>
      </c>
      <c r="E12" s="335"/>
      <c r="F12" s="320"/>
    </row>
    <row r="13" spans="1:6" ht="33" customHeight="1">
      <c r="A13" s="568" t="s">
        <v>148</v>
      </c>
      <c r="B13" s="568"/>
      <c r="C13" s="275" t="s">
        <v>149</v>
      </c>
      <c r="D13" s="275" t="s">
        <v>150</v>
      </c>
    </row>
    <row r="14" spans="1:6" ht="33" customHeight="1">
      <c r="A14" s="569" t="s">
        <v>151</v>
      </c>
      <c r="B14" s="569"/>
      <c r="C14" s="275" t="s">
        <v>149</v>
      </c>
      <c r="D14" s="275" t="s">
        <v>150</v>
      </c>
    </row>
    <row r="15" spans="1:6" ht="33" customHeight="1">
      <c r="A15" s="50" t="s">
        <v>79</v>
      </c>
      <c r="B15" s="322" t="s">
        <v>152</v>
      </c>
      <c r="C15" s="275" t="s">
        <v>149</v>
      </c>
      <c r="D15" s="275" t="s">
        <v>150</v>
      </c>
    </row>
    <row r="16" spans="1:6" ht="33" customHeight="1">
      <c r="A16" s="50" t="s">
        <v>153</v>
      </c>
      <c r="B16" s="322" t="s">
        <v>154</v>
      </c>
      <c r="C16" s="275" t="s">
        <v>149</v>
      </c>
      <c r="D16" s="275" t="s">
        <v>150</v>
      </c>
    </row>
    <row r="17" spans="1:4" ht="22.2" customHeight="1">
      <c r="A17" s="50" t="s">
        <v>77</v>
      </c>
      <c r="B17" s="321" t="s">
        <v>155</v>
      </c>
      <c r="C17" s="275" t="s">
        <v>149</v>
      </c>
      <c r="D17" s="275" t="s">
        <v>150</v>
      </c>
    </row>
    <row r="18" spans="1:4" ht="22.2" customHeight="1">
      <c r="A18" s="67" t="s">
        <v>156</v>
      </c>
      <c r="B18" s="278" t="s">
        <v>155</v>
      </c>
      <c r="C18" s="275" t="s">
        <v>149</v>
      </c>
      <c r="D18" s="275" t="s">
        <v>150</v>
      </c>
    </row>
    <row r="19" spans="1:4" ht="22.2" customHeight="1">
      <c r="A19" s="67" t="s">
        <v>157</v>
      </c>
      <c r="B19" s="278" t="s">
        <v>155</v>
      </c>
      <c r="C19" s="275" t="s">
        <v>149</v>
      </c>
      <c r="D19" s="275" t="s">
        <v>150</v>
      </c>
    </row>
    <row r="20" spans="1:4" ht="22.2" customHeight="1">
      <c r="A20" s="50" t="s">
        <v>158</v>
      </c>
      <c r="B20" s="67" t="s">
        <v>159</v>
      </c>
      <c r="C20" s="275" t="s">
        <v>149</v>
      </c>
      <c r="D20" s="275" t="s">
        <v>150</v>
      </c>
    </row>
    <row r="21" spans="1:4" ht="22.2" customHeight="1">
      <c r="A21" s="50" t="s">
        <v>160</v>
      </c>
      <c r="C21" s="275" t="s">
        <v>149</v>
      </c>
      <c r="D21" s="275" t="s">
        <v>150</v>
      </c>
    </row>
    <row r="22" spans="1:4" s="2" customFormat="1" ht="43.95" customHeight="1">
      <c r="A22" s="62" t="s">
        <v>161</v>
      </c>
      <c r="C22" s="277" t="s">
        <v>149</v>
      </c>
      <c r="D22" s="277" t="s">
        <v>150</v>
      </c>
    </row>
    <row r="23" spans="1:4" s="259" customFormat="1" ht="43.95" customHeight="1">
      <c r="A23" s="54" t="s">
        <v>162</v>
      </c>
      <c r="B23" s="323" t="s">
        <v>155</v>
      </c>
      <c r="C23" s="324"/>
      <c r="D23" s="325" t="s">
        <v>163</v>
      </c>
    </row>
    <row r="27" spans="1:4" ht="18">
      <c r="A27" s="225" t="s">
        <v>53</v>
      </c>
      <c r="B27" s="435" t="s">
        <v>164</v>
      </c>
    </row>
    <row r="28" spans="1:4" ht="18">
      <c r="B28" s="230" t="str">
        <f>+'jobinfo(2)'!C1</f>
        <v>BENJAMIN, SANDRA L.</v>
      </c>
      <c r="C28" s="226"/>
      <c r="D28" s="67"/>
    </row>
    <row r="29" spans="1:4" ht="18">
      <c r="A29" s="434" t="s">
        <v>165</v>
      </c>
      <c r="B29" s="230" t="str">
        <f>+'jobinfo(2)'!C2</f>
        <v>1441 Thomas Road,</v>
      </c>
      <c r="C29" s="67"/>
      <c r="D29" s="227" t="str">
        <f>+B2</f>
        <v>678) 361-6713</v>
      </c>
    </row>
    <row r="30" spans="1:4" ht="18">
      <c r="A30" s="431" t="s">
        <v>166</v>
      </c>
      <c r="B30" s="230" t="str">
        <f>+'jobinfo(2)'!C3</f>
        <v>Decatur, GA</v>
      </c>
      <c r="C30" s="67"/>
    </row>
    <row r="31" spans="1:4" ht="15.6">
      <c r="A31" s="571" t="s">
        <v>167</v>
      </c>
      <c r="B31" s="572"/>
      <c r="C31" s="572"/>
      <c r="D31" s="67"/>
    </row>
    <row r="32" spans="1:4" ht="18">
      <c r="A32" s="229" t="s">
        <v>168</v>
      </c>
      <c r="B32" s="230" t="str">
        <f>+'jobinfo(2)'!C26</f>
        <v>STATE FARM</v>
      </c>
      <c r="C32" s="231" t="s">
        <v>169</v>
      </c>
      <c r="D32" s="231" t="str">
        <f>+B3</f>
        <v>CL 11-</v>
      </c>
    </row>
    <row r="33" spans="1:4" ht="15.6">
      <c r="A33" s="232" t="s">
        <v>170</v>
      </c>
      <c r="B33" s="233"/>
      <c r="C33" s="233" t="s">
        <v>171</v>
      </c>
      <c r="D33" s="233"/>
    </row>
    <row r="34" spans="1:4" ht="15.6">
      <c r="A34" s="234" t="s">
        <v>172</v>
      </c>
      <c r="B34" s="234"/>
      <c r="C34" s="234"/>
      <c r="D34" s="235"/>
    </row>
    <row r="35" spans="1:4" ht="30.6">
      <c r="A35" s="236" t="s">
        <v>173</v>
      </c>
      <c r="B35" s="236" t="s">
        <v>174</v>
      </c>
      <c r="C35" s="237" t="s">
        <v>175</v>
      </c>
      <c r="D35" s="236" t="s">
        <v>174</v>
      </c>
    </row>
    <row r="36" spans="1:4" ht="9" customHeight="1">
      <c r="A36" s="228"/>
      <c r="B36" s="228"/>
      <c r="C36" s="228"/>
      <c r="D36" s="67"/>
    </row>
    <row r="37" spans="1:4" ht="18">
      <c r="A37" s="573" t="s">
        <v>176</v>
      </c>
      <c r="B37" s="573"/>
      <c r="C37" s="573"/>
      <c r="D37" s="573"/>
    </row>
    <row r="38" spans="1:4" ht="18">
      <c r="A38" s="577" t="s">
        <v>177</v>
      </c>
      <c r="B38" s="327" t="str">
        <f>+'jobinfo(2)'!C46</f>
        <v>TBD</v>
      </c>
      <c r="C38" s="574" t="str">
        <f>+'jobinfo(2)'!C31</f>
        <v>DA PH</v>
      </c>
      <c r="D38" s="574"/>
    </row>
    <row r="39" spans="1:4">
      <c r="A39" s="577"/>
    </row>
    <row r="40" spans="1:4" ht="18">
      <c r="A40" s="575" t="s">
        <v>178</v>
      </c>
      <c r="B40" s="238" t="s">
        <v>179</v>
      </c>
      <c r="C40" s="238"/>
      <c r="D40" s="239"/>
    </row>
    <row r="41" spans="1:4" ht="15.6">
      <c r="A41" s="575"/>
      <c r="B41" s="240" t="s">
        <v>180</v>
      </c>
      <c r="C41" s="240"/>
      <c r="D41" s="241" t="str">
        <f>+'jobinfo(2)'!C36</f>
        <v>TBD</v>
      </c>
    </row>
    <row r="42" spans="1:4" ht="15.6">
      <c r="A42" s="575"/>
      <c r="B42" s="240" t="s">
        <v>181</v>
      </c>
      <c r="C42" s="240"/>
      <c r="D42" s="240"/>
    </row>
    <row r="43" spans="1:4" ht="18">
      <c r="A43" s="576" t="s">
        <v>182</v>
      </c>
      <c r="B43" s="242" t="s">
        <v>183</v>
      </c>
      <c r="C43" s="242"/>
      <c r="D43" s="242"/>
    </row>
    <row r="44" spans="1:4" ht="18">
      <c r="A44" s="576"/>
      <c r="B44" s="243" t="s">
        <v>184</v>
      </c>
      <c r="C44" s="243"/>
      <c r="D44" s="244" t="str">
        <f>+'jobinfo(2)'!C37</f>
        <v>TBD</v>
      </c>
    </row>
    <row r="45" spans="1:4" ht="15.6">
      <c r="A45" s="67"/>
      <c r="B45" s="241"/>
      <c r="C45" s="241"/>
      <c r="D45" s="241"/>
    </row>
    <row r="46" spans="1:4" ht="18">
      <c r="A46" s="576" t="s">
        <v>185</v>
      </c>
      <c r="B46" s="245" t="s">
        <v>186</v>
      </c>
      <c r="C46" s="67"/>
      <c r="D46" s="246" t="s">
        <v>187</v>
      </c>
    </row>
    <row r="47" spans="1:4" ht="15.6">
      <c r="A47" s="576"/>
      <c r="B47" s="245" t="s">
        <v>188</v>
      </c>
      <c r="C47" s="67"/>
      <c r="D47" s="67" t="s">
        <v>189</v>
      </c>
    </row>
    <row r="48" spans="1:4" ht="15.6">
      <c r="A48" s="247" t="s">
        <v>189</v>
      </c>
      <c r="B48" s="240" t="s">
        <v>190</v>
      </c>
      <c r="C48" s="240" t="s">
        <v>191</v>
      </c>
      <c r="D48" s="240" t="s">
        <v>192</v>
      </c>
    </row>
    <row r="49" spans="1:5" ht="15.6">
      <c r="A49" s="240" t="s">
        <v>191</v>
      </c>
      <c r="B49" s="240" t="s">
        <v>190</v>
      </c>
      <c r="C49" s="240" t="s">
        <v>191</v>
      </c>
      <c r="D49" s="240" t="s">
        <v>192</v>
      </c>
    </row>
    <row r="50" spans="1:5" ht="15.6">
      <c r="A50" s="240" t="s">
        <v>191</v>
      </c>
      <c r="B50" s="240" t="s">
        <v>190</v>
      </c>
      <c r="C50" s="240" t="s">
        <v>191</v>
      </c>
      <c r="D50" s="240" t="s">
        <v>192</v>
      </c>
    </row>
    <row r="51" spans="1:5" ht="15.6">
      <c r="A51" s="248" t="s">
        <v>193</v>
      </c>
      <c r="B51" s="248"/>
      <c r="C51" s="249" t="s">
        <v>194</v>
      </c>
      <c r="D51" s="249"/>
    </row>
    <row r="52" spans="1:5" ht="15.6">
      <c r="A52" s="250" t="s">
        <v>191</v>
      </c>
      <c r="B52" s="240" t="s">
        <v>190</v>
      </c>
      <c r="C52" s="240" t="s">
        <v>191</v>
      </c>
      <c r="D52" s="240" t="s">
        <v>192</v>
      </c>
    </row>
    <row r="53" spans="1:5" ht="15.6">
      <c r="A53" s="240" t="s">
        <v>191</v>
      </c>
      <c r="B53" s="240" t="s">
        <v>190</v>
      </c>
      <c r="C53" s="240" t="s">
        <v>191</v>
      </c>
      <c r="D53" s="240" t="s">
        <v>192</v>
      </c>
    </row>
    <row r="54" spans="1:5" ht="15.6">
      <c r="A54" s="240"/>
      <c r="B54" s="240"/>
      <c r="C54" s="240"/>
      <c r="D54" s="240"/>
    </row>
    <row r="55" spans="1:5" ht="15.6">
      <c r="A55" s="248" t="s">
        <v>195</v>
      </c>
      <c r="B55" s="248"/>
      <c r="C55" s="67"/>
      <c r="D55" s="241"/>
    </row>
    <row r="56" spans="1:5" ht="15.6">
      <c r="A56" s="240" t="s">
        <v>191</v>
      </c>
      <c r="B56" s="240" t="s">
        <v>190</v>
      </c>
      <c r="C56" s="240" t="s">
        <v>191</v>
      </c>
      <c r="D56" s="240" t="s">
        <v>192</v>
      </c>
    </row>
    <row r="57" spans="1:5" ht="15.6" customHeight="1">
      <c r="A57" s="570" t="s">
        <v>196</v>
      </c>
      <c r="B57" s="251" t="str">
        <f>+'jobinfo(2)'!C100</f>
        <v>AK Builders Group LLC</v>
      </c>
      <c r="C57" s="240" t="str">
        <f>+'jobinfo(2)'!C103</f>
        <v>1700 Northside Drive Suite A7 PMB 887</v>
      </c>
      <c r="D57" s="436"/>
    </row>
    <row r="58" spans="1:5" ht="15.6" customHeight="1">
      <c r="A58" s="570"/>
      <c r="B58" s="251" t="str">
        <f>+'jobinfo(2)'!C112</f>
        <v>Akumba Ashanti (678) 590-5736</v>
      </c>
      <c r="C58" s="240" t="str">
        <f>+'jobinfo(2)'!C104</f>
        <v>Atlanta, GA 30318</v>
      </c>
      <c r="D58" s="437"/>
    </row>
    <row r="59" spans="1:5" ht="15.6">
      <c r="B59" s="251" t="str">
        <f>+'jobinfo(2)'!C113</f>
        <v>akbuildersgroupllc@gmail.com</v>
      </c>
      <c r="C59" s="240" t="str">
        <f>+'jobinfo(2)'!C102</f>
        <v>mail@akbuilds.com</v>
      </c>
    </row>
    <row r="60" spans="1:5" ht="22.95" customHeight="1">
      <c r="A60" s="566" t="s">
        <v>197</v>
      </c>
      <c r="B60" s="566"/>
      <c r="C60" s="566"/>
      <c r="D60" s="566"/>
      <c r="E60" s="566"/>
    </row>
    <row r="61" spans="1:5" ht="17.399999999999999">
      <c r="A61" s="343" t="s">
        <v>198</v>
      </c>
      <c r="B61" s="342"/>
      <c r="C61" s="563" t="s">
        <v>139</v>
      </c>
      <c r="D61" s="563"/>
    </row>
    <row r="62" spans="1:5" ht="17.399999999999999">
      <c r="A62" s="343" t="s">
        <v>199</v>
      </c>
      <c r="B62" s="342"/>
      <c r="C62" s="563" t="s">
        <v>139</v>
      </c>
      <c r="D62" s="563"/>
    </row>
    <row r="63" spans="1:5" ht="17.399999999999999">
      <c r="A63" s="564" t="s">
        <v>200</v>
      </c>
      <c r="B63" s="564"/>
      <c r="C63" s="564"/>
      <c r="D63" s="564"/>
    </row>
    <row r="64" spans="1:5" ht="18">
      <c r="A64" s="50" t="s">
        <v>201</v>
      </c>
      <c r="B64" s="341"/>
      <c r="C64" s="341"/>
      <c r="D64" s="341"/>
    </row>
    <row r="65" spans="1:5" ht="34.799999999999997">
      <c r="A65" s="340" t="s">
        <v>202</v>
      </c>
      <c r="B65" s="340" t="s">
        <v>141</v>
      </c>
      <c r="C65" s="340" t="s">
        <v>203</v>
      </c>
      <c r="D65" s="340" t="s">
        <v>204</v>
      </c>
    </row>
    <row r="66" spans="1:5" ht="31.2" customHeight="1">
      <c r="A66" s="339" t="s">
        <v>145</v>
      </c>
      <c r="B66" s="439" t="s">
        <v>205</v>
      </c>
      <c r="C66" s="331" t="s">
        <v>206</v>
      </c>
      <c r="D66" s="565" t="s">
        <v>207</v>
      </c>
      <c r="E66" s="565"/>
    </row>
    <row r="67" spans="1:5" ht="15.6">
      <c r="A67" s="240" t="s">
        <v>208</v>
      </c>
      <c r="B67" s="338"/>
      <c r="C67" s="337"/>
      <c r="D67" s="337"/>
    </row>
    <row r="68" spans="1:5" ht="16.2" customHeight="1">
      <c r="A68" s="345" t="s">
        <v>209</v>
      </c>
      <c r="B68" s="336"/>
      <c r="D68" s="256" t="s">
        <v>210</v>
      </c>
      <c r="E68" t="s">
        <v>211</v>
      </c>
    </row>
    <row r="69" spans="1:5" ht="21">
      <c r="A69" s="133" t="s">
        <v>212</v>
      </c>
      <c r="B69" s="346" t="s">
        <v>213</v>
      </c>
      <c r="D69" s="256"/>
      <c r="E69" s="2" t="s">
        <v>214</v>
      </c>
    </row>
    <row r="70" spans="1:5" ht="28.2" customHeight="1">
      <c r="A70" s="344" t="str">
        <f>+'jobinfo(2)'!B53</f>
        <v xml:space="preserve">  Room/Area 1  </v>
      </c>
      <c r="B70" s="253" t="str">
        <f>+'jobinfo(2)'!C53</f>
        <v>FOYER/ENTRY ROOM</v>
      </c>
      <c r="C70" s="254" t="s">
        <v>215</v>
      </c>
      <c r="D70" s="254" t="s">
        <v>216</v>
      </c>
      <c r="E70" t="s">
        <v>216</v>
      </c>
    </row>
    <row r="71" spans="1:5" ht="28.2" customHeight="1">
      <c r="A71" s="344" t="str">
        <f>+'jobinfo(2)'!B54</f>
        <v xml:space="preserve">  Room/Area 2  </v>
      </c>
      <c r="B71" s="73" t="str">
        <f>+'jobinfo(2)'!C54</f>
        <v>GUEST CLOSET</v>
      </c>
      <c r="C71" s="255" t="s">
        <v>216</v>
      </c>
      <c r="D71" s="254" t="s">
        <v>217</v>
      </c>
      <c r="E71" t="s">
        <v>216</v>
      </c>
    </row>
    <row r="72" spans="1:5" ht="28.2" customHeight="1">
      <c r="A72" s="344" t="str">
        <f>+'jobinfo(2)'!B55</f>
        <v xml:space="preserve">  Room/Area 3  </v>
      </c>
      <c r="B72" s="253" t="str">
        <f>+'jobinfo(2)'!C55</f>
        <v>Living Room</v>
      </c>
      <c r="C72" s="254" t="s">
        <v>218</v>
      </c>
      <c r="D72" s="254" t="s">
        <v>216</v>
      </c>
      <c r="E72" t="s">
        <v>217</v>
      </c>
    </row>
    <row r="73" spans="1:5" ht="28.2" customHeight="1">
      <c r="A73" s="344" t="str">
        <f>+'jobinfo(2)'!B56</f>
        <v xml:space="preserve">  Room/Area 4  </v>
      </c>
      <c r="B73" s="73" t="str">
        <f>+'jobinfo(2)'!C56</f>
        <v>TBD</v>
      </c>
      <c r="C73" s="255" t="s">
        <v>216</v>
      </c>
      <c r="D73" s="254" t="s">
        <v>216</v>
      </c>
      <c r="E73" t="s">
        <v>217</v>
      </c>
    </row>
    <row r="74" spans="1:5" ht="28.2" customHeight="1">
      <c r="A74" s="344" t="str">
        <f>+'jobinfo(2)'!B57</f>
        <v xml:space="preserve">  Room/Area 5  </v>
      </c>
      <c r="B74" s="253" t="str">
        <f>+'jobinfo(2)'!C57</f>
        <v>TBD</v>
      </c>
      <c r="C74" s="254" t="s">
        <v>216</v>
      </c>
      <c r="D74" s="254" t="s">
        <v>216</v>
      </c>
      <c r="E74" t="s">
        <v>217</v>
      </c>
    </row>
    <row r="75" spans="1:5" ht="28.2" customHeight="1">
      <c r="A75" s="344" t="str">
        <f>+'jobinfo(2)'!B58</f>
        <v xml:space="preserve">  Room/Area 6  </v>
      </c>
      <c r="B75" s="73" t="str">
        <f>+'jobinfo(2)'!C58</f>
        <v>TBD</v>
      </c>
      <c r="C75" s="255" t="s">
        <v>216</v>
      </c>
      <c r="D75" s="254" t="str">
        <f t="shared" ref="D75:D82" si="0">IF(C75="N","Y","N")</f>
        <v>N</v>
      </c>
      <c r="E75" t="s">
        <v>217</v>
      </c>
    </row>
    <row r="76" spans="1:5" ht="28.2" customHeight="1">
      <c r="A76" s="344" t="str">
        <f>+'jobinfo(2)'!B59</f>
        <v xml:space="preserve">  Room/Area 7  </v>
      </c>
      <c r="B76" s="253" t="str">
        <f>+'jobinfo(2)'!C59</f>
        <v>TBD</v>
      </c>
      <c r="C76" s="254" t="s">
        <v>216</v>
      </c>
      <c r="D76" s="254" t="str">
        <f t="shared" si="0"/>
        <v>N</v>
      </c>
      <c r="E76" t="s">
        <v>217</v>
      </c>
    </row>
    <row r="77" spans="1:5" ht="28.2" customHeight="1">
      <c r="A77" s="344" t="str">
        <f>+'jobinfo(2)'!B60</f>
        <v xml:space="preserve">  Room/Area 8  </v>
      </c>
      <c r="B77" s="73" t="str">
        <f>+'jobinfo(2)'!C60</f>
        <v>TBD</v>
      </c>
      <c r="C77" s="255" t="s">
        <v>216</v>
      </c>
      <c r="D77" s="254" t="str">
        <f t="shared" si="0"/>
        <v>N</v>
      </c>
      <c r="E77" t="s">
        <v>217</v>
      </c>
    </row>
    <row r="78" spans="1:5" ht="28.2" customHeight="1">
      <c r="A78" s="344" t="str">
        <f>+'jobinfo(2)'!B61</f>
        <v xml:space="preserve">  Room/Area 9  </v>
      </c>
      <c r="B78" s="253" t="str">
        <f>+'jobinfo(2)'!C61</f>
        <v>TBD</v>
      </c>
      <c r="C78" s="254" t="s">
        <v>216</v>
      </c>
      <c r="D78" s="254" t="s">
        <v>216</v>
      </c>
      <c r="E78" t="s">
        <v>217</v>
      </c>
    </row>
    <row r="79" spans="1:5" ht="28.2" customHeight="1">
      <c r="A79" s="344" t="str">
        <f>+'jobinfo(2)'!B62</f>
        <v xml:space="preserve">  Room/Area 10  </v>
      </c>
      <c r="B79" s="73" t="str">
        <f>+'jobinfo(2)'!C62</f>
        <v>TBD</v>
      </c>
      <c r="C79" s="255" t="s">
        <v>215</v>
      </c>
      <c r="D79" s="254" t="str">
        <f t="shared" si="0"/>
        <v>N</v>
      </c>
      <c r="E79" t="s">
        <v>217</v>
      </c>
    </row>
    <row r="80" spans="1:5" ht="28.2" customHeight="1">
      <c r="A80" s="344" t="str">
        <f>+'jobinfo(2)'!B63</f>
        <v xml:space="preserve">  Room/Area 11  </v>
      </c>
      <c r="B80" s="253" t="str">
        <f>+'jobinfo(2)'!C63</f>
        <v>TBD</v>
      </c>
      <c r="C80" s="254" t="s">
        <v>216</v>
      </c>
      <c r="D80" s="254" t="str">
        <f t="shared" si="0"/>
        <v>N</v>
      </c>
    </row>
    <row r="81" spans="1:4" ht="28.2" customHeight="1">
      <c r="A81" s="344" t="str">
        <f>+'jobinfo(2)'!B64</f>
        <v xml:space="preserve">  Room/Area 12  </v>
      </c>
      <c r="B81" s="73" t="str">
        <f>+'jobinfo(2)'!C64</f>
        <v>TBD</v>
      </c>
      <c r="C81" s="255" t="s">
        <v>216</v>
      </c>
      <c r="D81" s="254" t="str">
        <f t="shared" si="0"/>
        <v>N</v>
      </c>
    </row>
    <row r="82" spans="1:4" ht="28.2" customHeight="1">
      <c r="A82" s="344" t="str">
        <f>+'jobinfo(2)'!B65</f>
        <v xml:space="preserve">  Room/Area 13  </v>
      </c>
      <c r="B82" s="253" t="str">
        <f>+'jobinfo(2)'!C65</f>
        <v>TBD</v>
      </c>
      <c r="C82" s="254" t="s">
        <v>216</v>
      </c>
      <c r="D82" s="254" t="str">
        <f t="shared" si="0"/>
        <v>N</v>
      </c>
    </row>
    <row r="83" spans="1:4" ht="28.2" customHeight="1">
      <c r="A83" s="344" t="str">
        <f>+'jobinfo(2)'!B66</f>
        <v xml:space="preserve">  Room/Area 14  </v>
      </c>
      <c r="B83" s="73" t="str">
        <f>+'jobinfo(2)'!C66</f>
        <v>TBD</v>
      </c>
      <c r="C83" s="255"/>
      <c r="D83" s="254"/>
    </row>
    <row r="84" spans="1:4" ht="28.2" customHeight="1">
      <c r="A84" s="344" t="str">
        <f>+'jobinfo(2)'!B67</f>
        <v xml:space="preserve">  Room/Area 15  </v>
      </c>
      <c r="B84" s="253" t="str">
        <f>+'jobinfo(2)'!C67</f>
        <v>TBD</v>
      </c>
      <c r="C84" s="254"/>
      <c r="D84" s="254"/>
    </row>
    <row r="85" spans="1:4" ht="28.2" customHeight="1">
      <c r="A85" s="344" t="str">
        <f>+'jobinfo(2)'!B68</f>
        <v xml:space="preserve">  Room/Area 16  </v>
      </c>
      <c r="B85" s="73" t="str">
        <f>+'jobinfo(2)'!C68</f>
        <v>TBD</v>
      </c>
      <c r="C85" s="255"/>
      <c r="D85" s="254"/>
    </row>
    <row r="86" spans="1:4" ht="28.2" customHeight="1">
      <c r="A86" s="344" t="str">
        <f>+'jobinfo(2)'!B69</f>
        <v xml:space="preserve">  Room/Area 17  </v>
      </c>
      <c r="B86" s="253" t="str">
        <f>+'jobinfo(2)'!C69</f>
        <v>TBD</v>
      </c>
      <c r="C86" s="254"/>
      <c r="D86" s="254"/>
    </row>
    <row r="87" spans="1:4" ht="28.2" customHeight="1">
      <c r="A87" s="344" t="str">
        <f>+'jobinfo(2)'!B70</f>
        <v xml:space="preserve">  Room/Area 18  </v>
      </c>
      <c r="B87" s="73" t="str">
        <f>+'jobinfo(2)'!C70</f>
        <v>TBD</v>
      </c>
      <c r="C87" s="255"/>
      <c r="D87" s="254"/>
    </row>
    <row r="88" spans="1:4" ht="28.2" customHeight="1">
      <c r="A88" s="344" t="str">
        <f>+'jobinfo(2)'!B71</f>
        <v xml:space="preserve">  Room/Area 19  </v>
      </c>
      <c r="B88" s="253" t="str">
        <f>+'jobinfo(2)'!C71</f>
        <v>TBD</v>
      </c>
      <c r="C88" s="254"/>
      <c r="D88" s="254"/>
    </row>
    <row r="89" spans="1:4" ht="28.2" customHeight="1">
      <c r="A89" s="344" t="str">
        <f>+'jobinfo(2)'!B72</f>
        <v xml:space="preserve">  Room/Area 20  </v>
      </c>
      <c r="B89" s="73" t="str">
        <f>+'jobinfo(2)'!C72</f>
        <v>TBD</v>
      </c>
      <c r="C89" s="255"/>
      <c r="D89" s="254"/>
    </row>
    <row r="90" spans="1:4" ht="21">
      <c r="A90" s="344" t="str">
        <f>+'jobinfo(2)'!B73</f>
        <v xml:space="preserve">  Room/Area 21</v>
      </c>
      <c r="B90" s="73" t="str">
        <f>+'jobinfo(2)'!C73</f>
        <v>TBD</v>
      </c>
      <c r="C90" s="255"/>
      <c r="D90" s="254"/>
    </row>
    <row r="91" spans="1:4" ht="21">
      <c r="A91" s="344" t="str">
        <f>+'jobinfo(2)'!B74</f>
        <v xml:space="preserve">  Room/Area 22</v>
      </c>
      <c r="B91" s="73" t="str">
        <f>+'jobinfo(2)'!C74</f>
        <v>TBD</v>
      </c>
      <c r="C91" s="255"/>
      <c r="D91" s="254"/>
    </row>
    <row r="92" spans="1:4" ht="21">
      <c r="A92" s="344" t="str">
        <f>+'jobinfo(2)'!B75</f>
        <v xml:space="preserve">  Room/Area 23</v>
      </c>
      <c r="B92" s="73" t="str">
        <f>+'jobinfo(2)'!C75</f>
        <v>TBD</v>
      </c>
      <c r="C92" s="255"/>
      <c r="D92" s="254"/>
    </row>
    <row r="93" spans="1:4" ht="21">
      <c r="A93" s="344" t="str">
        <f>+'jobinfo(2)'!B76</f>
        <v xml:space="preserve">  Room/Area 24</v>
      </c>
      <c r="B93" s="73" t="str">
        <f>+'jobinfo(2)'!C76</f>
        <v>TBD</v>
      </c>
      <c r="C93" s="255"/>
      <c r="D93" s="254"/>
    </row>
    <row r="94" spans="1:4" ht="21">
      <c r="A94" s="344" t="str">
        <f>+'jobinfo(2)'!B77</f>
        <v xml:space="preserve">  Room/Area 25</v>
      </c>
      <c r="B94" s="73" t="str">
        <f>+'jobinfo(2)'!C77</f>
        <v>TBD</v>
      </c>
      <c r="C94" s="255"/>
      <c r="D94" s="254"/>
    </row>
  </sheetData>
  <mergeCells count="18">
    <mergeCell ref="A57:A58"/>
    <mergeCell ref="A31:C31"/>
    <mergeCell ref="A37:D37"/>
    <mergeCell ref="C38:D38"/>
    <mergeCell ref="A40:A42"/>
    <mergeCell ref="A43:A44"/>
    <mergeCell ref="A46:A47"/>
    <mergeCell ref="A38:A39"/>
    <mergeCell ref="C6:D6"/>
    <mergeCell ref="A10:B10"/>
    <mergeCell ref="C10:D10"/>
    <mergeCell ref="A13:B13"/>
    <mergeCell ref="A14:B14"/>
    <mergeCell ref="C62:D62"/>
    <mergeCell ref="A63:D63"/>
    <mergeCell ref="C61:D61"/>
    <mergeCell ref="D66:E66"/>
    <mergeCell ref="A60:E60"/>
  </mergeCells>
  <printOptions gridLines="1"/>
  <pageMargins left="0.42" right="0.25" top="0.28000000000000003" bottom="0.39" header="0.3" footer="0.17"/>
  <pageSetup orientation="portrait" r:id="rId1"/>
  <headerFooter>
    <oddFooter>&amp;LPage# &amp;P of &amp;N&amp;C&amp;A&amp;R&amp;D&amp;T   &amp;A</oddFooter>
  </headerFooter>
  <rowBreaks count="2" manualBreakCount="2">
    <brk id="26" max="4" man="1"/>
    <brk id="67" max="4"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6FE0-5349-441B-8D74-13AD2868DBB2}">
  <sheetPr codeName="Sheet1">
    <tabColor rgb="FFFF0000"/>
  </sheetPr>
  <dimension ref="A1:N893"/>
  <sheetViews>
    <sheetView view="pageBreakPreview" zoomScaleNormal="100" zoomScaleSheetLayoutView="100" workbookViewId="0">
      <selection activeCell="A19" sqref="A19"/>
    </sheetView>
  </sheetViews>
  <sheetFormatPr defaultColWidth="14.109375" defaultRowHeight="31.95" customHeight="1"/>
  <cols>
    <col min="1" max="1" width="8.88671875" style="263" customWidth="1"/>
    <col min="2" max="2" width="57.44140625" style="263" customWidth="1"/>
    <col min="3" max="3" width="33.109375" style="274" customWidth="1"/>
    <col min="4" max="4" width="44.6640625" style="263" customWidth="1"/>
    <col min="5" max="5" width="32.33203125" style="263" customWidth="1"/>
    <col min="6" max="6" width="8.5546875" style="263" customWidth="1"/>
    <col min="7" max="7" width="12.6640625" style="263" customWidth="1"/>
    <col min="8" max="8" width="17.5546875" style="263" bestFit="1" customWidth="1"/>
    <col min="9" max="9" width="51.44140625" style="263" bestFit="1" customWidth="1"/>
    <col min="12" max="12" width="3.6640625" style="263" customWidth="1"/>
    <col min="13" max="13" width="75.109375" style="411" customWidth="1"/>
    <col min="14" max="14" width="20.33203125" style="263" customWidth="1"/>
    <col min="15" max="24" width="8.5546875" style="263" customWidth="1"/>
    <col min="25" max="16384" width="14.109375" style="263"/>
  </cols>
  <sheetData>
    <row r="1" spans="1:14" ht="24" customHeight="1">
      <c r="A1" s="356" t="str">
        <f>+'jobinfo(2)'!$C$1</f>
        <v>BENJAMIN, SANDRA L.</v>
      </c>
      <c r="B1" s="348"/>
      <c r="C1" s="264" t="str">
        <f>+N1</f>
        <v>JOB FORMS</v>
      </c>
      <c r="D1" s="418" t="str">
        <f>+'jobinfo(2)'!C1</f>
        <v>BENJAMIN, SANDRA L.</v>
      </c>
      <c r="E1" s="418"/>
      <c r="F1" s="354" t="s">
        <v>0</v>
      </c>
      <c r="G1" s="538" t="str">
        <f>+'jobinfo(2)'!$C$1</f>
        <v>BENJAMIN, SANDRA L.</v>
      </c>
      <c r="H1" s="352" t="s">
        <v>1</v>
      </c>
      <c r="I1" s="353" t="str">
        <f>+N1</f>
        <v>JOB FORMS</v>
      </c>
      <c r="L1" s="356" t="str">
        <f>+'jobinfo(2)'!$C$1</f>
        <v>BENJAMIN, SANDRA L.</v>
      </c>
      <c r="M1" s="412"/>
      <c r="N1" s="262" t="s">
        <v>2</v>
      </c>
    </row>
    <row r="2" spans="1:14" ht="23.4" customHeight="1">
      <c r="A2" s="267">
        <v>1</v>
      </c>
      <c r="B2" s="268" t="str">
        <f t="shared" ref="B2:B11" si="0">+M2</f>
        <v>CONTRACT    PACKAGE;</v>
      </c>
      <c r="C2" s="523" t="str">
        <f>+N2</f>
        <v>CONTRACT    PACKAGE;</v>
      </c>
      <c r="D2" s="263" t="s">
        <v>3</v>
      </c>
      <c r="F2" s="541" t="s">
        <v>4</v>
      </c>
      <c r="G2" s="539"/>
      <c r="H2" s="406" t="str">
        <f>+'jobinfo(2)'!B1</f>
        <v>Property-Owner Name</v>
      </c>
      <c r="I2" s="356" t="str">
        <f>+'jobinfo(2)'!C1</f>
        <v>BENJAMIN, SANDRA L.</v>
      </c>
      <c r="L2" s="266">
        <v>1</v>
      </c>
      <c r="M2" s="411" t="s">
        <v>5</v>
      </c>
      <c r="N2" s="520" t="str">
        <f>+M2</f>
        <v>CONTRACT    PACKAGE;</v>
      </c>
    </row>
    <row r="3" spans="1:14" ht="19.2" customHeight="1">
      <c r="A3" s="267"/>
      <c r="B3" s="268" t="str">
        <f t="shared" si="0"/>
        <v xml:space="preserve"> BASIC SUMMARY OF RESTORATION PROCESS; (Quick version). </v>
      </c>
      <c r="C3" s="523"/>
      <c r="D3" s="527" t="s">
        <v>6</v>
      </c>
      <c r="E3" s="432"/>
      <c r="F3" s="541"/>
      <c r="G3" s="539"/>
      <c r="H3" s="408" t="str">
        <f>+'jobinfo(2)'!B2</f>
        <v>Property address: street</v>
      </c>
      <c r="I3" s="357" t="str">
        <f>+'jobinfo(2)'!C2</f>
        <v>1441 Thomas Road,</v>
      </c>
      <c r="J3" s="263"/>
      <c r="K3" s="263"/>
      <c r="L3" s="266"/>
      <c r="M3" s="279" t="s">
        <v>7</v>
      </c>
      <c r="N3" s="520"/>
    </row>
    <row r="4" spans="1:14" ht="21" customHeight="1">
      <c r="A4" s="267"/>
      <c r="B4" s="281" t="str">
        <f t="shared" si="0"/>
        <v xml:space="preserve">    Signed contract verification , MOU sent</v>
      </c>
      <c r="C4" s="523"/>
      <c r="D4" s="527"/>
      <c r="E4" s="432"/>
      <c r="F4" s="541"/>
      <c r="G4" s="539"/>
      <c r="H4" s="406" t="str">
        <f>+'jobinfo(2)'!B3</f>
        <v>Property city, state, zip</v>
      </c>
      <c r="I4" s="356" t="str">
        <f>+'jobinfo(2)'!C3</f>
        <v>Decatur, GA</v>
      </c>
      <c r="J4" s="263"/>
      <c r="K4" s="263"/>
      <c r="L4" s="266"/>
      <c r="M4" s="411" t="s">
        <v>8</v>
      </c>
      <c r="N4" s="520"/>
    </row>
    <row r="5" spans="1:14" ht="21" customHeight="1">
      <c r="B5" s="264" t="str">
        <f t="shared" si="0"/>
        <v>Copy of Policy (full pages) Declaration page for AOB</v>
      </c>
      <c r="C5" s="523"/>
      <c r="D5" s="527"/>
      <c r="E5" s="432"/>
      <c r="F5" s="541"/>
      <c r="G5" s="539"/>
      <c r="H5" s="406" t="str">
        <f>+'jobinfo(2)'!B4</f>
        <v>Customer Email</v>
      </c>
      <c r="I5" s="356" t="str">
        <f>+'jobinfo(2)'!C4</f>
        <v>stephanie@trisproductions.com</v>
      </c>
      <c r="L5" s="266"/>
      <c r="M5" s="280" t="s">
        <v>9</v>
      </c>
      <c r="N5" s="520"/>
    </row>
    <row r="6" spans="1:14" ht="43.95" customHeight="1">
      <c r="A6" s="267">
        <f>1+A2</f>
        <v>2</v>
      </c>
      <c r="B6" s="268" t="str">
        <f t="shared" si="0"/>
        <v>Claim Brief &amp; .'REPORTING SUMMARY</v>
      </c>
      <c r="C6" s="525" t="str">
        <f>+N6</f>
        <v>Claim Brief &amp; .'REPORTING SUMMARY</v>
      </c>
      <c r="D6" s="419" t="str">
        <f>+B7</f>
        <v>INDEX = LISTING of  Job Work Areas.</v>
      </c>
      <c r="E6" s="419"/>
      <c r="F6" s="541"/>
      <c r="G6" s="539"/>
      <c r="H6" s="358" t="str">
        <f>+'jobinfo(2)'!B5</f>
        <v>Cst-owner Phone#</v>
      </c>
      <c r="I6" s="407" t="str">
        <f>+'jobinfo(2)'!C5</f>
        <v>678) 361-6713</v>
      </c>
      <c r="L6" s="266">
        <f>1+L2</f>
        <v>2</v>
      </c>
      <c r="M6" s="411" t="s">
        <v>10</v>
      </c>
      <c r="N6" s="524" t="str">
        <f>+M6</f>
        <v>Claim Brief &amp; .'REPORTING SUMMARY</v>
      </c>
    </row>
    <row r="7" spans="1:14" ht="40.200000000000003" customHeight="1">
      <c r="A7" s="266"/>
      <c r="B7" s="268" t="str">
        <f t="shared" si="0"/>
        <v>INDEX = LISTING of  Job Work Areas.</v>
      </c>
      <c r="C7" s="525"/>
      <c r="D7" s="263" t="s">
        <v>6</v>
      </c>
      <c r="F7" s="522" t="str">
        <f>+I2</f>
        <v>BENJAMIN, SANDRA L.</v>
      </c>
      <c r="G7" s="539"/>
      <c r="H7" s="406" t="str">
        <f>+'jobinfo(2)'!B11</f>
        <v>Cause of Loss</v>
      </c>
      <c r="I7" s="407" t="str">
        <f>+'jobinfo(2)'!C11</f>
        <v>WIND HAIL</v>
      </c>
      <c r="L7" s="266"/>
      <c r="M7" s="413" t="s">
        <v>11</v>
      </c>
      <c r="N7" s="524"/>
    </row>
    <row r="8" spans="1:14" ht="48" customHeight="1">
      <c r="A8" s="267">
        <f>1+A6</f>
        <v>3</v>
      </c>
      <c r="B8" s="269" t="str">
        <f t="shared" si="0"/>
        <v>Exterior Mitigation &amp; Scope</v>
      </c>
      <c r="C8" s="526" t="str">
        <f>+B8</f>
        <v>Exterior Mitigation &amp; Scope</v>
      </c>
      <c r="F8" s="522"/>
      <c r="G8" s="539"/>
      <c r="H8" s="359" t="str">
        <f>+'jobinfo(2)'!B12</f>
        <v>date of loss</v>
      </c>
      <c r="I8" s="409">
        <f>+'jobinfo(2)'!C12</f>
        <v>45300</v>
      </c>
      <c r="L8" s="266">
        <f>1+L6</f>
        <v>3</v>
      </c>
      <c r="M8" s="414" t="s">
        <v>12</v>
      </c>
      <c r="N8" s="520" t="str">
        <f>+M8</f>
        <v>Exterior Mitigation &amp; Scope</v>
      </c>
    </row>
    <row r="9" spans="1:14" ht="40.200000000000003" customHeight="1">
      <c r="A9" s="266"/>
      <c r="B9" s="311" t="str">
        <f t="shared" si="0"/>
        <v>a.) Supplies &amp;  Equipment   b.)  Mitigation   c.) Scope</v>
      </c>
      <c r="C9" s="526"/>
      <c r="F9" s="522"/>
      <c r="G9" s="539"/>
      <c r="H9" s="358" t="str">
        <f>+'jobinfo(2)'!B13</f>
        <v>rebuild  type 1</v>
      </c>
      <c r="I9" s="407" t="str">
        <f>+'jobinfo(2)'!C13</f>
        <v>ROOF SHINGLES</v>
      </c>
      <c r="L9" s="266"/>
      <c r="M9" s="413" t="s">
        <v>13</v>
      </c>
      <c r="N9" s="520"/>
    </row>
    <row r="10" spans="1:14" ht="40.200000000000003" customHeight="1">
      <c r="A10" s="266">
        <f>1+A8</f>
        <v>4</v>
      </c>
      <c r="B10" s="264" t="str">
        <f t="shared" si="0"/>
        <v>SKETCHES  /    FLOOR PLAN /              Interior SCOPE</v>
      </c>
      <c r="C10" s="528" t="str">
        <f>+B10</f>
        <v>SKETCHES  /    FLOOR PLAN /              Interior SCOPE</v>
      </c>
      <c r="D10" s="347" t="s">
        <v>6</v>
      </c>
      <c r="E10" s="347"/>
      <c r="F10" s="522"/>
      <c r="G10" s="539"/>
      <c r="H10" s="406" t="str">
        <f>+'jobinfo(2)'!B14</f>
        <v>rebuild  type 2</v>
      </c>
      <c r="I10" s="356" t="str">
        <f>+'jobinfo(2)'!C14</f>
        <v>interior repairs</v>
      </c>
      <c r="L10" s="266">
        <f>1+L8</f>
        <v>4</v>
      </c>
      <c r="M10" s="414" t="s">
        <v>14</v>
      </c>
      <c r="N10" s="529" t="str">
        <f>+M10</f>
        <v>SKETCHES  /    FLOOR PLAN /              Interior SCOPE</v>
      </c>
    </row>
    <row r="11" spans="1:14" ht="40.200000000000003" customHeight="1">
      <c r="A11" s="266"/>
      <c r="B11" s="264" t="str">
        <f t="shared" si="0"/>
        <v>Interior SCOPE/SHEETS</v>
      </c>
      <c r="C11" s="528"/>
      <c r="D11" s="263" t="str">
        <f>+B10</f>
        <v>SKETCHES  /    FLOOR PLAN /              Interior SCOPE</v>
      </c>
      <c r="F11" s="522"/>
      <c r="G11" s="539"/>
      <c r="H11" s="358" t="str">
        <f>+'jobinfo(2)'!B15</f>
        <v>rebuild  type 3</v>
      </c>
      <c r="I11" s="407" t="str">
        <f>+'jobinfo(2)'!C15</f>
        <v>exterior repairs</v>
      </c>
      <c r="L11" s="266"/>
      <c r="M11" s="414" t="s">
        <v>15</v>
      </c>
      <c r="N11" s="530"/>
    </row>
    <row r="12" spans="1:14" ht="40.200000000000003" customHeight="1">
      <c r="A12" s="266"/>
      <c r="B12" s="264"/>
      <c r="C12" s="270"/>
      <c r="F12" s="522"/>
      <c r="G12" s="540" t="s">
        <v>4</v>
      </c>
      <c r="H12" s="358" t="str">
        <f>+'jobinfo(2)'!B16</f>
        <v>DEMO</v>
      </c>
      <c r="I12" s="407" t="str">
        <f>+'jobinfo(2)'!C16</f>
        <v>Y</v>
      </c>
      <c r="L12" s="266"/>
      <c r="M12" s="440" t="s">
        <v>16</v>
      </c>
      <c r="N12" s="530"/>
    </row>
    <row r="13" spans="1:14" ht="40.200000000000003" customHeight="1">
      <c r="A13" s="267">
        <f>1+A10</f>
        <v>5</v>
      </c>
      <c r="B13" s="268" t="str">
        <f>+M13</f>
        <v>Interior SCOPE/SHEETS</v>
      </c>
      <c r="C13" s="532" t="str">
        <f>+N13</f>
        <v>Interior SCOPE/SHEETS</v>
      </c>
      <c r="D13" s="347" t="s">
        <v>6</v>
      </c>
      <c r="E13" s="347"/>
      <c r="F13" s="522"/>
      <c r="G13" s="540"/>
      <c r="H13" s="410" t="str">
        <f>+'jobinfo(2)'!B17</f>
        <v>Mitigation</v>
      </c>
      <c r="I13" s="356" t="str">
        <f>+'jobinfo(2)'!C17</f>
        <v>Y</v>
      </c>
      <c r="L13" s="266">
        <f>1+L10</f>
        <v>5</v>
      </c>
      <c r="M13" s="414" t="s">
        <v>15</v>
      </c>
      <c r="N13" s="520" t="str">
        <f>+M13</f>
        <v>Interior SCOPE/SHEETS</v>
      </c>
    </row>
    <row r="14" spans="1:14" ht="22.2" customHeight="1">
      <c r="A14" s="266"/>
      <c r="B14" s="311" t="str">
        <f>+M14</f>
        <v>per room/area; as needed per job</v>
      </c>
      <c r="C14" s="533"/>
      <c r="D14" s="348" t="str">
        <f>+B13</f>
        <v>Interior SCOPE/SHEETS</v>
      </c>
      <c r="E14" s="348"/>
      <c r="F14" s="522"/>
      <c r="G14" s="540"/>
      <c r="H14" s="358" t="str">
        <f>+'jobinfo(2)'!B18</f>
        <v>Other Structures</v>
      </c>
      <c r="I14" s="407" t="str">
        <f>+'jobinfo(2)'!C18</f>
        <v>TBD</v>
      </c>
      <c r="L14" s="266"/>
      <c r="M14" s="415" t="s">
        <v>17</v>
      </c>
      <c r="N14" s="531"/>
    </row>
    <row r="15" spans="1:14" ht="22.2" customHeight="1">
      <c r="A15" s="266"/>
      <c r="B15" s="311" t="e">
        <f>+#REF!</f>
        <v>#REF!</v>
      </c>
      <c r="C15" s="420"/>
      <c r="D15" s="348"/>
      <c r="E15" s="348"/>
      <c r="F15" s="522"/>
      <c r="G15" s="540"/>
      <c r="H15" s="358"/>
      <c r="I15" s="407"/>
      <c r="L15" s="266"/>
      <c r="M15" s="415" t="e">
        <f>+B15</f>
        <v>#REF!</v>
      </c>
      <c r="N15" s="421"/>
    </row>
    <row r="16" spans="1:14" ht="40.200000000000003" customHeight="1">
      <c r="A16" s="266">
        <f>1+A13</f>
        <v>6</v>
      </c>
      <c r="B16" s="264" t="str">
        <f>+M16</f>
        <v>INTERIOR Mitigation    a) Equipment  b) Supplies  c) Scope of Mitigation</v>
      </c>
      <c r="C16" s="536" t="str">
        <f>+N16</f>
        <v>INTERIOR Mitigation    a) Equipment  b) Supplies  c) Scope of Mitigation</v>
      </c>
      <c r="D16" s="347" t="s">
        <v>6</v>
      </c>
      <c r="E16" s="347"/>
      <c r="F16" s="522"/>
      <c r="G16" s="540"/>
      <c r="H16" s="410" t="str">
        <f>+'jobinfo(2)'!B19</f>
        <v>Replacement</v>
      </c>
      <c r="I16" s="356" t="str">
        <f>+'jobinfo(2)'!C19</f>
        <v>Y</v>
      </c>
      <c r="L16" s="266">
        <f>1+L13</f>
        <v>6</v>
      </c>
      <c r="M16" s="416" t="s">
        <v>18</v>
      </c>
      <c r="N16" s="534" t="str">
        <f>+M16</f>
        <v>INTERIOR Mitigation    a) Equipment  b) Supplies  c) Scope of Mitigation</v>
      </c>
    </row>
    <row r="17" spans="1:14" ht="40.200000000000003" customHeight="1">
      <c r="A17" s="266"/>
      <c r="B17" s="264" t="str">
        <f>+M17</f>
        <v>a) Equipment   b) Supplies  c) Mitigation Scope</v>
      </c>
      <c r="C17" s="537"/>
      <c r="D17" s="349" t="s">
        <v>19</v>
      </c>
      <c r="E17" s="349"/>
      <c r="F17" s="355">
        <v>1</v>
      </c>
      <c r="G17" s="355">
        <v>1</v>
      </c>
      <c r="H17" s="358" t="str">
        <f>+'jobinfo(2)'!B20</f>
        <v>CPS / CLN / CON/ CGN</v>
      </c>
      <c r="I17" s="407" t="str">
        <f>+'jobinfo(2)'!C20</f>
        <v>Y</v>
      </c>
      <c r="L17" s="266"/>
      <c r="M17" s="413" t="s">
        <v>20</v>
      </c>
      <c r="N17" s="535"/>
    </row>
    <row r="18" spans="1:14" ht="36" customHeight="1">
      <c r="A18" s="266"/>
      <c r="B18" s="264"/>
      <c r="C18" s="272"/>
      <c r="D18" s="348" t="s">
        <v>21</v>
      </c>
      <c r="E18" s="348"/>
      <c r="F18" s="355">
        <v>5</v>
      </c>
      <c r="G18" s="355">
        <v>5</v>
      </c>
      <c r="H18" s="410" t="str">
        <f>+'jobinfo(2)'!B26</f>
        <v xml:space="preserve">Insurance Co. Name </v>
      </c>
      <c r="I18" s="356" t="str">
        <f>+'jobinfo(2)'!C26</f>
        <v>STATE FARM</v>
      </c>
      <c r="L18" s="266"/>
      <c r="M18" s="417"/>
      <c r="N18" s="271"/>
    </row>
    <row r="19" spans="1:14" ht="40.200000000000003" customHeight="1">
      <c r="A19" s="266">
        <f>1+A16</f>
        <v>7</v>
      </c>
      <c r="B19" s="268" t="str">
        <f>+M19</f>
        <v>INTERIOR Mitigation READINGS !!!!  a.) MC    b.) RH      c.) F TEMP</v>
      </c>
      <c r="C19" s="442" t="str">
        <f>+B19</f>
        <v>INTERIOR Mitigation READINGS !!!!  a.) MC    b.) RH      c.) F TEMP</v>
      </c>
      <c r="D19" s="347" t="s">
        <v>6</v>
      </c>
      <c r="E19" s="347"/>
      <c r="F19" s="355">
        <v>5</v>
      </c>
      <c r="G19" s="355">
        <v>5</v>
      </c>
      <c r="H19" s="358" t="str">
        <f>+'jobinfo(2)'!B27</f>
        <v xml:space="preserve">Claim # </v>
      </c>
      <c r="I19" s="407" t="str">
        <f>+'jobinfo(2)'!C27</f>
        <v>CL 11-</v>
      </c>
      <c r="L19" s="266">
        <f>1+L16</f>
        <v>7</v>
      </c>
      <c r="M19" s="416" t="s">
        <v>22</v>
      </c>
      <c r="N19" s="521" t="str">
        <f>+M19</f>
        <v>INTERIOR Mitigation READINGS !!!!  a.) MC    b.) RH      c.) F TEMP</v>
      </c>
    </row>
    <row r="20" spans="1:14" ht="42" customHeight="1">
      <c r="B20" s="268" t="str">
        <f>+M20</f>
        <v>a.) MC  b.) RH c.) F TEMP</v>
      </c>
      <c r="C20" s="273" t="str">
        <f>+B20</f>
        <v>a.) MC  b.) RH c.) F TEMP</v>
      </c>
      <c r="D20" s="348" t="str">
        <f>+B21</f>
        <v>Contents SCOPE = QUICKVIEW</v>
      </c>
      <c r="E20" s="348"/>
      <c r="F20" s="354" t="s">
        <v>23</v>
      </c>
      <c r="H20" s="410" t="str">
        <f>+'jobinfo(2)'!B28</f>
        <v>policy #</v>
      </c>
      <c r="I20" s="356" t="str">
        <f>+'jobinfo(2)'!C28</f>
        <v>TBD PL#</v>
      </c>
      <c r="L20" s="266"/>
      <c r="M20" s="78" t="s">
        <v>24</v>
      </c>
      <c r="N20" s="521"/>
    </row>
    <row r="21" spans="1:14" ht="43.95" customHeight="1">
      <c r="A21" s="267">
        <f>1+A19</f>
        <v>8</v>
      </c>
      <c r="B21" s="268" t="str">
        <f>+M21</f>
        <v>Contents SCOPE = QUICKVIEW</v>
      </c>
      <c r="C21" s="528" t="str">
        <f>+B21</f>
        <v>Contents SCOPE = QUICKVIEW</v>
      </c>
      <c r="F21" s="354" t="s">
        <v>23</v>
      </c>
      <c r="H21" s="358" t="str">
        <f>+'jobinfo(2)'!B29</f>
        <v>Email INS. co.</v>
      </c>
      <c r="I21" s="407" t="str">
        <f>+'jobinfo(2)'!C29</f>
        <v>STATEFARMFIRECLAIMS@STATEFARM.COM</v>
      </c>
      <c r="L21" s="266">
        <f>1+L19</f>
        <v>8</v>
      </c>
      <c r="M21" s="441" t="s">
        <v>25</v>
      </c>
      <c r="N21" s="520" t="str">
        <f>+M21</f>
        <v>Contents SCOPE = QUICKVIEW</v>
      </c>
    </row>
    <row r="22" spans="1:14" ht="16.2" customHeight="1">
      <c r="B22" s="264" t="s">
        <v>26</v>
      </c>
      <c r="C22" s="528"/>
      <c r="F22" s="354" t="s">
        <v>23</v>
      </c>
      <c r="H22" s="410" t="str">
        <f>+'jobinfo(2)'!B30</f>
        <v>DESK Adjuster DA</v>
      </c>
      <c r="I22" s="356" t="str">
        <f>+'jobinfo(2)'!C30</f>
        <v>DA</v>
      </c>
      <c r="L22" s="261"/>
      <c r="M22" s="78" t="str">
        <f>+B22</f>
        <v>HMR Hazrdous Materials</v>
      </c>
      <c r="N22" s="520"/>
    </row>
    <row r="23" spans="1:14" ht="16.2" customHeight="1">
      <c r="B23" s="264" t="s">
        <v>27</v>
      </c>
      <c r="C23" s="265"/>
      <c r="L23" s="261"/>
      <c r="M23" s="411" t="str">
        <f>+B23</f>
        <v>Exterior Maintenance                 INT Maintenance</v>
      </c>
      <c r="N23" s="520"/>
    </row>
    <row r="24" spans="1:14" ht="16.2" customHeight="1">
      <c r="C24" s="265"/>
      <c r="L24" s="261"/>
      <c r="N24" s="271"/>
    </row>
    <row r="25" spans="1:14" ht="31.95" customHeight="1">
      <c r="B25" s="264"/>
      <c r="C25" s="265"/>
      <c r="L25" s="261"/>
      <c r="N25" s="271"/>
    </row>
    <row r="26" spans="1:14" ht="31.95" customHeight="1">
      <c r="B26" s="264"/>
      <c r="C26" s="265"/>
      <c r="L26" s="261"/>
      <c r="N26" s="271"/>
    </row>
    <row r="27" spans="1:14" ht="31.95" customHeight="1">
      <c r="B27" s="264"/>
      <c r="C27" s="265"/>
      <c r="L27" s="261"/>
      <c r="N27" s="271"/>
    </row>
    <row r="28" spans="1:14" ht="31.95" customHeight="1">
      <c r="B28" s="264"/>
      <c r="C28" s="265"/>
      <c r="L28" s="261"/>
      <c r="N28" s="271"/>
    </row>
    <row r="29" spans="1:14" ht="31.95" customHeight="1">
      <c r="B29" s="264"/>
      <c r="C29" s="265"/>
      <c r="L29" s="261"/>
      <c r="N29" s="271"/>
    </row>
    <row r="30" spans="1:14" ht="31.95" customHeight="1">
      <c r="B30" s="264"/>
      <c r="C30" s="265"/>
      <c r="L30" s="261"/>
      <c r="N30" s="271"/>
    </row>
    <row r="31" spans="1:14" ht="31.95" customHeight="1">
      <c r="B31" s="264"/>
      <c r="C31" s="265"/>
      <c r="L31" s="261"/>
      <c r="N31" s="271"/>
    </row>
    <row r="32" spans="1:14" ht="31.95" customHeight="1">
      <c r="B32" s="264"/>
      <c r="C32" s="265"/>
      <c r="L32" s="261"/>
      <c r="N32" s="271"/>
    </row>
    <row r="33" spans="2:14" ht="31.95" customHeight="1">
      <c r="B33" s="264"/>
      <c r="C33" s="265"/>
      <c r="L33" s="261"/>
      <c r="N33" s="271"/>
    </row>
    <row r="34" spans="2:14" ht="31.95" customHeight="1">
      <c r="B34" s="264"/>
      <c r="C34" s="265"/>
      <c r="L34" s="261"/>
      <c r="N34" s="271"/>
    </row>
    <row r="35" spans="2:14" ht="31.95" customHeight="1">
      <c r="B35" s="264"/>
      <c r="C35" s="265"/>
      <c r="L35" s="261"/>
      <c r="N35" s="271"/>
    </row>
    <row r="36" spans="2:14" ht="31.95" customHeight="1">
      <c r="B36" s="264"/>
      <c r="C36" s="265"/>
      <c r="L36" s="261"/>
      <c r="N36" s="271"/>
    </row>
    <row r="37" spans="2:14" ht="31.95" customHeight="1">
      <c r="B37" s="264"/>
      <c r="C37" s="265"/>
      <c r="L37" s="261"/>
      <c r="N37" s="271"/>
    </row>
    <row r="38" spans="2:14" ht="31.95" customHeight="1">
      <c r="B38" s="264"/>
      <c r="C38" s="265"/>
      <c r="L38" s="261"/>
      <c r="N38" s="271"/>
    </row>
    <row r="39" spans="2:14" ht="31.95" customHeight="1">
      <c r="B39" s="264"/>
      <c r="C39" s="265"/>
      <c r="L39" s="261"/>
      <c r="N39" s="271"/>
    </row>
    <row r="40" spans="2:14" ht="31.95" customHeight="1">
      <c r="B40" s="264"/>
      <c r="C40" s="265"/>
      <c r="L40" s="261"/>
      <c r="N40" s="271"/>
    </row>
    <row r="41" spans="2:14" ht="31.95" customHeight="1">
      <c r="B41" s="264"/>
      <c r="C41" s="265"/>
      <c r="L41" s="261"/>
      <c r="N41" s="271"/>
    </row>
    <row r="42" spans="2:14" ht="31.95" customHeight="1">
      <c r="B42" s="264"/>
      <c r="C42" s="265"/>
      <c r="L42" s="261"/>
      <c r="N42" s="271"/>
    </row>
    <row r="43" spans="2:14" ht="31.95" customHeight="1">
      <c r="B43" s="264"/>
      <c r="C43" s="265"/>
      <c r="L43" s="261"/>
      <c r="N43" s="271"/>
    </row>
    <row r="44" spans="2:14" ht="31.95" customHeight="1">
      <c r="B44" s="264"/>
      <c r="C44" s="265"/>
      <c r="L44" s="261"/>
      <c r="N44" s="271"/>
    </row>
    <row r="45" spans="2:14" ht="31.95" customHeight="1">
      <c r="B45" s="264"/>
      <c r="C45" s="265"/>
      <c r="L45" s="261"/>
      <c r="N45" s="271"/>
    </row>
    <row r="46" spans="2:14" ht="31.95" customHeight="1">
      <c r="B46" s="264"/>
      <c r="C46" s="265"/>
      <c r="L46" s="261"/>
      <c r="N46" s="271"/>
    </row>
    <row r="47" spans="2:14" ht="31.95" customHeight="1">
      <c r="B47" s="264"/>
      <c r="C47" s="265"/>
      <c r="L47" s="261"/>
      <c r="N47" s="271"/>
    </row>
    <row r="48" spans="2:14" ht="31.95" customHeight="1">
      <c r="B48" s="264"/>
      <c r="C48" s="265"/>
      <c r="L48" s="261"/>
      <c r="N48" s="271"/>
    </row>
    <row r="49" spans="2:14" ht="31.95" customHeight="1">
      <c r="B49" s="264"/>
      <c r="C49" s="265"/>
      <c r="L49" s="261"/>
      <c r="N49" s="271"/>
    </row>
    <row r="50" spans="2:14" ht="31.95" customHeight="1">
      <c r="B50" s="264"/>
      <c r="C50" s="265"/>
      <c r="L50" s="261"/>
      <c r="N50" s="271"/>
    </row>
    <row r="51" spans="2:14" ht="31.95" customHeight="1">
      <c r="B51" s="264"/>
      <c r="C51" s="265"/>
      <c r="L51" s="261"/>
      <c r="N51" s="271"/>
    </row>
    <row r="52" spans="2:14" ht="31.95" customHeight="1">
      <c r="B52" s="264"/>
      <c r="C52" s="265"/>
      <c r="L52" s="261"/>
      <c r="N52" s="271"/>
    </row>
    <row r="53" spans="2:14" ht="31.95" customHeight="1">
      <c r="B53" s="264"/>
      <c r="C53" s="265"/>
      <c r="L53" s="261"/>
      <c r="N53" s="271"/>
    </row>
    <row r="54" spans="2:14" ht="31.95" customHeight="1">
      <c r="B54" s="264"/>
      <c r="C54" s="265"/>
      <c r="L54" s="261"/>
      <c r="N54" s="271"/>
    </row>
    <row r="55" spans="2:14" ht="31.95" customHeight="1">
      <c r="B55" s="264"/>
      <c r="C55" s="265"/>
      <c r="L55" s="261"/>
      <c r="N55" s="271"/>
    </row>
    <row r="56" spans="2:14" ht="31.95" customHeight="1">
      <c r="B56" s="264"/>
      <c r="C56" s="265"/>
      <c r="L56" s="261"/>
      <c r="N56" s="271"/>
    </row>
    <row r="57" spans="2:14" ht="31.95" customHeight="1">
      <c r="B57" s="264"/>
      <c r="C57" s="265"/>
      <c r="L57" s="261"/>
      <c r="N57" s="271"/>
    </row>
    <row r="58" spans="2:14" ht="31.95" customHeight="1">
      <c r="B58" s="264"/>
      <c r="C58" s="265"/>
      <c r="L58" s="261"/>
      <c r="N58" s="271"/>
    </row>
    <row r="59" spans="2:14" ht="31.95" customHeight="1">
      <c r="B59" s="264"/>
      <c r="C59" s="265"/>
      <c r="L59" s="261"/>
      <c r="N59" s="271"/>
    </row>
    <row r="60" spans="2:14" ht="31.95" customHeight="1">
      <c r="B60" s="264"/>
      <c r="C60" s="265"/>
      <c r="L60" s="261"/>
      <c r="N60" s="271"/>
    </row>
    <row r="61" spans="2:14" ht="31.95" customHeight="1">
      <c r="B61" s="264"/>
      <c r="C61" s="265"/>
      <c r="L61" s="261"/>
      <c r="N61" s="271"/>
    </row>
    <row r="62" spans="2:14" ht="31.95" customHeight="1">
      <c r="B62" s="264"/>
      <c r="C62" s="265"/>
      <c r="L62" s="261"/>
      <c r="N62" s="271"/>
    </row>
    <row r="63" spans="2:14" ht="31.95" customHeight="1">
      <c r="B63" s="264"/>
      <c r="C63" s="265"/>
      <c r="L63" s="261"/>
      <c r="N63" s="271"/>
    </row>
    <row r="64" spans="2:14" ht="31.95" customHeight="1">
      <c r="B64" s="264"/>
      <c r="C64" s="265"/>
      <c r="L64" s="261"/>
      <c r="N64" s="271"/>
    </row>
    <row r="65" spans="2:14" ht="31.95" customHeight="1">
      <c r="B65" s="264"/>
      <c r="C65" s="265"/>
      <c r="L65" s="261"/>
      <c r="N65" s="271"/>
    </row>
    <row r="66" spans="2:14" ht="31.95" customHeight="1">
      <c r="B66" s="264"/>
      <c r="C66" s="265"/>
      <c r="L66" s="261"/>
      <c r="N66" s="271"/>
    </row>
    <row r="67" spans="2:14" ht="31.95" customHeight="1">
      <c r="B67" s="264"/>
      <c r="C67" s="265"/>
      <c r="L67" s="261"/>
      <c r="N67" s="271"/>
    </row>
    <row r="68" spans="2:14" ht="31.95" customHeight="1">
      <c r="B68" s="264"/>
      <c r="C68" s="265"/>
      <c r="L68" s="261"/>
      <c r="N68" s="271"/>
    </row>
    <row r="69" spans="2:14" ht="31.95" customHeight="1">
      <c r="B69" s="264"/>
      <c r="C69" s="265"/>
      <c r="L69" s="261"/>
      <c r="N69" s="271"/>
    </row>
    <row r="70" spans="2:14" ht="31.95" customHeight="1">
      <c r="B70" s="264"/>
      <c r="C70" s="265"/>
      <c r="L70" s="261"/>
      <c r="N70" s="271"/>
    </row>
    <row r="71" spans="2:14" ht="31.95" customHeight="1">
      <c r="B71" s="264"/>
      <c r="C71" s="265"/>
      <c r="L71" s="261"/>
      <c r="N71" s="271"/>
    </row>
    <row r="72" spans="2:14" ht="31.95" customHeight="1">
      <c r="B72" s="264"/>
      <c r="C72" s="265"/>
      <c r="L72" s="261"/>
      <c r="N72" s="271"/>
    </row>
    <row r="73" spans="2:14" ht="31.95" customHeight="1">
      <c r="B73" s="264"/>
      <c r="C73" s="265"/>
      <c r="L73" s="261"/>
      <c r="N73" s="271"/>
    </row>
    <row r="74" spans="2:14" ht="31.95" customHeight="1">
      <c r="B74" s="264"/>
      <c r="C74" s="265"/>
      <c r="L74" s="261"/>
      <c r="N74" s="271"/>
    </row>
    <row r="75" spans="2:14" ht="31.95" customHeight="1">
      <c r="B75" s="264"/>
      <c r="C75" s="265"/>
      <c r="L75" s="261"/>
      <c r="N75" s="271"/>
    </row>
    <row r="76" spans="2:14" ht="31.95" customHeight="1">
      <c r="B76" s="264"/>
      <c r="C76" s="265"/>
      <c r="L76" s="261"/>
      <c r="N76" s="271"/>
    </row>
    <row r="77" spans="2:14" ht="31.95" customHeight="1">
      <c r="B77" s="264"/>
      <c r="C77" s="265"/>
      <c r="L77" s="261"/>
      <c r="N77" s="271"/>
    </row>
    <row r="78" spans="2:14" ht="31.95" customHeight="1">
      <c r="B78" s="264"/>
      <c r="C78" s="265"/>
      <c r="L78" s="261"/>
      <c r="N78" s="271"/>
    </row>
    <row r="79" spans="2:14" ht="31.95" customHeight="1">
      <c r="B79" s="264"/>
      <c r="C79" s="265"/>
      <c r="L79" s="261"/>
      <c r="N79" s="271"/>
    </row>
    <row r="80" spans="2:14" ht="31.95" customHeight="1">
      <c r="B80" s="264"/>
      <c r="C80" s="265"/>
      <c r="L80" s="261"/>
      <c r="N80" s="271"/>
    </row>
    <row r="81" spans="2:14" ht="31.95" customHeight="1">
      <c r="B81" s="264"/>
      <c r="C81" s="265"/>
      <c r="L81" s="261"/>
      <c r="N81" s="271"/>
    </row>
    <row r="82" spans="2:14" ht="31.95" customHeight="1">
      <c r="B82" s="264"/>
      <c r="C82" s="265"/>
      <c r="L82" s="261"/>
      <c r="N82" s="271"/>
    </row>
    <row r="83" spans="2:14" ht="31.95" customHeight="1">
      <c r="B83" s="264"/>
      <c r="C83" s="265"/>
      <c r="L83" s="261"/>
      <c r="N83" s="271"/>
    </row>
    <row r="84" spans="2:14" ht="31.95" customHeight="1">
      <c r="B84" s="264"/>
      <c r="C84" s="265"/>
      <c r="L84" s="261"/>
      <c r="N84" s="271"/>
    </row>
    <row r="85" spans="2:14" ht="31.95" customHeight="1">
      <c r="B85" s="264"/>
      <c r="C85" s="265"/>
      <c r="L85" s="261"/>
      <c r="N85" s="271"/>
    </row>
    <row r="86" spans="2:14" ht="31.95" customHeight="1">
      <c r="B86" s="264"/>
      <c r="C86" s="265"/>
      <c r="L86" s="261"/>
      <c r="N86" s="271"/>
    </row>
    <row r="87" spans="2:14" ht="31.95" customHeight="1">
      <c r="B87" s="264"/>
      <c r="C87" s="265"/>
      <c r="L87" s="261"/>
      <c r="N87" s="271"/>
    </row>
    <row r="88" spans="2:14" ht="31.95" customHeight="1">
      <c r="B88" s="264"/>
      <c r="C88" s="265"/>
      <c r="L88" s="261"/>
      <c r="N88" s="271"/>
    </row>
    <row r="89" spans="2:14" ht="31.95" customHeight="1">
      <c r="B89" s="264"/>
      <c r="C89" s="265"/>
      <c r="L89" s="261"/>
      <c r="N89" s="271"/>
    </row>
    <row r="90" spans="2:14" ht="31.95" customHeight="1">
      <c r="B90" s="264"/>
      <c r="C90" s="265"/>
      <c r="L90" s="261"/>
      <c r="N90" s="271"/>
    </row>
    <row r="91" spans="2:14" ht="31.95" customHeight="1">
      <c r="B91" s="264"/>
      <c r="C91" s="265"/>
      <c r="L91" s="261"/>
      <c r="N91" s="271"/>
    </row>
    <row r="92" spans="2:14" ht="31.95" customHeight="1">
      <c r="B92" s="264"/>
      <c r="C92" s="265"/>
      <c r="L92" s="261"/>
      <c r="N92" s="271"/>
    </row>
    <row r="93" spans="2:14" ht="31.95" customHeight="1">
      <c r="B93" s="264"/>
      <c r="C93" s="265"/>
      <c r="L93" s="261"/>
      <c r="N93" s="271"/>
    </row>
    <row r="94" spans="2:14" ht="31.95" customHeight="1">
      <c r="B94" s="264"/>
      <c r="C94" s="265"/>
      <c r="L94" s="261"/>
      <c r="N94" s="271"/>
    </row>
    <row r="95" spans="2:14" ht="31.95" customHeight="1">
      <c r="B95" s="264"/>
      <c r="C95" s="265"/>
      <c r="L95" s="261"/>
      <c r="N95" s="271"/>
    </row>
    <row r="96" spans="2:14" ht="31.95" customHeight="1">
      <c r="B96" s="264"/>
      <c r="C96" s="265"/>
      <c r="L96" s="261"/>
      <c r="N96" s="271"/>
    </row>
    <row r="97" spans="2:14" ht="31.95" customHeight="1">
      <c r="B97" s="264"/>
      <c r="C97" s="265"/>
      <c r="L97" s="261"/>
      <c r="N97" s="271"/>
    </row>
    <row r="98" spans="2:14" ht="31.95" customHeight="1">
      <c r="B98" s="264"/>
      <c r="C98" s="265"/>
      <c r="L98" s="261"/>
      <c r="N98" s="271"/>
    </row>
    <row r="99" spans="2:14" ht="31.95" customHeight="1">
      <c r="B99" s="264"/>
      <c r="C99" s="265"/>
      <c r="L99" s="261"/>
      <c r="N99" s="271"/>
    </row>
    <row r="100" spans="2:14" ht="31.95" customHeight="1">
      <c r="B100" s="264"/>
      <c r="C100" s="265"/>
      <c r="L100" s="261"/>
      <c r="N100" s="271"/>
    </row>
    <row r="101" spans="2:14" ht="31.95" customHeight="1">
      <c r="B101" s="264"/>
      <c r="C101" s="265"/>
      <c r="L101" s="261"/>
      <c r="N101" s="271"/>
    </row>
    <row r="102" spans="2:14" ht="31.95" customHeight="1">
      <c r="B102" s="264"/>
      <c r="C102" s="265"/>
      <c r="L102" s="261"/>
      <c r="N102" s="271"/>
    </row>
    <row r="103" spans="2:14" ht="31.95" customHeight="1">
      <c r="B103" s="264"/>
      <c r="C103" s="265"/>
      <c r="L103" s="261"/>
      <c r="N103" s="271"/>
    </row>
    <row r="104" spans="2:14" ht="31.95" customHeight="1">
      <c r="B104" s="264"/>
      <c r="C104" s="265"/>
      <c r="L104" s="261"/>
      <c r="N104" s="271"/>
    </row>
    <row r="105" spans="2:14" ht="31.95" customHeight="1">
      <c r="B105" s="264"/>
      <c r="C105" s="265"/>
      <c r="L105" s="261"/>
      <c r="N105" s="271"/>
    </row>
    <row r="106" spans="2:14" ht="31.95" customHeight="1">
      <c r="B106" s="264"/>
      <c r="C106" s="265"/>
      <c r="L106" s="261"/>
      <c r="N106" s="271"/>
    </row>
    <row r="107" spans="2:14" ht="31.95" customHeight="1">
      <c r="B107" s="264"/>
      <c r="C107" s="265"/>
      <c r="L107" s="261"/>
      <c r="N107" s="271"/>
    </row>
    <row r="108" spans="2:14" ht="31.95" customHeight="1">
      <c r="B108" s="264"/>
      <c r="C108" s="265"/>
      <c r="L108" s="261"/>
      <c r="N108" s="271"/>
    </row>
    <row r="109" spans="2:14" ht="31.95" customHeight="1">
      <c r="B109" s="264"/>
      <c r="C109" s="265"/>
      <c r="L109" s="261"/>
      <c r="N109" s="271"/>
    </row>
    <row r="110" spans="2:14" ht="31.95" customHeight="1">
      <c r="B110" s="264"/>
      <c r="C110" s="265"/>
      <c r="L110" s="261"/>
      <c r="N110" s="271"/>
    </row>
    <row r="111" spans="2:14" ht="31.95" customHeight="1">
      <c r="B111" s="264"/>
      <c r="C111" s="265"/>
      <c r="L111" s="261"/>
      <c r="N111" s="271"/>
    </row>
    <row r="112" spans="2:14" ht="31.95" customHeight="1">
      <c r="B112" s="264"/>
      <c r="C112" s="265"/>
      <c r="L112" s="261"/>
      <c r="N112" s="271"/>
    </row>
    <row r="113" spans="2:14" ht="31.95" customHeight="1">
      <c r="B113" s="264"/>
      <c r="C113" s="265"/>
      <c r="L113" s="261"/>
      <c r="N113" s="271"/>
    </row>
    <row r="114" spans="2:14" ht="31.95" customHeight="1">
      <c r="B114" s="264"/>
      <c r="C114" s="265"/>
      <c r="L114" s="261"/>
      <c r="N114" s="271"/>
    </row>
    <row r="115" spans="2:14" ht="31.95" customHeight="1">
      <c r="B115" s="264"/>
      <c r="C115" s="265"/>
      <c r="L115" s="261"/>
      <c r="N115" s="271"/>
    </row>
    <row r="116" spans="2:14" ht="31.95" customHeight="1">
      <c r="B116" s="264"/>
      <c r="C116" s="265"/>
      <c r="L116" s="261"/>
      <c r="N116" s="271"/>
    </row>
    <row r="117" spans="2:14" ht="31.95" customHeight="1">
      <c r="B117" s="264"/>
      <c r="C117" s="265"/>
      <c r="L117" s="261"/>
      <c r="N117" s="271"/>
    </row>
    <row r="118" spans="2:14" ht="31.95" customHeight="1">
      <c r="B118" s="264"/>
      <c r="C118" s="265"/>
      <c r="L118" s="261"/>
      <c r="N118" s="271"/>
    </row>
    <row r="119" spans="2:14" ht="31.95" customHeight="1">
      <c r="B119" s="264"/>
      <c r="C119" s="265"/>
      <c r="L119" s="261"/>
      <c r="N119" s="271"/>
    </row>
    <row r="120" spans="2:14" ht="31.95" customHeight="1">
      <c r="B120" s="264"/>
      <c r="C120" s="265"/>
      <c r="L120" s="261"/>
      <c r="N120" s="271"/>
    </row>
    <row r="121" spans="2:14" ht="31.95" customHeight="1">
      <c r="B121" s="264"/>
      <c r="C121" s="265"/>
      <c r="L121" s="261"/>
      <c r="N121" s="271"/>
    </row>
    <row r="122" spans="2:14" ht="31.95" customHeight="1">
      <c r="B122" s="264"/>
      <c r="C122" s="265"/>
      <c r="L122" s="261"/>
      <c r="N122" s="271"/>
    </row>
    <row r="123" spans="2:14" ht="31.95" customHeight="1">
      <c r="B123" s="264"/>
      <c r="C123" s="265"/>
      <c r="L123" s="261"/>
      <c r="N123" s="271"/>
    </row>
    <row r="124" spans="2:14" ht="31.95" customHeight="1">
      <c r="B124" s="264"/>
      <c r="C124" s="265"/>
      <c r="L124" s="261"/>
      <c r="N124" s="271"/>
    </row>
    <row r="125" spans="2:14" ht="31.95" customHeight="1">
      <c r="B125" s="264"/>
      <c r="C125" s="265"/>
      <c r="L125" s="261"/>
      <c r="N125" s="271"/>
    </row>
    <row r="126" spans="2:14" ht="31.95" customHeight="1">
      <c r="B126" s="264"/>
      <c r="C126" s="265"/>
      <c r="L126" s="261"/>
      <c r="N126" s="271"/>
    </row>
    <row r="127" spans="2:14" ht="31.95" customHeight="1">
      <c r="B127" s="264"/>
      <c r="C127" s="265"/>
      <c r="L127" s="261"/>
      <c r="N127" s="271"/>
    </row>
    <row r="128" spans="2:14" ht="31.95" customHeight="1">
      <c r="B128" s="264"/>
      <c r="C128" s="265"/>
      <c r="L128" s="261"/>
      <c r="N128" s="271"/>
    </row>
    <row r="129" spans="2:14" ht="31.95" customHeight="1">
      <c r="B129" s="264"/>
      <c r="C129" s="265"/>
      <c r="L129" s="261"/>
      <c r="N129" s="271"/>
    </row>
    <row r="130" spans="2:14" ht="31.95" customHeight="1">
      <c r="B130" s="264"/>
      <c r="C130" s="265"/>
      <c r="L130" s="261"/>
      <c r="N130" s="271"/>
    </row>
    <row r="131" spans="2:14" ht="31.95" customHeight="1">
      <c r="B131" s="264"/>
      <c r="C131" s="265"/>
      <c r="L131" s="261"/>
      <c r="N131" s="271"/>
    </row>
    <row r="132" spans="2:14" ht="31.95" customHeight="1">
      <c r="B132" s="264"/>
      <c r="C132" s="265"/>
      <c r="L132" s="261"/>
      <c r="N132" s="271"/>
    </row>
    <row r="133" spans="2:14" ht="31.95" customHeight="1">
      <c r="B133" s="264"/>
      <c r="C133" s="265"/>
      <c r="L133" s="261"/>
      <c r="N133" s="271"/>
    </row>
    <row r="134" spans="2:14" ht="31.95" customHeight="1">
      <c r="B134" s="264"/>
      <c r="C134" s="265"/>
      <c r="L134" s="261"/>
      <c r="N134" s="271"/>
    </row>
    <row r="135" spans="2:14" ht="31.95" customHeight="1">
      <c r="B135" s="264"/>
      <c r="C135" s="265"/>
      <c r="L135" s="261"/>
      <c r="N135" s="271"/>
    </row>
    <row r="136" spans="2:14" ht="31.95" customHeight="1">
      <c r="B136" s="264"/>
      <c r="C136" s="265"/>
      <c r="L136" s="261"/>
      <c r="N136" s="271"/>
    </row>
    <row r="137" spans="2:14" ht="31.95" customHeight="1">
      <c r="B137" s="264"/>
      <c r="C137" s="265"/>
      <c r="L137" s="261"/>
      <c r="N137" s="271"/>
    </row>
    <row r="138" spans="2:14" ht="31.95" customHeight="1">
      <c r="B138" s="264"/>
      <c r="C138" s="265"/>
      <c r="L138" s="261"/>
      <c r="N138" s="271"/>
    </row>
    <row r="139" spans="2:14" ht="31.95" customHeight="1">
      <c r="B139" s="264"/>
      <c r="C139" s="265"/>
      <c r="L139" s="261"/>
      <c r="N139" s="271"/>
    </row>
    <row r="140" spans="2:14" ht="31.95" customHeight="1">
      <c r="B140" s="264"/>
      <c r="C140" s="265"/>
      <c r="L140" s="261"/>
      <c r="N140" s="271"/>
    </row>
    <row r="141" spans="2:14" ht="31.95" customHeight="1">
      <c r="B141" s="264"/>
      <c r="C141" s="265"/>
      <c r="L141" s="261"/>
      <c r="N141" s="271"/>
    </row>
    <row r="142" spans="2:14" ht="31.95" customHeight="1">
      <c r="B142" s="264"/>
      <c r="C142" s="265"/>
      <c r="L142" s="261"/>
      <c r="N142" s="271"/>
    </row>
    <row r="143" spans="2:14" ht="31.95" customHeight="1">
      <c r="B143" s="264"/>
      <c r="C143" s="265"/>
      <c r="L143" s="261"/>
      <c r="N143" s="271"/>
    </row>
    <row r="144" spans="2:14" ht="31.95" customHeight="1">
      <c r="B144" s="264"/>
      <c r="C144" s="265"/>
      <c r="L144" s="261"/>
      <c r="N144" s="271"/>
    </row>
    <row r="145" spans="2:14" ht="31.95" customHeight="1">
      <c r="B145" s="264"/>
      <c r="C145" s="265"/>
      <c r="L145" s="261"/>
      <c r="N145" s="271"/>
    </row>
    <row r="146" spans="2:14" ht="31.95" customHeight="1">
      <c r="B146" s="264"/>
      <c r="C146" s="265"/>
      <c r="L146" s="261"/>
      <c r="N146" s="271"/>
    </row>
    <row r="147" spans="2:14" ht="31.95" customHeight="1">
      <c r="B147" s="264"/>
      <c r="C147" s="265"/>
      <c r="L147" s="261"/>
      <c r="N147" s="271"/>
    </row>
    <row r="148" spans="2:14" ht="31.95" customHeight="1">
      <c r="B148" s="264"/>
      <c r="C148" s="265"/>
      <c r="L148" s="261"/>
      <c r="N148" s="271"/>
    </row>
    <row r="149" spans="2:14" ht="31.95" customHeight="1">
      <c r="B149" s="264"/>
      <c r="C149" s="265"/>
      <c r="L149" s="261"/>
      <c r="N149" s="271"/>
    </row>
    <row r="150" spans="2:14" ht="31.95" customHeight="1">
      <c r="B150" s="264"/>
      <c r="C150" s="265"/>
      <c r="L150" s="261"/>
      <c r="N150" s="271"/>
    </row>
    <row r="151" spans="2:14" ht="31.95" customHeight="1">
      <c r="B151" s="264"/>
      <c r="C151" s="265"/>
      <c r="L151" s="261"/>
      <c r="N151" s="271"/>
    </row>
    <row r="152" spans="2:14" ht="31.95" customHeight="1">
      <c r="B152" s="264"/>
      <c r="C152" s="265"/>
      <c r="L152" s="261"/>
      <c r="N152" s="271"/>
    </row>
    <row r="153" spans="2:14" ht="31.95" customHeight="1">
      <c r="B153" s="264"/>
      <c r="C153" s="265"/>
      <c r="L153" s="261"/>
      <c r="N153" s="271"/>
    </row>
    <row r="154" spans="2:14" ht="31.95" customHeight="1">
      <c r="B154" s="264"/>
      <c r="C154" s="265"/>
      <c r="L154" s="261"/>
      <c r="N154" s="271"/>
    </row>
    <row r="155" spans="2:14" ht="31.95" customHeight="1">
      <c r="B155" s="264"/>
      <c r="C155" s="265"/>
      <c r="L155" s="261"/>
      <c r="N155" s="271"/>
    </row>
    <row r="156" spans="2:14" ht="31.95" customHeight="1">
      <c r="B156" s="264"/>
      <c r="C156" s="265"/>
      <c r="L156" s="261"/>
      <c r="N156" s="271"/>
    </row>
    <row r="157" spans="2:14" ht="31.95" customHeight="1">
      <c r="B157" s="264"/>
      <c r="C157" s="265"/>
      <c r="L157" s="261"/>
      <c r="N157" s="271"/>
    </row>
    <row r="158" spans="2:14" ht="31.95" customHeight="1">
      <c r="B158" s="264"/>
      <c r="C158" s="265"/>
      <c r="L158" s="261"/>
      <c r="N158" s="271"/>
    </row>
    <row r="159" spans="2:14" ht="31.95" customHeight="1">
      <c r="B159" s="264"/>
      <c r="C159" s="265"/>
      <c r="L159" s="261"/>
      <c r="N159" s="271"/>
    </row>
    <row r="160" spans="2:14" ht="31.95" customHeight="1">
      <c r="B160" s="264"/>
      <c r="C160" s="265"/>
      <c r="L160" s="261"/>
      <c r="N160" s="271"/>
    </row>
    <row r="161" spans="2:14" ht="31.95" customHeight="1">
      <c r="B161" s="264"/>
      <c r="C161" s="265"/>
      <c r="L161" s="261"/>
      <c r="N161" s="271"/>
    </row>
    <row r="162" spans="2:14" ht="31.95" customHeight="1">
      <c r="B162" s="264"/>
      <c r="C162" s="265"/>
      <c r="L162" s="261"/>
      <c r="N162" s="271"/>
    </row>
    <row r="163" spans="2:14" ht="31.95" customHeight="1">
      <c r="B163" s="264"/>
      <c r="C163" s="265"/>
      <c r="L163" s="261"/>
      <c r="N163" s="271"/>
    </row>
    <row r="164" spans="2:14" ht="31.95" customHeight="1">
      <c r="B164" s="264"/>
      <c r="C164" s="265"/>
      <c r="L164" s="261"/>
      <c r="N164" s="271"/>
    </row>
    <row r="165" spans="2:14" ht="31.95" customHeight="1">
      <c r="B165" s="264"/>
      <c r="C165" s="265"/>
      <c r="L165" s="261"/>
      <c r="N165" s="271"/>
    </row>
    <row r="166" spans="2:14" ht="31.95" customHeight="1">
      <c r="B166" s="264"/>
      <c r="C166" s="265"/>
      <c r="L166" s="261"/>
      <c r="N166" s="271"/>
    </row>
    <row r="167" spans="2:14" ht="31.95" customHeight="1">
      <c r="B167" s="264"/>
      <c r="C167" s="265"/>
      <c r="L167" s="261"/>
      <c r="N167" s="271"/>
    </row>
    <row r="168" spans="2:14" ht="31.95" customHeight="1">
      <c r="B168" s="264"/>
      <c r="C168" s="265"/>
      <c r="L168" s="261"/>
      <c r="N168" s="271"/>
    </row>
    <row r="169" spans="2:14" ht="31.95" customHeight="1">
      <c r="B169" s="264"/>
      <c r="C169" s="265"/>
      <c r="L169" s="261"/>
      <c r="N169" s="271"/>
    </row>
    <row r="170" spans="2:14" ht="31.95" customHeight="1">
      <c r="B170" s="264"/>
      <c r="C170" s="265"/>
      <c r="L170" s="261"/>
      <c r="N170" s="271"/>
    </row>
    <row r="171" spans="2:14" ht="31.95" customHeight="1">
      <c r="B171" s="264"/>
      <c r="C171" s="265"/>
      <c r="L171" s="261"/>
      <c r="N171" s="271"/>
    </row>
    <row r="172" spans="2:14" ht="31.95" customHeight="1">
      <c r="B172" s="264"/>
      <c r="C172" s="265"/>
      <c r="L172" s="261"/>
      <c r="N172" s="271"/>
    </row>
    <row r="173" spans="2:14" ht="31.95" customHeight="1">
      <c r="B173" s="264"/>
      <c r="C173" s="265"/>
      <c r="L173" s="261"/>
      <c r="N173" s="271"/>
    </row>
    <row r="174" spans="2:14" ht="31.95" customHeight="1">
      <c r="B174" s="264"/>
      <c r="C174" s="265"/>
      <c r="L174" s="261"/>
      <c r="N174" s="271"/>
    </row>
    <row r="175" spans="2:14" ht="31.95" customHeight="1">
      <c r="B175" s="264"/>
      <c r="C175" s="265"/>
      <c r="L175" s="261"/>
      <c r="N175" s="271"/>
    </row>
    <row r="176" spans="2:14" ht="31.95" customHeight="1">
      <c r="B176" s="264"/>
      <c r="C176" s="265"/>
      <c r="L176" s="261"/>
      <c r="N176" s="271"/>
    </row>
    <row r="177" spans="2:14" ht="31.95" customHeight="1">
      <c r="B177" s="264"/>
      <c r="C177" s="265"/>
      <c r="L177" s="261"/>
      <c r="N177" s="271"/>
    </row>
    <row r="178" spans="2:14" ht="31.95" customHeight="1">
      <c r="B178" s="264"/>
      <c r="C178" s="265"/>
      <c r="L178" s="261"/>
      <c r="N178" s="271"/>
    </row>
    <row r="179" spans="2:14" ht="31.95" customHeight="1">
      <c r="B179" s="264"/>
      <c r="C179" s="265"/>
      <c r="L179" s="261"/>
      <c r="N179" s="271"/>
    </row>
    <row r="180" spans="2:14" ht="31.95" customHeight="1">
      <c r="B180" s="264"/>
      <c r="C180" s="265"/>
      <c r="L180" s="261"/>
      <c r="N180" s="271"/>
    </row>
    <row r="181" spans="2:14" ht="31.95" customHeight="1">
      <c r="B181" s="264"/>
      <c r="C181" s="265"/>
      <c r="L181" s="261"/>
      <c r="N181" s="271"/>
    </row>
    <row r="182" spans="2:14" ht="31.95" customHeight="1">
      <c r="B182" s="264"/>
      <c r="C182" s="265"/>
      <c r="L182" s="261"/>
      <c r="N182" s="271"/>
    </row>
    <row r="183" spans="2:14" ht="31.95" customHeight="1">
      <c r="B183" s="264"/>
      <c r="C183" s="265"/>
      <c r="L183" s="261"/>
      <c r="N183" s="271"/>
    </row>
    <row r="184" spans="2:14" ht="31.95" customHeight="1">
      <c r="B184" s="264"/>
      <c r="C184" s="265"/>
      <c r="L184" s="261"/>
      <c r="N184" s="271"/>
    </row>
    <row r="185" spans="2:14" ht="31.95" customHeight="1">
      <c r="B185" s="264"/>
      <c r="C185" s="265"/>
      <c r="L185" s="261"/>
      <c r="N185" s="271"/>
    </row>
    <row r="186" spans="2:14" ht="31.95" customHeight="1">
      <c r="B186" s="264"/>
      <c r="C186" s="265"/>
      <c r="L186" s="261"/>
      <c r="N186" s="271"/>
    </row>
    <row r="187" spans="2:14" ht="31.95" customHeight="1">
      <c r="B187" s="264"/>
      <c r="C187" s="265"/>
      <c r="L187" s="261"/>
      <c r="N187" s="271"/>
    </row>
    <row r="188" spans="2:14" ht="31.95" customHeight="1">
      <c r="B188" s="264"/>
      <c r="C188" s="265"/>
      <c r="L188" s="261"/>
      <c r="N188" s="271"/>
    </row>
    <row r="189" spans="2:14" ht="31.95" customHeight="1">
      <c r="B189" s="264"/>
      <c r="C189" s="265"/>
      <c r="L189" s="261"/>
      <c r="N189" s="271"/>
    </row>
    <row r="190" spans="2:14" ht="31.95" customHeight="1">
      <c r="B190" s="264"/>
      <c r="C190" s="265"/>
      <c r="L190" s="261"/>
      <c r="N190" s="271"/>
    </row>
    <row r="191" spans="2:14" ht="31.95" customHeight="1">
      <c r="B191" s="264"/>
      <c r="C191" s="265"/>
      <c r="L191" s="261"/>
      <c r="N191" s="271"/>
    </row>
    <row r="192" spans="2:14" ht="31.95" customHeight="1">
      <c r="B192" s="264"/>
      <c r="C192" s="265"/>
      <c r="L192" s="261"/>
      <c r="N192" s="271"/>
    </row>
    <row r="193" spans="2:14" ht="31.95" customHeight="1">
      <c r="B193" s="264"/>
      <c r="C193" s="265"/>
      <c r="L193" s="261"/>
      <c r="N193" s="271"/>
    </row>
    <row r="194" spans="2:14" ht="31.95" customHeight="1">
      <c r="B194" s="264"/>
      <c r="C194" s="265"/>
      <c r="L194" s="261"/>
      <c r="N194" s="271"/>
    </row>
    <row r="195" spans="2:14" ht="31.95" customHeight="1">
      <c r="B195" s="264"/>
      <c r="C195" s="265"/>
      <c r="L195" s="261"/>
      <c r="N195" s="271"/>
    </row>
    <row r="196" spans="2:14" ht="31.95" customHeight="1">
      <c r="B196" s="264"/>
      <c r="C196" s="265"/>
      <c r="L196" s="261"/>
      <c r="N196" s="271"/>
    </row>
    <row r="197" spans="2:14" ht="31.95" customHeight="1">
      <c r="B197" s="264"/>
      <c r="C197" s="265"/>
      <c r="L197" s="261"/>
      <c r="N197" s="271"/>
    </row>
    <row r="198" spans="2:14" ht="31.95" customHeight="1">
      <c r="B198" s="264"/>
      <c r="C198" s="265"/>
      <c r="L198" s="261"/>
      <c r="N198" s="271"/>
    </row>
    <row r="199" spans="2:14" ht="31.95" customHeight="1">
      <c r="B199" s="264"/>
      <c r="C199" s="265"/>
      <c r="L199" s="261"/>
      <c r="N199" s="271"/>
    </row>
    <row r="200" spans="2:14" ht="31.95" customHeight="1">
      <c r="B200" s="264"/>
      <c r="C200" s="265"/>
      <c r="L200" s="261"/>
      <c r="N200" s="271"/>
    </row>
    <row r="201" spans="2:14" ht="31.95" customHeight="1">
      <c r="B201" s="264"/>
      <c r="C201" s="265"/>
      <c r="L201" s="261"/>
      <c r="N201" s="271"/>
    </row>
    <row r="202" spans="2:14" ht="31.95" customHeight="1">
      <c r="B202" s="264"/>
      <c r="C202" s="265"/>
      <c r="L202" s="261"/>
      <c r="N202" s="271"/>
    </row>
    <row r="203" spans="2:14" ht="31.95" customHeight="1">
      <c r="B203" s="264"/>
      <c r="C203" s="265"/>
      <c r="L203" s="261"/>
      <c r="N203" s="271"/>
    </row>
    <row r="204" spans="2:14" ht="31.95" customHeight="1">
      <c r="B204" s="264"/>
      <c r="C204" s="265"/>
      <c r="L204" s="261"/>
      <c r="N204" s="271"/>
    </row>
    <row r="205" spans="2:14" ht="31.95" customHeight="1">
      <c r="B205" s="264"/>
      <c r="C205" s="265"/>
      <c r="L205" s="261"/>
      <c r="N205" s="271"/>
    </row>
    <row r="206" spans="2:14" ht="31.95" customHeight="1">
      <c r="B206" s="264"/>
      <c r="C206" s="265"/>
      <c r="L206" s="261"/>
      <c r="N206" s="271"/>
    </row>
    <row r="207" spans="2:14" ht="31.95" customHeight="1">
      <c r="B207" s="264"/>
      <c r="C207" s="265"/>
      <c r="L207" s="261"/>
      <c r="N207" s="271"/>
    </row>
    <row r="208" spans="2:14" ht="31.95" customHeight="1">
      <c r="B208" s="264"/>
      <c r="C208" s="265"/>
      <c r="L208" s="261"/>
      <c r="N208" s="271"/>
    </row>
    <row r="209" spans="2:14" ht="31.95" customHeight="1">
      <c r="B209" s="264"/>
      <c r="C209" s="265"/>
      <c r="L209" s="261"/>
      <c r="N209" s="271"/>
    </row>
    <row r="210" spans="2:14" ht="31.95" customHeight="1">
      <c r="B210" s="264"/>
      <c r="C210" s="265"/>
      <c r="L210" s="261"/>
      <c r="N210" s="271"/>
    </row>
    <row r="211" spans="2:14" ht="31.95" customHeight="1">
      <c r="B211" s="264"/>
      <c r="C211" s="265"/>
      <c r="L211" s="261"/>
      <c r="N211" s="271"/>
    </row>
    <row r="212" spans="2:14" ht="31.95" customHeight="1">
      <c r="B212" s="264"/>
      <c r="C212" s="265"/>
      <c r="L212" s="261"/>
      <c r="N212" s="271"/>
    </row>
    <row r="213" spans="2:14" ht="31.95" customHeight="1">
      <c r="B213" s="264"/>
      <c r="C213" s="265"/>
      <c r="L213" s="261"/>
      <c r="N213" s="271"/>
    </row>
    <row r="214" spans="2:14" ht="31.95" customHeight="1">
      <c r="B214" s="264"/>
      <c r="C214" s="265"/>
      <c r="L214" s="261"/>
      <c r="N214" s="271"/>
    </row>
    <row r="215" spans="2:14" ht="31.95" customHeight="1">
      <c r="B215" s="264"/>
      <c r="C215" s="265"/>
      <c r="L215" s="261"/>
      <c r="N215" s="271"/>
    </row>
    <row r="216" spans="2:14" ht="31.95" customHeight="1">
      <c r="B216" s="264"/>
      <c r="C216" s="265"/>
      <c r="L216" s="261"/>
      <c r="N216" s="271"/>
    </row>
    <row r="217" spans="2:14" ht="31.95" customHeight="1">
      <c r="B217" s="264"/>
      <c r="C217" s="265"/>
      <c r="L217" s="261"/>
      <c r="N217" s="271"/>
    </row>
    <row r="218" spans="2:14" ht="31.95" customHeight="1">
      <c r="B218" s="264"/>
      <c r="C218" s="265"/>
      <c r="L218" s="261"/>
      <c r="N218" s="271"/>
    </row>
    <row r="219" spans="2:14" ht="31.95" customHeight="1">
      <c r="B219" s="264"/>
      <c r="C219" s="265"/>
      <c r="L219" s="261"/>
      <c r="N219" s="271"/>
    </row>
    <row r="220" spans="2:14" ht="31.95" customHeight="1">
      <c r="B220" s="264"/>
      <c r="C220" s="265"/>
      <c r="L220" s="261"/>
      <c r="N220" s="271"/>
    </row>
    <row r="221" spans="2:14" ht="31.95" customHeight="1">
      <c r="B221" s="264"/>
      <c r="C221" s="265"/>
      <c r="L221" s="261"/>
      <c r="N221" s="271"/>
    </row>
    <row r="222" spans="2:14" ht="31.95" customHeight="1">
      <c r="B222" s="264"/>
      <c r="C222" s="265"/>
      <c r="L222" s="261"/>
      <c r="N222" s="271"/>
    </row>
    <row r="223" spans="2:14" ht="31.95" customHeight="1">
      <c r="B223" s="264"/>
      <c r="C223" s="265"/>
      <c r="L223" s="261"/>
      <c r="N223" s="271"/>
    </row>
    <row r="224" spans="2:14" ht="31.95" customHeight="1">
      <c r="B224" s="264"/>
      <c r="C224" s="265"/>
      <c r="L224" s="261"/>
      <c r="N224" s="271"/>
    </row>
    <row r="225" spans="2:14" ht="31.95" customHeight="1">
      <c r="B225" s="264"/>
      <c r="C225" s="265"/>
      <c r="L225" s="261"/>
      <c r="N225" s="271"/>
    </row>
    <row r="226" spans="2:14" ht="31.95" customHeight="1">
      <c r="B226" s="264"/>
      <c r="C226" s="265"/>
      <c r="L226" s="261"/>
      <c r="N226" s="271"/>
    </row>
    <row r="227" spans="2:14" ht="31.95" customHeight="1">
      <c r="B227" s="264"/>
      <c r="C227" s="265"/>
      <c r="L227" s="261"/>
      <c r="N227" s="271"/>
    </row>
    <row r="228" spans="2:14" ht="31.95" customHeight="1">
      <c r="B228" s="264"/>
      <c r="C228" s="265"/>
      <c r="L228" s="261"/>
      <c r="N228" s="271"/>
    </row>
    <row r="229" spans="2:14" ht="31.95" customHeight="1">
      <c r="B229" s="264"/>
      <c r="C229" s="265"/>
      <c r="L229" s="261"/>
      <c r="N229" s="271"/>
    </row>
    <row r="230" spans="2:14" ht="31.95" customHeight="1">
      <c r="B230" s="264"/>
      <c r="C230" s="265"/>
      <c r="L230" s="261"/>
      <c r="N230" s="271"/>
    </row>
    <row r="231" spans="2:14" ht="31.95" customHeight="1">
      <c r="B231" s="264"/>
      <c r="C231" s="265"/>
      <c r="L231" s="261"/>
      <c r="N231" s="271"/>
    </row>
    <row r="232" spans="2:14" ht="31.95" customHeight="1">
      <c r="B232" s="264"/>
      <c r="C232" s="265"/>
      <c r="L232" s="261"/>
      <c r="N232" s="271"/>
    </row>
    <row r="233" spans="2:14" ht="31.95" customHeight="1">
      <c r="B233" s="264"/>
      <c r="C233" s="265"/>
      <c r="L233" s="261"/>
      <c r="N233" s="271"/>
    </row>
    <row r="234" spans="2:14" ht="31.95" customHeight="1">
      <c r="B234" s="264"/>
      <c r="C234" s="265"/>
      <c r="L234" s="261"/>
      <c r="N234" s="271"/>
    </row>
    <row r="235" spans="2:14" ht="31.95" customHeight="1">
      <c r="B235" s="264"/>
      <c r="C235" s="265"/>
      <c r="L235" s="261"/>
      <c r="N235" s="271"/>
    </row>
    <row r="236" spans="2:14" ht="31.95" customHeight="1">
      <c r="B236" s="264"/>
      <c r="C236" s="265"/>
      <c r="L236" s="261"/>
      <c r="N236" s="271"/>
    </row>
    <row r="237" spans="2:14" ht="31.95" customHeight="1">
      <c r="B237" s="264"/>
      <c r="C237" s="265"/>
      <c r="L237" s="261"/>
      <c r="N237" s="271"/>
    </row>
    <row r="238" spans="2:14" ht="31.95" customHeight="1">
      <c r="B238" s="264"/>
      <c r="C238" s="265"/>
      <c r="L238" s="261"/>
      <c r="N238" s="271"/>
    </row>
    <row r="239" spans="2:14" ht="31.95" customHeight="1">
      <c r="B239" s="264"/>
      <c r="C239" s="265"/>
      <c r="L239" s="261"/>
      <c r="N239" s="271"/>
    </row>
    <row r="240" spans="2:14" ht="31.95" customHeight="1">
      <c r="B240" s="264"/>
      <c r="C240" s="265"/>
      <c r="L240" s="261"/>
      <c r="N240" s="271"/>
    </row>
    <row r="241" spans="2:14" ht="31.95" customHeight="1">
      <c r="B241" s="264"/>
      <c r="C241" s="265"/>
      <c r="L241" s="261"/>
      <c r="N241" s="271"/>
    </row>
    <row r="242" spans="2:14" ht="31.95" customHeight="1">
      <c r="B242" s="264"/>
      <c r="C242" s="265"/>
      <c r="L242" s="261"/>
      <c r="N242" s="271"/>
    </row>
    <row r="243" spans="2:14" ht="31.95" customHeight="1">
      <c r="B243" s="264"/>
      <c r="C243" s="265"/>
      <c r="L243" s="261"/>
      <c r="N243" s="271"/>
    </row>
    <row r="244" spans="2:14" ht="31.95" customHeight="1">
      <c r="B244" s="264"/>
      <c r="C244" s="265"/>
      <c r="L244" s="261"/>
      <c r="N244" s="271"/>
    </row>
    <row r="245" spans="2:14" ht="31.95" customHeight="1">
      <c r="B245" s="264"/>
      <c r="C245" s="265"/>
      <c r="L245" s="261"/>
      <c r="N245" s="271"/>
    </row>
    <row r="246" spans="2:14" ht="31.95" customHeight="1">
      <c r="B246" s="264"/>
      <c r="C246" s="265"/>
      <c r="L246" s="261"/>
      <c r="N246" s="271"/>
    </row>
    <row r="247" spans="2:14" ht="31.95" customHeight="1">
      <c r="B247" s="264"/>
      <c r="C247" s="265"/>
      <c r="L247" s="261"/>
      <c r="N247" s="271"/>
    </row>
    <row r="248" spans="2:14" ht="31.95" customHeight="1">
      <c r="B248" s="264"/>
      <c r="C248" s="265"/>
      <c r="L248" s="261"/>
      <c r="N248" s="271"/>
    </row>
    <row r="249" spans="2:14" ht="31.95" customHeight="1">
      <c r="B249" s="264"/>
      <c r="C249" s="265"/>
      <c r="L249" s="261"/>
      <c r="N249" s="271"/>
    </row>
    <row r="250" spans="2:14" ht="31.95" customHeight="1">
      <c r="B250" s="264"/>
      <c r="C250" s="265"/>
      <c r="L250" s="261"/>
      <c r="N250" s="271"/>
    </row>
    <row r="251" spans="2:14" ht="31.95" customHeight="1">
      <c r="B251" s="264"/>
      <c r="C251" s="265"/>
      <c r="L251" s="261"/>
      <c r="N251" s="271"/>
    </row>
    <row r="252" spans="2:14" ht="31.95" customHeight="1">
      <c r="B252" s="264"/>
      <c r="C252" s="265"/>
      <c r="L252" s="261"/>
      <c r="N252" s="271"/>
    </row>
    <row r="253" spans="2:14" ht="31.95" customHeight="1">
      <c r="B253" s="264"/>
      <c r="C253" s="265"/>
      <c r="L253" s="261"/>
      <c r="N253" s="271"/>
    </row>
    <row r="254" spans="2:14" ht="31.95" customHeight="1">
      <c r="B254" s="264"/>
      <c r="C254" s="265"/>
      <c r="L254" s="261"/>
      <c r="N254" s="271"/>
    </row>
    <row r="255" spans="2:14" ht="31.95" customHeight="1">
      <c r="B255" s="264"/>
      <c r="C255" s="265"/>
      <c r="L255" s="261"/>
      <c r="N255" s="271"/>
    </row>
    <row r="256" spans="2:14" ht="31.95" customHeight="1">
      <c r="B256" s="264"/>
      <c r="C256" s="265"/>
      <c r="L256" s="261"/>
      <c r="N256" s="271"/>
    </row>
    <row r="257" spans="2:14" ht="31.95" customHeight="1">
      <c r="B257" s="264"/>
      <c r="C257" s="265"/>
      <c r="L257" s="261"/>
      <c r="N257" s="271"/>
    </row>
    <row r="258" spans="2:14" ht="31.95" customHeight="1">
      <c r="B258" s="264"/>
      <c r="C258" s="265"/>
      <c r="L258" s="261"/>
      <c r="N258" s="271"/>
    </row>
    <row r="259" spans="2:14" ht="31.95" customHeight="1">
      <c r="B259" s="264"/>
      <c r="C259" s="265"/>
      <c r="L259" s="261"/>
      <c r="N259" s="271"/>
    </row>
    <row r="260" spans="2:14" ht="31.95" customHeight="1">
      <c r="B260" s="264"/>
      <c r="C260" s="265"/>
      <c r="L260" s="261"/>
      <c r="N260" s="271"/>
    </row>
    <row r="261" spans="2:14" ht="31.95" customHeight="1">
      <c r="B261" s="264"/>
      <c r="C261" s="265"/>
      <c r="L261" s="261"/>
      <c r="N261" s="271"/>
    </row>
    <row r="262" spans="2:14" ht="31.95" customHeight="1">
      <c r="B262" s="264"/>
      <c r="C262" s="265"/>
      <c r="L262" s="261"/>
      <c r="N262" s="271"/>
    </row>
    <row r="263" spans="2:14" ht="31.95" customHeight="1">
      <c r="B263" s="264"/>
      <c r="C263" s="265"/>
      <c r="L263" s="261"/>
      <c r="N263" s="271"/>
    </row>
    <row r="264" spans="2:14" ht="31.95" customHeight="1">
      <c r="B264" s="264"/>
      <c r="C264" s="265"/>
      <c r="L264" s="261"/>
      <c r="N264" s="271"/>
    </row>
    <row r="265" spans="2:14" ht="31.95" customHeight="1">
      <c r="B265" s="264"/>
      <c r="C265" s="265"/>
      <c r="L265" s="261"/>
      <c r="N265" s="271"/>
    </row>
    <row r="266" spans="2:14" ht="31.95" customHeight="1">
      <c r="B266" s="264"/>
      <c r="C266" s="265"/>
      <c r="L266" s="261"/>
      <c r="N266" s="271"/>
    </row>
    <row r="267" spans="2:14" ht="31.95" customHeight="1">
      <c r="B267" s="264"/>
      <c r="C267" s="265"/>
      <c r="L267" s="261"/>
      <c r="N267" s="271"/>
    </row>
    <row r="268" spans="2:14" ht="31.95" customHeight="1">
      <c r="B268" s="264"/>
      <c r="C268" s="265"/>
      <c r="L268" s="261"/>
      <c r="N268" s="271"/>
    </row>
    <row r="269" spans="2:14" ht="31.95" customHeight="1">
      <c r="B269" s="264"/>
      <c r="C269" s="265"/>
      <c r="L269" s="261"/>
      <c r="N269" s="271"/>
    </row>
    <row r="270" spans="2:14" ht="31.95" customHeight="1">
      <c r="B270" s="264"/>
      <c r="C270" s="265"/>
      <c r="L270" s="261"/>
      <c r="N270" s="271"/>
    </row>
    <row r="271" spans="2:14" ht="31.95" customHeight="1">
      <c r="B271" s="264"/>
      <c r="C271" s="265"/>
      <c r="L271" s="261"/>
      <c r="N271" s="271"/>
    </row>
    <row r="272" spans="2:14" ht="31.95" customHeight="1">
      <c r="B272" s="264"/>
      <c r="C272" s="265"/>
      <c r="L272" s="261"/>
      <c r="N272" s="271"/>
    </row>
    <row r="273" spans="2:14" ht="31.95" customHeight="1">
      <c r="B273" s="264"/>
      <c r="C273" s="265"/>
      <c r="L273" s="261"/>
      <c r="N273" s="271"/>
    </row>
    <row r="274" spans="2:14" ht="31.95" customHeight="1">
      <c r="B274" s="264"/>
      <c r="C274" s="265"/>
      <c r="L274" s="261"/>
      <c r="N274" s="271"/>
    </row>
    <row r="275" spans="2:14" ht="31.95" customHeight="1">
      <c r="B275" s="264"/>
      <c r="C275" s="265"/>
      <c r="L275" s="261"/>
      <c r="N275" s="271"/>
    </row>
    <row r="276" spans="2:14" ht="31.95" customHeight="1">
      <c r="B276" s="264"/>
      <c r="C276" s="265"/>
      <c r="L276" s="261"/>
      <c r="N276" s="271"/>
    </row>
    <row r="277" spans="2:14" ht="31.95" customHeight="1">
      <c r="B277" s="264"/>
      <c r="C277" s="265"/>
      <c r="L277" s="261"/>
      <c r="N277" s="271"/>
    </row>
    <row r="278" spans="2:14" ht="31.95" customHeight="1">
      <c r="B278" s="264"/>
      <c r="C278" s="265"/>
      <c r="L278" s="261"/>
      <c r="N278" s="271"/>
    </row>
    <row r="279" spans="2:14" ht="31.95" customHeight="1">
      <c r="B279" s="264"/>
      <c r="C279" s="265"/>
      <c r="L279" s="261"/>
      <c r="N279" s="271"/>
    </row>
    <row r="280" spans="2:14" ht="31.95" customHeight="1">
      <c r="B280" s="264"/>
      <c r="C280" s="265"/>
      <c r="L280" s="261"/>
      <c r="N280" s="271"/>
    </row>
    <row r="281" spans="2:14" ht="31.95" customHeight="1">
      <c r="B281" s="264"/>
      <c r="C281" s="265"/>
      <c r="L281" s="261"/>
      <c r="N281" s="271"/>
    </row>
    <row r="282" spans="2:14" ht="31.95" customHeight="1">
      <c r="B282" s="264"/>
      <c r="C282" s="265"/>
      <c r="L282" s="261"/>
      <c r="N282" s="271"/>
    </row>
    <row r="283" spans="2:14" ht="31.95" customHeight="1">
      <c r="B283" s="264"/>
      <c r="C283" s="265"/>
      <c r="L283" s="261"/>
      <c r="N283" s="271"/>
    </row>
    <row r="284" spans="2:14" ht="31.95" customHeight="1">
      <c r="B284" s="264"/>
      <c r="C284" s="265"/>
      <c r="L284" s="261"/>
      <c r="N284" s="271"/>
    </row>
    <row r="285" spans="2:14" ht="31.95" customHeight="1">
      <c r="B285" s="264"/>
      <c r="C285" s="265"/>
      <c r="L285" s="261"/>
      <c r="N285" s="271"/>
    </row>
    <row r="286" spans="2:14" ht="31.95" customHeight="1">
      <c r="B286" s="264"/>
      <c r="C286" s="265"/>
      <c r="L286" s="261"/>
      <c r="N286" s="271"/>
    </row>
    <row r="287" spans="2:14" ht="31.95" customHeight="1">
      <c r="B287" s="264"/>
      <c r="C287" s="265"/>
      <c r="L287" s="261"/>
      <c r="N287" s="271"/>
    </row>
    <row r="288" spans="2:14" ht="31.95" customHeight="1">
      <c r="B288" s="264"/>
      <c r="C288" s="265"/>
      <c r="L288" s="261"/>
      <c r="N288" s="271"/>
    </row>
    <row r="289" spans="2:14" ht="31.95" customHeight="1">
      <c r="B289" s="264"/>
      <c r="C289" s="265"/>
      <c r="L289" s="261"/>
      <c r="N289" s="271"/>
    </row>
    <row r="290" spans="2:14" ht="31.95" customHeight="1">
      <c r="B290" s="264"/>
      <c r="C290" s="265"/>
      <c r="L290" s="261"/>
      <c r="N290" s="271"/>
    </row>
    <row r="291" spans="2:14" ht="31.95" customHeight="1">
      <c r="B291" s="264"/>
      <c r="C291" s="265"/>
      <c r="L291" s="261"/>
      <c r="N291" s="271"/>
    </row>
    <row r="292" spans="2:14" ht="31.95" customHeight="1">
      <c r="B292" s="264"/>
      <c r="C292" s="265"/>
      <c r="L292" s="261"/>
      <c r="N292" s="271"/>
    </row>
    <row r="293" spans="2:14" ht="31.95" customHeight="1">
      <c r="B293" s="264"/>
      <c r="C293" s="265"/>
      <c r="L293" s="261"/>
      <c r="N293" s="271"/>
    </row>
    <row r="294" spans="2:14" ht="31.95" customHeight="1">
      <c r="B294" s="264"/>
      <c r="C294" s="265"/>
      <c r="L294" s="261"/>
      <c r="N294" s="271"/>
    </row>
    <row r="295" spans="2:14" ht="31.95" customHeight="1">
      <c r="B295" s="264"/>
      <c r="C295" s="265"/>
      <c r="L295" s="261"/>
      <c r="N295" s="271"/>
    </row>
    <row r="296" spans="2:14" ht="31.95" customHeight="1">
      <c r="B296" s="264"/>
      <c r="C296" s="265"/>
      <c r="L296" s="261"/>
      <c r="N296" s="271"/>
    </row>
    <row r="297" spans="2:14" ht="31.95" customHeight="1">
      <c r="B297" s="264"/>
      <c r="C297" s="265"/>
      <c r="L297" s="261"/>
      <c r="N297" s="271"/>
    </row>
    <row r="298" spans="2:14" ht="31.95" customHeight="1">
      <c r="B298" s="264"/>
      <c r="C298" s="265"/>
      <c r="L298" s="261"/>
      <c r="N298" s="271"/>
    </row>
    <row r="299" spans="2:14" ht="31.95" customHeight="1">
      <c r="B299" s="264"/>
      <c r="C299" s="265"/>
      <c r="L299" s="261"/>
      <c r="N299" s="271"/>
    </row>
    <row r="300" spans="2:14" ht="31.95" customHeight="1">
      <c r="B300" s="264"/>
      <c r="C300" s="265"/>
      <c r="L300" s="261"/>
      <c r="N300" s="271"/>
    </row>
    <row r="301" spans="2:14" ht="31.95" customHeight="1">
      <c r="B301" s="264"/>
      <c r="C301" s="265"/>
      <c r="L301" s="261"/>
      <c r="N301" s="271"/>
    </row>
    <row r="302" spans="2:14" ht="31.95" customHeight="1">
      <c r="B302" s="264"/>
      <c r="C302" s="265"/>
      <c r="L302" s="261"/>
      <c r="N302" s="271"/>
    </row>
    <row r="303" spans="2:14" ht="31.95" customHeight="1">
      <c r="B303" s="264"/>
      <c r="C303" s="265"/>
      <c r="L303" s="261"/>
      <c r="N303" s="271"/>
    </row>
    <row r="304" spans="2:14" ht="31.95" customHeight="1">
      <c r="B304" s="264"/>
      <c r="C304" s="265"/>
      <c r="L304" s="261"/>
      <c r="N304" s="271"/>
    </row>
    <row r="305" spans="2:14" ht="31.95" customHeight="1">
      <c r="B305" s="264"/>
      <c r="C305" s="265"/>
      <c r="L305" s="261"/>
      <c r="N305" s="271"/>
    </row>
    <row r="306" spans="2:14" ht="31.95" customHeight="1">
      <c r="B306" s="264"/>
      <c r="C306" s="265"/>
      <c r="L306" s="261"/>
      <c r="N306" s="271"/>
    </row>
    <row r="307" spans="2:14" ht="31.95" customHeight="1">
      <c r="B307" s="264"/>
      <c r="C307" s="265"/>
      <c r="L307" s="261"/>
      <c r="N307" s="271"/>
    </row>
    <row r="308" spans="2:14" ht="31.95" customHeight="1">
      <c r="B308" s="264"/>
      <c r="C308" s="265"/>
      <c r="L308" s="261"/>
      <c r="N308" s="271"/>
    </row>
    <row r="309" spans="2:14" ht="31.95" customHeight="1">
      <c r="B309" s="264"/>
      <c r="C309" s="265"/>
      <c r="L309" s="261"/>
      <c r="N309" s="271"/>
    </row>
    <row r="310" spans="2:14" ht="31.95" customHeight="1">
      <c r="B310" s="264"/>
      <c r="C310" s="265"/>
      <c r="L310" s="261"/>
      <c r="N310" s="271"/>
    </row>
    <row r="311" spans="2:14" ht="31.95" customHeight="1">
      <c r="B311" s="264"/>
      <c r="C311" s="265"/>
      <c r="L311" s="261"/>
      <c r="N311" s="271"/>
    </row>
    <row r="312" spans="2:14" ht="31.95" customHeight="1">
      <c r="B312" s="264"/>
      <c r="C312" s="265"/>
      <c r="L312" s="261"/>
      <c r="N312" s="271"/>
    </row>
    <row r="313" spans="2:14" ht="31.95" customHeight="1">
      <c r="B313" s="264"/>
      <c r="C313" s="265"/>
      <c r="L313" s="261"/>
      <c r="N313" s="271"/>
    </row>
    <row r="314" spans="2:14" ht="31.95" customHeight="1">
      <c r="B314" s="264"/>
      <c r="C314" s="265"/>
      <c r="L314" s="261"/>
      <c r="N314" s="271"/>
    </row>
    <row r="315" spans="2:14" ht="31.95" customHeight="1">
      <c r="B315" s="264"/>
      <c r="C315" s="265"/>
      <c r="L315" s="261"/>
      <c r="N315" s="271"/>
    </row>
    <row r="316" spans="2:14" ht="31.95" customHeight="1">
      <c r="B316" s="264"/>
      <c r="C316" s="265"/>
      <c r="L316" s="261"/>
      <c r="N316" s="271"/>
    </row>
    <row r="317" spans="2:14" ht="31.95" customHeight="1">
      <c r="B317" s="264"/>
      <c r="C317" s="265"/>
      <c r="L317" s="261"/>
      <c r="N317" s="271"/>
    </row>
    <row r="318" spans="2:14" ht="31.95" customHeight="1">
      <c r="B318" s="264"/>
      <c r="C318" s="265"/>
      <c r="L318" s="261"/>
      <c r="N318" s="271"/>
    </row>
    <row r="319" spans="2:14" ht="31.95" customHeight="1">
      <c r="B319" s="264"/>
      <c r="C319" s="265"/>
      <c r="L319" s="261"/>
      <c r="N319" s="271"/>
    </row>
    <row r="320" spans="2:14" ht="31.95" customHeight="1">
      <c r="B320" s="264"/>
      <c r="C320" s="265"/>
      <c r="L320" s="261"/>
      <c r="N320" s="271"/>
    </row>
    <row r="321" spans="2:14" ht="31.95" customHeight="1">
      <c r="B321" s="264"/>
      <c r="C321" s="265"/>
      <c r="L321" s="261"/>
      <c r="N321" s="271"/>
    </row>
    <row r="322" spans="2:14" ht="31.95" customHeight="1">
      <c r="B322" s="264"/>
      <c r="C322" s="265"/>
      <c r="L322" s="261"/>
      <c r="N322" s="271"/>
    </row>
    <row r="323" spans="2:14" ht="31.95" customHeight="1">
      <c r="B323" s="264"/>
      <c r="C323" s="265"/>
      <c r="L323" s="261"/>
      <c r="N323" s="271"/>
    </row>
    <row r="324" spans="2:14" ht="31.95" customHeight="1">
      <c r="B324" s="264"/>
      <c r="C324" s="265"/>
      <c r="L324" s="261"/>
      <c r="N324" s="271"/>
    </row>
    <row r="325" spans="2:14" ht="31.95" customHeight="1">
      <c r="B325" s="264"/>
      <c r="C325" s="265"/>
      <c r="L325" s="261"/>
      <c r="N325" s="271"/>
    </row>
    <row r="326" spans="2:14" ht="31.95" customHeight="1">
      <c r="B326" s="264"/>
      <c r="C326" s="265"/>
      <c r="L326" s="261"/>
      <c r="N326" s="271"/>
    </row>
    <row r="327" spans="2:14" ht="31.95" customHeight="1">
      <c r="B327" s="264"/>
      <c r="C327" s="265"/>
      <c r="L327" s="261"/>
      <c r="N327" s="271"/>
    </row>
    <row r="328" spans="2:14" ht="31.95" customHeight="1">
      <c r="B328" s="264"/>
      <c r="C328" s="265"/>
      <c r="L328" s="261"/>
      <c r="N328" s="271"/>
    </row>
    <row r="329" spans="2:14" ht="31.95" customHeight="1">
      <c r="B329" s="264"/>
      <c r="C329" s="265"/>
      <c r="L329" s="261"/>
      <c r="N329" s="271"/>
    </row>
    <row r="330" spans="2:14" ht="31.95" customHeight="1">
      <c r="B330" s="264"/>
      <c r="C330" s="265"/>
      <c r="L330" s="261"/>
      <c r="N330" s="271"/>
    </row>
    <row r="331" spans="2:14" ht="31.95" customHeight="1">
      <c r="B331" s="264"/>
      <c r="C331" s="265"/>
      <c r="L331" s="261"/>
      <c r="N331" s="271"/>
    </row>
    <row r="332" spans="2:14" ht="31.95" customHeight="1">
      <c r="B332" s="264"/>
      <c r="C332" s="265"/>
      <c r="L332" s="261"/>
      <c r="N332" s="271"/>
    </row>
    <row r="333" spans="2:14" ht="31.95" customHeight="1">
      <c r="B333" s="264"/>
      <c r="C333" s="265"/>
      <c r="L333" s="261"/>
      <c r="N333" s="271"/>
    </row>
    <row r="334" spans="2:14" ht="31.95" customHeight="1">
      <c r="B334" s="264"/>
      <c r="C334" s="265"/>
      <c r="L334" s="261"/>
      <c r="N334" s="271"/>
    </row>
    <row r="335" spans="2:14" ht="31.95" customHeight="1">
      <c r="B335" s="264"/>
      <c r="C335" s="265"/>
      <c r="L335" s="261"/>
      <c r="N335" s="271"/>
    </row>
    <row r="336" spans="2:14" ht="31.95" customHeight="1">
      <c r="B336" s="264"/>
      <c r="C336" s="265"/>
      <c r="L336" s="261"/>
      <c r="N336" s="271"/>
    </row>
    <row r="337" spans="2:14" ht="31.95" customHeight="1">
      <c r="B337" s="264"/>
      <c r="C337" s="265"/>
      <c r="L337" s="261"/>
      <c r="N337" s="271"/>
    </row>
    <row r="338" spans="2:14" ht="31.95" customHeight="1">
      <c r="B338" s="264"/>
      <c r="C338" s="265"/>
      <c r="L338" s="261"/>
      <c r="N338" s="271"/>
    </row>
    <row r="339" spans="2:14" ht="31.95" customHeight="1">
      <c r="B339" s="264"/>
      <c r="C339" s="265"/>
      <c r="L339" s="261"/>
      <c r="N339" s="271"/>
    </row>
    <row r="340" spans="2:14" ht="31.95" customHeight="1">
      <c r="B340" s="264"/>
      <c r="C340" s="265"/>
      <c r="L340" s="261"/>
      <c r="N340" s="271"/>
    </row>
    <row r="341" spans="2:14" ht="31.95" customHeight="1">
      <c r="B341" s="264"/>
      <c r="C341" s="265"/>
      <c r="L341" s="261"/>
      <c r="N341" s="271"/>
    </row>
    <row r="342" spans="2:14" ht="31.95" customHeight="1">
      <c r="B342" s="264"/>
      <c r="C342" s="265"/>
      <c r="L342" s="261"/>
      <c r="N342" s="271"/>
    </row>
    <row r="343" spans="2:14" ht="31.95" customHeight="1">
      <c r="B343" s="264"/>
      <c r="C343" s="265"/>
      <c r="L343" s="261"/>
      <c r="N343" s="271"/>
    </row>
    <row r="344" spans="2:14" ht="31.95" customHeight="1">
      <c r="B344" s="264"/>
      <c r="C344" s="265"/>
      <c r="L344" s="261"/>
      <c r="N344" s="271"/>
    </row>
    <row r="345" spans="2:14" ht="31.95" customHeight="1">
      <c r="B345" s="264"/>
      <c r="C345" s="265"/>
      <c r="L345" s="261"/>
      <c r="N345" s="271"/>
    </row>
    <row r="346" spans="2:14" ht="31.95" customHeight="1">
      <c r="B346" s="264"/>
      <c r="C346" s="265"/>
      <c r="L346" s="261"/>
      <c r="N346" s="271"/>
    </row>
    <row r="347" spans="2:14" ht="31.95" customHeight="1">
      <c r="B347" s="264"/>
      <c r="C347" s="265"/>
      <c r="L347" s="261"/>
      <c r="N347" s="271"/>
    </row>
    <row r="348" spans="2:14" ht="31.95" customHeight="1">
      <c r="B348" s="264"/>
      <c r="C348" s="265"/>
      <c r="L348" s="261"/>
      <c r="N348" s="271"/>
    </row>
    <row r="349" spans="2:14" ht="31.95" customHeight="1">
      <c r="B349" s="264"/>
      <c r="C349" s="265"/>
      <c r="L349" s="261"/>
      <c r="N349" s="271"/>
    </row>
    <row r="350" spans="2:14" ht="31.95" customHeight="1">
      <c r="B350" s="264"/>
      <c r="C350" s="265"/>
      <c r="L350" s="261"/>
      <c r="N350" s="271"/>
    </row>
    <row r="351" spans="2:14" ht="31.95" customHeight="1">
      <c r="B351" s="264"/>
      <c r="C351" s="265"/>
      <c r="L351" s="261"/>
      <c r="N351" s="271"/>
    </row>
    <row r="352" spans="2:14" ht="31.95" customHeight="1">
      <c r="B352" s="264"/>
      <c r="C352" s="265"/>
      <c r="L352" s="261"/>
      <c r="N352" s="271"/>
    </row>
    <row r="353" spans="2:14" ht="31.95" customHeight="1">
      <c r="B353" s="264"/>
      <c r="C353" s="265"/>
      <c r="L353" s="261"/>
      <c r="N353" s="271"/>
    </row>
    <row r="354" spans="2:14" ht="31.95" customHeight="1">
      <c r="B354" s="264"/>
      <c r="C354" s="265"/>
      <c r="L354" s="261"/>
      <c r="N354" s="271"/>
    </row>
    <row r="355" spans="2:14" ht="31.95" customHeight="1">
      <c r="B355" s="264"/>
      <c r="C355" s="265"/>
      <c r="L355" s="261"/>
      <c r="N355" s="271"/>
    </row>
    <row r="356" spans="2:14" ht="31.95" customHeight="1">
      <c r="B356" s="264"/>
      <c r="C356" s="265"/>
      <c r="L356" s="261"/>
      <c r="N356" s="271"/>
    </row>
    <row r="357" spans="2:14" ht="31.95" customHeight="1">
      <c r="B357" s="264"/>
      <c r="C357" s="265"/>
      <c r="L357" s="261"/>
      <c r="N357" s="271"/>
    </row>
    <row r="358" spans="2:14" ht="31.95" customHeight="1">
      <c r="B358" s="264"/>
      <c r="C358" s="265"/>
      <c r="L358" s="261"/>
      <c r="N358" s="271"/>
    </row>
    <row r="359" spans="2:14" ht="31.95" customHeight="1">
      <c r="B359" s="264"/>
      <c r="C359" s="265"/>
      <c r="L359" s="261"/>
      <c r="N359" s="271"/>
    </row>
    <row r="360" spans="2:14" ht="31.95" customHeight="1">
      <c r="B360" s="264"/>
      <c r="C360" s="265"/>
      <c r="L360" s="261"/>
      <c r="N360" s="271"/>
    </row>
    <row r="361" spans="2:14" ht="31.95" customHeight="1">
      <c r="B361" s="264"/>
      <c r="C361" s="265"/>
      <c r="L361" s="261"/>
      <c r="N361" s="271"/>
    </row>
    <row r="362" spans="2:14" ht="31.95" customHeight="1">
      <c r="B362" s="264"/>
      <c r="C362" s="265"/>
      <c r="L362" s="261"/>
      <c r="N362" s="271"/>
    </row>
    <row r="363" spans="2:14" ht="31.95" customHeight="1">
      <c r="B363" s="264"/>
      <c r="C363" s="265"/>
      <c r="L363" s="261"/>
      <c r="N363" s="271"/>
    </row>
    <row r="364" spans="2:14" ht="31.95" customHeight="1">
      <c r="B364" s="264"/>
      <c r="C364" s="265"/>
      <c r="L364" s="261"/>
      <c r="N364" s="271"/>
    </row>
    <row r="365" spans="2:14" ht="31.95" customHeight="1">
      <c r="B365" s="264"/>
      <c r="C365" s="265"/>
      <c r="L365" s="261"/>
      <c r="N365" s="271"/>
    </row>
    <row r="366" spans="2:14" ht="31.95" customHeight="1">
      <c r="B366" s="264"/>
      <c r="C366" s="265"/>
      <c r="L366" s="261"/>
      <c r="N366" s="271"/>
    </row>
    <row r="367" spans="2:14" ht="31.95" customHeight="1">
      <c r="B367" s="264"/>
      <c r="C367" s="265"/>
      <c r="L367" s="261"/>
      <c r="N367" s="271"/>
    </row>
    <row r="368" spans="2:14" ht="31.95" customHeight="1">
      <c r="B368" s="264"/>
      <c r="C368" s="265"/>
      <c r="L368" s="261"/>
      <c r="N368" s="271"/>
    </row>
    <row r="369" spans="2:14" ht="31.95" customHeight="1">
      <c r="B369" s="264"/>
      <c r="C369" s="265"/>
      <c r="L369" s="261"/>
      <c r="N369" s="271"/>
    </row>
    <row r="370" spans="2:14" ht="31.95" customHeight="1">
      <c r="B370" s="264"/>
      <c r="C370" s="265"/>
      <c r="L370" s="261"/>
      <c r="N370" s="271"/>
    </row>
    <row r="371" spans="2:14" ht="31.95" customHeight="1">
      <c r="B371" s="264"/>
      <c r="C371" s="265"/>
      <c r="L371" s="261"/>
      <c r="N371" s="271"/>
    </row>
    <row r="372" spans="2:14" ht="31.95" customHeight="1">
      <c r="B372" s="264"/>
      <c r="C372" s="265"/>
      <c r="L372" s="261"/>
      <c r="N372" s="271"/>
    </row>
    <row r="373" spans="2:14" ht="31.95" customHeight="1">
      <c r="B373" s="264"/>
      <c r="C373" s="265"/>
      <c r="L373" s="261"/>
      <c r="N373" s="271"/>
    </row>
    <row r="374" spans="2:14" ht="31.95" customHeight="1">
      <c r="B374" s="264"/>
      <c r="C374" s="265"/>
      <c r="L374" s="261"/>
      <c r="N374" s="271"/>
    </row>
    <row r="375" spans="2:14" ht="31.95" customHeight="1">
      <c r="B375" s="264"/>
      <c r="C375" s="265"/>
      <c r="L375" s="261"/>
      <c r="N375" s="271"/>
    </row>
    <row r="376" spans="2:14" ht="31.95" customHeight="1">
      <c r="B376" s="264"/>
      <c r="C376" s="265"/>
      <c r="L376" s="261"/>
      <c r="N376" s="271"/>
    </row>
    <row r="377" spans="2:14" ht="31.95" customHeight="1">
      <c r="B377" s="264"/>
      <c r="C377" s="265"/>
      <c r="L377" s="261"/>
      <c r="N377" s="271"/>
    </row>
    <row r="378" spans="2:14" ht="31.95" customHeight="1">
      <c r="B378" s="264"/>
      <c r="C378" s="265"/>
      <c r="L378" s="261"/>
      <c r="N378" s="271"/>
    </row>
    <row r="379" spans="2:14" ht="31.95" customHeight="1">
      <c r="B379" s="264"/>
      <c r="C379" s="265"/>
      <c r="L379" s="261"/>
      <c r="N379" s="271"/>
    </row>
    <row r="380" spans="2:14" ht="31.95" customHeight="1">
      <c r="B380" s="264"/>
      <c r="C380" s="265"/>
      <c r="L380" s="261"/>
      <c r="N380" s="271"/>
    </row>
    <row r="381" spans="2:14" ht="31.95" customHeight="1">
      <c r="B381" s="264"/>
      <c r="C381" s="265"/>
      <c r="L381" s="261"/>
      <c r="N381" s="271"/>
    </row>
    <row r="382" spans="2:14" ht="31.95" customHeight="1">
      <c r="B382" s="264"/>
      <c r="C382" s="265"/>
      <c r="L382" s="261"/>
      <c r="N382" s="271"/>
    </row>
    <row r="383" spans="2:14" ht="31.95" customHeight="1">
      <c r="B383" s="264"/>
      <c r="C383" s="265"/>
      <c r="L383" s="261"/>
      <c r="N383" s="271"/>
    </row>
    <row r="384" spans="2:14" ht="31.95" customHeight="1">
      <c r="B384" s="264"/>
      <c r="C384" s="265"/>
      <c r="L384" s="261"/>
      <c r="N384" s="271"/>
    </row>
    <row r="385" spans="2:14" ht="31.95" customHeight="1">
      <c r="B385" s="264"/>
      <c r="C385" s="265"/>
      <c r="L385" s="261"/>
      <c r="N385" s="271"/>
    </row>
    <row r="386" spans="2:14" ht="31.95" customHeight="1">
      <c r="B386" s="264"/>
      <c r="C386" s="265"/>
      <c r="L386" s="261"/>
      <c r="N386" s="271"/>
    </row>
    <row r="387" spans="2:14" ht="31.95" customHeight="1">
      <c r="B387" s="264"/>
      <c r="C387" s="265"/>
      <c r="L387" s="261"/>
      <c r="N387" s="271"/>
    </row>
    <row r="388" spans="2:14" ht="31.95" customHeight="1">
      <c r="B388" s="264"/>
      <c r="C388" s="265"/>
      <c r="L388" s="261"/>
      <c r="N388" s="271"/>
    </row>
    <row r="389" spans="2:14" ht="31.95" customHeight="1">
      <c r="B389" s="264"/>
      <c r="C389" s="265"/>
      <c r="L389" s="261"/>
      <c r="N389" s="271"/>
    </row>
    <row r="390" spans="2:14" ht="31.95" customHeight="1">
      <c r="B390" s="264"/>
      <c r="C390" s="265"/>
      <c r="L390" s="261"/>
      <c r="N390" s="271"/>
    </row>
    <row r="391" spans="2:14" ht="31.95" customHeight="1">
      <c r="B391" s="264"/>
      <c r="C391" s="265"/>
      <c r="L391" s="261"/>
      <c r="N391" s="271"/>
    </row>
    <row r="392" spans="2:14" ht="31.95" customHeight="1">
      <c r="B392" s="264"/>
      <c r="C392" s="265"/>
      <c r="L392" s="261"/>
      <c r="N392" s="271"/>
    </row>
    <row r="393" spans="2:14" ht="31.95" customHeight="1">
      <c r="B393" s="264"/>
      <c r="C393" s="265"/>
      <c r="L393" s="261"/>
      <c r="N393" s="271"/>
    </row>
    <row r="394" spans="2:14" ht="31.95" customHeight="1">
      <c r="B394" s="264"/>
      <c r="C394" s="265"/>
      <c r="L394" s="261"/>
      <c r="N394" s="271"/>
    </row>
    <row r="395" spans="2:14" ht="31.95" customHeight="1">
      <c r="B395" s="264"/>
      <c r="C395" s="265"/>
      <c r="L395" s="261"/>
      <c r="N395" s="271"/>
    </row>
    <row r="396" spans="2:14" ht="31.95" customHeight="1">
      <c r="B396" s="264"/>
      <c r="C396" s="265"/>
      <c r="L396" s="261"/>
      <c r="N396" s="271"/>
    </row>
    <row r="397" spans="2:14" ht="31.95" customHeight="1">
      <c r="B397" s="264"/>
      <c r="C397" s="265"/>
      <c r="L397" s="261"/>
      <c r="N397" s="271"/>
    </row>
    <row r="398" spans="2:14" ht="31.95" customHeight="1">
      <c r="B398" s="264"/>
      <c r="C398" s="265"/>
      <c r="L398" s="261"/>
      <c r="N398" s="271"/>
    </row>
    <row r="399" spans="2:14" ht="31.95" customHeight="1">
      <c r="B399" s="264"/>
      <c r="C399" s="265"/>
      <c r="L399" s="261"/>
      <c r="N399" s="271"/>
    </row>
    <row r="400" spans="2:14" ht="31.95" customHeight="1">
      <c r="B400" s="264"/>
      <c r="C400" s="265"/>
      <c r="L400" s="261"/>
      <c r="N400" s="271"/>
    </row>
    <row r="401" spans="2:14" ht="31.95" customHeight="1">
      <c r="B401" s="264"/>
      <c r="C401" s="265"/>
      <c r="L401" s="261"/>
      <c r="N401" s="271"/>
    </row>
    <row r="402" spans="2:14" ht="31.95" customHeight="1">
      <c r="B402" s="264"/>
      <c r="C402" s="265"/>
      <c r="L402" s="261"/>
      <c r="N402" s="271"/>
    </row>
    <row r="403" spans="2:14" ht="31.95" customHeight="1">
      <c r="B403" s="264"/>
      <c r="C403" s="265"/>
      <c r="L403" s="261"/>
      <c r="N403" s="271"/>
    </row>
    <row r="404" spans="2:14" ht="31.95" customHeight="1">
      <c r="B404" s="264"/>
      <c r="C404" s="265"/>
      <c r="L404" s="261"/>
      <c r="N404" s="271"/>
    </row>
    <row r="405" spans="2:14" ht="31.95" customHeight="1">
      <c r="B405" s="264"/>
      <c r="C405" s="265"/>
      <c r="L405" s="261"/>
      <c r="N405" s="271"/>
    </row>
    <row r="406" spans="2:14" ht="31.95" customHeight="1">
      <c r="B406" s="264"/>
      <c r="C406" s="265"/>
      <c r="L406" s="261"/>
      <c r="N406" s="271"/>
    </row>
    <row r="407" spans="2:14" ht="31.95" customHeight="1">
      <c r="B407" s="264"/>
      <c r="C407" s="265"/>
      <c r="L407" s="261"/>
      <c r="N407" s="271"/>
    </row>
    <row r="408" spans="2:14" ht="31.95" customHeight="1">
      <c r="B408" s="264"/>
      <c r="C408" s="265"/>
      <c r="L408" s="261"/>
      <c r="N408" s="271"/>
    </row>
    <row r="409" spans="2:14" ht="31.95" customHeight="1">
      <c r="B409" s="264"/>
      <c r="C409" s="265"/>
      <c r="L409" s="261"/>
      <c r="N409" s="271"/>
    </row>
    <row r="410" spans="2:14" ht="31.95" customHeight="1">
      <c r="B410" s="264"/>
      <c r="C410" s="265"/>
      <c r="L410" s="261"/>
      <c r="N410" s="271"/>
    </row>
    <row r="411" spans="2:14" ht="31.95" customHeight="1">
      <c r="B411" s="264"/>
      <c r="C411" s="265"/>
      <c r="L411" s="261"/>
      <c r="N411" s="271"/>
    </row>
    <row r="412" spans="2:14" ht="31.95" customHeight="1">
      <c r="B412" s="264"/>
      <c r="C412" s="265"/>
      <c r="L412" s="261"/>
      <c r="N412" s="271"/>
    </row>
    <row r="413" spans="2:14" ht="31.95" customHeight="1">
      <c r="B413" s="264"/>
      <c r="C413" s="265"/>
      <c r="L413" s="261"/>
      <c r="N413" s="271"/>
    </row>
    <row r="414" spans="2:14" ht="31.95" customHeight="1">
      <c r="B414" s="264"/>
      <c r="C414" s="265"/>
      <c r="L414" s="261"/>
      <c r="N414" s="271"/>
    </row>
    <row r="415" spans="2:14" ht="31.95" customHeight="1">
      <c r="B415" s="264"/>
      <c r="C415" s="265"/>
      <c r="L415" s="261"/>
      <c r="N415" s="271"/>
    </row>
    <row r="416" spans="2:14" ht="31.95" customHeight="1">
      <c r="B416" s="264"/>
      <c r="C416" s="265"/>
      <c r="L416" s="261"/>
      <c r="N416" s="271"/>
    </row>
    <row r="417" spans="2:14" ht="31.95" customHeight="1">
      <c r="B417" s="264"/>
      <c r="C417" s="265"/>
      <c r="L417" s="261"/>
      <c r="N417" s="271"/>
    </row>
    <row r="418" spans="2:14" ht="31.95" customHeight="1">
      <c r="B418" s="264"/>
      <c r="C418" s="265"/>
      <c r="L418" s="261"/>
      <c r="N418" s="271"/>
    </row>
    <row r="419" spans="2:14" ht="31.95" customHeight="1">
      <c r="B419" s="264"/>
      <c r="C419" s="265"/>
      <c r="L419" s="261"/>
      <c r="N419" s="271"/>
    </row>
    <row r="420" spans="2:14" ht="31.95" customHeight="1">
      <c r="B420" s="264"/>
      <c r="C420" s="265"/>
      <c r="L420" s="261"/>
      <c r="N420" s="271"/>
    </row>
    <row r="421" spans="2:14" ht="31.95" customHeight="1">
      <c r="B421" s="264"/>
      <c r="C421" s="265"/>
      <c r="L421" s="261"/>
      <c r="N421" s="271"/>
    </row>
    <row r="422" spans="2:14" ht="31.95" customHeight="1">
      <c r="B422" s="264"/>
      <c r="C422" s="265"/>
      <c r="L422" s="261"/>
      <c r="N422" s="271"/>
    </row>
    <row r="423" spans="2:14" ht="31.95" customHeight="1">
      <c r="B423" s="264"/>
      <c r="C423" s="265"/>
      <c r="L423" s="261"/>
      <c r="N423" s="271"/>
    </row>
    <row r="424" spans="2:14" ht="31.95" customHeight="1">
      <c r="B424" s="264"/>
      <c r="C424" s="265"/>
      <c r="L424" s="261"/>
      <c r="N424" s="271"/>
    </row>
    <row r="425" spans="2:14" ht="31.95" customHeight="1">
      <c r="B425" s="264"/>
      <c r="C425" s="265"/>
      <c r="L425" s="261"/>
      <c r="N425" s="271"/>
    </row>
    <row r="426" spans="2:14" ht="31.95" customHeight="1">
      <c r="B426" s="264"/>
      <c r="C426" s="265"/>
      <c r="L426" s="261"/>
      <c r="N426" s="271"/>
    </row>
    <row r="427" spans="2:14" ht="31.95" customHeight="1">
      <c r="B427" s="264"/>
      <c r="C427" s="265"/>
      <c r="L427" s="261"/>
      <c r="N427" s="271"/>
    </row>
    <row r="428" spans="2:14" ht="31.95" customHeight="1">
      <c r="B428" s="264"/>
      <c r="C428" s="265"/>
      <c r="L428" s="261"/>
      <c r="N428" s="271"/>
    </row>
    <row r="429" spans="2:14" ht="31.95" customHeight="1">
      <c r="B429" s="264"/>
      <c r="C429" s="265"/>
      <c r="L429" s="261"/>
      <c r="N429" s="271"/>
    </row>
    <row r="430" spans="2:14" ht="31.95" customHeight="1">
      <c r="B430" s="264"/>
      <c r="C430" s="265"/>
      <c r="L430" s="261"/>
      <c r="N430" s="271"/>
    </row>
    <row r="431" spans="2:14" ht="31.95" customHeight="1">
      <c r="B431" s="264"/>
      <c r="C431" s="265"/>
      <c r="L431" s="261"/>
      <c r="N431" s="271"/>
    </row>
    <row r="432" spans="2:14" ht="31.95" customHeight="1">
      <c r="B432" s="264"/>
      <c r="C432" s="265"/>
      <c r="L432" s="261"/>
      <c r="N432" s="271"/>
    </row>
    <row r="433" spans="2:14" ht="31.95" customHeight="1">
      <c r="B433" s="264"/>
      <c r="C433" s="265"/>
      <c r="L433" s="261"/>
      <c r="N433" s="271"/>
    </row>
    <row r="434" spans="2:14" ht="31.95" customHeight="1">
      <c r="B434" s="264"/>
      <c r="C434" s="265"/>
      <c r="L434" s="261"/>
      <c r="N434" s="271"/>
    </row>
    <row r="435" spans="2:14" ht="31.95" customHeight="1">
      <c r="B435" s="264"/>
      <c r="C435" s="265"/>
      <c r="L435" s="261"/>
      <c r="N435" s="271"/>
    </row>
    <row r="436" spans="2:14" ht="31.95" customHeight="1">
      <c r="B436" s="264"/>
      <c r="C436" s="265"/>
      <c r="L436" s="261"/>
      <c r="N436" s="271"/>
    </row>
    <row r="437" spans="2:14" ht="31.95" customHeight="1">
      <c r="B437" s="264"/>
      <c r="C437" s="265"/>
      <c r="L437" s="261"/>
      <c r="N437" s="271"/>
    </row>
    <row r="438" spans="2:14" ht="31.95" customHeight="1">
      <c r="B438" s="264"/>
      <c r="C438" s="265"/>
      <c r="L438" s="261"/>
      <c r="N438" s="271"/>
    </row>
    <row r="439" spans="2:14" ht="31.95" customHeight="1">
      <c r="B439" s="264"/>
      <c r="C439" s="265"/>
      <c r="L439" s="261"/>
      <c r="N439" s="271"/>
    </row>
    <row r="440" spans="2:14" ht="31.95" customHeight="1">
      <c r="B440" s="264"/>
      <c r="C440" s="265"/>
      <c r="L440" s="261"/>
      <c r="N440" s="271"/>
    </row>
    <row r="441" spans="2:14" ht="31.95" customHeight="1">
      <c r="B441" s="264"/>
      <c r="C441" s="265"/>
      <c r="L441" s="261"/>
      <c r="N441" s="271"/>
    </row>
    <row r="442" spans="2:14" ht="31.95" customHeight="1">
      <c r="B442" s="264"/>
      <c r="C442" s="265"/>
      <c r="L442" s="261"/>
      <c r="N442" s="271"/>
    </row>
    <row r="443" spans="2:14" ht="31.95" customHeight="1">
      <c r="B443" s="264"/>
      <c r="C443" s="265"/>
      <c r="L443" s="261"/>
      <c r="N443" s="271"/>
    </row>
    <row r="444" spans="2:14" ht="31.95" customHeight="1">
      <c r="B444" s="264"/>
      <c r="C444" s="265"/>
      <c r="L444" s="261"/>
      <c r="N444" s="271"/>
    </row>
    <row r="445" spans="2:14" ht="31.95" customHeight="1">
      <c r="B445" s="264"/>
      <c r="C445" s="265"/>
      <c r="L445" s="261"/>
      <c r="N445" s="271"/>
    </row>
    <row r="446" spans="2:14" ht="31.95" customHeight="1">
      <c r="B446" s="264"/>
      <c r="C446" s="265"/>
      <c r="L446" s="261"/>
      <c r="N446" s="271"/>
    </row>
    <row r="447" spans="2:14" ht="31.95" customHeight="1">
      <c r="B447" s="264"/>
      <c r="C447" s="265"/>
      <c r="L447" s="261"/>
      <c r="N447" s="271"/>
    </row>
    <row r="448" spans="2:14" ht="31.95" customHeight="1">
      <c r="B448" s="264"/>
      <c r="C448" s="265"/>
      <c r="L448" s="261"/>
      <c r="N448" s="271"/>
    </row>
    <row r="449" spans="2:14" ht="31.95" customHeight="1">
      <c r="B449" s="264"/>
      <c r="C449" s="265"/>
      <c r="L449" s="261"/>
      <c r="N449" s="271"/>
    </row>
    <row r="450" spans="2:14" ht="31.95" customHeight="1">
      <c r="B450" s="264"/>
      <c r="C450" s="265"/>
      <c r="L450" s="261"/>
      <c r="N450" s="271"/>
    </row>
    <row r="451" spans="2:14" ht="31.95" customHeight="1">
      <c r="B451" s="264"/>
      <c r="C451" s="265"/>
      <c r="L451" s="261"/>
      <c r="N451" s="271"/>
    </row>
    <row r="452" spans="2:14" ht="31.95" customHeight="1">
      <c r="B452" s="264"/>
      <c r="C452" s="265"/>
      <c r="L452" s="261"/>
      <c r="N452" s="271"/>
    </row>
    <row r="453" spans="2:14" ht="31.95" customHeight="1">
      <c r="B453" s="264"/>
      <c r="C453" s="265"/>
      <c r="L453" s="261"/>
      <c r="N453" s="271"/>
    </row>
    <row r="454" spans="2:14" ht="31.95" customHeight="1">
      <c r="B454" s="264"/>
      <c r="C454" s="265"/>
      <c r="L454" s="261"/>
      <c r="N454" s="271"/>
    </row>
    <row r="455" spans="2:14" ht="31.95" customHeight="1">
      <c r="B455" s="264"/>
      <c r="C455" s="265"/>
      <c r="L455" s="261"/>
      <c r="N455" s="271"/>
    </row>
    <row r="456" spans="2:14" ht="31.95" customHeight="1">
      <c r="B456" s="264"/>
      <c r="C456" s="265"/>
      <c r="L456" s="261"/>
      <c r="N456" s="271"/>
    </row>
    <row r="457" spans="2:14" ht="31.95" customHeight="1">
      <c r="B457" s="264"/>
      <c r="C457" s="265"/>
      <c r="L457" s="261"/>
      <c r="N457" s="271"/>
    </row>
    <row r="458" spans="2:14" ht="31.95" customHeight="1">
      <c r="B458" s="264"/>
      <c r="C458" s="265"/>
      <c r="L458" s="261"/>
      <c r="N458" s="271"/>
    </row>
    <row r="459" spans="2:14" ht="31.95" customHeight="1">
      <c r="B459" s="264"/>
      <c r="C459" s="265"/>
      <c r="L459" s="261"/>
      <c r="N459" s="271"/>
    </row>
    <row r="460" spans="2:14" ht="31.95" customHeight="1">
      <c r="B460" s="264"/>
      <c r="C460" s="265"/>
      <c r="L460" s="261"/>
      <c r="N460" s="271"/>
    </row>
    <row r="461" spans="2:14" ht="31.95" customHeight="1">
      <c r="B461" s="264"/>
      <c r="C461" s="265"/>
      <c r="L461" s="261"/>
      <c r="N461" s="271"/>
    </row>
    <row r="462" spans="2:14" ht="31.95" customHeight="1">
      <c r="B462" s="264"/>
      <c r="C462" s="265"/>
      <c r="L462" s="261"/>
      <c r="N462" s="271"/>
    </row>
    <row r="463" spans="2:14" ht="31.95" customHeight="1">
      <c r="B463" s="264"/>
      <c r="C463" s="265"/>
      <c r="L463" s="261"/>
      <c r="N463" s="271"/>
    </row>
    <row r="464" spans="2:14" ht="31.95" customHeight="1">
      <c r="B464" s="264"/>
      <c r="C464" s="265"/>
      <c r="L464" s="261"/>
      <c r="N464" s="271"/>
    </row>
    <row r="465" spans="2:14" ht="31.95" customHeight="1">
      <c r="B465" s="264"/>
      <c r="C465" s="265"/>
      <c r="L465" s="261"/>
      <c r="N465" s="271"/>
    </row>
    <row r="466" spans="2:14" ht="31.95" customHeight="1">
      <c r="B466" s="264"/>
      <c r="C466" s="265"/>
      <c r="L466" s="261"/>
      <c r="N466" s="271"/>
    </row>
    <row r="467" spans="2:14" ht="31.95" customHeight="1">
      <c r="B467" s="264"/>
      <c r="C467" s="265"/>
      <c r="L467" s="261"/>
      <c r="N467" s="271"/>
    </row>
    <row r="468" spans="2:14" ht="31.95" customHeight="1">
      <c r="B468" s="264"/>
      <c r="C468" s="265"/>
      <c r="L468" s="261"/>
      <c r="N468" s="271"/>
    </row>
    <row r="469" spans="2:14" ht="31.95" customHeight="1">
      <c r="B469" s="264"/>
      <c r="C469" s="265"/>
      <c r="L469" s="261"/>
      <c r="N469" s="271"/>
    </row>
    <row r="470" spans="2:14" ht="31.95" customHeight="1">
      <c r="B470" s="264"/>
      <c r="C470" s="265"/>
      <c r="L470" s="261"/>
      <c r="N470" s="271"/>
    </row>
    <row r="471" spans="2:14" ht="31.95" customHeight="1">
      <c r="B471" s="264"/>
      <c r="C471" s="265"/>
      <c r="L471" s="261"/>
      <c r="N471" s="271"/>
    </row>
    <row r="472" spans="2:14" ht="31.95" customHeight="1">
      <c r="B472" s="264"/>
      <c r="C472" s="265"/>
      <c r="L472" s="261"/>
      <c r="N472" s="271"/>
    </row>
    <row r="473" spans="2:14" ht="31.95" customHeight="1">
      <c r="B473" s="264"/>
      <c r="C473" s="265"/>
      <c r="L473" s="261"/>
      <c r="N473" s="271"/>
    </row>
    <row r="474" spans="2:14" ht="31.95" customHeight="1">
      <c r="B474" s="264"/>
      <c r="C474" s="265"/>
      <c r="L474" s="261"/>
      <c r="N474" s="271"/>
    </row>
    <row r="475" spans="2:14" ht="31.95" customHeight="1">
      <c r="B475" s="264"/>
      <c r="C475" s="265"/>
      <c r="L475" s="261"/>
      <c r="N475" s="271"/>
    </row>
    <row r="476" spans="2:14" ht="31.95" customHeight="1">
      <c r="B476" s="264"/>
      <c r="C476" s="265"/>
      <c r="L476" s="261"/>
      <c r="N476" s="271"/>
    </row>
    <row r="477" spans="2:14" ht="31.95" customHeight="1">
      <c r="B477" s="264"/>
      <c r="C477" s="265"/>
      <c r="L477" s="261"/>
      <c r="N477" s="271"/>
    </row>
    <row r="478" spans="2:14" ht="31.95" customHeight="1">
      <c r="B478" s="264"/>
      <c r="C478" s="265"/>
      <c r="L478" s="261"/>
      <c r="N478" s="271"/>
    </row>
    <row r="479" spans="2:14" ht="31.95" customHeight="1">
      <c r="B479" s="264"/>
      <c r="C479" s="265"/>
      <c r="L479" s="261"/>
      <c r="N479" s="271"/>
    </row>
    <row r="480" spans="2:14" ht="31.95" customHeight="1">
      <c r="B480" s="264"/>
      <c r="C480" s="265"/>
      <c r="L480" s="261"/>
      <c r="N480" s="271"/>
    </row>
    <row r="481" spans="2:14" ht="31.95" customHeight="1">
      <c r="B481" s="264"/>
      <c r="C481" s="265"/>
      <c r="L481" s="261"/>
      <c r="N481" s="271"/>
    </row>
    <row r="482" spans="2:14" ht="31.95" customHeight="1">
      <c r="B482" s="264"/>
      <c r="C482" s="265"/>
      <c r="L482" s="261"/>
      <c r="N482" s="271"/>
    </row>
    <row r="483" spans="2:14" ht="31.95" customHeight="1">
      <c r="B483" s="264"/>
      <c r="C483" s="265"/>
      <c r="L483" s="261"/>
      <c r="N483" s="271"/>
    </row>
    <row r="484" spans="2:14" ht="31.95" customHeight="1">
      <c r="B484" s="264"/>
      <c r="C484" s="265"/>
      <c r="L484" s="261"/>
      <c r="N484" s="271"/>
    </row>
    <row r="485" spans="2:14" ht="31.95" customHeight="1">
      <c r="B485" s="264"/>
      <c r="C485" s="265"/>
      <c r="L485" s="261"/>
      <c r="N485" s="271"/>
    </row>
    <row r="486" spans="2:14" ht="31.95" customHeight="1">
      <c r="B486" s="264"/>
      <c r="C486" s="265"/>
      <c r="L486" s="261"/>
      <c r="N486" s="271"/>
    </row>
    <row r="487" spans="2:14" ht="31.95" customHeight="1">
      <c r="B487" s="264"/>
      <c r="C487" s="265"/>
      <c r="L487" s="261"/>
      <c r="N487" s="271"/>
    </row>
    <row r="488" spans="2:14" ht="31.95" customHeight="1">
      <c r="B488" s="264"/>
      <c r="C488" s="265"/>
      <c r="L488" s="261"/>
      <c r="N488" s="271"/>
    </row>
    <row r="489" spans="2:14" ht="31.95" customHeight="1">
      <c r="B489" s="264"/>
      <c r="C489" s="265"/>
      <c r="L489" s="261"/>
      <c r="N489" s="271"/>
    </row>
    <row r="490" spans="2:14" ht="31.95" customHeight="1">
      <c r="B490" s="264"/>
      <c r="C490" s="265"/>
      <c r="L490" s="261"/>
      <c r="N490" s="271"/>
    </row>
    <row r="491" spans="2:14" ht="31.95" customHeight="1">
      <c r="B491" s="264"/>
      <c r="C491" s="265"/>
      <c r="L491" s="261"/>
      <c r="N491" s="271"/>
    </row>
    <row r="492" spans="2:14" ht="31.95" customHeight="1">
      <c r="B492" s="264"/>
      <c r="C492" s="265"/>
      <c r="L492" s="261"/>
      <c r="N492" s="271"/>
    </row>
    <row r="493" spans="2:14" ht="31.95" customHeight="1">
      <c r="B493" s="264"/>
      <c r="C493" s="265"/>
      <c r="L493" s="261"/>
      <c r="N493" s="271"/>
    </row>
    <row r="494" spans="2:14" ht="31.95" customHeight="1">
      <c r="B494" s="264"/>
      <c r="C494" s="265"/>
      <c r="L494" s="261"/>
      <c r="N494" s="271"/>
    </row>
    <row r="495" spans="2:14" ht="31.95" customHeight="1">
      <c r="B495" s="264"/>
      <c r="C495" s="265"/>
      <c r="L495" s="261"/>
      <c r="N495" s="271"/>
    </row>
    <row r="496" spans="2:14" ht="31.95" customHeight="1">
      <c r="B496" s="264"/>
      <c r="C496" s="265"/>
      <c r="L496" s="261"/>
      <c r="N496" s="271"/>
    </row>
    <row r="497" spans="2:14" ht="31.95" customHeight="1">
      <c r="B497" s="264"/>
      <c r="C497" s="265"/>
      <c r="L497" s="261"/>
      <c r="N497" s="271"/>
    </row>
    <row r="498" spans="2:14" ht="31.95" customHeight="1">
      <c r="B498" s="264"/>
      <c r="C498" s="265"/>
      <c r="L498" s="261"/>
      <c r="N498" s="271"/>
    </row>
    <row r="499" spans="2:14" ht="31.95" customHeight="1">
      <c r="B499" s="264"/>
      <c r="C499" s="265"/>
      <c r="L499" s="261"/>
      <c r="N499" s="271"/>
    </row>
    <row r="500" spans="2:14" ht="31.95" customHeight="1">
      <c r="B500" s="264"/>
      <c r="C500" s="265"/>
      <c r="L500" s="261"/>
      <c r="N500" s="271"/>
    </row>
    <row r="501" spans="2:14" ht="31.95" customHeight="1">
      <c r="B501" s="264"/>
      <c r="C501" s="265"/>
      <c r="L501" s="261"/>
      <c r="N501" s="271"/>
    </row>
    <row r="502" spans="2:14" ht="31.95" customHeight="1">
      <c r="B502" s="264"/>
      <c r="C502" s="265"/>
      <c r="L502" s="261"/>
      <c r="N502" s="271"/>
    </row>
    <row r="503" spans="2:14" ht="31.95" customHeight="1">
      <c r="B503" s="264"/>
      <c r="C503" s="265"/>
      <c r="L503" s="261"/>
      <c r="N503" s="271"/>
    </row>
    <row r="504" spans="2:14" ht="31.95" customHeight="1">
      <c r="B504" s="264"/>
      <c r="C504" s="265"/>
      <c r="L504" s="261"/>
      <c r="N504" s="271"/>
    </row>
    <row r="505" spans="2:14" ht="31.95" customHeight="1">
      <c r="B505" s="264"/>
      <c r="C505" s="265"/>
      <c r="L505" s="261"/>
      <c r="N505" s="271"/>
    </row>
    <row r="506" spans="2:14" ht="31.95" customHeight="1">
      <c r="B506" s="264"/>
      <c r="C506" s="265"/>
      <c r="L506" s="261"/>
      <c r="N506" s="271"/>
    </row>
    <row r="507" spans="2:14" ht="31.95" customHeight="1">
      <c r="B507" s="264"/>
      <c r="C507" s="265"/>
      <c r="L507" s="261"/>
      <c r="N507" s="271"/>
    </row>
    <row r="508" spans="2:14" ht="31.95" customHeight="1">
      <c r="B508" s="264"/>
      <c r="C508" s="265"/>
      <c r="L508" s="261"/>
      <c r="N508" s="271"/>
    </row>
    <row r="509" spans="2:14" ht="31.95" customHeight="1">
      <c r="B509" s="264"/>
      <c r="C509" s="265"/>
      <c r="L509" s="261"/>
      <c r="N509" s="271"/>
    </row>
    <row r="510" spans="2:14" ht="31.95" customHeight="1">
      <c r="B510" s="264"/>
      <c r="C510" s="265"/>
      <c r="L510" s="261"/>
      <c r="N510" s="271"/>
    </row>
    <row r="511" spans="2:14" ht="31.95" customHeight="1">
      <c r="B511" s="264"/>
      <c r="C511" s="265"/>
      <c r="L511" s="261"/>
      <c r="N511" s="271"/>
    </row>
    <row r="512" spans="2:14" ht="31.95" customHeight="1">
      <c r="B512" s="264"/>
      <c r="C512" s="265"/>
      <c r="L512" s="261"/>
      <c r="N512" s="271"/>
    </row>
    <row r="513" spans="2:14" ht="31.95" customHeight="1">
      <c r="B513" s="264"/>
      <c r="C513" s="265"/>
      <c r="L513" s="261"/>
      <c r="N513" s="271"/>
    </row>
    <row r="514" spans="2:14" ht="31.95" customHeight="1">
      <c r="B514" s="264"/>
      <c r="C514" s="265"/>
      <c r="L514" s="261"/>
      <c r="N514" s="271"/>
    </row>
    <row r="515" spans="2:14" ht="31.95" customHeight="1">
      <c r="B515" s="264"/>
      <c r="C515" s="265"/>
      <c r="L515" s="261"/>
      <c r="N515" s="271"/>
    </row>
    <row r="516" spans="2:14" ht="31.95" customHeight="1">
      <c r="B516" s="264"/>
      <c r="C516" s="265"/>
      <c r="L516" s="261"/>
      <c r="N516" s="271"/>
    </row>
    <row r="517" spans="2:14" ht="31.95" customHeight="1">
      <c r="B517" s="264"/>
      <c r="C517" s="265"/>
      <c r="L517" s="261"/>
      <c r="N517" s="271"/>
    </row>
    <row r="518" spans="2:14" ht="31.95" customHeight="1">
      <c r="B518" s="264"/>
      <c r="C518" s="265"/>
      <c r="L518" s="261"/>
      <c r="N518" s="271"/>
    </row>
    <row r="519" spans="2:14" ht="31.95" customHeight="1">
      <c r="B519" s="264"/>
      <c r="C519" s="265"/>
      <c r="L519" s="261"/>
      <c r="N519" s="271"/>
    </row>
    <row r="520" spans="2:14" ht="31.95" customHeight="1">
      <c r="B520" s="264"/>
      <c r="C520" s="265"/>
      <c r="L520" s="261"/>
      <c r="N520" s="271"/>
    </row>
    <row r="521" spans="2:14" ht="31.95" customHeight="1">
      <c r="B521" s="264"/>
      <c r="C521" s="265"/>
      <c r="L521" s="261"/>
      <c r="N521" s="271"/>
    </row>
    <row r="522" spans="2:14" ht="31.95" customHeight="1">
      <c r="B522" s="264"/>
      <c r="C522" s="265"/>
      <c r="L522" s="261"/>
      <c r="N522" s="271"/>
    </row>
    <row r="523" spans="2:14" ht="31.95" customHeight="1">
      <c r="B523" s="264"/>
      <c r="C523" s="265"/>
      <c r="L523" s="261"/>
      <c r="N523" s="271"/>
    </row>
    <row r="524" spans="2:14" ht="31.95" customHeight="1">
      <c r="B524" s="264"/>
      <c r="C524" s="265"/>
      <c r="L524" s="261"/>
      <c r="N524" s="271"/>
    </row>
    <row r="525" spans="2:14" ht="31.95" customHeight="1">
      <c r="B525" s="264"/>
      <c r="C525" s="265"/>
      <c r="L525" s="261"/>
      <c r="N525" s="271"/>
    </row>
    <row r="526" spans="2:14" ht="31.95" customHeight="1">
      <c r="B526" s="264"/>
      <c r="C526" s="265"/>
      <c r="L526" s="261"/>
      <c r="N526" s="271"/>
    </row>
    <row r="527" spans="2:14" ht="31.95" customHeight="1">
      <c r="B527" s="264"/>
      <c r="C527" s="265"/>
      <c r="L527" s="261"/>
      <c r="N527" s="271"/>
    </row>
    <row r="528" spans="2:14" ht="31.95" customHeight="1">
      <c r="B528" s="264"/>
      <c r="C528" s="265"/>
      <c r="L528" s="261"/>
      <c r="N528" s="271"/>
    </row>
    <row r="529" spans="2:14" ht="31.95" customHeight="1">
      <c r="B529" s="264"/>
      <c r="C529" s="265"/>
      <c r="L529" s="261"/>
      <c r="N529" s="271"/>
    </row>
    <row r="530" spans="2:14" ht="31.95" customHeight="1">
      <c r="B530" s="264"/>
      <c r="C530" s="265"/>
      <c r="L530" s="261"/>
      <c r="N530" s="271"/>
    </row>
    <row r="531" spans="2:14" ht="31.95" customHeight="1">
      <c r="B531" s="264"/>
      <c r="C531" s="265"/>
      <c r="L531" s="261"/>
      <c r="N531" s="271"/>
    </row>
    <row r="532" spans="2:14" ht="31.95" customHeight="1">
      <c r="B532" s="264"/>
      <c r="C532" s="265"/>
      <c r="L532" s="261"/>
      <c r="N532" s="271"/>
    </row>
    <row r="533" spans="2:14" ht="31.95" customHeight="1">
      <c r="B533" s="264"/>
      <c r="C533" s="265"/>
      <c r="L533" s="261"/>
      <c r="N533" s="271"/>
    </row>
    <row r="534" spans="2:14" ht="31.95" customHeight="1">
      <c r="B534" s="264"/>
      <c r="C534" s="265"/>
      <c r="L534" s="261"/>
      <c r="N534" s="271"/>
    </row>
    <row r="535" spans="2:14" ht="31.95" customHeight="1">
      <c r="B535" s="264"/>
      <c r="C535" s="265"/>
      <c r="L535" s="261"/>
      <c r="N535" s="271"/>
    </row>
    <row r="536" spans="2:14" ht="31.95" customHeight="1">
      <c r="B536" s="264"/>
      <c r="C536" s="265"/>
      <c r="L536" s="261"/>
      <c r="N536" s="271"/>
    </row>
    <row r="537" spans="2:14" ht="31.95" customHeight="1">
      <c r="B537" s="264"/>
      <c r="C537" s="265"/>
      <c r="L537" s="261"/>
      <c r="N537" s="271"/>
    </row>
    <row r="538" spans="2:14" ht="31.95" customHeight="1">
      <c r="B538" s="264"/>
      <c r="C538" s="265"/>
      <c r="L538" s="261"/>
      <c r="N538" s="271"/>
    </row>
    <row r="539" spans="2:14" ht="31.95" customHeight="1">
      <c r="B539" s="264"/>
      <c r="C539" s="265"/>
      <c r="L539" s="261"/>
      <c r="N539" s="271"/>
    </row>
    <row r="540" spans="2:14" ht="31.95" customHeight="1">
      <c r="B540" s="264"/>
      <c r="C540" s="265"/>
      <c r="L540" s="261"/>
      <c r="N540" s="271"/>
    </row>
    <row r="541" spans="2:14" ht="31.95" customHeight="1">
      <c r="B541" s="264"/>
      <c r="C541" s="265"/>
      <c r="L541" s="261"/>
      <c r="N541" s="271"/>
    </row>
    <row r="542" spans="2:14" ht="31.95" customHeight="1">
      <c r="B542" s="264"/>
      <c r="C542" s="265"/>
      <c r="L542" s="261"/>
      <c r="N542" s="271"/>
    </row>
    <row r="543" spans="2:14" ht="31.95" customHeight="1">
      <c r="B543" s="264"/>
      <c r="C543" s="265"/>
      <c r="L543" s="261"/>
      <c r="N543" s="271"/>
    </row>
    <row r="544" spans="2:14" ht="31.95" customHeight="1">
      <c r="B544" s="264"/>
      <c r="C544" s="265"/>
      <c r="L544" s="261"/>
      <c r="N544" s="271"/>
    </row>
    <row r="545" spans="2:14" ht="31.95" customHeight="1">
      <c r="B545" s="264"/>
      <c r="C545" s="265"/>
      <c r="L545" s="261"/>
      <c r="N545" s="271"/>
    </row>
    <row r="546" spans="2:14" ht="31.95" customHeight="1">
      <c r="B546" s="264"/>
      <c r="C546" s="265"/>
      <c r="L546" s="261"/>
      <c r="N546" s="271"/>
    </row>
    <row r="547" spans="2:14" ht="31.95" customHeight="1">
      <c r="B547" s="264"/>
      <c r="C547" s="265"/>
      <c r="L547" s="261"/>
      <c r="N547" s="271"/>
    </row>
    <row r="548" spans="2:14" ht="31.95" customHeight="1">
      <c r="B548" s="264"/>
      <c r="C548" s="265"/>
      <c r="L548" s="261"/>
      <c r="N548" s="271"/>
    </row>
    <row r="549" spans="2:14" ht="31.95" customHeight="1">
      <c r="B549" s="264"/>
      <c r="C549" s="265"/>
      <c r="L549" s="261"/>
      <c r="N549" s="271"/>
    </row>
    <row r="550" spans="2:14" ht="31.95" customHeight="1">
      <c r="B550" s="264"/>
      <c r="C550" s="265"/>
      <c r="L550" s="261"/>
      <c r="N550" s="271"/>
    </row>
    <row r="551" spans="2:14" ht="31.95" customHeight="1">
      <c r="B551" s="264"/>
      <c r="C551" s="265"/>
      <c r="L551" s="261"/>
      <c r="N551" s="271"/>
    </row>
    <row r="552" spans="2:14" ht="31.95" customHeight="1">
      <c r="B552" s="264"/>
      <c r="C552" s="265"/>
      <c r="L552" s="261"/>
      <c r="N552" s="271"/>
    </row>
    <row r="553" spans="2:14" ht="31.95" customHeight="1">
      <c r="B553" s="264"/>
      <c r="C553" s="265"/>
      <c r="L553" s="261"/>
      <c r="N553" s="271"/>
    </row>
    <row r="554" spans="2:14" ht="31.95" customHeight="1">
      <c r="B554" s="264"/>
      <c r="C554" s="265"/>
      <c r="L554" s="261"/>
      <c r="N554" s="271"/>
    </row>
    <row r="555" spans="2:14" ht="31.95" customHeight="1">
      <c r="B555" s="264"/>
      <c r="C555" s="265"/>
      <c r="L555" s="261"/>
      <c r="N555" s="271"/>
    </row>
    <row r="556" spans="2:14" ht="31.95" customHeight="1">
      <c r="B556" s="264"/>
      <c r="C556" s="265"/>
      <c r="L556" s="261"/>
      <c r="N556" s="271"/>
    </row>
    <row r="557" spans="2:14" ht="31.95" customHeight="1">
      <c r="B557" s="264"/>
      <c r="C557" s="265"/>
      <c r="L557" s="261"/>
      <c r="N557" s="271"/>
    </row>
    <row r="558" spans="2:14" ht="31.95" customHeight="1">
      <c r="B558" s="264"/>
      <c r="C558" s="265"/>
      <c r="L558" s="261"/>
      <c r="N558" s="271"/>
    </row>
    <row r="559" spans="2:14" ht="31.95" customHeight="1">
      <c r="B559" s="264"/>
      <c r="C559" s="265"/>
      <c r="L559" s="261"/>
      <c r="N559" s="271"/>
    </row>
    <row r="560" spans="2:14" ht="31.95" customHeight="1">
      <c r="B560" s="264"/>
      <c r="C560" s="265"/>
      <c r="L560" s="261"/>
      <c r="N560" s="271"/>
    </row>
    <row r="561" spans="2:14" ht="31.95" customHeight="1">
      <c r="B561" s="264"/>
      <c r="C561" s="265"/>
      <c r="L561" s="261"/>
      <c r="N561" s="271"/>
    </row>
    <row r="562" spans="2:14" ht="31.95" customHeight="1">
      <c r="B562" s="264"/>
      <c r="C562" s="265"/>
      <c r="L562" s="261"/>
      <c r="N562" s="271"/>
    </row>
    <row r="563" spans="2:14" ht="31.95" customHeight="1">
      <c r="B563" s="264"/>
      <c r="C563" s="265"/>
      <c r="L563" s="261"/>
      <c r="N563" s="271"/>
    </row>
    <row r="564" spans="2:14" ht="31.95" customHeight="1">
      <c r="B564" s="264"/>
      <c r="C564" s="265"/>
      <c r="L564" s="261"/>
      <c r="N564" s="271"/>
    </row>
    <row r="565" spans="2:14" ht="31.95" customHeight="1">
      <c r="B565" s="264"/>
      <c r="C565" s="265"/>
      <c r="L565" s="261"/>
      <c r="N565" s="271"/>
    </row>
    <row r="566" spans="2:14" ht="31.95" customHeight="1">
      <c r="B566" s="264"/>
      <c r="C566" s="265"/>
      <c r="L566" s="261"/>
      <c r="N566" s="271"/>
    </row>
    <row r="567" spans="2:14" ht="31.95" customHeight="1">
      <c r="B567" s="264"/>
      <c r="C567" s="265"/>
      <c r="L567" s="261"/>
      <c r="N567" s="271"/>
    </row>
    <row r="568" spans="2:14" ht="31.95" customHeight="1">
      <c r="B568" s="264"/>
      <c r="C568" s="265"/>
      <c r="L568" s="261"/>
      <c r="N568" s="271"/>
    </row>
    <row r="569" spans="2:14" ht="31.95" customHeight="1">
      <c r="B569" s="264"/>
      <c r="C569" s="265"/>
      <c r="L569" s="261"/>
      <c r="N569" s="271"/>
    </row>
    <row r="570" spans="2:14" ht="31.95" customHeight="1">
      <c r="B570" s="264"/>
      <c r="C570" s="265"/>
      <c r="L570" s="261"/>
      <c r="N570" s="271"/>
    </row>
    <row r="571" spans="2:14" ht="31.95" customHeight="1">
      <c r="B571" s="264"/>
      <c r="C571" s="265"/>
      <c r="L571" s="261"/>
      <c r="N571" s="271"/>
    </row>
    <row r="572" spans="2:14" ht="31.95" customHeight="1">
      <c r="B572" s="264"/>
      <c r="C572" s="265"/>
      <c r="L572" s="261"/>
      <c r="N572" s="271"/>
    </row>
    <row r="573" spans="2:14" ht="31.95" customHeight="1">
      <c r="B573" s="264"/>
      <c r="C573" s="265"/>
      <c r="L573" s="261"/>
      <c r="N573" s="271"/>
    </row>
    <row r="574" spans="2:14" ht="31.95" customHeight="1">
      <c r="B574" s="264"/>
      <c r="C574" s="265"/>
      <c r="L574" s="261"/>
      <c r="N574" s="271"/>
    </row>
    <row r="575" spans="2:14" ht="31.95" customHeight="1">
      <c r="B575" s="264"/>
      <c r="C575" s="265"/>
      <c r="L575" s="261"/>
      <c r="N575" s="271"/>
    </row>
    <row r="576" spans="2:14" ht="31.95" customHeight="1">
      <c r="B576" s="264"/>
      <c r="C576" s="265"/>
      <c r="L576" s="261"/>
      <c r="N576" s="271"/>
    </row>
    <row r="577" spans="2:14" ht="31.95" customHeight="1">
      <c r="B577" s="264"/>
      <c r="C577" s="265"/>
      <c r="L577" s="261"/>
      <c r="N577" s="271"/>
    </row>
    <row r="578" spans="2:14" ht="31.95" customHeight="1">
      <c r="B578" s="264"/>
      <c r="C578" s="265"/>
      <c r="L578" s="261"/>
      <c r="N578" s="271"/>
    </row>
    <row r="579" spans="2:14" ht="31.95" customHeight="1">
      <c r="B579" s="264"/>
      <c r="C579" s="265"/>
      <c r="L579" s="261"/>
      <c r="N579" s="271"/>
    </row>
    <row r="580" spans="2:14" ht="31.95" customHeight="1">
      <c r="B580" s="264"/>
      <c r="C580" s="265"/>
      <c r="L580" s="261"/>
      <c r="N580" s="271"/>
    </row>
    <row r="581" spans="2:14" ht="31.95" customHeight="1">
      <c r="B581" s="264"/>
      <c r="C581" s="265"/>
      <c r="L581" s="261"/>
      <c r="N581" s="271"/>
    </row>
    <row r="582" spans="2:14" ht="31.95" customHeight="1">
      <c r="B582" s="264"/>
      <c r="C582" s="265"/>
      <c r="L582" s="261"/>
      <c r="N582" s="271"/>
    </row>
    <row r="583" spans="2:14" ht="31.95" customHeight="1">
      <c r="B583" s="264"/>
      <c r="C583" s="265"/>
      <c r="L583" s="261"/>
      <c r="N583" s="271"/>
    </row>
    <row r="584" spans="2:14" ht="31.95" customHeight="1">
      <c r="B584" s="264"/>
      <c r="C584" s="265"/>
      <c r="L584" s="261"/>
      <c r="N584" s="271"/>
    </row>
    <row r="585" spans="2:14" ht="31.95" customHeight="1">
      <c r="B585" s="264"/>
      <c r="C585" s="265"/>
      <c r="L585" s="261"/>
      <c r="N585" s="271"/>
    </row>
    <row r="586" spans="2:14" ht="31.95" customHeight="1">
      <c r="B586" s="264"/>
      <c r="C586" s="265"/>
      <c r="L586" s="261"/>
      <c r="N586" s="271"/>
    </row>
    <row r="587" spans="2:14" ht="31.95" customHeight="1">
      <c r="B587" s="264"/>
      <c r="C587" s="265"/>
      <c r="L587" s="261"/>
      <c r="N587" s="271"/>
    </row>
    <row r="588" spans="2:14" ht="31.95" customHeight="1">
      <c r="B588" s="264"/>
      <c r="C588" s="265"/>
      <c r="L588" s="261"/>
      <c r="N588" s="271"/>
    </row>
    <row r="589" spans="2:14" ht="31.95" customHeight="1">
      <c r="B589" s="264"/>
      <c r="C589" s="265"/>
      <c r="L589" s="261"/>
      <c r="N589" s="271"/>
    </row>
    <row r="590" spans="2:14" ht="31.95" customHeight="1">
      <c r="B590" s="264"/>
      <c r="C590" s="265"/>
      <c r="L590" s="261"/>
      <c r="N590" s="271"/>
    </row>
    <row r="591" spans="2:14" ht="31.95" customHeight="1">
      <c r="B591" s="264"/>
      <c r="C591" s="265"/>
      <c r="L591" s="261"/>
      <c r="N591" s="271"/>
    </row>
    <row r="592" spans="2:14" ht="31.95" customHeight="1">
      <c r="B592" s="264"/>
      <c r="C592" s="265"/>
      <c r="L592" s="261"/>
      <c r="N592" s="271"/>
    </row>
    <row r="593" spans="2:14" ht="31.95" customHeight="1">
      <c r="B593" s="264"/>
      <c r="C593" s="265"/>
      <c r="L593" s="261"/>
      <c r="N593" s="271"/>
    </row>
    <row r="594" spans="2:14" ht="31.95" customHeight="1">
      <c r="B594" s="264"/>
      <c r="C594" s="265"/>
      <c r="L594" s="261"/>
      <c r="N594" s="271"/>
    </row>
    <row r="595" spans="2:14" ht="31.95" customHeight="1">
      <c r="B595" s="264"/>
      <c r="C595" s="265"/>
      <c r="L595" s="261"/>
      <c r="N595" s="271"/>
    </row>
    <row r="596" spans="2:14" ht="31.95" customHeight="1">
      <c r="B596" s="264"/>
      <c r="C596" s="265"/>
      <c r="L596" s="261"/>
      <c r="N596" s="271"/>
    </row>
    <row r="597" spans="2:14" ht="31.95" customHeight="1">
      <c r="B597" s="264"/>
      <c r="C597" s="265"/>
      <c r="L597" s="261"/>
      <c r="N597" s="271"/>
    </row>
    <row r="598" spans="2:14" ht="31.95" customHeight="1">
      <c r="B598" s="264"/>
      <c r="C598" s="265"/>
      <c r="L598" s="261"/>
      <c r="N598" s="271"/>
    </row>
    <row r="599" spans="2:14" ht="31.95" customHeight="1">
      <c r="B599" s="264"/>
      <c r="C599" s="265"/>
      <c r="L599" s="261"/>
      <c r="N599" s="271"/>
    </row>
    <row r="600" spans="2:14" ht="31.95" customHeight="1">
      <c r="B600" s="264"/>
      <c r="C600" s="265"/>
      <c r="L600" s="261"/>
      <c r="N600" s="271"/>
    </row>
    <row r="601" spans="2:14" ht="31.95" customHeight="1">
      <c r="B601" s="264"/>
      <c r="C601" s="265"/>
      <c r="L601" s="261"/>
      <c r="N601" s="271"/>
    </row>
    <row r="602" spans="2:14" ht="31.95" customHeight="1">
      <c r="B602" s="264"/>
      <c r="C602" s="265"/>
      <c r="L602" s="261"/>
      <c r="N602" s="271"/>
    </row>
    <row r="603" spans="2:14" ht="31.95" customHeight="1">
      <c r="B603" s="264"/>
      <c r="C603" s="265"/>
      <c r="L603" s="261"/>
      <c r="N603" s="271"/>
    </row>
    <row r="604" spans="2:14" ht="31.95" customHeight="1">
      <c r="B604" s="264"/>
      <c r="C604" s="265"/>
      <c r="L604" s="261"/>
      <c r="N604" s="271"/>
    </row>
    <row r="605" spans="2:14" ht="31.95" customHeight="1">
      <c r="B605" s="264"/>
      <c r="C605" s="265"/>
      <c r="L605" s="261"/>
      <c r="N605" s="271"/>
    </row>
    <row r="606" spans="2:14" ht="31.95" customHeight="1">
      <c r="B606" s="264"/>
      <c r="C606" s="265"/>
      <c r="L606" s="261"/>
      <c r="N606" s="271"/>
    </row>
    <row r="607" spans="2:14" ht="31.95" customHeight="1">
      <c r="B607" s="264"/>
      <c r="C607" s="265"/>
      <c r="L607" s="261"/>
      <c r="N607" s="271"/>
    </row>
    <row r="608" spans="2:14" ht="31.95" customHeight="1">
      <c r="B608" s="264"/>
      <c r="C608" s="265"/>
      <c r="L608" s="261"/>
      <c r="N608" s="271"/>
    </row>
    <row r="609" spans="2:14" ht="31.95" customHeight="1">
      <c r="B609" s="264"/>
      <c r="C609" s="265"/>
      <c r="L609" s="261"/>
      <c r="N609" s="271"/>
    </row>
    <row r="610" spans="2:14" ht="31.95" customHeight="1">
      <c r="B610" s="264"/>
      <c r="C610" s="265"/>
      <c r="L610" s="261"/>
      <c r="N610" s="271"/>
    </row>
    <row r="611" spans="2:14" ht="31.95" customHeight="1">
      <c r="B611" s="264"/>
      <c r="C611" s="265"/>
      <c r="L611" s="261"/>
      <c r="N611" s="271"/>
    </row>
    <row r="612" spans="2:14" ht="31.95" customHeight="1">
      <c r="B612" s="264"/>
      <c r="C612" s="265"/>
      <c r="L612" s="261"/>
      <c r="N612" s="271"/>
    </row>
    <row r="613" spans="2:14" ht="31.95" customHeight="1">
      <c r="B613" s="264"/>
      <c r="C613" s="265"/>
      <c r="L613" s="261"/>
      <c r="N613" s="271"/>
    </row>
    <row r="614" spans="2:14" ht="31.95" customHeight="1">
      <c r="B614" s="264"/>
      <c r="C614" s="265"/>
      <c r="L614" s="261"/>
      <c r="N614" s="271"/>
    </row>
    <row r="615" spans="2:14" ht="31.95" customHeight="1">
      <c r="B615" s="264"/>
      <c r="C615" s="265"/>
      <c r="L615" s="261"/>
      <c r="N615" s="271"/>
    </row>
    <row r="616" spans="2:14" ht="31.95" customHeight="1">
      <c r="B616" s="264"/>
      <c r="C616" s="265"/>
      <c r="L616" s="261"/>
      <c r="N616" s="271"/>
    </row>
    <row r="617" spans="2:14" ht="31.95" customHeight="1">
      <c r="B617" s="264"/>
      <c r="C617" s="265"/>
      <c r="L617" s="261"/>
      <c r="N617" s="271"/>
    </row>
    <row r="618" spans="2:14" ht="31.95" customHeight="1">
      <c r="B618" s="264"/>
      <c r="C618" s="265"/>
      <c r="L618" s="261"/>
      <c r="N618" s="271"/>
    </row>
    <row r="619" spans="2:14" ht="31.95" customHeight="1">
      <c r="B619" s="264"/>
      <c r="C619" s="265"/>
      <c r="L619" s="261"/>
      <c r="N619" s="271"/>
    </row>
    <row r="620" spans="2:14" ht="31.95" customHeight="1">
      <c r="B620" s="264"/>
      <c r="C620" s="265"/>
      <c r="L620" s="261"/>
      <c r="N620" s="271"/>
    </row>
    <row r="621" spans="2:14" ht="31.95" customHeight="1">
      <c r="B621" s="264"/>
      <c r="C621" s="265"/>
      <c r="L621" s="261"/>
      <c r="N621" s="271"/>
    </row>
    <row r="622" spans="2:14" ht="31.95" customHeight="1">
      <c r="B622" s="264"/>
      <c r="C622" s="265"/>
      <c r="L622" s="261"/>
      <c r="N622" s="271"/>
    </row>
    <row r="623" spans="2:14" ht="31.95" customHeight="1">
      <c r="B623" s="264"/>
      <c r="C623" s="265"/>
      <c r="L623" s="261"/>
      <c r="N623" s="271"/>
    </row>
    <row r="624" spans="2:14" ht="31.95" customHeight="1">
      <c r="B624" s="264"/>
      <c r="C624" s="265"/>
      <c r="L624" s="261"/>
      <c r="N624" s="271"/>
    </row>
    <row r="625" spans="2:14" ht="31.95" customHeight="1">
      <c r="B625" s="264"/>
      <c r="C625" s="265"/>
      <c r="L625" s="261"/>
      <c r="N625" s="271"/>
    </row>
    <row r="626" spans="2:14" ht="31.95" customHeight="1">
      <c r="B626" s="264"/>
      <c r="C626" s="265"/>
      <c r="L626" s="261"/>
      <c r="N626" s="271"/>
    </row>
    <row r="627" spans="2:14" ht="31.95" customHeight="1">
      <c r="B627" s="264"/>
      <c r="C627" s="265"/>
      <c r="L627" s="261"/>
      <c r="N627" s="271"/>
    </row>
    <row r="628" spans="2:14" ht="31.95" customHeight="1">
      <c r="B628" s="264"/>
      <c r="C628" s="265"/>
      <c r="L628" s="261"/>
      <c r="N628" s="271"/>
    </row>
    <row r="629" spans="2:14" ht="31.95" customHeight="1">
      <c r="B629" s="264"/>
      <c r="C629" s="265"/>
      <c r="L629" s="261"/>
      <c r="N629" s="271"/>
    </row>
    <row r="630" spans="2:14" ht="31.95" customHeight="1">
      <c r="B630" s="264"/>
      <c r="C630" s="265"/>
      <c r="L630" s="261"/>
      <c r="N630" s="271"/>
    </row>
    <row r="631" spans="2:14" ht="31.95" customHeight="1">
      <c r="B631" s="264"/>
      <c r="C631" s="265"/>
      <c r="L631" s="261"/>
      <c r="N631" s="271"/>
    </row>
    <row r="632" spans="2:14" ht="31.95" customHeight="1">
      <c r="B632" s="264"/>
      <c r="C632" s="265"/>
      <c r="L632" s="261"/>
      <c r="N632" s="271"/>
    </row>
    <row r="633" spans="2:14" ht="31.95" customHeight="1">
      <c r="B633" s="264"/>
      <c r="C633" s="265"/>
      <c r="L633" s="261"/>
      <c r="N633" s="271"/>
    </row>
    <row r="634" spans="2:14" ht="31.95" customHeight="1">
      <c r="B634" s="264"/>
      <c r="C634" s="265"/>
      <c r="L634" s="261"/>
      <c r="N634" s="271"/>
    </row>
    <row r="635" spans="2:14" ht="31.95" customHeight="1">
      <c r="B635" s="264"/>
      <c r="C635" s="265"/>
      <c r="L635" s="261"/>
      <c r="N635" s="271"/>
    </row>
    <row r="636" spans="2:14" ht="31.95" customHeight="1">
      <c r="B636" s="264"/>
      <c r="C636" s="265"/>
      <c r="L636" s="261"/>
      <c r="N636" s="271"/>
    </row>
    <row r="637" spans="2:14" ht="31.95" customHeight="1">
      <c r="B637" s="264"/>
      <c r="C637" s="265"/>
      <c r="L637" s="261"/>
      <c r="N637" s="271"/>
    </row>
    <row r="638" spans="2:14" ht="31.95" customHeight="1">
      <c r="B638" s="264"/>
      <c r="C638" s="265"/>
      <c r="L638" s="261"/>
      <c r="N638" s="271"/>
    </row>
    <row r="639" spans="2:14" ht="31.95" customHeight="1">
      <c r="B639" s="264"/>
      <c r="C639" s="265"/>
      <c r="L639" s="261"/>
      <c r="N639" s="271"/>
    </row>
    <row r="640" spans="2:14" ht="31.95" customHeight="1">
      <c r="B640" s="264"/>
      <c r="C640" s="265"/>
      <c r="L640" s="261"/>
      <c r="N640" s="271"/>
    </row>
    <row r="641" spans="2:14" ht="31.95" customHeight="1">
      <c r="B641" s="264"/>
      <c r="C641" s="265"/>
      <c r="L641" s="261"/>
      <c r="N641" s="271"/>
    </row>
    <row r="642" spans="2:14" ht="31.95" customHeight="1">
      <c r="B642" s="264"/>
      <c r="C642" s="265"/>
      <c r="L642" s="261"/>
      <c r="N642" s="271"/>
    </row>
    <row r="643" spans="2:14" ht="31.95" customHeight="1">
      <c r="B643" s="264"/>
      <c r="C643" s="265"/>
      <c r="L643" s="261"/>
      <c r="N643" s="271"/>
    </row>
    <row r="644" spans="2:14" ht="31.95" customHeight="1">
      <c r="B644" s="264"/>
      <c r="C644" s="265"/>
      <c r="L644" s="261"/>
      <c r="N644" s="271"/>
    </row>
    <row r="645" spans="2:14" ht="31.95" customHeight="1">
      <c r="B645" s="264"/>
      <c r="C645" s="265"/>
      <c r="L645" s="261"/>
      <c r="N645" s="271"/>
    </row>
    <row r="646" spans="2:14" ht="31.95" customHeight="1">
      <c r="B646" s="264"/>
      <c r="C646" s="265"/>
      <c r="L646" s="261"/>
      <c r="N646" s="271"/>
    </row>
    <row r="647" spans="2:14" ht="31.95" customHeight="1">
      <c r="B647" s="264"/>
      <c r="C647" s="265"/>
      <c r="L647" s="261"/>
      <c r="N647" s="271"/>
    </row>
    <row r="648" spans="2:14" ht="31.95" customHeight="1">
      <c r="B648" s="264"/>
      <c r="C648" s="265"/>
      <c r="L648" s="261"/>
      <c r="N648" s="271"/>
    </row>
    <row r="649" spans="2:14" ht="31.95" customHeight="1">
      <c r="B649" s="264"/>
      <c r="C649" s="265"/>
      <c r="L649" s="261"/>
      <c r="N649" s="271"/>
    </row>
    <row r="650" spans="2:14" ht="31.95" customHeight="1">
      <c r="B650" s="264"/>
      <c r="C650" s="265"/>
      <c r="L650" s="261"/>
      <c r="N650" s="271"/>
    </row>
    <row r="651" spans="2:14" ht="31.95" customHeight="1">
      <c r="B651" s="264"/>
      <c r="C651" s="265"/>
      <c r="L651" s="261"/>
      <c r="N651" s="271"/>
    </row>
    <row r="652" spans="2:14" ht="31.95" customHeight="1">
      <c r="B652" s="264"/>
      <c r="C652" s="265"/>
      <c r="L652" s="261"/>
      <c r="N652" s="271"/>
    </row>
    <row r="653" spans="2:14" ht="31.95" customHeight="1">
      <c r="B653" s="264"/>
      <c r="C653" s="265"/>
      <c r="L653" s="261"/>
      <c r="N653" s="271"/>
    </row>
    <row r="654" spans="2:14" ht="31.95" customHeight="1">
      <c r="B654" s="264"/>
      <c r="C654" s="265"/>
      <c r="L654" s="261"/>
      <c r="N654" s="271"/>
    </row>
    <row r="655" spans="2:14" ht="31.95" customHeight="1">
      <c r="B655" s="264"/>
      <c r="C655" s="265"/>
      <c r="L655" s="261"/>
      <c r="N655" s="271"/>
    </row>
    <row r="656" spans="2:14" ht="31.95" customHeight="1">
      <c r="B656" s="264"/>
      <c r="C656" s="265"/>
      <c r="L656" s="261"/>
      <c r="N656" s="271"/>
    </row>
    <row r="657" spans="2:14" ht="31.95" customHeight="1">
      <c r="B657" s="264"/>
      <c r="C657" s="265"/>
      <c r="L657" s="261"/>
      <c r="N657" s="271"/>
    </row>
    <row r="658" spans="2:14" ht="31.95" customHeight="1">
      <c r="B658" s="264"/>
      <c r="C658" s="265"/>
      <c r="L658" s="261"/>
      <c r="N658" s="271"/>
    </row>
    <row r="659" spans="2:14" ht="31.95" customHeight="1">
      <c r="B659" s="264"/>
      <c r="C659" s="265"/>
      <c r="L659" s="261"/>
      <c r="N659" s="271"/>
    </row>
    <row r="660" spans="2:14" ht="31.95" customHeight="1">
      <c r="B660" s="264"/>
      <c r="C660" s="265"/>
      <c r="L660" s="261"/>
      <c r="N660" s="271"/>
    </row>
    <row r="661" spans="2:14" ht="31.95" customHeight="1">
      <c r="B661" s="264"/>
      <c r="C661" s="265"/>
      <c r="L661" s="261"/>
      <c r="N661" s="271"/>
    </row>
    <row r="662" spans="2:14" ht="31.95" customHeight="1">
      <c r="B662" s="264"/>
      <c r="C662" s="265"/>
      <c r="L662" s="261"/>
      <c r="N662" s="271"/>
    </row>
    <row r="663" spans="2:14" ht="31.95" customHeight="1">
      <c r="B663" s="264"/>
      <c r="C663" s="265"/>
      <c r="L663" s="261"/>
      <c r="N663" s="271"/>
    </row>
    <row r="664" spans="2:14" ht="31.95" customHeight="1">
      <c r="B664" s="264"/>
      <c r="C664" s="265"/>
      <c r="L664" s="261"/>
      <c r="N664" s="271"/>
    </row>
    <row r="665" spans="2:14" ht="31.95" customHeight="1">
      <c r="B665" s="264"/>
      <c r="C665" s="265"/>
      <c r="L665" s="261"/>
      <c r="N665" s="271"/>
    </row>
    <row r="666" spans="2:14" ht="31.95" customHeight="1">
      <c r="B666" s="264"/>
      <c r="C666" s="265"/>
      <c r="L666" s="261"/>
      <c r="N666" s="271"/>
    </row>
    <row r="667" spans="2:14" ht="31.95" customHeight="1">
      <c r="B667" s="264"/>
      <c r="C667" s="265"/>
      <c r="L667" s="261"/>
      <c r="N667" s="271"/>
    </row>
    <row r="668" spans="2:14" ht="31.95" customHeight="1">
      <c r="B668" s="264"/>
      <c r="C668" s="265"/>
      <c r="L668" s="261"/>
      <c r="N668" s="271"/>
    </row>
    <row r="669" spans="2:14" ht="31.95" customHeight="1">
      <c r="B669" s="264"/>
      <c r="C669" s="265"/>
      <c r="L669" s="261"/>
      <c r="N669" s="271"/>
    </row>
    <row r="670" spans="2:14" ht="31.95" customHeight="1">
      <c r="B670" s="264"/>
      <c r="C670" s="265"/>
      <c r="L670" s="261"/>
      <c r="N670" s="271"/>
    </row>
    <row r="671" spans="2:14" ht="31.95" customHeight="1">
      <c r="B671" s="264"/>
      <c r="C671" s="265"/>
      <c r="L671" s="261"/>
      <c r="N671" s="271"/>
    </row>
    <row r="672" spans="2:14" ht="31.95" customHeight="1">
      <c r="B672" s="264"/>
      <c r="C672" s="265"/>
      <c r="L672" s="261"/>
      <c r="N672" s="271"/>
    </row>
    <row r="673" spans="2:14" ht="31.95" customHeight="1">
      <c r="B673" s="264"/>
      <c r="C673" s="265"/>
      <c r="L673" s="261"/>
      <c r="N673" s="271"/>
    </row>
    <row r="674" spans="2:14" ht="31.95" customHeight="1">
      <c r="B674" s="264"/>
      <c r="C674" s="265"/>
      <c r="L674" s="261"/>
      <c r="N674" s="271"/>
    </row>
    <row r="675" spans="2:14" ht="31.95" customHeight="1">
      <c r="B675" s="264"/>
      <c r="C675" s="265"/>
      <c r="L675" s="261"/>
      <c r="N675" s="271"/>
    </row>
    <row r="676" spans="2:14" ht="31.95" customHeight="1">
      <c r="B676" s="264"/>
      <c r="C676" s="265"/>
      <c r="L676" s="261"/>
      <c r="N676" s="271"/>
    </row>
    <row r="677" spans="2:14" ht="31.95" customHeight="1">
      <c r="B677" s="264"/>
      <c r="C677" s="265"/>
      <c r="L677" s="261"/>
      <c r="N677" s="271"/>
    </row>
    <row r="678" spans="2:14" ht="31.95" customHeight="1">
      <c r="B678" s="264"/>
      <c r="C678" s="265"/>
      <c r="L678" s="261"/>
      <c r="N678" s="271"/>
    </row>
    <row r="679" spans="2:14" ht="31.95" customHeight="1">
      <c r="B679" s="264"/>
      <c r="C679" s="265"/>
      <c r="L679" s="261"/>
      <c r="N679" s="271"/>
    </row>
    <row r="680" spans="2:14" ht="31.95" customHeight="1">
      <c r="B680" s="264"/>
      <c r="C680" s="265"/>
      <c r="L680" s="261"/>
      <c r="N680" s="271"/>
    </row>
    <row r="681" spans="2:14" ht="31.95" customHeight="1">
      <c r="B681" s="264"/>
      <c r="C681" s="265"/>
      <c r="L681" s="261"/>
      <c r="N681" s="271"/>
    </row>
    <row r="682" spans="2:14" ht="31.95" customHeight="1">
      <c r="B682" s="264"/>
      <c r="C682" s="265"/>
      <c r="L682" s="261"/>
      <c r="N682" s="271"/>
    </row>
    <row r="683" spans="2:14" ht="31.95" customHeight="1">
      <c r="B683" s="264"/>
      <c r="C683" s="265"/>
      <c r="L683" s="261"/>
      <c r="N683" s="271"/>
    </row>
    <row r="684" spans="2:14" ht="31.95" customHeight="1">
      <c r="B684" s="264"/>
      <c r="C684" s="265"/>
      <c r="L684" s="261"/>
      <c r="N684" s="271"/>
    </row>
    <row r="685" spans="2:14" ht="31.95" customHeight="1">
      <c r="B685" s="264"/>
      <c r="C685" s="265"/>
      <c r="L685" s="261"/>
      <c r="N685" s="271"/>
    </row>
    <row r="686" spans="2:14" ht="31.95" customHeight="1">
      <c r="B686" s="264"/>
      <c r="C686" s="265"/>
      <c r="L686" s="261"/>
      <c r="N686" s="271"/>
    </row>
    <row r="687" spans="2:14" ht="31.95" customHeight="1">
      <c r="B687" s="264"/>
      <c r="C687" s="265"/>
      <c r="L687" s="261"/>
      <c r="N687" s="271"/>
    </row>
    <row r="688" spans="2:14" ht="31.95" customHeight="1">
      <c r="B688" s="264"/>
      <c r="C688" s="265"/>
      <c r="L688" s="261"/>
      <c r="N688" s="271"/>
    </row>
    <row r="689" spans="2:14" ht="31.95" customHeight="1">
      <c r="B689" s="264"/>
      <c r="C689" s="265"/>
      <c r="L689" s="261"/>
      <c r="N689" s="271"/>
    </row>
    <row r="690" spans="2:14" ht="31.95" customHeight="1">
      <c r="B690" s="264"/>
      <c r="C690" s="265"/>
      <c r="L690" s="261"/>
      <c r="N690" s="271"/>
    </row>
    <row r="691" spans="2:14" ht="31.95" customHeight="1">
      <c r="B691" s="264"/>
      <c r="C691" s="265"/>
      <c r="L691" s="261"/>
      <c r="N691" s="271"/>
    </row>
    <row r="692" spans="2:14" ht="31.95" customHeight="1">
      <c r="B692" s="264"/>
      <c r="C692" s="265"/>
      <c r="L692" s="261"/>
      <c r="N692" s="271"/>
    </row>
    <row r="693" spans="2:14" ht="31.95" customHeight="1">
      <c r="B693" s="264"/>
      <c r="C693" s="265"/>
      <c r="L693" s="261"/>
      <c r="N693" s="271"/>
    </row>
    <row r="694" spans="2:14" ht="31.95" customHeight="1">
      <c r="B694" s="264"/>
      <c r="C694" s="265"/>
      <c r="L694" s="261"/>
      <c r="N694" s="271"/>
    </row>
    <row r="695" spans="2:14" ht="31.95" customHeight="1">
      <c r="B695" s="264"/>
      <c r="C695" s="265"/>
      <c r="L695" s="261"/>
      <c r="N695" s="271"/>
    </row>
    <row r="696" spans="2:14" ht="31.95" customHeight="1">
      <c r="B696" s="264"/>
      <c r="C696" s="265"/>
      <c r="L696" s="261"/>
      <c r="N696" s="271"/>
    </row>
    <row r="697" spans="2:14" ht="31.95" customHeight="1">
      <c r="B697" s="264"/>
      <c r="C697" s="265"/>
      <c r="L697" s="261"/>
      <c r="N697" s="271"/>
    </row>
    <row r="698" spans="2:14" ht="31.95" customHeight="1">
      <c r="B698" s="264"/>
      <c r="C698" s="265"/>
      <c r="L698" s="261"/>
      <c r="N698" s="271"/>
    </row>
    <row r="699" spans="2:14" ht="31.95" customHeight="1">
      <c r="B699" s="264"/>
      <c r="C699" s="265"/>
      <c r="L699" s="261"/>
      <c r="N699" s="271"/>
    </row>
    <row r="700" spans="2:14" ht="31.95" customHeight="1">
      <c r="B700" s="264"/>
      <c r="C700" s="265"/>
      <c r="L700" s="261"/>
      <c r="N700" s="271"/>
    </row>
    <row r="701" spans="2:14" ht="31.95" customHeight="1">
      <c r="B701" s="264"/>
      <c r="C701" s="265"/>
      <c r="L701" s="261"/>
      <c r="N701" s="271"/>
    </row>
    <row r="702" spans="2:14" ht="31.95" customHeight="1">
      <c r="B702" s="264"/>
      <c r="C702" s="265"/>
      <c r="L702" s="261"/>
      <c r="N702" s="271"/>
    </row>
    <row r="703" spans="2:14" ht="31.95" customHeight="1">
      <c r="B703" s="264"/>
      <c r="C703" s="265"/>
      <c r="L703" s="261"/>
      <c r="N703" s="271"/>
    </row>
    <row r="704" spans="2:14" ht="31.95" customHeight="1">
      <c r="B704" s="264"/>
      <c r="C704" s="265"/>
      <c r="L704" s="261"/>
      <c r="N704" s="271"/>
    </row>
    <row r="705" spans="2:14" ht="31.95" customHeight="1">
      <c r="B705" s="264"/>
      <c r="C705" s="265"/>
      <c r="L705" s="261"/>
      <c r="N705" s="271"/>
    </row>
    <row r="706" spans="2:14" ht="31.95" customHeight="1">
      <c r="B706" s="264"/>
      <c r="C706" s="265"/>
      <c r="L706" s="261"/>
      <c r="N706" s="271"/>
    </row>
    <row r="707" spans="2:14" ht="31.95" customHeight="1">
      <c r="B707" s="264"/>
      <c r="C707" s="265"/>
      <c r="L707" s="261"/>
      <c r="N707" s="271"/>
    </row>
    <row r="708" spans="2:14" ht="31.95" customHeight="1">
      <c r="B708" s="264"/>
      <c r="C708" s="265"/>
      <c r="L708" s="261"/>
      <c r="N708" s="271"/>
    </row>
    <row r="709" spans="2:14" ht="31.95" customHeight="1">
      <c r="B709" s="264"/>
      <c r="C709" s="265"/>
      <c r="L709" s="261"/>
      <c r="N709" s="271"/>
    </row>
    <row r="710" spans="2:14" ht="31.95" customHeight="1">
      <c r="B710" s="264"/>
      <c r="C710" s="265"/>
      <c r="L710" s="261"/>
      <c r="N710" s="271"/>
    </row>
    <row r="711" spans="2:14" ht="31.95" customHeight="1">
      <c r="B711" s="264"/>
      <c r="C711" s="265"/>
      <c r="L711" s="261"/>
      <c r="N711" s="271"/>
    </row>
    <row r="712" spans="2:14" ht="31.95" customHeight="1">
      <c r="B712" s="264"/>
      <c r="C712" s="265"/>
      <c r="L712" s="261"/>
      <c r="N712" s="271"/>
    </row>
    <row r="713" spans="2:14" ht="31.95" customHeight="1">
      <c r="B713" s="264"/>
      <c r="C713" s="265"/>
      <c r="L713" s="261"/>
      <c r="N713" s="271"/>
    </row>
    <row r="714" spans="2:14" ht="31.95" customHeight="1">
      <c r="B714" s="264"/>
      <c r="C714" s="265"/>
      <c r="L714" s="261"/>
      <c r="N714" s="271"/>
    </row>
    <row r="715" spans="2:14" ht="31.95" customHeight="1">
      <c r="B715" s="264"/>
      <c r="C715" s="265"/>
      <c r="L715" s="261"/>
      <c r="N715" s="271"/>
    </row>
    <row r="716" spans="2:14" ht="31.95" customHeight="1">
      <c r="B716" s="264"/>
      <c r="C716" s="265"/>
      <c r="L716" s="261"/>
      <c r="N716" s="271"/>
    </row>
    <row r="717" spans="2:14" ht="31.95" customHeight="1">
      <c r="B717" s="264"/>
      <c r="C717" s="265"/>
      <c r="L717" s="261"/>
      <c r="N717" s="271"/>
    </row>
    <row r="718" spans="2:14" ht="31.95" customHeight="1">
      <c r="B718" s="264"/>
      <c r="C718" s="265"/>
      <c r="L718" s="261"/>
      <c r="N718" s="271"/>
    </row>
    <row r="719" spans="2:14" ht="31.95" customHeight="1">
      <c r="B719" s="264"/>
      <c r="C719" s="265"/>
      <c r="L719" s="261"/>
      <c r="N719" s="271"/>
    </row>
    <row r="720" spans="2:14" ht="31.95" customHeight="1">
      <c r="B720" s="264"/>
      <c r="C720" s="265"/>
      <c r="L720" s="261"/>
      <c r="N720" s="271"/>
    </row>
    <row r="721" spans="2:14" ht="31.95" customHeight="1">
      <c r="B721" s="264"/>
      <c r="C721" s="265"/>
      <c r="L721" s="261"/>
      <c r="N721" s="271"/>
    </row>
    <row r="722" spans="2:14" ht="31.95" customHeight="1">
      <c r="B722" s="264"/>
      <c r="C722" s="265"/>
      <c r="L722" s="261"/>
      <c r="N722" s="271"/>
    </row>
    <row r="723" spans="2:14" ht="31.95" customHeight="1">
      <c r="B723" s="264"/>
      <c r="C723" s="265"/>
      <c r="L723" s="261"/>
      <c r="N723" s="271"/>
    </row>
    <row r="724" spans="2:14" ht="31.95" customHeight="1">
      <c r="B724" s="264"/>
      <c r="C724" s="265"/>
      <c r="L724" s="261"/>
      <c r="N724" s="271"/>
    </row>
    <row r="725" spans="2:14" ht="31.95" customHeight="1">
      <c r="B725" s="264"/>
      <c r="C725" s="265"/>
      <c r="L725" s="261"/>
      <c r="N725" s="271"/>
    </row>
    <row r="726" spans="2:14" ht="31.95" customHeight="1">
      <c r="B726" s="264"/>
      <c r="C726" s="265"/>
      <c r="L726" s="261"/>
      <c r="N726" s="271"/>
    </row>
    <row r="727" spans="2:14" ht="31.95" customHeight="1">
      <c r="B727" s="264"/>
      <c r="C727" s="265"/>
      <c r="L727" s="261"/>
      <c r="N727" s="271"/>
    </row>
    <row r="728" spans="2:14" ht="31.95" customHeight="1">
      <c r="B728" s="264"/>
      <c r="C728" s="265"/>
      <c r="L728" s="261"/>
      <c r="N728" s="271"/>
    </row>
    <row r="729" spans="2:14" ht="31.95" customHeight="1">
      <c r="B729" s="264"/>
      <c r="C729" s="265"/>
      <c r="L729" s="261"/>
      <c r="N729" s="271"/>
    </row>
    <row r="730" spans="2:14" ht="31.95" customHeight="1">
      <c r="B730" s="264"/>
      <c r="C730" s="265"/>
      <c r="L730" s="261"/>
      <c r="N730" s="271"/>
    </row>
    <row r="731" spans="2:14" ht="31.95" customHeight="1">
      <c r="B731" s="264"/>
      <c r="C731" s="265"/>
      <c r="L731" s="261"/>
      <c r="N731" s="271"/>
    </row>
    <row r="732" spans="2:14" ht="31.95" customHeight="1">
      <c r="B732" s="264"/>
      <c r="C732" s="265"/>
      <c r="L732" s="261"/>
      <c r="N732" s="271"/>
    </row>
    <row r="733" spans="2:14" ht="31.95" customHeight="1">
      <c r="B733" s="264"/>
      <c r="C733" s="265"/>
      <c r="L733" s="261"/>
      <c r="N733" s="271"/>
    </row>
    <row r="734" spans="2:14" ht="31.95" customHeight="1">
      <c r="B734" s="264"/>
      <c r="C734" s="265"/>
      <c r="L734" s="261"/>
      <c r="N734" s="271"/>
    </row>
    <row r="735" spans="2:14" ht="31.95" customHeight="1">
      <c r="B735" s="264"/>
      <c r="C735" s="265"/>
      <c r="L735" s="261"/>
      <c r="N735" s="271"/>
    </row>
    <row r="736" spans="2:14" ht="31.95" customHeight="1">
      <c r="B736" s="264"/>
      <c r="C736" s="265"/>
      <c r="L736" s="261"/>
      <c r="N736" s="271"/>
    </row>
    <row r="737" spans="2:14" ht="31.95" customHeight="1">
      <c r="B737" s="264"/>
      <c r="C737" s="265"/>
      <c r="L737" s="261"/>
      <c r="N737" s="271"/>
    </row>
    <row r="738" spans="2:14" ht="31.95" customHeight="1">
      <c r="B738" s="264"/>
      <c r="C738" s="265"/>
      <c r="L738" s="261"/>
      <c r="N738" s="271"/>
    </row>
    <row r="739" spans="2:14" ht="31.95" customHeight="1">
      <c r="B739" s="264"/>
      <c r="C739" s="265"/>
      <c r="L739" s="261"/>
      <c r="N739" s="271"/>
    </row>
    <row r="740" spans="2:14" ht="31.95" customHeight="1">
      <c r="B740" s="264"/>
      <c r="C740" s="265"/>
      <c r="L740" s="261"/>
      <c r="N740" s="271"/>
    </row>
    <row r="741" spans="2:14" ht="31.95" customHeight="1">
      <c r="B741" s="264"/>
      <c r="C741" s="265"/>
      <c r="L741" s="261"/>
      <c r="N741" s="271"/>
    </row>
    <row r="742" spans="2:14" ht="31.95" customHeight="1">
      <c r="B742" s="264"/>
      <c r="C742" s="265"/>
      <c r="L742" s="261"/>
      <c r="N742" s="271"/>
    </row>
    <row r="743" spans="2:14" ht="31.95" customHeight="1">
      <c r="B743" s="264"/>
      <c r="C743" s="265"/>
      <c r="L743" s="261"/>
      <c r="N743" s="271"/>
    </row>
    <row r="744" spans="2:14" ht="31.95" customHeight="1">
      <c r="B744" s="264"/>
      <c r="C744" s="265"/>
      <c r="L744" s="261"/>
      <c r="N744" s="271"/>
    </row>
    <row r="745" spans="2:14" ht="31.95" customHeight="1">
      <c r="B745" s="264"/>
      <c r="C745" s="265"/>
      <c r="L745" s="261"/>
      <c r="N745" s="271"/>
    </row>
    <row r="746" spans="2:14" ht="31.95" customHeight="1">
      <c r="B746" s="264"/>
      <c r="C746" s="265"/>
      <c r="L746" s="261"/>
      <c r="N746" s="271"/>
    </row>
    <row r="747" spans="2:14" ht="31.95" customHeight="1">
      <c r="B747" s="264"/>
      <c r="C747" s="265"/>
      <c r="L747" s="261"/>
      <c r="N747" s="271"/>
    </row>
    <row r="748" spans="2:14" ht="31.95" customHeight="1">
      <c r="B748" s="264"/>
      <c r="C748" s="265"/>
      <c r="L748" s="261"/>
      <c r="N748" s="271"/>
    </row>
    <row r="749" spans="2:14" ht="31.95" customHeight="1">
      <c r="B749" s="264"/>
      <c r="C749" s="265"/>
      <c r="L749" s="261"/>
      <c r="N749" s="271"/>
    </row>
    <row r="750" spans="2:14" ht="31.95" customHeight="1">
      <c r="B750" s="264"/>
      <c r="C750" s="265"/>
      <c r="L750" s="261"/>
      <c r="N750" s="271"/>
    </row>
    <row r="751" spans="2:14" ht="31.95" customHeight="1">
      <c r="B751" s="264"/>
      <c r="C751" s="265"/>
      <c r="L751" s="261"/>
      <c r="N751" s="271"/>
    </row>
    <row r="752" spans="2:14" ht="31.95" customHeight="1">
      <c r="B752" s="264"/>
      <c r="C752" s="265"/>
      <c r="L752" s="261"/>
      <c r="N752" s="271"/>
    </row>
    <row r="753" spans="2:14" ht="31.95" customHeight="1">
      <c r="B753" s="264"/>
      <c r="C753" s="265"/>
      <c r="L753" s="261"/>
      <c r="N753" s="271"/>
    </row>
    <row r="754" spans="2:14" ht="31.95" customHeight="1">
      <c r="B754" s="264"/>
      <c r="C754" s="265"/>
      <c r="L754" s="261"/>
      <c r="N754" s="271"/>
    </row>
    <row r="755" spans="2:14" ht="31.95" customHeight="1">
      <c r="B755" s="264"/>
      <c r="C755" s="265"/>
      <c r="L755" s="261"/>
      <c r="N755" s="271"/>
    </row>
    <row r="756" spans="2:14" ht="31.95" customHeight="1">
      <c r="B756" s="264"/>
      <c r="C756" s="265"/>
      <c r="L756" s="261"/>
      <c r="N756" s="271"/>
    </row>
    <row r="757" spans="2:14" ht="31.95" customHeight="1">
      <c r="B757" s="264"/>
      <c r="C757" s="265"/>
      <c r="L757" s="261"/>
      <c r="N757" s="271"/>
    </row>
    <row r="758" spans="2:14" ht="31.95" customHeight="1">
      <c r="B758" s="264"/>
      <c r="C758" s="265"/>
      <c r="L758" s="261"/>
      <c r="N758" s="271"/>
    </row>
    <row r="759" spans="2:14" ht="31.95" customHeight="1">
      <c r="B759" s="264"/>
      <c r="C759" s="265"/>
      <c r="L759" s="261"/>
      <c r="N759" s="271"/>
    </row>
    <row r="760" spans="2:14" ht="31.95" customHeight="1">
      <c r="B760" s="264"/>
      <c r="C760" s="265"/>
      <c r="L760" s="261"/>
      <c r="N760" s="271"/>
    </row>
    <row r="761" spans="2:14" ht="31.95" customHeight="1">
      <c r="B761" s="264"/>
      <c r="C761" s="265"/>
      <c r="L761" s="261"/>
      <c r="N761" s="271"/>
    </row>
    <row r="762" spans="2:14" ht="31.95" customHeight="1">
      <c r="B762" s="264"/>
      <c r="C762" s="265"/>
      <c r="L762" s="261"/>
      <c r="N762" s="271"/>
    </row>
    <row r="763" spans="2:14" ht="31.95" customHeight="1">
      <c r="B763" s="264"/>
      <c r="C763" s="265"/>
      <c r="L763" s="261"/>
      <c r="N763" s="271"/>
    </row>
    <row r="764" spans="2:14" ht="31.95" customHeight="1">
      <c r="B764" s="264"/>
      <c r="C764" s="265"/>
      <c r="L764" s="261"/>
      <c r="N764" s="271"/>
    </row>
    <row r="765" spans="2:14" ht="31.95" customHeight="1">
      <c r="B765" s="264"/>
      <c r="C765" s="265"/>
      <c r="L765" s="261"/>
      <c r="N765" s="271"/>
    </row>
    <row r="766" spans="2:14" ht="31.95" customHeight="1">
      <c r="B766" s="264"/>
      <c r="C766" s="265"/>
      <c r="L766" s="261"/>
      <c r="N766" s="271"/>
    </row>
    <row r="767" spans="2:14" ht="31.95" customHeight="1">
      <c r="B767" s="264"/>
      <c r="C767" s="265"/>
      <c r="L767" s="261"/>
      <c r="N767" s="271"/>
    </row>
    <row r="768" spans="2:14" ht="31.95" customHeight="1">
      <c r="B768" s="264"/>
      <c r="C768" s="265"/>
      <c r="L768" s="261"/>
      <c r="N768" s="271"/>
    </row>
    <row r="769" spans="2:14" ht="31.95" customHeight="1">
      <c r="B769" s="264"/>
      <c r="C769" s="265"/>
      <c r="L769" s="261"/>
      <c r="N769" s="271"/>
    </row>
    <row r="770" spans="2:14" ht="31.95" customHeight="1">
      <c r="B770" s="264"/>
      <c r="C770" s="265"/>
      <c r="L770" s="261"/>
      <c r="N770" s="271"/>
    </row>
    <row r="771" spans="2:14" ht="31.95" customHeight="1">
      <c r="B771" s="264"/>
      <c r="C771" s="265"/>
      <c r="L771" s="261"/>
      <c r="N771" s="271"/>
    </row>
    <row r="772" spans="2:14" ht="31.95" customHeight="1">
      <c r="B772" s="264"/>
      <c r="C772" s="265"/>
      <c r="L772" s="261"/>
      <c r="N772" s="271"/>
    </row>
    <row r="773" spans="2:14" ht="31.95" customHeight="1">
      <c r="B773" s="264"/>
      <c r="C773" s="265"/>
      <c r="L773" s="261"/>
      <c r="N773" s="271"/>
    </row>
    <row r="774" spans="2:14" ht="31.95" customHeight="1">
      <c r="B774" s="264"/>
      <c r="C774" s="265"/>
      <c r="L774" s="261"/>
      <c r="N774" s="271"/>
    </row>
    <row r="775" spans="2:14" ht="31.95" customHeight="1">
      <c r="B775" s="264"/>
      <c r="C775" s="265"/>
      <c r="L775" s="261"/>
      <c r="N775" s="271"/>
    </row>
    <row r="776" spans="2:14" ht="31.95" customHeight="1">
      <c r="B776" s="264"/>
      <c r="C776" s="265"/>
      <c r="L776" s="261"/>
      <c r="N776" s="271"/>
    </row>
    <row r="777" spans="2:14" ht="31.95" customHeight="1">
      <c r="B777" s="264"/>
      <c r="C777" s="265"/>
      <c r="L777" s="261"/>
      <c r="N777" s="271"/>
    </row>
    <row r="778" spans="2:14" ht="31.95" customHeight="1">
      <c r="B778" s="264"/>
      <c r="C778" s="265"/>
      <c r="L778" s="261"/>
      <c r="N778" s="271"/>
    </row>
    <row r="779" spans="2:14" ht="31.95" customHeight="1">
      <c r="B779" s="264"/>
      <c r="C779" s="265"/>
      <c r="L779" s="261"/>
      <c r="N779" s="271"/>
    </row>
    <row r="780" spans="2:14" ht="31.95" customHeight="1">
      <c r="B780" s="264"/>
      <c r="C780" s="265"/>
      <c r="L780" s="261"/>
      <c r="N780" s="271"/>
    </row>
    <row r="781" spans="2:14" ht="31.95" customHeight="1">
      <c r="B781" s="264"/>
      <c r="C781" s="265"/>
      <c r="L781" s="261"/>
      <c r="N781" s="271"/>
    </row>
    <row r="782" spans="2:14" ht="31.95" customHeight="1">
      <c r="B782" s="264"/>
      <c r="C782" s="265"/>
      <c r="L782" s="261"/>
      <c r="N782" s="271"/>
    </row>
    <row r="783" spans="2:14" ht="31.95" customHeight="1">
      <c r="B783" s="264"/>
      <c r="C783" s="265"/>
      <c r="L783" s="261"/>
      <c r="N783" s="271"/>
    </row>
    <row r="784" spans="2:14" ht="31.95" customHeight="1">
      <c r="B784" s="264"/>
      <c r="C784" s="265"/>
      <c r="L784" s="261"/>
      <c r="N784" s="271"/>
    </row>
    <row r="785" spans="2:14" ht="31.95" customHeight="1">
      <c r="B785" s="264"/>
      <c r="C785" s="265"/>
      <c r="L785" s="261"/>
      <c r="N785" s="271"/>
    </row>
    <row r="786" spans="2:14" ht="31.95" customHeight="1">
      <c r="B786" s="264"/>
      <c r="C786" s="265"/>
      <c r="L786" s="261"/>
      <c r="N786" s="271"/>
    </row>
    <row r="787" spans="2:14" ht="31.95" customHeight="1">
      <c r="B787" s="264"/>
      <c r="C787" s="265"/>
      <c r="L787" s="261"/>
      <c r="N787" s="271"/>
    </row>
    <row r="788" spans="2:14" ht="31.95" customHeight="1">
      <c r="B788" s="264"/>
      <c r="C788" s="265"/>
      <c r="L788" s="261"/>
      <c r="N788" s="271"/>
    </row>
    <row r="789" spans="2:14" ht="31.95" customHeight="1">
      <c r="B789" s="264"/>
      <c r="C789" s="265"/>
      <c r="L789" s="261"/>
      <c r="N789" s="271"/>
    </row>
    <row r="790" spans="2:14" ht="31.95" customHeight="1">
      <c r="B790" s="264"/>
      <c r="C790" s="265"/>
      <c r="L790" s="261"/>
      <c r="N790" s="271"/>
    </row>
    <row r="791" spans="2:14" ht="31.95" customHeight="1">
      <c r="B791" s="264"/>
      <c r="C791" s="265"/>
      <c r="L791" s="261"/>
      <c r="N791" s="271"/>
    </row>
    <row r="792" spans="2:14" ht="31.95" customHeight="1">
      <c r="B792" s="264"/>
      <c r="C792" s="265"/>
      <c r="L792" s="261"/>
      <c r="N792" s="271"/>
    </row>
    <row r="793" spans="2:14" ht="31.95" customHeight="1">
      <c r="B793" s="264"/>
      <c r="C793" s="265"/>
      <c r="L793" s="261"/>
      <c r="N793" s="271"/>
    </row>
    <row r="794" spans="2:14" ht="31.95" customHeight="1">
      <c r="B794" s="264"/>
      <c r="C794" s="265"/>
      <c r="L794" s="261"/>
      <c r="N794" s="271"/>
    </row>
    <row r="795" spans="2:14" ht="31.95" customHeight="1">
      <c r="B795" s="264"/>
      <c r="C795" s="265"/>
      <c r="L795" s="261"/>
      <c r="N795" s="271"/>
    </row>
    <row r="796" spans="2:14" ht="31.95" customHeight="1">
      <c r="B796" s="264"/>
      <c r="C796" s="265"/>
      <c r="L796" s="261"/>
      <c r="N796" s="271"/>
    </row>
    <row r="797" spans="2:14" ht="31.95" customHeight="1">
      <c r="B797" s="264"/>
      <c r="C797" s="265"/>
      <c r="L797" s="261"/>
      <c r="N797" s="271"/>
    </row>
    <row r="798" spans="2:14" ht="31.95" customHeight="1">
      <c r="B798" s="264"/>
      <c r="C798" s="265"/>
      <c r="L798" s="261"/>
      <c r="N798" s="271"/>
    </row>
    <row r="799" spans="2:14" ht="31.95" customHeight="1">
      <c r="B799" s="264"/>
      <c r="C799" s="265"/>
      <c r="L799" s="261"/>
      <c r="N799" s="271"/>
    </row>
    <row r="800" spans="2:14" ht="31.95" customHeight="1">
      <c r="B800" s="264"/>
      <c r="C800" s="265"/>
      <c r="L800" s="261"/>
      <c r="N800" s="271"/>
    </row>
    <row r="801" spans="2:14" ht="31.95" customHeight="1">
      <c r="B801" s="264"/>
      <c r="C801" s="265"/>
      <c r="L801" s="261"/>
      <c r="N801" s="271"/>
    </row>
    <row r="802" spans="2:14" ht="31.95" customHeight="1">
      <c r="B802" s="264"/>
      <c r="C802" s="265"/>
      <c r="L802" s="261"/>
      <c r="N802" s="271"/>
    </row>
    <row r="803" spans="2:14" ht="31.95" customHeight="1">
      <c r="B803" s="264"/>
      <c r="C803" s="265"/>
      <c r="L803" s="261"/>
      <c r="N803" s="271"/>
    </row>
    <row r="804" spans="2:14" ht="31.95" customHeight="1">
      <c r="B804" s="264"/>
      <c r="C804" s="265"/>
      <c r="L804" s="261"/>
      <c r="N804" s="271"/>
    </row>
    <row r="805" spans="2:14" ht="31.95" customHeight="1">
      <c r="B805" s="264"/>
      <c r="C805" s="265"/>
      <c r="L805" s="261"/>
      <c r="N805" s="271"/>
    </row>
    <row r="806" spans="2:14" ht="31.95" customHeight="1">
      <c r="B806" s="264"/>
      <c r="C806" s="265"/>
      <c r="L806" s="261"/>
      <c r="N806" s="271"/>
    </row>
    <row r="807" spans="2:14" ht="31.95" customHeight="1">
      <c r="B807" s="264"/>
      <c r="C807" s="265"/>
      <c r="L807" s="261"/>
      <c r="N807" s="271"/>
    </row>
    <row r="808" spans="2:14" ht="31.95" customHeight="1">
      <c r="B808" s="264"/>
      <c r="C808" s="265"/>
      <c r="L808" s="261"/>
      <c r="N808" s="271"/>
    </row>
    <row r="809" spans="2:14" ht="31.95" customHeight="1">
      <c r="B809" s="264"/>
      <c r="C809" s="265"/>
      <c r="L809" s="261"/>
      <c r="N809" s="271"/>
    </row>
    <row r="810" spans="2:14" ht="31.95" customHeight="1">
      <c r="B810" s="264"/>
      <c r="C810" s="265"/>
      <c r="L810" s="261"/>
      <c r="N810" s="271"/>
    </row>
    <row r="811" spans="2:14" ht="31.95" customHeight="1">
      <c r="B811" s="264"/>
      <c r="C811" s="265"/>
      <c r="L811" s="261"/>
      <c r="N811" s="271"/>
    </row>
    <row r="812" spans="2:14" ht="31.95" customHeight="1">
      <c r="B812" s="264"/>
      <c r="C812" s="265"/>
      <c r="L812" s="261"/>
      <c r="N812" s="271"/>
    </row>
    <row r="813" spans="2:14" ht="31.95" customHeight="1">
      <c r="B813" s="264"/>
      <c r="C813" s="265"/>
      <c r="L813" s="261"/>
      <c r="N813" s="271"/>
    </row>
    <row r="814" spans="2:14" ht="31.95" customHeight="1">
      <c r="B814" s="264"/>
      <c r="C814" s="265"/>
      <c r="L814" s="261"/>
      <c r="N814" s="271"/>
    </row>
    <row r="815" spans="2:14" ht="31.95" customHeight="1">
      <c r="B815" s="264"/>
      <c r="C815" s="265"/>
      <c r="L815" s="261"/>
      <c r="N815" s="271"/>
    </row>
    <row r="816" spans="2:14" ht="31.95" customHeight="1">
      <c r="B816" s="264"/>
      <c r="C816" s="265"/>
      <c r="L816" s="261"/>
      <c r="N816" s="271"/>
    </row>
    <row r="817" spans="2:14" ht="31.95" customHeight="1">
      <c r="B817" s="264"/>
      <c r="C817" s="265"/>
      <c r="L817" s="261"/>
      <c r="N817" s="271"/>
    </row>
    <row r="818" spans="2:14" ht="31.95" customHeight="1">
      <c r="B818" s="264"/>
      <c r="C818" s="265"/>
      <c r="L818" s="261"/>
      <c r="N818" s="271"/>
    </row>
    <row r="819" spans="2:14" ht="31.95" customHeight="1">
      <c r="B819" s="264"/>
      <c r="C819" s="265"/>
      <c r="L819" s="261"/>
      <c r="N819" s="271"/>
    </row>
    <row r="820" spans="2:14" ht="31.95" customHeight="1">
      <c r="B820" s="264"/>
      <c r="C820" s="265"/>
      <c r="L820" s="261"/>
      <c r="N820" s="271"/>
    </row>
    <row r="821" spans="2:14" ht="31.95" customHeight="1">
      <c r="B821" s="264"/>
      <c r="C821" s="265"/>
      <c r="L821" s="261"/>
      <c r="N821" s="271"/>
    </row>
    <row r="822" spans="2:14" ht="31.95" customHeight="1">
      <c r="B822" s="264"/>
      <c r="C822" s="265"/>
      <c r="L822" s="261"/>
      <c r="N822" s="271"/>
    </row>
    <row r="823" spans="2:14" ht="31.95" customHeight="1">
      <c r="B823" s="264"/>
      <c r="C823" s="265"/>
      <c r="L823" s="261"/>
      <c r="N823" s="271"/>
    </row>
    <row r="824" spans="2:14" ht="31.95" customHeight="1">
      <c r="B824" s="264"/>
      <c r="C824" s="265"/>
      <c r="L824" s="261"/>
      <c r="N824" s="271"/>
    </row>
    <row r="825" spans="2:14" ht="31.95" customHeight="1">
      <c r="B825" s="264"/>
      <c r="C825" s="265"/>
      <c r="L825" s="261"/>
      <c r="N825" s="271"/>
    </row>
    <row r="826" spans="2:14" ht="31.95" customHeight="1">
      <c r="B826" s="264"/>
      <c r="C826" s="265"/>
      <c r="L826" s="261"/>
      <c r="N826" s="271"/>
    </row>
    <row r="827" spans="2:14" ht="31.95" customHeight="1">
      <c r="B827" s="264"/>
      <c r="C827" s="265"/>
      <c r="L827" s="261"/>
      <c r="N827" s="271"/>
    </row>
    <row r="828" spans="2:14" ht="31.95" customHeight="1">
      <c r="B828" s="264"/>
      <c r="C828" s="265"/>
      <c r="L828" s="261"/>
      <c r="N828" s="271"/>
    </row>
    <row r="829" spans="2:14" ht="31.95" customHeight="1">
      <c r="B829" s="264"/>
      <c r="C829" s="265"/>
      <c r="L829" s="261"/>
      <c r="N829" s="271"/>
    </row>
    <row r="830" spans="2:14" ht="31.95" customHeight="1">
      <c r="B830" s="264"/>
      <c r="C830" s="265"/>
      <c r="L830" s="261"/>
      <c r="N830" s="271"/>
    </row>
    <row r="831" spans="2:14" ht="31.95" customHeight="1">
      <c r="B831" s="264"/>
      <c r="C831" s="265"/>
      <c r="L831" s="261"/>
      <c r="N831" s="271"/>
    </row>
    <row r="832" spans="2:14" ht="31.95" customHeight="1">
      <c r="B832" s="264"/>
      <c r="C832" s="265"/>
      <c r="L832" s="261"/>
      <c r="N832" s="271"/>
    </row>
    <row r="833" spans="2:14" ht="31.95" customHeight="1">
      <c r="B833" s="264"/>
      <c r="C833" s="265"/>
      <c r="L833" s="261"/>
      <c r="N833" s="271"/>
    </row>
    <row r="834" spans="2:14" ht="31.95" customHeight="1">
      <c r="B834" s="264"/>
      <c r="C834" s="265"/>
      <c r="L834" s="261"/>
      <c r="N834" s="271"/>
    </row>
    <row r="835" spans="2:14" ht="31.95" customHeight="1">
      <c r="B835" s="264"/>
      <c r="C835" s="265"/>
      <c r="L835" s="261"/>
      <c r="N835" s="271"/>
    </row>
    <row r="836" spans="2:14" ht="31.95" customHeight="1">
      <c r="B836" s="264"/>
      <c r="C836" s="265"/>
      <c r="L836" s="261"/>
      <c r="N836" s="271"/>
    </row>
    <row r="837" spans="2:14" ht="31.95" customHeight="1">
      <c r="B837" s="264"/>
      <c r="C837" s="265"/>
      <c r="L837" s="261"/>
      <c r="N837" s="271"/>
    </row>
    <row r="838" spans="2:14" ht="31.95" customHeight="1">
      <c r="B838" s="264"/>
      <c r="C838" s="265"/>
      <c r="L838" s="261"/>
      <c r="N838" s="271"/>
    </row>
    <row r="839" spans="2:14" ht="31.95" customHeight="1">
      <c r="B839" s="264"/>
      <c r="C839" s="265"/>
      <c r="L839" s="261"/>
      <c r="N839" s="271"/>
    </row>
    <row r="840" spans="2:14" ht="31.95" customHeight="1">
      <c r="B840" s="264"/>
      <c r="C840" s="265"/>
      <c r="L840" s="261"/>
      <c r="N840" s="271"/>
    </row>
    <row r="841" spans="2:14" ht="31.95" customHeight="1">
      <c r="B841" s="264"/>
      <c r="C841" s="265"/>
      <c r="L841" s="261"/>
      <c r="N841" s="271"/>
    </row>
    <row r="842" spans="2:14" ht="31.95" customHeight="1">
      <c r="B842" s="264"/>
      <c r="C842" s="265"/>
      <c r="L842" s="261"/>
      <c r="N842" s="271"/>
    </row>
    <row r="843" spans="2:14" ht="31.95" customHeight="1">
      <c r="B843" s="264"/>
      <c r="C843" s="265"/>
      <c r="L843" s="261"/>
      <c r="N843" s="271"/>
    </row>
    <row r="844" spans="2:14" ht="31.95" customHeight="1">
      <c r="B844" s="264"/>
      <c r="C844" s="265"/>
      <c r="L844" s="261"/>
      <c r="N844" s="271"/>
    </row>
    <row r="845" spans="2:14" ht="31.95" customHeight="1">
      <c r="B845" s="264"/>
      <c r="C845" s="265"/>
      <c r="L845" s="261"/>
      <c r="N845" s="271"/>
    </row>
    <row r="846" spans="2:14" ht="31.95" customHeight="1">
      <c r="B846" s="264"/>
      <c r="C846" s="265"/>
      <c r="L846" s="261"/>
      <c r="N846" s="271"/>
    </row>
    <row r="847" spans="2:14" ht="31.95" customHeight="1">
      <c r="B847" s="264"/>
      <c r="C847" s="265"/>
      <c r="L847" s="261"/>
      <c r="N847" s="271"/>
    </row>
    <row r="848" spans="2:14" ht="31.95" customHeight="1">
      <c r="B848" s="264"/>
      <c r="C848" s="265"/>
      <c r="L848" s="261"/>
      <c r="N848" s="271"/>
    </row>
    <row r="849" spans="2:14" ht="31.95" customHeight="1">
      <c r="B849" s="264"/>
      <c r="C849" s="265"/>
      <c r="L849" s="261"/>
      <c r="N849" s="271"/>
    </row>
    <row r="850" spans="2:14" ht="31.95" customHeight="1">
      <c r="B850" s="264"/>
      <c r="C850" s="265"/>
      <c r="L850" s="261"/>
      <c r="N850" s="271"/>
    </row>
    <row r="851" spans="2:14" ht="31.95" customHeight="1">
      <c r="B851" s="264"/>
      <c r="C851" s="265"/>
      <c r="L851" s="261"/>
      <c r="N851" s="271"/>
    </row>
    <row r="852" spans="2:14" ht="31.95" customHeight="1">
      <c r="B852" s="264"/>
      <c r="C852" s="265"/>
      <c r="L852" s="261"/>
      <c r="N852" s="271"/>
    </row>
    <row r="853" spans="2:14" ht="31.95" customHeight="1">
      <c r="B853" s="264"/>
      <c r="C853" s="265"/>
      <c r="L853" s="261"/>
      <c r="N853" s="271"/>
    </row>
    <row r="854" spans="2:14" ht="31.95" customHeight="1">
      <c r="B854" s="264"/>
      <c r="C854" s="265"/>
      <c r="L854" s="261"/>
      <c r="N854" s="271"/>
    </row>
    <row r="855" spans="2:14" ht="31.95" customHeight="1">
      <c r="B855" s="264"/>
      <c r="C855" s="265"/>
      <c r="L855" s="261"/>
      <c r="N855" s="271"/>
    </row>
    <row r="856" spans="2:14" ht="31.95" customHeight="1">
      <c r="B856" s="264"/>
      <c r="C856" s="265"/>
      <c r="L856" s="261"/>
      <c r="N856" s="271"/>
    </row>
    <row r="857" spans="2:14" ht="31.95" customHeight="1">
      <c r="B857" s="264"/>
      <c r="C857" s="265"/>
      <c r="L857" s="261"/>
      <c r="N857" s="271"/>
    </row>
    <row r="858" spans="2:14" ht="31.95" customHeight="1">
      <c r="B858" s="264"/>
      <c r="C858" s="265"/>
      <c r="L858" s="261"/>
      <c r="N858" s="271"/>
    </row>
    <row r="859" spans="2:14" ht="31.95" customHeight="1">
      <c r="B859" s="264"/>
      <c r="C859" s="265"/>
      <c r="L859" s="261"/>
      <c r="N859" s="271"/>
    </row>
    <row r="860" spans="2:14" ht="31.95" customHeight="1">
      <c r="B860" s="264"/>
      <c r="C860" s="265"/>
      <c r="L860" s="261"/>
      <c r="N860" s="271"/>
    </row>
    <row r="861" spans="2:14" ht="31.95" customHeight="1">
      <c r="B861" s="264"/>
      <c r="C861" s="265"/>
      <c r="L861" s="261"/>
      <c r="N861" s="271"/>
    </row>
    <row r="862" spans="2:14" ht="31.95" customHeight="1">
      <c r="B862" s="264"/>
      <c r="C862" s="265"/>
      <c r="L862" s="261"/>
      <c r="N862" s="271"/>
    </row>
    <row r="863" spans="2:14" ht="31.95" customHeight="1">
      <c r="B863" s="264"/>
      <c r="C863" s="265"/>
      <c r="L863" s="261"/>
      <c r="N863" s="271"/>
    </row>
    <row r="864" spans="2:14" ht="31.95" customHeight="1">
      <c r="B864" s="264"/>
      <c r="C864" s="265"/>
      <c r="L864" s="261"/>
      <c r="N864" s="271"/>
    </row>
    <row r="865" spans="2:14" ht="31.95" customHeight="1">
      <c r="B865" s="264"/>
      <c r="C865" s="265"/>
      <c r="L865" s="261"/>
      <c r="N865" s="271"/>
    </row>
    <row r="866" spans="2:14" ht="31.95" customHeight="1">
      <c r="B866" s="264"/>
      <c r="C866" s="265"/>
      <c r="L866" s="261"/>
      <c r="N866" s="271"/>
    </row>
    <row r="867" spans="2:14" ht="31.95" customHeight="1">
      <c r="B867" s="264"/>
      <c r="C867" s="265"/>
      <c r="L867" s="261"/>
      <c r="N867" s="271"/>
    </row>
    <row r="868" spans="2:14" ht="31.95" customHeight="1">
      <c r="B868" s="264"/>
      <c r="C868" s="265"/>
      <c r="L868" s="261"/>
      <c r="N868" s="271"/>
    </row>
    <row r="869" spans="2:14" ht="31.95" customHeight="1">
      <c r="B869" s="264"/>
      <c r="C869" s="265"/>
      <c r="L869" s="261"/>
      <c r="N869" s="271"/>
    </row>
    <row r="870" spans="2:14" ht="31.95" customHeight="1">
      <c r="B870" s="264"/>
      <c r="C870" s="265"/>
      <c r="L870" s="261"/>
      <c r="N870" s="271"/>
    </row>
    <row r="871" spans="2:14" ht="31.95" customHeight="1">
      <c r="B871" s="264"/>
      <c r="C871" s="265"/>
      <c r="L871" s="261"/>
      <c r="N871" s="271"/>
    </row>
    <row r="872" spans="2:14" ht="31.95" customHeight="1">
      <c r="B872" s="264"/>
      <c r="C872" s="265"/>
      <c r="L872" s="261"/>
      <c r="N872" s="271"/>
    </row>
    <row r="873" spans="2:14" ht="31.95" customHeight="1">
      <c r="B873" s="264"/>
      <c r="C873" s="265"/>
      <c r="L873" s="261"/>
      <c r="N873" s="271"/>
    </row>
    <row r="874" spans="2:14" ht="31.95" customHeight="1">
      <c r="B874" s="264"/>
      <c r="C874" s="265"/>
      <c r="L874" s="261"/>
      <c r="N874" s="271"/>
    </row>
    <row r="875" spans="2:14" ht="31.95" customHeight="1">
      <c r="B875" s="264"/>
      <c r="C875" s="265"/>
      <c r="L875" s="261"/>
      <c r="N875" s="271"/>
    </row>
    <row r="876" spans="2:14" ht="31.95" customHeight="1">
      <c r="B876" s="264"/>
      <c r="C876" s="265"/>
      <c r="L876" s="261"/>
      <c r="N876" s="271"/>
    </row>
    <row r="877" spans="2:14" ht="31.95" customHeight="1">
      <c r="B877" s="264"/>
      <c r="C877" s="265"/>
      <c r="L877" s="261"/>
      <c r="N877" s="271"/>
    </row>
    <row r="878" spans="2:14" ht="31.95" customHeight="1">
      <c r="B878" s="264"/>
      <c r="C878" s="265"/>
      <c r="L878" s="261"/>
      <c r="N878" s="271"/>
    </row>
    <row r="879" spans="2:14" ht="31.95" customHeight="1">
      <c r="B879" s="264"/>
      <c r="C879" s="265"/>
      <c r="L879" s="261"/>
      <c r="N879" s="271"/>
    </row>
    <row r="880" spans="2:14" ht="31.95" customHeight="1">
      <c r="B880" s="264"/>
      <c r="C880" s="265"/>
      <c r="L880" s="261"/>
      <c r="N880" s="271"/>
    </row>
    <row r="881" spans="2:14" ht="31.95" customHeight="1">
      <c r="B881" s="264"/>
      <c r="C881" s="265"/>
      <c r="L881" s="261"/>
      <c r="N881" s="271"/>
    </row>
    <row r="882" spans="2:14" ht="31.95" customHeight="1">
      <c r="B882" s="264"/>
      <c r="C882" s="265"/>
      <c r="L882" s="261"/>
      <c r="N882" s="271"/>
    </row>
    <row r="883" spans="2:14" ht="31.95" customHeight="1">
      <c r="B883" s="264"/>
      <c r="C883" s="265"/>
      <c r="L883" s="261"/>
      <c r="N883" s="271"/>
    </row>
    <row r="884" spans="2:14" ht="31.95" customHeight="1">
      <c r="B884" s="264"/>
      <c r="C884" s="265"/>
      <c r="L884" s="261"/>
      <c r="N884" s="271"/>
    </row>
    <row r="885" spans="2:14" ht="31.95" customHeight="1">
      <c r="B885" s="264"/>
      <c r="C885" s="265"/>
      <c r="L885" s="261"/>
      <c r="N885" s="271"/>
    </row>
    <row r="886" spans="2:14" ht="31.95" customHeight="1">
      <c r="B886" s="264"/>
      <c r="C886" s="265"/>
      <c r="L886" s="261"/>
      <c r="N886" s="271"/>
    </row>
    <row r="887" spans="2:14" ht="31.95" customHeight="1">
      <c r="B887" s="264"/>
      <c r="C887" s="265"/>
      <c r="L887" s="261"/>
      <c r="N887" s="271"/>
    </row>
    <row r="888" spans="2:14" ht="31.95" customHeight="1">
      <c r="B888" s="264"/>
      <c r="C888" s="265"/>
      <c r="L888" s="261"/>
      <c r="N888" s="271"/>
    </row>
    <row r="889" spans="2:14" ht="31.95" customHeight="1">
      <c r="B889" s="264"/>
      <c r="C889" s="265"/>
      <c r="L889" s="261"/>
      <c r="N889" s="271"/>
    </row>
    <row r="890" spans="2:14" ht="31.95" customHeight="1">
      <c r="B890" s="264"/>
      <c r="C890" s="265"/>
      <c r="L890" s="261"/>
      <c r="N890" s="271"/>
    </row>
    <row r="891" spans="2:14" ht="31.95" customHeight="1">
      <c r="B891" s="264"/>
      <c r="C891" s="265"/>
      <c r="L891" s="261"/>
      <c r="N891" s="271"/>
    </row>
    <row r="892" spans="2:14" ht="31.95" customHeight="1">
      <c r="B892" s="264"/>
      <c r="C892" s="265"/>
      <c r="L892" s="261"/>
      <c r="N892" s="271"/>
    </row>
    <row r="893" spans="2:14" ht="31.95" customHeight="1">
      <c r="B893" s="264"/>
      <c r="C893" s="265"/>
      <c r="L893" s="261"/>
      <c r="N893" s="271"/>
    </row>
  </sheetData>
  <mergeCells count="20">
    <mergeCell ref="C16:C17"/>
    <mergeCell ref="G1:G11"/>
    <mergeCell ref="G12:G16"/>
    <mergeCell ref="F2:F6"/>
    <mergeCell ref="N21:N23"/>
    <mergeCell ref="N19:N20"/>
    <mergeCell ref="F7:F16"/>
    <mergeCell ref="N2:N5"/>
    <mergeCell ref="C2:C5"/>
    <mergeCell ref="N6:N7"/>
    <mergeCell ref="C6:C7"/>
    <mergeCell ref="N8:N9"/>
    <mergeCell ref="C8:C9"/>
    <mergeCell ref="D3:D5"/>
    <mergeCell ref="C21:C22"/>
    <mergeCell ref="N10:N12"/>
    <mergeCell ref="C10:C11"/>
    <mergeCell ref="N13:N14"/>
    <mergeCell ref="C13:C14"/>
    <mergeCell ref="N16:N17"/>
  </mergeCells>
  <printOptions gridLines="1"/>
  <pageMargins left="0.51" right="0.17" top="0.17" bottom="0.17" header="0" footer="0"/>
  <pageSetup orientation="portrait" r:id="rId1"/>
  <headerFooter>
    <oddFooter>&amp;L&amp;A&amp;C&amp;F</oddFooter>
  </headerFooter>
  <colBreaks count="3" manualBreakCount="3">
    <brk id="3" max="21" man="1"/>
    <brk id="7" max="1048575" man="1"/>
    <brk id="11"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RFG spply</vt:lpstr>
      <vt:lpstr>RFG SCOPE</vt:lpstr>
      <vt:lpstr>EXT MIT</vt:lpstr>
      <vt:lpstr>mnt EXT</vt:lpstr>
      <vt:lpstr>pics</vt:lpstr>
      <vt:lpstr>quicklist</vt:lpstr>
      <vt:lpstr>chklst</vt:lpstr>
      <vt:lpstr>jobinfo(2)</vt:lpstr>
      <vt:lpstr>brief</vt:lpstr>
      <vt:lpstr>forms</vt:lpstr>
      <vt:lpstr>brief!Print_Area</vt:lpstr>
      <vt:lpstr>chklst!Print_Area</vt:lpstr>
      <vt:lpstr>'EXT MIT'!Print_Area</vt:lpstr>
      <vt:lpstr>'jobinfo(2)'!Print_Area</vt:lpstr>
      <vt:lpstr>'mnt EXT'!Print_Area</vt:lpstr>
      <vt:lpstr>pics!Print_Area</vt:lpstr>
      <vt:lpstr>quicklist!Print_Area</vt:lpstr>
      <vt:lpstr>'RFG SCOPE'!Print_Area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joe jones</cp:lastModifiedBy>
  <cp:revision/>
  <cp:lastPrinted>2024-01-12T03:46:01Z</cp:lastPrinted>
  <dcterms:created xsi:type="dcterms:W3CDTF">2019-05-10T14:44:50Z</dcterms:created>
  <dcterms:modified xsi:type="dcterms:W3CDTF">2024-01-12T03:46:01Z</dcterms:modified>
  <cp:category/>
  <cp:contentStatus/>
</cp:coreProperties>
</file>