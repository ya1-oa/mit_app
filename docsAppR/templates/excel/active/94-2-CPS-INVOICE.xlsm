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okaak\Downloads\"/>
    </mc:Choice>
  </mc:AlternateContent>
  <xr:revisionPtr revIDLastSave="0" documentId="13_ncr:1_{8178E77E-2720-4710-AD74-96659F8EAF7A}" xr6:coauthVersionLast="47" xr6:coauthVersionMax="47" xr10:uidLastSave="{00000000-0000-0000-0000-000000000000}"/>
  <bookViews>
    <workbookView xWindow="-120" yWindow="-120" windowWidth="29040" windowHeight="15840" tabRatio="818" firstSheet="4" activeTab="4" xr2:uid="{00000000-000D-0000-FFFF-FFFF00000000}"/>
  </bookViews>
  <sheets>
    <sheet name="Box Summary (2)" sheetId="14" r:id="rId1"/>
    <sheet name="Box Summary" sheetId="3" r:id="rId2"/>
    <sheet name="Sheet1" sheetId="13" r:id="rId3"/>
    <sheet name="text" sheetId="4" r:id="rId4"/>
    <sheet name="APC INVOICE2" sheetId="7" r:id="rId5"/>
    <sheet name="Time Calc" sheetId="11" r:id="rId6"/>
    <sheet name="NEWFILE" sheetId="10" r:id="rId7"/>
    <sheet name="jobinfo(2)" sheetId="5" r:id="rId8"/>
    <sheet name="PRICES XACT IN" sheetId="8" r:id="rId9"/>
  </sheets>
  <definedNames>
    <definedName name="_xleta.IF" hidden="1" xlm="1">#NAME?</definedName>
    <definedName name="_xlnm.Print_Area" localSheetId="4">'APC INVOICE2'!$A$1:$I$557</definedName>
    <definedName name="_xlnm.Print_Area" localSheetId="1">'Box Summary'!$A$1:$N$34</definedName>
    <definedName name="_xlnm.Print_Area" localSheetId="0">'Box Summary (2)'!$A$1:$N$28</definedName>
    <definedName name="_xlnm.Print_Area" localSheetId="8">'PRICES XACT IN'!$A$1:$I$140</definedName>
    <definedName name="_xlnm.Print_Area" localSheetId="3">text!$C$2:$C$42</definedName>
    <definedName name="_xlnm.Print_Area" localSheetId="5">'Time Calc'!$AN$14:$AZ$120</definedName>
    <definedName name="SF">NEWFILE!$K$13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8" i="7" l="1"/>
  <c r="H167" i="7"/>
  <c r="H169" i="7"/>
  <c r="H170" i="7"/>
  <c r="H166" i="7"/>
  <c r="F224" i="7"/>
  <c r="G554" i="7"/>
  <c r="E554" i="7"/>
  <c r="D554" i="7"/>
  <c r="C554" i="7"/>
  <c r="B554" i="7"/>
  <c r="G551" i="7"/>
  <c r="E551" i="7"/>
  <c r="D551" i="7"/>
  <c r="C551" i="7"/>
  <c r="B551" i="7"/>
  <c r="G548" i="7"/>
  <c r="E548" i="7"/>
  <c r="D548" i="7"/>
  <c r="C548" i="7"/>
  <c r="B548" i="7"/>
  <c r="G545" i="7"/>
  <c r="E545" i="7"/>
  <c r="D545" i="7"/>
  <c r="C545" i="7"/>
  <c r="B545" i="7"/>
  <c r="G542" i="7"/>
  <c r="E542" i="7"/>
  <c r="D542" i="7"/>
  <c r="C542" i="7"/>
  <c r="B542" i="7"/>
  <c r="G539" i="7"/>
  <c r="E539" i="7"/>
  <c r="D539" i="7"/>
  <c r="C539" i="7"/>
  <c r="B539" i="7"/>
  <c r="G537" i="7"/>
  <c r="E537" i="7"/>
  <c r="D537" i="7"/>
  <c r="C537" i="7"/>
  <c r="B537" i="7"/>
  <c r="G535" i="7"/>
  <c r="E535" i="7"/>
  <c r="D535" i="7"/>
  <c r="C535" i="7"/>
  <c r="B535" i="7"/>
  <c r="G533" i="7"/>
  <c r="E533" i="7"/>
  <c r="D533" i="7"/>
  <c r="C533" i="7"/>
  <c r="B533" i="7"/>
  <c r="G527" i="7"/>
  <c r="E527" i="7"/>
  <c r="D527" i="7"/>
  <c r="C527" i="7"/>
  <c r="B527" i="7"/>
  <c r="G524" i="7"/>
  <c r="E524" i="7"/>
  <c r="D524" i="7"/>
  <c r="C524" i="7"/>
  <c r="B524" i="7"/>
  <c r="G521" i="7"/>
  <c r="E521" i="7"/>
  <c r="D521" i="7"/>
  <c r="C521" i="7"/>
  <c r="B521" i="7"/>
  <c r="G518" i="7"/>
  <c r="E518" i="7"/>
  <c r="D518" i="7"/>
  <c r="C518" i="7"/>
  <c r="B518" i="7"/>
  <c r="G515" i="7"/>
  <c r="E515" i="7"/>
  <c r="D515" i="7"/>
  <c r="C515" i="7"/>
  <c r="B515" i="7"/>
  <c r="G512" i="7"/>
  <c r="E512" i="7"/>
  <c r="D512" i="7"/>
  <c r="C512" i="7"/>
  <c r="B512" i="7"/>
  <c r="G510" i="7"/>
  <c r="E510" i="7"/>
  <c r="D510" i="7"/>
  <c r="C510" i="7"/>
  <c r="B510" i="7"/>
  <c r="G508" i="7"/>
  <c r="E508" i="7"/>
  <c r="D508" i="7"/>
  <c r="C508" i="7"/>
  <c r="B508" i="7"/>
  <c r="G506" i="7"/>
  <c r="E506" i="7"/>
  <c r="D506" i="7"/>
  <c r="C506" i="7"/>
  <c r="B506" i="7"/>
  <c r="G500" i="7"/>
  <c r="E500" i="7"/>
  <c r="D500" i="7"/>
  <c r="C500" i="7"/>
  <c r="B500" i="7"/>
  <c r="G497" i="7"/>
  <c r="E497" i="7"/>
  <c r="D497" i="7"/>
  <c r="C497" i="7"/>
  <c r="B497" i="7"/>
  <c r="G494" i="7"/>
  <c r="E494" i="7"/>
  <c r="D494" i="7"/>
  <c r="C494" i="7"/>
  <c r="B494" i="7"/>
  <c r="G491" i="7"/>
  <c r="E491" i="7"/>
  <c r="D491" i="7"/>
  <c r="C491" i="7"/>
  <c r="B491" i="7"/>
  <c r="G488" i="7"/>
  <c r="E488" i="7"/>
  <c r="D488" i="7"/>
  <c r="C488" i="7"/>
  <c r="B488" i="7"/>
  <c r="G485" i="7"/>
  <c r="E485" i="7"/>
  <c r="D485" i="7"/>
  <c r="C485" i="7"/>
  <c r="B485" i="7"/>
  <c r="G483" i="7"/>
  <c r="E483" i="7"/>
  <c r="D483" i="7"/>
  <c r="C483" i="7"/>
  <c r="B483" i="7"/>
  <c r="G481" i="7"/>
  <c r="E481" i="7"/>
  <c r="D481" i="7"/>
  <c r="C481" i="7"/>
  <c r="B481" i="7"/>
  <c r="G479" i="7"/>
  <c r="E479" i="7"/>
  <c r="D479" i="7"/>
  <c r="C479" i="7"/>
  <c r="B479" i="7"/>
  <c r="G473" i="7"/>
  <c r="E473" i="7"/>
  <c r="D473" i="7"/>
  <c r="C473" i="7"/>
  <c r="B473" i="7"/>
  <c r="G470" i="7"/>
  <c r="E470" i="7"/>
  <c r="D470" i="7"/>
  <c r="C470" i="7"/>
  <c r="B470" i="7"/>
  <c r="G467" i="7"/>
  <c r="E467" i="7"/>
  <c r="D467" i="7"/>
  <c r="C467" i="7"/>
  <c r="B467" i="7"/>
  <c r="G464" i="7"/>
  <c r="E464" i="7"/>
  <c r="D464" i="7"/>
  <c r="C464" i="7"/>
  <c r="B464" i="7"/>
  <c r="G461" i="7"/>
  <c r="E461" i="7"/>
  <c r="D461" i="7"/>
  <c r="C461" i="7"/>
  <c r="B461" i="7"/>
  <c r="G458" i="7"/>
  <c r="E458" i="7"/>
  <c r="D458" i="7"/>
  <c r="C458" i="7"/>
  <c r="B458" i="7"/>
  <c r="G456" i="7"/>
  <c r="E456" i="7"/>
  <c r="D456" i="7"/>
  <c r="C456" i="7"/>
  <c r="B456" i="7"/>
  <c r="G454" i="7"/>
  <c r="E454" i="7"/>
  <c r="D454" i="7"/>
  <c r="C454" i="7"/>
  <c r="B454" i="7"/>
  <c r="G452" i="7"/>
  <c r="E452" i="7"/>
  <c r="D452" i="7"/>
  <c r="C452" i="7"/>
  <c r="B452" i="7"/>
  <c r="G446" i="7"/>
  <c r="E446" i="7"/>
  <c r="D446" i="7"/>
  <c r="C446" i="7"/>
  <c r="B446" i="7"/>
  <c r="G443" i="7"/>
  <c r="E443" i="7"/>
  <c r="D443" i="7"/>
  <c r="C443" i="7"/>
  <c r="B443" i="7"/>
  <c r="G440" i="7"/>
  <c r="E440" i="7"/>
  <c r="D440" i="7"/>
  <c r="C440" i="7"/>
  <c r="B440" i="7"/>
  <c r="G437" i="7"/>
  <c r="E437" i="7"/>
  <c r="D437" i="7"/>
  <c r="C437" i="7"/>
  <c r="B437" i="7"/>
  <c r="G434" i="7"/>
  <c r="E434" i="7"/>
  <c r="D434" i="7"/>
  <c r="C434" i="7"/>
  <c r="B434" i="7"/>
  <c r="G431" i="7"/>
  <c r="E431" i="7"/>
  <c r="D431" i="7"/>
  <c r="C431" i="7"/>
  <c r="B431" i="7"/>
  <c r="G429" i="7"/>
  <c r="E429" i="7"/>
  <c r="D429" i="7"/>
  <c r="C429" i="7"/>
  <c r="B429" i="7"/>
  <c r="G427" i="7"/>
  <c r="E427" i="7"/>
  <c r="D427" i="7"/>
  <c r="C427" i="7"/>
  <c r="B427" i="7"/>
  <c r="G425" i="7"/>
  <c r="E425" i="7"/>
  <c r="D425" i="7"/>
  <c r="C425" i="7"/>
  <c r="B425" i="7"/>
  <c r="G419" i="7"/>
  <c r="E419" i="7"/>
  <c r="D419" i="7"/>
  <c r="C419" i="7"/>
  <c r="B419" i="7"/>
  <c r="G416" i="7"/>
  <c r="E416" i="7"/>
  <c r="D416" i="7"/>
  <c r="C416" i="7"/>
  <c r="B416" i="7"/>
  <c r="G413" i="7"/>
  <c r="E413" i="7"/>
  <c r="D413" i="7"/>
  <c r="C413" i="7"/>
  <c r="B413" i="7"/>
  <c r="G410" i="7"/>
  <c r="E410" i="7"/>
  <c r="D410" i="7"/>
  <c r="C410" i="7"/>
  <c r="B410" i="7"/>
  <c r="G407" i="7"/>
  <c r="E407" i="7"/>
  <c r="D407" i="7"/>
  <c r="C407" i="7"/>
  <c r="B407" i="7"/>
  <c r="G404" i="7"/>
  <c r="E404" i="7"/>
  <c r="D404" i="7"/>
  <c r="C404" i="7"/>
  <c r="B404" i="7"/>
  <c r="G402" i="7"/>
  <c r="E402" i="7"/>
  <c r="D402" i="7"/>
  <c r="C402" i="7"/>
  <c r="B402" i="7"/>
  <c r="G400" i="7"/>
  <c r="E400" i="7"/>
  <c r="D400" i="7"/>
  <c r="C400" i="7"/>
  <c r="B400" i="7"/>
  <c r="G398" i="7"/>
  <c r="E398" i="7"/>
  <c r="D398" i="7"/>
  <c r="C398" i="7"/>
  <c r="B398" i="7"/>
  <c r="G392" i="7"/>
  <c r="E392" i="7"/>
  <c r="D392" i="7"/>
  <c r="C392" i="7"/>
  <c r="B392" i="7"/>
  <c r="G389" i="7"/>
  <c r="E389" i="7"/>
  <c r="D389" i="7"/>
  <c r="C389" i="7"/>
  <c r="B389" i="7"/>
  <c r="G386" i="7"/>
  <c r="E386" i="7"/>
  <c r="D386" i="7"/>
  <c r="C386" i="7"/>
  <c r="B386" i="7"/>
  <c r="G383" i="7"/>
  <c r="E383" i="7"/>
  <c r="D383" i="7"/>
  <c r="C383" i="7"/>
  <c r="B383" i="7"/>
  <c r="G380" i="7"/>
  <c r="E380" i="7"/>
  <c r="D380" i="7"/>
  <c r="C380" i="7"/>
  <c r="B380" i="7"/>
  <c r="G377" i="7"/>
  <c r="E377" i="7"/>
  <c r="D377" i="7"/>
  <c r="C377" i="7"/>
  <c r="B377" i="7"/>
  <c r="G375" i="7"/>
  <c r="E375" i="7"/>
  <c r="D375" i="7"/>
  <c r="C375" i="7"/>
  <c r="B375" i="7"/>
  <c r="G373" i="7"/>
  <c r="E373" i="7"/>
  <c r="D373" i="7"/>
  <c r="C373" i="7"/>
  <c r="B373" i="7"/>
  <c r="G371" i="7"/>
  <c r="E371" i="7"/>
  <c r="D371" i="7"/>
  <c r="C371" i="7"/>
  <c r="B371" i="7"/>
  <c r="G365" i="7"/>
  <c r="E365" i="7"/>
  <c r="D365" i="7"/>
  <c r="C365" i="7"/>
  <c r="B365" i="7"/>
  <c r="G362" i="7"/>
  <c r="E362" i="7"/>
  <c r="D362" i="7"/>
  <c r="C362" i="7"/>
  <c r="B362" i="7"/>
  <c r="G359" i="7"/>
  <c r="E359" i="7"/>
  <c r="D359" i="7"/>
  <c r="C359" i="7"/>
  <c r="B359" i="7"/>
  <c r="G356" i="7"/>
  <c r="E356" i="7"/>
  <c r="D356" i="7"/>
  <c r="C356" i="7"/>
  <c r="B356" i="7"/>
  <c r="G353" i="7"/>
  <c r="E353" i="7"/>
  <c r="D353" i="7"/>
  <c r="C353" i="7"/>
  <c r="B353" i="7"/>
  <c r="G350" i="7"/>
  <c r="E350" i="7"/>
  <c r="D350" i="7"/>
  <c r="C350" i="7"/>
  <c r="B350" i="7"/>
  <c r="G348" i="7"/>
  <c r="E348" i="7"/>
  <c r="D348" i="7"/>
  <c r="C348" i="7"/>
  <c r="B348" i="7"/>
  <c r="G346" i="7"/>
  <c r="E346" i="7"/>
  <c r="D346" i="7"/>
  <c r="C346" i="7"/>
  <c r="B346" i="7"/>
  <c r="G344" i="7"/>
  <c r="E344" i="7"/>
  <c r="D344" i="7"/>
  <c r="C344" i="7"/>
  <c r="B344" i="7"/>
  <c r="G338" i="7"/>
  <c r="E338" i="7"/>
  <c r="D338" i="7"/>
  <c r="C338" i="7"/>
  <c r="B338" i="7"/>
  <c r="G335" i="7"/>
  <c r="E335" i="7"/>
  <c r="D335" i="7"/>
  <c r="C335" i="7"/>
  <c r="B335" i="7"/>
  <c r="G332" i="7"/>
  <c r="E332" i="7"/>
  <c r="D332" i="7"/>
  <c r="C332" i="7"/>
  <c r="B332" i="7"/>
  <c r="G329" i="7"/>
  <c r="E329" i="7"/>
  <c r="D329" i="7"/>
  <c r="C329" i="7"/>
  <c r="B329" i="7"/>
  <c r="G326" i="7"/>
  <c r="E326" i="7"/>
  <c r="D326" i="7"/>
  <c r="C326" i="7"/>
  <c r="B326" i="7"/>
  <c r="G323" i="7"/>
  <c r="E323" i="7"/>
  <c r="D323" i="7"/>
  <c r="C323" i="7"/>
  <c r="B323" i="7"/>
  <c r="G321" i="7"/>
  <c r="E321" i="7"/>
  <c r="D321" i="7"/>
  <c r="C321" i="7"/>
  <c r="B321" i="7"/>
  <c r="G319" i="7"/>
  <c r="E319" i="7"/>
  <c r="D319" i="7"/>
  <c r="C319" i="7"/>
  <c r="B319" i="7"/>
  <c r="G317" i="7"/>
  <c r="E317" i="7"/>
  <c r="D317" i="7"/>
  <c r="C317" i="7"/>
  <c r="B317" i="7"/>
  <c r="G316" i="7"/>
  <c r="E316" i="7"/>
  <c r="D316" i="7"/>
  <c r="C316" i="7"/>
  <c r="B316" i="7"/>
  <c r="G315" i="7"/>
  <c r="E315" i="7"/>
  <c r="D315" i="7"/>
  <c r="C315" i="7"/>
  <c r="B315" i="7"/>
  <c r="G309" i="7"/>
  <c r="E309" i="7"/>
  <c r="D309" i="7"/>
  <c r="C309" i="7"/>
  <c r="B309" i="7"/>
  <c r="G306" i="7"/>
  <c r="E306" i="7"/>
  <c r="D306" i="7"/>
  <c r="C306" i="7"/>
  <c r="B306" i="7"/>
  <c r="G303" i="7"/>
  <c r="E303" i="7"/>
  <c r="D303" i="7"/>
  <c r="C303" i="7"/>
  <c r="B303" i="7"/>
  <c r="G300" i="7"/>
  <c r="E300" i="7"/>
  <c r="D300" i="7"/>
  <c r="C300" i="7"/>
  <c r="B300" i="7"/>
  <c r="G297" i="7"/>
  <c r="E297" i="7"/>
  <c r="D297" i="7"/>
  <c r="C297" i="7"/>
  <c r="B297" i="7"/>
  <c r="G294" i="7"/>
  <c r="E294" i="7"/>
  <c r="D294" i="7"/>
  <c r="C294" i="7"/>
  <c r="B294" i="7"/>
  <c r="G292" i="7"/>
  <c r="E292" i="7"/>
  <c r="D292" i="7"/>
  <c r="C292" i="7"/>
  <c r="B292" i="7"/>
  <c r="G290" i="7"/>
  <c r="E290" i="7"/>
  <c r="D290" i="7"/>
  <c r="C290" i="7"/>
  <c r="B290" i="7"/>
  <c r="G288" i="7"/>
  <c r="E288" i="7"/>
  <c r="D288" i="7"/>
  <c r="C288" i="7"/>
  <c r="B288" i="7"/>
  <c r="G282" i="7"/>
  <c r="E282" i="7"/>
  <c r="D282" i="7"/>
  <c r="C282" i="7"/>
  <c r="B282" i="7"/>
  <c r="G279" i="7"/>
  <c r="E279" i="7"/>
  <c r="D279" i="7"/>
  <c r="C279" i="7"/>
  <c r="B279" i="7"/>
  <c r="G276" i="7"/>
  <c r="E276" i="7"/>
  <c r="D276" i="7"/>
  <c r="C276" i="7"/>
  <c r="B276" i="7"/>
  <c r="G273" i="7"/>
  <c r="E273" i="7"/>
  <c r="D273" i="7"/>
  <c r="C273" i="7"/>
  <c r="B273" i="7"/>
  <c r="G270" i="7"/>
  <c r="E270" i="7"/>
  <c r="D270" i="7"/>
  <c r="C270" i="7"/>
  <c r="B270" i="7"/>
  <c r="G267" i="7"/>
  <c r="E267" i="7"/>
  <c r="D267" i="7"/>
  <c r="C267" i="7"/>
  <c r="B267" i="7"/>
  <c r="G265" i="7"/>
  <c r="E265" i="7"/>
  <c r="D265" i="7"/>
  <c r="C265" i="7"/>
  <c r="B265" i="7"/>
  <c r="G263" i="7"/>
  <c r="E263" i="7"/>
  <c r="D263" i="7"/>
  <c r="C263" i="7"/>
  <c r="B263" i="7"/>
  <c r="G261" i="7"/>
  <c r="E261" i="7"/>
  <c r="D261" i="7"/>
  <c r="C261" i="7"/>
  <c r="B261" i="7"/>
  <c r="G255" i="7"/>
  <c r="E255" i="7"/>
  <c r="D255" i="7"/>
  <c r="C255" i="7"/>
  <c r="B255" i="7"/>
  <c r="G252" i="7"/>
  <c r="E252" i="7"/>
  <c r="D252" i="7"/>
  <c r="C252" i="7"/>
  <c r="B252" i="7"/>
  <c r="G249" i="7"/>
  <c r="E249" i="7"/>
  <c r="D249" i="7"/>
  <c r="C249" i="7"/>
  <c r="B249" i="7"/>
  <c r="G246" i="7"/>
  <c r="E246" i="7"/>
  <c r="D246" i="7"/>
  <c r="C246" i="7"/>
  <c r="B246" i="7"/>
  <c r="G243" i="7"/>
  <c r="E243" i="7"/>
  <c r="D243" i="7"/>
  <c r="C243" i="7"/>
  <c r="B243" i="7"/>
  <c r="G240" i="7"/>
  <c r="E240" i="7"/>
  <c r="D240" i="7"/>
  <c r="C240" i="7"/>
  <c r="B240" i="7"/>
  <c r="G238" i="7"/>
  <c r="E238" i="7"/>
  <c r="D238" i="7"/>
  <c r="C238" i="7"/>
  <c r="B238" i="7"/>
  <c r="G236" i="7"/>
  <c r="E236" i="7"/>
  <c r="D236" i="7"/>
  <c r="C236" i="7"/>
  <c r="B236" i="7"/>
  <c r="G234" i="7"/>
  <c r="E234" i="7"/>
  <c r="D234" i="7"/>
  <c r="C234" i="7"/>
  <c r="B234" i="7"/>
  <c r="G229" i="7"/>
  <c r="E229" i="7"/>
  <c r="D229" i="7"/>
  <c r="C229" i="7"/>
  <c r="B229" i="7"/>
  <c r="G225" i="7"/>
  <c r="E225" i="7"/>
  <c r="D225" i="7"/>
  <c r="C225" i="7"/>
  <c r="B225" i="7"/>
  <c r="G224" i="7"/>
  <c r="E224" i="7"/>
  <c r="D224" i="7"/>
  <c r="C224" i="7"/>
  <c r="B224" i="7"/>
  <c r="G222" i="7"/>
  <c r="E222" i="7"/>
  <c r="D222" i="7"/>
  <c r="C222" i="7"/>
  <c r="B222" i="7"/>
  <c r="G220" i="7"/>
  <c r="E220" i="7"/>
  <c r="D220" i="7"/>
  <c r="C220" i="7"/>
  <c r="B220" i="7"/>
  <c r="G218" i="7"/>
  <c r="E218" i="7"/>
  <c r="D218" i="7"/>
  <c r="C218" i="7"/>
  <c r="B218" i="7"/>
  <c r="G215" i="7"/>
  <c r="E215" i="7"/>
  <c r="D215" i="7"/>
  <c r="C215" i="7"/>
  <c r="B215" i="7"/>
  <c r="G214" i="7"/>
  <c r="E214" i="7"/>
  <c r="D214" i="7"/>
  <c r="C214" i="7"/>
  <c r="B214" i="7"/>
  <c r="G212" i="7"/>
  <c r="E212" i="7"/>
  <c r="D212" i="7"/>
  <c r="C212" i="7"/>
  <c r="B212" i="7"/>
  <c r="G202" i="7"/>
  <c r="E202" i="7"/>
  <c r="D202" i="7"/>
  <c r="C202" i="7"/>
  <c r="B202" i="7"/>
  <c r="G201" i="7"/>
  <c r="E201" i="7"/>
  <c r="D201" i="7"/>
  <c r="C201" i="7"/>
  <c r="B201" i="7"/>
  <c r="G200" i="7"/>
  <c r="E200" i="7"/>
  <c r="D200" i="7"/>
  <c r="C200" i="7"/>
  <c r="B200" i="7"/>
  <c r="G197" i="7"/>
  <c r="E197" i="7"/>
  <c r="D197" i="7"/>
  <c r="C197" i="7"/>
  <c r="B197" i="7"/>
  <c r="G192" i="7"/>
  <c r="E192" i="7"/>
  <c r="D192" i="7"/>
  <c r="C192" i="7"/>
  <c r="B192" i="7"/>
  <c r="G190" i="7"/>
  <c r="E190" i="7"/>
  <c r="D190" i="7"/>
  <c r="C190" i="7"/>
  <c r="B190" i="7"/>
  <c r="G188" i="7"/>
  <c r="E188" i="7"/>
  <c r="D188" i="7"/>
  <c r="C188" i="7"/>
  <c r="B188" i="7"/>
  <c r="G187" i="7"/>
  <c r="E187" i="7"/>
  <c r="D187" i="7"/>
  <c r="C187" i="7"/>
  <c r="B187" i="7"/>
  <c r="G186" i="7"/>
  <c r="E186" i="7"/>
  <c r="D186" i="7"/>
  <c r="C186" i="7"/>
  <c r="B186" i="7"/>
  <c r="G185" i="7"/>
  <c r="E185" i="7"/>
  <c r="D185" i="7"/>
  <c r="C185" i="7"/>
  <c r="B185" i="7"/>
  <c r="G184" i="7"/>
  <c r="E184" i="7"/>
  <c r="D184" i="7"/>
  <c r="C184" i="7"/>
  <c r="B184" i="7"/>
  <c r="H212" i="7"/>
  <c r="F197" i="7"/>
  <c r="F190" i="7"/>
  <c r="F533" i="7" l="1"/>
  <c r="F506" i="7"/>
  <c r="F479" i="7"/>
  <c r="F452" i="7"/>
  <c r="F425" i="7"/>
  <c r="F398" i="7"/>
  <c r="F371" i="7"/>
  <c r="F344" i="7"/>
  <c r="F315" i="7"/>
  <c r="F288" i="7"/>
  <c r="F261" i="7"/>
  <c r="F234" i="7"/>
  <c r="F229" i="7"/>
  <c r="F225" i="7"/>
  <c r="F222" i="7"/>
  <c r="F220" i="7"/>
  <c r="F218" i="7"/>
  <c r="F215" i="7"/>
  <c r="F214" i="7"/>
  <c r="F212" i="7"/>
  <c r="N19" i="14"/>
  <c r="N18" i="14"/>
  <c r="N17" i="14"/>
  <c r="N16" i="14"/>
  <c r="N15" i="14"/>
  <c r="N14" i="14"/>
  <c r="N13" i="14"/>
  <c r="N12" i="14"/>
  <c r="N11" i="14"/>
  <c r="N10" i="14"/>
  <c r="N9" i="14"/>
  <c r="N8" i="14"/>
  <c r="N7" i="14"/>
  <c r="N6" i="14"/>
  <c r="AO34" i="11" l="1"/>
  <c r="AN80" i="11"/>
  <c r="AN73" i="11"/>
  <c r="AN65" i="11"/>
  <c r="AN53" i="11"/>
  <c r="AO53" i="11"/>
  <c r="AO80" i="11"/>
  <c r="AO73" i="11"/>
  <c r="AO65" i="11"/>
  <c r="AO45" i="11"/>
  <c r="N33" i="3"/>
  <c r="N32" i="3"/>
  <c r="N31" i="3"/>
  <c r="N30" i="3"/>
  <c r="N29" i="3"/>
  <c r="N28" i="3"/>
  <c r="N27" i="3"/>
  <c r="N26" i="3"/>
  <c r="N25" i="3"/>
  <c r="N24" i="3"/>
  <c r="N23" i="3"/>
  <c r="N22" i="3"/>
  <c r="N21" i="3"/>
  <c r="N20" i="3"/>
  <c r="N19" i="3"/>
  <c r="N18" i="3"/>
  <c r="N17" i="3"/>
  <c r="N16" i="3"/>
  <c r="N15" i="3"/>
  <c r="N14" i="3"/>
  <c r="N13" i="3"/>
  <c r="N12" i="3"/>
  <c r="N11" i="3"/>
  <c r="N10" i="3"/>
  <c r="N9" i="3"/>
  <c r="N8" i="3"/>
  <c r="N7" i="3"/>
  <c r="N6" i="3"/>
  <c r="M34" i="3"/>
  <c r="F535" i="7" s="1"/>
  <c r="L34" i="3"/>
  <c r="K34" i="3"/>
  <c r="F481" i="7" s="1"/>
  <c r="F483" i="7" s="1"/>
  <c r="J34" i="3"/>
  <c r="I34" i="3"/>
  <c r="H34" i="3"/>
  <c r="G34" i="3"/>
  <c r="F373" i="7" s="1"/>
  <c r="F34" i="3"/>
  <c r="E34" i="3"/>
  <c r="F316" i="7" s="1"/>
  <c r="F317" i="7" s="1"/>
  <c r="D34" i="3"/>
  <c r="F290" i="7" s="1"/>
  <c r="C34" i="3"/>
  <c r="F263" i="7" s="1"/>
  <c r="B34" i="3"/>
  <c r="M28" i="14"/>
  <c r="L28" i="14"/>
  <c r="K28" i="14"/>
  <c r="J28" i="14"/>
  <c r="I28" i="14"/>
  <c r="H28" i="14"/>
  <c r="G28" i="14"/>
  <c r="F28" i="14"/>
  <c r="E28" i="14"/>
  <c r="D28" i="14"/>
  <c r="C28" i="14"/>
  <c r="B28" i="14"/>
  <c r="N27" i="14"/>
  <c r="N26" i="14"/>
  <c r="N29" i="14"/>
  <c r="N28" i="14"/>
  <c r="B149" i="7"/>
  <c r="B148" i="7"/>
  <c r="B147" i="7"/>
  <c r="F90" i="4"/>
  <c r="F91" i="4" s="1"/>
  <c r="F92" i="4" s="1"/>
  <c r="F93" i="4" s="1"/>
  <c r="F94" i="4" s="1"/>
  <c r="F95" i="4" s="1"/>
  <c r="F96" i="4" s="1"/>
  <c r="F97" i="4" s="1"/>
  <c r="F98" i="4" s="1"/>
  <c r="F99" i="4" s="1"/>
  <c r="F100" i="4" s="1"/>
  <c r="F101" i="4" s="1"/>
  <c r="F102" i="4" s="1"/>
  <c r="F103" i="4" s="1"/>
  <c r="F454" i="7"/>
  <c r="F236" i="7"/>
  <c r="F238" i="7" s="1"/>
  <c r="C6" i="11"/>
  <c r="C556" i="7"/>
  <c r="C553" i="7"/>
  <c r="C550" i="7"/>
  <c r="C547" i="7"/>
  <c r="C544" i="7"/>
  <c r="C541" i="7"/>
  <c r="C529" i="7"/>
  <c r="C526" i="7"/>
  <c r="C523" i="7"/>
  <c r="C520" i="7"/>
  <c r="C517" i="7"/>
  <c r="C514" i="7"/>
  <c r="C475" i="7"/>
  <c r="C472" i="7"/>
  <c r="C469" i="7"/>
  <c r="C466" i="7"/>
  <c r="C463" i="7"/>
  <c r="C460" i="7"/>
  <c r="A4" i="11"/>
  <c r="O2" i="11"/>
  <c r="R2" i="11" s="1"/>
  <c r="U2" i="11" s="1"/>
  <c r="X2" i="11" s="1"/>
  <c r="AA2" i="11" s="1"/>
  <c r="AD2" i="11" s="1"/>
  <c r="AG2" i="11" s="1"/>
  <c r="AJ2" i="11" s="1"/>
  <c r="E2" i="11"/>
  <c r="H2" i="11" s="1"/>
  <c r="L2" i="11" s="1"/>
  <c r="C502" i="7"/>
  <c r="C499" i="7"/>
  <c r="C496" i="7"/>
  <c r="C493" i="7"/>
  <c r="C490" i="7"/>
  <c r="C487" i="7"/>
  <c r="C448" i="7"/>
  <c r="C445" i="7"/>
  <c r="C442" i="7"/>
  <c r="C439" i="7"/>
  <c r="C436" i="7"/>
  <c r="C433" i="7"/>
  <c r="C421" i="7"/>
  <c r="C418" i="7"/>
  <c r="C415" i="7"/>
  <c r="C412" i="7"/>
  <c r="C409" i="7"/>
  <c r="C406" i="7"/>
  <c r="C394" i="7"/>
  <c r="C391" i="7"/>
  <c r="C388" i="7"/>
  <c r="C385" i="7"/>
  <c r="C382" i="7"/>
  <c r="C379" i="7"/>
  <c r="C367" i="7"/>
  <c r="C364" i="7"/>
  <c r="C361" i="7"/>
  <c r="C358" i="7"/>
  <c r="C242" i="7"/>
  <c r="C245" i="7"/>
  <c r="C248" i="7"/>
  <c r="C251" i="7"/>
  <c r="C254" i="7"/>
  <c r="C257" i="7"/>
  <c r="C269" i="7"/>
  <c r="C272" i="7"/>
  <c r="C275" i="7"/>
  <c r="C278" i="7"/>
  <c r="C281" i="7"/>
  <c r="C284" i="7"/>
  <c r="C296" i="7"/>
  <c r="C299" i="7"/>
  <c r="C302" i="7"/>
  <c r="C305" i="7"/>
  <c r="C308" i="7"/>
  <c r="C311" i="7"/>
  <c r="C325" i="7"/>
  <c r="C328" i="7"/>
  <c r="C331" i="7"/>
  <c r="C334" i="7"/>
  <c r="C337" i="7"/>
  <c r="C340" i="7"/>
  <c r="C352" i="7"/>
  <c r="C355" i="7"/>
  <c r="H508" i="7"/>
  <c r="H510" i="7"/>
  <c r="G156" i="7"/>
  <c r="G155" i="7"/>
  <c r="G146" i="7"/>
  <c r="B154" i="7"/>
  <c r="B153" i="7"/>
  <c r="B152" i="7"/>
  <c r="B151" i="7"/>
  <c r="B150" i="7"/>
  <c r="M144" i="7"/>
  <c r="K145" i="7" s="1"/>
  <c r="K146" i="7" s="1"/>
  <c r="K147" i="7" s="1"/>
  <c r="K149" i="7" s="1"/>
  <c r="K150" i="7" s="1"/>
  <c r="K151" i="7" s="1"/>
  <c r="K152" i="7" s="1"/>
  <c r="K153" i="7" s="1"/>
  <c r="K154" i="7" s="1"/>
  <c r="K155" i="7" s="1"/>
  <c r="N34" i="3" l="1"/>
  <c r="B146" i="7"/>
  <c r="N35" i="3"/>
  <c r="F521" i="7"/>
  <c r="H521" i="7" s="1"/>
  <c r="F512" i="7"/>
  <c r="H512" i="7" s="1"/>
  <c r="F527" i="7"/>
  <c r="H527" i="7" s="1"/>
  <c r="F518" i="7"/>
  <c r="H518" i="7" s="1"/>
  <c r="B145" i="7"/>
  <c r="F539" i="7"/>
  <c r="H539" i="7" s="1"/>
  <c r="F542" i="7"/>
  <c r="H542" i="7" s="1"/>
  <c r="F458" i="7"/>
  <c r="F551" i="7"/>
  <c r="H551" i="7" s="1"/>
  <c r="F554" i="7"/>
  <c r="H554" i="7" s="1"/>
  <c r="F467" i="7"/>
  <c r="H467" i="7" s="1"/>
  <c r="F515" i="7"/>
  <c r="H515" i="7" s="1"/>
  <c r="F470" i="7"/>
  <c r="F240" i="7"/>
  <c r="H240" i="7" s="1"/>
  <c r="F473" i="7"/>
  <c r="F524" i="7"/>
  <c r="H524" i="7" s="1"/>
  <c r="H222" i="7"/>
  <c r="F548" i="7"/>
  <c r="H548" i="7" s="1"/>
  <c r="F545" i="7"/>
  <c r="H545" i="7" s="1"/>
  <c r="H315" i="7"/>
  <c r="F446" i="7"/>
  <c r="H446" i="7" s="1"/>
  <c r="F404" i="7"/>
  <c r="H404" i="7" s="1"/>
  <c r="H220" i="7"/>
  <c r="H483" i="7"/>
  <c r="H229" i="7"/>
  <c r="H225" i="7"/>
  <c r="H288" i="7"/>
  <c r="H263" i="7"/>
  <c r="H344" i="7"/>
  <c r="H371" i="7"/>
  <c r="H317" i="7"/>
  <c r="H535" i="7"/>
  <c r="H218" i="7"/>
  <c r="H261" i="7"/>
  <c r="F400" i="7"/>
  <c r="F402" i="7" s="1"/>
  <c r="H402" i="7" s="1"/>
  <c r="F407" i="7"/>
  <c r="H407" i="7" s="1"/>
  <c r="H197" i="7"/>
  <c r="F410" i="7"/>
  <c r="H410" i="7" s="1"/>
  <c r="F416" i="7"/>
  <c r="H416" i="7" s="1"/>
  <c r="F319" i="7"/>
  <c r="F338" i="7" s="1"/>
  <c r="H338" i="7" s="1"/>
  <c r="F359" i="7"/>
  <c r="H359" i="7" s="1"/>
  <c r="F491" i="7"/>
  <c r="H491" i="7" s="1"/>
  <c r="F294" i="7"/>
  <c r="H294" i="7" s="1"/>
  <c r="H224" i="7"/>
  <c r="F362" i="7"/>
  <c r="H362" i="7" s="1"/>
  <c r="H234" i="7"/>
  <c r="H533" i="7"/>
  <c r="H316" i="7"/>
  <c r="H215" i="7"/>
  <c r="H190" i="7"/>
  <c r="F383" i="7"/>
  <c r="H383" i="7" s="1"/>
  <c r="H425" i="7"/>
  <c r="H214" i="7"/>
  <c r="H452" i="7"/>
  <c r="H238" i="7"/>
  <c r="F456" i="7"/>
  <c r="F461" i="7" s="1"/>
  <c r="F464" i="7" s="1"/>
  <c r="H454" i="7"/>
  <c r="H373" i="7"/>
  <c r="F375" i="7"/>
  <c r="H375" i="7" s="1"/>
  <c r="H290" i="7"/>
  <c r="F292" i="7"/>
  <c r="H292" i="7" s="1"/>
  <c r="H236" i="7"/>
  <c r="F276" i="7"/>
  <c r="H276" i="7" s="1"/>
  <c r="F365" i="7"/>
  <c r="H365" i="7" s="1"/>
  <c r="F267" i="7"/>
  <c r="H267" i="7" s="1"/>
  <c r="F297" i="7"/>
  <c r="H297" i="7" s="1"/>
  <c r="F377" i="7"/>
  <c r="H377" i="7" s="1"/>
  <c r="F419" i="7"/>
  <c r="H419" i="7" s="1"/>
  <c r="H479" i="7"/>
  <c r="F265" i="7"/>
  <c r="H265" i="7" s="1"/>
  <c r="F380" i="7"/>
  <c r="H380" i="7" s="1"/>
  <c r="F431" i="7"/>
  <c r="H431" i="7" s="1"/>
  <c r="F434" i="7"/>
  <c r="H434" i="7" s="1"/>
  <c r="F350" i="7"/>
  <c r="H350" i="7" s="1"/>
  <c r="F273" i="7"/>
  <c r="H273" i="7" s="1"/>
  <c r="F386" i="7"/>
  <c r="H386" i="7" s="1"/>
  <c r="F437" i="7"/>
  <c r="H437" i="7" s="1"/>
  <c r="F485" i="7"/>
  <c r="H485" i="7" s="1"/>
  <c r="F279" i="7"/>
  <c r="H279" i="7" s="1"/>
  <c r="F389" i="7"/>
  <c r="H389" i="7" s="1"/>
  <c r="F488" i="7"/>
  <c r="H488" i="7" s="1"/>
  <c r="F537" i="7"/>
  <c r="H537" i="7" s="1"/>
  <c r="F427" i="7"/>
  <c r="H398" i="7"/>
  <c r="F392" i="7"/>
  <c r="H392" i="7" s="1"/>
  <c r="H481" i="7"/>
  <c r="F270" i="7"/>
  <c r="H270" i="7" s="1"/>
  <c r="F440" i="7"/>
  <c r="H440" i="7" s="1"/>
  <c r="F494" i="7"/>
  <c r="H494" i="7" s="1"/>
  <c r="F282" i="7"/>
  <c r="H282" i="7" s="1"/>
  <c r="F353" i="7"/>
  <c r="H353" i="7" s="1"/>
  <c r="F443" i="7"/>
  <c r="H443" i="7" s="1"/>
  <c r="F497" i="7"/>
  <c r="H497" i="7" s="1"/>
  <c r="F346" i="7"/>
  <c r="H506" i="7"/>
  <c r="F500" i="7"/>
  <c r="H500" i="7" s="1"/>
  <c r="F356" i="7"/>
  <c r="H356" i="7" s="1"/>
  <c r="F413" i="7"/>
  <c r="H413" i="7" s="1"/>
  <c r="F243" i="7"/>
  <c r="H243" i="7" s="1"/>
  <c r="F246" i="7"/>
  <c r="H246" i="7" s="1"/>
  <c r="F249" i="7"/>
  <c r="H249" i="7" s="1"/>
  <c r="F252" i="7"/>
  <c r="H252" i="7" s="1"/>
  <c r="F255" i="7"/>
  <c r="L144" i="7"/>
  <c r="L145" i="7" s="1"/>
  <c r="L146" i="7" s="1"/>
  <c r="L147" i="7" s="1"/>
  <c r="L148" i="7" s="1"/>
  <c r="L150" i="7" s="1"/>
  <c r="L151" i="7" s="1"/>
  <c r="L152" i="7" s="1"/>
  <c r="L153" i="7" s="1"/>
  <c r="L154" i="7" s="1"/>
  <c r="L155" i="7" s="1"/>
  <c r="L156" i="7" s="1"/>
  <c r="L159" i="7" s="1"/>
  <c r="H231" i="7" l="1"/>
  <c r="H400" i="7"/>
  <c r="H422" i="7" s="1"/>
  <c r="F303" i="7"/>
  <c r="H303" i="7" s="1"/>
  <c r="F335" i="7"/>
  <c r="H335" i="7" s="1"/>
  <c r="F300" i="7"/>
  <c r="F326" i="7"/>
  <c r="H326" i="7" s="1"/>
  <c r="F332" i="7"/>
  <c r="H332" i="7" s="1"/>
  <c r="F323" i="7"/>
  <c r="H323" i="7" s="1"/>
  <c r="H458" i="7"/>
  <c r="F321" i="7"/>
  <c r="H321" i="7" s="1"/>
  <c r="H319" i="7"/>
  <c r="F329" i="7"/>
  <c r="H329" i="7" s="1"/>
  <c r="H557" i="7"/>
  <c r="H470" i="7"/>
  <c r="H461" i="7"/>
  <c r="H285" i="7"/>
  <c r="H456" i="7"/>
  <c r="F306" i="7"/>
  <c r="H306" i="7" s="1"/>
  <c r="H346" i="7"/>
  <c r="F348" i="7"/>
  <c r="H348" i="7" s="1"/>
  <c r="H464" i="7"/>
  <c r="H473" i="7"/>
  <c r="H427" i="7"/>
  <c r="F429" i="7"/>
  <c r="H429" i="7" s="1"/>
  <c r="H530" i="7"/>
  <c r="H503" i="7"/>
  <c r="H395" i="7"/>
  <c r="D140" i="7"/>
  <c r="D181" i="7"/>
  <c r="D139" i="7"/>
  <c r="B139" i="7"/>
  <c r="D138" i="7"/>
  <c r="B138" i="7"/>
  <c r="L479" i="7"/>
  <c r="L506" i="7"/>
  <c r="L533" i="7"/>
  <c r="E57" i="4"/>
  <c r="E56" i="4"/>
  <c r="E58" i="4"/>
  <c r="E55" i="4"/>
  <c r="E54" i="4"/>
  <c r="K53" i="4"/>
  <c r="J54" i="4" s="1"/>
  <c r="K54" i="4" s="1"/>
  <c r="J55" i="4" s="1"/>
  <c r="K55" i="4" s="1"/>
  <c r="J56" i="4" s="1"/>
  <c r="K56" i="4" s="1"/>
  <c r="J57" i="4" s="1"/>
  <c r="K57" i="4" s="1"/>
  <c r="J58" i="4" s="1"/>
  <c r="K58" i="4" s="1"/>
  <c r="J59" i="4" s="1"/>
  <c r="K59" i="4" s="1"/>
  <c r="J60" i="4" s="1"/>
  <c r="K60" i="4" s="1"/>
  <c r="J61" i="4" s="1"/>
  <c r="K61" i="4" s="1"/>
  <c r="J62" i="4" s="1"/>
  <c r="K62" i="4" s="1"/>
  <c r="J63" i="4" s="1"/>
  <c r="K63" i="4" s="1"/>
  <c r="E53" i="4"/>
  <c r="E52" i="4"/>
  <c r="L344" i="7"/>
  <c r="L315" i="7"/>
  <c r="L288" i="7"/>
  <c r="L261" i="7"/>
  <c r="L234" i="7"/>
  <c r="M21" i="10"/>
  <c r="M20" i="10"/>
  <c r="M19" i="10"/>
  <c r="K12" i="10"/>
  <c r="H341" i="7" l="1"/>
  <c r="H300" i="7"/>
  <c r="F309" i="7"/>
  <c r="H309" i="7" s="1"/>
  <c r="H368" i="7"/>
  <c r="H449" i="7"/>
  <c r="H476" i="7"/>
  <c r="J185" i="7"/>
  <c r="J186" i="7" s="1"/>
  <c r="J187" i="7" s="1"/>
  <c r="J188" i="7" s="1"/>
  <c r="J190" i="7" s="1"/>
  <c r="J192" i="7" s="1"/>
  <c r="J197" i="7" s="1"/>
  <c r="J200" i="7" s="1"/>
  <c r="H312" i="7" l="1"/>
  <c r="J201" i="7"/>
  <c r="J202" i="7" s="1"/>
  <c r="J212" i="7" s="1"/>
  <c r="J214" i="7" s="1"/>
  <c r="J215" i="7" s="1"/>
  <c r="J218" i="7" s="1"/>
  <c r="J220" i="7" s="1"/>
  <c r="J222" i="7" s="1"/>
  <c r="J224" i="7" s="1"/>
  <c r="J225" i="7" s="1"/>
  <c r="J229" i="7" s="1"/>
  <c r="J234" i="7" s="1"/>
  <c r="J236" i="7" s="1"/>
  <c r="J238" i="7" s="1"/>
  <c r="J240" i="7" s="1"/>
  <c r="J243" i="7" s="1"/>
  <c r="J246" i="7" s="1"/>
  <c r="J249" i="7" s="1"/>
  <c r="J252" i="7" s="1"/>
  <c r="J255" i="7" s="1"/>
  <c r="J261" i="7" s="1"/>
  <c r="J263" i="7" s="1"/>
  <c r="J265" i="7" s="1"/>
  <c r="J267" i="7" s="1"/>
  <c r="J270" i="7" s="1"/>
  <c r="J273" i="7" s="1"/>
  <c r="J276" i="7" s="1"/>
  <c r="J279" i="7" s="1"/>
  <c r="J282" i="7" s="1"/>
  <c r="J288" i="7" s="1"/>
  <c r="J290" i="7" s="1"/>
  <c r="J292" i="7" s="1"/>
  <c r="J294" i="7" s="1"/>
  <c r="J297" i="7" s="1"/>
  <c r="J300" i="7" s="1"/>
  <c r="J303" i="7" s="1"/>
  <c r="J306" i="7" s="1"/>
  <c r="J309" i="7" s="1"/>
  <c r="J315" i="7" s="1"/>
  <c r="J316" i="7" s="1"/>
  <c r="J317" i="7" l="1"/>
  <c r="J319" i="7" s="1"/>
  <c r="J321" i="7" s="1"/>
  <c r="J323" i="7" s="1"/>
  <c r="J326" i="7" s="1"/>
  <c r="A8" i="7"/>
  <c r="K77" i="5"/>
  <c r="K76" i="5"/>
  <c r="K75" i="5"/>
  <c r="K74" i="5"/>
  <c r="K73" i="5"/>
  <c r="K72" i="5"/>
  <c r="K71" i="5"/>
  <c r="K70" i="5"/>
  <c r="K69" i="5"/>
  <c r="K68" i="5"/>
  <c r="K67" i="5"/>
  <c r="K66" i="5"/>
  <c r="K65" i="5"/>
  <c r="K64" i="5"/>
  <c r="K63" i="5"/>
  <c r="K62" i="5"/>
  <c r="K61" i="5"/>
  <c r="K60" i="5"/>
  <c r="K59" i="5"/>
  <c r="K58" i="5"/>
  <c r="K57" i="5"/>
  <c r="K56" i="5"/>
  <c r="K55" i="5"/>
  <c r="K54" i="5"/>
  <c r="K53" i="5"/>
  <c r="K52" i="5" l="1"/>
  <c r="K13" i="10" s="1"/>
  <c r="J329" i="7"/>
  <c r="J332" i="7" s="1"/>
  <c r="J335" i="7" s="1"/>
  <c r="J338" i="7" s="1"/>
  <c r="J344" i="7" s="1"/>
  <c r="J346" i="7" s="1"/>
  <c r="J348" i="7" s="1"/>
  <c r="J350" i="7" s="1"/>
  <c r="J353" i="7" s="1"/>
  <c r="J356" i="7" s="1"/>
  <c r="J359" i="7" s="1"/>
  <c r="J362" i="7" s="1"/>
  <c r="J365" i="7" s="1"/>
  <c r="J371" i="7" s="1"/>
  <c r="J373" i="7" s="1"/>
  <c r="J375" i="7" s="1"/>
  <c r="J377" i="7" s="1"/>
  <c r="J380" i="7" s="1"/>
  <c r="J383" i="7" s="1"/>
  <c r="J386" i="7" s="1"/>
  <c r="J389" i="7" s="1"/>
  <c r="J392" i="7" s="1"/>
  <c r="J398" i="7" s="1"/>
  <c r="J400" i="7" s="1"/>
  <c r="J402" i="7" s="1"/>
  <c r="J404" i="7" s="1"/>
  <c r="J407" i="7" s="1"/>
  <c r="J410" i="7" s="1"/>
  <c r="J413" i="7" s="1"/>
  <c r="J416" i="7" s="1"/>
  <c r="J419" i="7" s="1"/>
  <c r="B137" i="7"/>
  <c r="B136" i="7"/>
  <c r="D137" i="7"/>
  <c r="D136" i="7"/>
  <c r="D90" i="4"/>
  <c r="D91" i="4" s="1"/>
  <c r="D92" i="4" s="1"/>
  <c r="D93" i="4" s="1"/>
  <c r="D94" i="4" s="1"/>
  <c r="D95" i="4" s="1"/>
  <c r="D96" i="4" s="1"/>
  <c r="D97" i="4" s="1"/>
  <c r="D98" i="4" s="1"/>
  <c r="D99" i="4" s="1"/>
  <c r="D100" i="4" s="1"/>
  <c r="D53" i="4"/>
  <c r="D54" i="4" s="1"/>
  <c r="D55" i="4" s="1"/>
  <c r="D56" i="4" s="1"/>
  <c r="D57" i="4" s="1"/>
  <c r="D58" i="4" s="1"/>
  <c r="D59" i="4" s="1"/>
  <c r="D60" i="4" s="1"/>
  <c r="D61" i="4" s="1"/>
  <c r="D62" i="4" s="1"/>
  <c r="D63" i="4" s="1"/>
  <c r="F192" i="7" l="1"/>
  <c r="H192" i="7" s="1"/>
  <c r="K21" i="10"/>
  <c r="F202" i="7" s="1"/>
  <c r="H202" i="7" s="1"/>
  <c r="K20" i="10"/>
  <c r="F201" i="7" s="1"/>
  <c r="H201" i="7" s="1"/>
  <c r="K19" i="10"/>
  <c r="F200" i="7" s="1"/>
  <c r="H200" i="7" s="1"/>
  <c r="K47" i="10"/>
  <c r="K40" i="10"/>
  <c r="K38" i="10"/>
  <c r="K36" i="10"/>
  <c r="J425" i="7"/>
  <c r="J427" i="7" s="1"/>
  <c r="J429" i="7" s="1"/>
  <c r="J431" i="7" s="1"/>
  <c r="J434" i="7" s="1"/>
  <c r="J437" i="7" s="1"/>
  <c r="J440" i="7" s="1"/>
  <c r="J443" i="7" s="1"/>
  <c r="J446" i="7" s="1"/>
  <c r="J452" i="7" s="1"/>
  <c r="J454" i="7" s="1"/>
  <c r="J456" i="7" s="1"/>
  <c r="J458" i="7" s="1"/>
  <c r="J461" i="7" s="1"/>
  <c r="J464" i="7" s="1"/>
  <c r="J467" i="7" s="1"/>
  <c r="J470" i="7" s="1"/>
  <c r="J473" i="7" s="1"/>
  <c r="J479" i="7" s="1"/>
  <c r="J481" i="7" s="1"/>
  <c r="J483" i="7" s="1"/>
  <c r="J485" i="7" s="1"/>
  <c r="J488" i="7" s="1"/>
  <c r="J491" i="7" s="1"/>
  <c r="J494" i="7" s="1"/>
  <c r="J497" i="7" s="1"/>
  <c r="J500" i="7" s="1"/>
  <c r="J506" i="7" s="1"/>
  <c r="J508" i="7" s="1"/>
  <c r="J510" i="7" s="1"/>
  <c r="J512" i="7" s="1"/>
  <c r="J515" i="7" s="1"/>
  <c r="J518" i="7" s="1"/>
  <c r="J521" i="7" s="1"/>
  <c r="J524" i="7" s="1"/>
  <c r="J527" i="7" s="1"/>
  <c r="J533" i="7" s="1"/>
  <c r="J535" i="7" s="1"/>
  <c r="J537" i="7" s="1"/>
  <c r="J539" i="7" s="1"/>
  <c r="J542" i="7" s="1"/>
  <c r="J545" i="7" s="1"/>
  <c r="J548" i="7" s="1"/>
  <c r="J551" i="7" s="1"/>
  <c r="J554" i="7" s="1"/>
  <c r="G153" i="7"/>
  <c r="I58" i="4"/>
  <c r="D7" i="7"/>
  <c r="A23" i="7"/>
  <c r="G23" i="7"/>
  <c r="E22" i="7"/>
  <c r="E20" i="7"/>
  <c r="E19" i="7"/>
  <c r="D19" i="7"/>
  <c r="A19" i="7"/>
  <c r="D18" i="7"/>
  <c r="A18" i="7"/>
  <c r="D17" i="7"/>
  <c r="A17" i="7"/>
  <c r="A20" i="7"/>
  <c r="D10" i="7"/>
  <c r="E9" i="7"/>
  <c r="D9" i="7"/>
  <c r="D6" i="7"/>
  <c r="D5" i="7"/>
  <c r="A6" i="7"/>
  <c r="A5" i="7"/>
  <c r="E6" i="7"/>
  <c r="E5" i="7"/>
  <c r="A4" i="7"/>
  <c r="H203" i="7" l="1"/>
  <c r="I53" i="4"/>
  <c r="G144" i="7"/>
  <c r="G150" i="7"/>
  <c r="G154" i="7"/>
  <c r="G149" i="7"/>
  <c r="A2" i="7"/>
  <c r="E4" i="7"/>
  <c r="E8" i="7"/>
  <c r="G18" i="7"/>
  <c r="F17" i="7"/>
  <c r="G15" i="7"/>
  <c r="F14" i="7"/>
  <c r="D13" i="7"/>
  <c r="G12" i="7"/>
  <c r="E18" i="7"/>
  <c r="E16" i="7"/>
  <c r="E15" i="7"/>
  <c r="E13" i="7"/>
  <c r="A13" i="7"/>
  <c r="E12" i="7"/>
  <c r="D20" i="7"/>
  <c r="D16" i="7"/>
  <c r="D15" i="7"/>
  <c r="D14" i="7"/>
  <c r="D12" i="7"/>
  <c r="D23" i="7"/>
  <c r="D22" i="7"/>
  <c r="D21" i="7"/>
  <c r="A16" i="7"/>
  <c r="A15" i="7"/>
  <c r="A12" i="7"/>
  <c r="F10" i="7"/>
  <c r="H255" i="7"/>
  <c r="A53" i="5"/>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H258" i="7" l="1"/>
  <c r="I56" i="4"/>
  <c r="G147" i="7"/>
  <c r="I52" i="4" l="1"/>
  <c r="G143" i="7"/>
  <c r="G151" i="7"/>
  <c r="I556" i="7"/>
  <c r="I54" i="4" l="1"/>
  <c r="G145" i="7"/>
  <c r="I526" i="7"/>
  <c r="G152" i="7"/>
  <c r="I57" i="4"/>
  <c r="G148" i="7"/>
  <c r="I406" i="7"/>
  <c r="I55" i="4"/>
  <c r="G163" i="7" l="1"/>
  <c r="I346" i="7"/>
  <c r="I466" i="7"/>
  <c r="I376" i="7"/>
  <c r="I285" i="7"/>
  <c r="I496" i="7"/>
  <c r="I436" i="7" l="1"/>
  <c r="I312" i="7"/>
  <c r="B143" i="7" l="1"/>
  <c r="B144" i="7"/>
  <c r="H177" i="7"/>
  <c r="H178" i="7" s="1"/>
  <c r="H179" i="7" s="1"/>
  <c r="G129" i="7" l="1"/>
  <c r="G130" i="7" s="1"/>
  <c r="G131" i="7" s="1"/>
  <c r="G133" i="7"/>
  <c r="G132" i="7"/>
  <c r="G134"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<sst xmlns="http://schemas.openxmlformats.org/spreadsheetml/2006/main" count="3511" uniqueCount="752">
  <si>
    <r>
      <t>Box Summary</t>
    </r>
    <r>
      <rPr>
        <sz val="10"/>
        <color rgb="FF000000"/>
        <rFont val="Calibri"/>
        <family val="2"/>
      </rPr>
      <t xml:space="preserve">
Report Date: </t>
    </r>
    <r>
      <rPr>
        <sz val="11"/>
        <color rgb="FF000000"/>
        <rFont val="Calibri"/>
        <family val="2"/>
      </rPr>
      <t>Aug 26, 2024</t>
    </r>
  </si>
  <si>
    <t xml:space="preserve">Claim Id: </t>
  </si>
  <si>
    <t>#0743341489</t>
  </si>
  <si>
    <t xml:space="preserve">Claim Date: </t>
  </si>
  <si>
    <t xml:space="preserve">Insured: </t>
  </si>
  <si>
    <t>Williams, Bridgett</t>
  </si>
  <si>
    <t>Room</t>
  </si>
  <si>
    <t>Small Box</t>
  </si>
  <si>
    <t>Medium Box</t>
  </si>
  <si>
    <t>Large Box</t>
  </si>
  <si>
    <t>XL BOX/unboxed</t>
  </si>
  <si>
    <t>PICTURE/MIRROR</t>
  </si>
  <si>
    <t>LAMP/PLANT/VASE</t>
  </si>
  <si>
    <t>TV BOX</t>
  </si>
  <si>
    <t>Wardrobe BOX</t>
  </si>
  <si>
    <t>MATTRESS BOX</t>
  </si>
  <si>
    <t>DISH PACK BOX</t>
  </si>
  <si>
    <t>GLASS PACK BOX</t>
  </si>
  <si>
    <t>POTS &amp; PANS BOX</t>
  </si>
  <si>
    <t>Total</t>
  </si>
  <si>
    <t>Living Room</t>
  </si>
  <si>
    <t>Dining Room</t>
  </si>
  <si>
    <t>Kitchen</t>
  </si>
  <si>
    <t>BR2 CLOSET</t>
  </si>
  <si>
    <t>GUEST CLOSET</t>
  </si>
  <si>
    <t>Laundry Room</t>
  </si>
  <si>
    <t>908387N</t>
  </si>
  <si>
    <t>LOZANO, Marcus</t>
  </si>
  <si>
    <t>TRASH BAG DISPOSAL CONTENTS</t>
  </si>
  <si>
    <t>N/A</t>
  </si>
  <si>
    <t>5. FOYER/ENTRY ROOM</t>
  </si>
  <si>
    <t>6. Guest Closet</t>
  </si>
  <si>
    <t>7. Bathroom</t>
  </si>
  <si>
    <t>8. Living/FAMILY Room</t>
  </si>
  <si>
    <t>9. Nook</t>
  </si>
  <si>
    <t>10. Kitchen</t>
  </si>
  <si>
    <t>11. Pantry</t>
  </si>
  <si>
    <t>12. HALL DN</t>
  </si>
  <si>
    <t>14. Up HALL</t>
  </si>
  <si>
    <r>
      <t>joe jones</t>
    </r>
    <r>
      <rPr>
        <b/>
        <sz val="13.5"/>
        <color rgb="FF5F6368"/>
        <rFont val="Roboto"/>
      </rPr>
      <t> </t>
    </r>
    <r>
      <rPr>
        <b/>
        <sz val="13.5"/>
        <color rgb="FF5E5E5E"/>
        <rFont val="Roboto"/>
      </rPr>
      <t>&lt;wsbjoe9@gmail.com&gt;</t>
    </r>
  </si>
  <si>
    <t>11:11 AM (1 hour ago)</t>
  </si>
  <si>
    <r>
      <t>Requesting</t>
    </r>
    <r>
      <rPr>
        <sz val="18"/>
        <color rgb="FF222222"/>
        <rFont val="Arial"/>
        <family val="2"/>
      </rPr>
      <t> FOLLOW UP &amp; UPDATE  TO RESOLVE THIS CLAIM.</t>
    </r>
  </si>
  <si>
    <t>Spoke with your team yesterday 2/13/25 and they provided the following info for ServPro , whom you have hired to provide the comparative CPS estimates. this is according to the file that you have.</t>
  </si>
  <si>
    <t>We reached out to the corporate ServPro Office, Regional Office and local Office.</t>
  </si>
  <si>
    <r>
      <t>No one was able to locate this file</t>
    </r>
    <r>
      <rPr>
        <sz val="18"/>
        <color rgb="FF222222"/>
        <rFont val="Arial"/>
        <family val="2"/>
      </rPr>
      <t>.</t>
    </r>
  </si>
  <si>
    <t>jaulizia@servproteamdobson.com</t>
  </si>
  <si>
    <r>
      <t>Local representative Joe </t>
    </r>
    <r>
      <rPr>
        <u/>
        <sz val="10"/>
        <color theme="10"/>
        <rFont val="Times New Roman"/>
        <family val="1"/>
      </rPr>
      <t>Jaulizia@serveproteamdobson.com was unavailable. 330.984.9655.</t>
    </r>
  </si>
  <si>
    <t>What must be done to finalize this claim?</t>
  </si>
  <si>
    <t>Joe 216 450 7228</t>
  </si>
  <si>
    <t>General Items</t>
  </si>
  <si>
    <t>A]  SUPPLIES ;BOXES, TAPE, LABELS, ETC.</t>
  </si>
  <si>
    <t>B)  Allowance for evaluation &amp; packing only</t>
  </si>
  <si>
    <t>C)  Allowance to wipe down, vacuum, air dust.</t>
  </si>
  <si>
    <t>D)  Allowance for moving labor INTO storage</t>
  </si>
  <si>
    <t>E) Moving Allowance; FROM storage back to property</t>
  </si>
  <si>
    <t>F) Include RESET to original place, UNPACKING</t>
  </si>
  <si>
    <t>G) DEMO packing materials, Bag, haul trash to dump.</t>
  </si>
  <si>
    <t>H)  Allowance for Administrative labor hours</t>
  </si>
  <si>
    <t>I)  Lead Technician</t>
  </si>
  <si>
    <t>WORK DETAILS</t>
  </si>
  <si>
    <r>
      <t xml:space="preserve">A]  </t>
    </r>
    <r>
      <rPr>
        <b/>
        <i/>
        <sz val="12"/>
        <rFont val="Calibri"/>
        <family val="2"/>
      </rPr>
      <t>SUPPLIES ;BOXES, TAPE, LABELS, ETC.</t>
    </r>
  </si>
  <si>
    <t>Includes box, packaging tape, and packing paper.</t>
  </si>
  <si>
    <t>Excludes: Labor to pack and move boxed materials.</t>
  </si>
  <si>
    <t xml:space="preserve">Box size varies per manufacturer </t>
  </si>
  <si>
    <t>Labor to evaluate, pack and inventory items on a per box basis.</t>
  </si>
  <si>
    <t>Excludes: Cleaning.  Use CGNBXM* if needed.</t>
  </si>
  <si>
    <t>May include china, pots and pans, bric-a-brac, or a combination.</t>
  </si>
  <si>
    <t>C)  Allowance for moving labor INTO storage</t>
  </si>
  <si>
    <t>1. Transport to Moving Truck
2. Load onto Moving Truck
3. Travel Time to Storage Unit
4. Unload from Moving Truck
5. Transport to Storage Unit
6. Stage Into Storage Unit</t>
  </si>
  <si>
    <t>D)  Allowance to wipe down, vacuum, air dust.</t>
  </si>
  <si>
    <t>E)  Allowance for moving labor BACK FROM storage to property.</t>
  </si>
  <si>
    <t>1. Travel Time to Storage Unit
2. Transport from Storage Unit
3. Load onto Moving Truck
4. Travel Time from Storage Unit to Property
5. Unload from Moving Truck
6. Stage Into Property</t>
  </si>
  <si>
    <t>F)  Include RESET to original place, UNPACKING</t>
  </si>
  <si>
    <t>1. REVIEW/CONSULT ORIGINAL PACKOUT LIST
2. determine original location of contents
3. When possible confirm reset location with owners
4. Return/Place contents back to original location</t>
  </si>
  <si>
    <t>G)  Allowance for; DMO</t>
  </si>
  <si>
    <t>1. Remove packing materials &amp; bag 2., Haul to dumpster
3. Remove from jobsite.
4. Perform final cleaning of property</t>
  </si>
  <si>
    <t>A) Posting of items into computer database ,
B) Tracking all job processes,
C) Docs prep by SUBS
      1. Quickview / CPS Overview
      2. Manage handwritten list of contents
D) Provide photo documentation                                                                            E) Generate                                                                                                                      1. Management Reports per Project Verification                                                                                             2. Invoices/Estimates                                                                                                      3. Emails</t>
  </si>
  <si>
    <t>INVENTORY of  CPS Supplies</t>
  </si>
  <si>
    <t>Verify Equipment/Supplies are stocked;                                                             Order Equipment/Supplies as needed                                                                                                  Order Equipment/Supplies order per current job as needed.                            Pick up Equipment/Supplies order at supply store as needed.                     Deliver Equipment/Supplies to jobsite</t>
  </si>
  <si>
    <t>Storage</t>
  </si>
  <si>
    <t>Determine storage location details                                                                    Coordinate temporary staging area (POD/Box Trailer on site).               Determine transportation to and return back from storage location.</t>
  </si>
  <si>
    <t xml:space="preserve">1, Maintain and direct the job in accordance with business requirements,
2. Develop and monitor equipment, schedules and delegate duties to junior technicians
3. Makes decisions and solves problems, monitors processes and materials,
4. Evaluates information to Ensure conformity to industry standards.        ...                
</t>
  </si>
  <si>
    <t xml:space="preserve">A lead technician must have good vision, effective communication skills and deductive reasoning ability,    Be able to perform tasks competently, use inspection tools and equipment, as well as analytical software.                                                                 </t>
  </si>
  <si>
    <t>Summary</t>
  </si>
  <si>
    <t>Line Item Total</t>
  </si>
  <si>
    <t>Total Tax</t>
  </si>
  <si>
    <t>Replacement Cost Value</t>
  </si>
  <si>
    <t>Net Claim</t>
  </si>
  <si>
    <t>Joe Jones Project Manager</t>
  </si>
  <si>
    <t>JOB Recap</t>
  </si>
  <si>
    <t>Estimate: TMPL-CONCPS-TOTALS</t>
  </si>
  <si>
    <t>Area: TOTAL BOX COUNTS (TMPL-CPS-PACKOUT)</t>
  </si>
  <si>
    <t>CPS Contents Evaluation, Packing &amp; Storage</t>
  </si>
  <si>
    <t>Area Subtotal: TOTAL BOX COUNTS (TMPL-CPS-PACKOUT)</t>
  </si>
  <si>
    <t>Main Level Per Level SF Calc</t>
  </si>
  <si>
    <t>E</t>
  </si>
  <si>
    <t>SMALL BOX</t>
  </si>
  <si>
    <t xml:space="preserve">MEDIUM BOX </t>
  </si>
  <si>
    <t xml:space="preserve">LARGE BOX </t>
  </si>
  <si>
    <t>XL TOTAL BOX</t>
  </si>
  <si>
    <t>MIRROR / PICTURE BOX</t>
  </si>
  <si>
    <t>Lamp / PLANT / VASE BOX</t>
  </si>
  <si>
    <t>WARDROBE BOX COUNT LG</t>
  </si>
  <si>
    <t>Bedroom Mattress Items XL</t>
  </si>
  <si>
    <t>GLASSPACK BOX</t>
  </si>
  <si>
    <t>DISH PACK BOX COUNT</t>
  </si>
  <si>
    <t>POTS PANS BOX COUNT</t>
  </si>
  <si>
    <t>CDC SOFT GARMENT CLEANING PER ITEM</t>
  </si>
  <si>
    <t>Labor Minimums Applied</t>
  </si>
  <si>
    <t>Subtotal of Areas</t>
  </si>
  <si>
    <t>Recap by Category</t>
  </si>
  <si>
    <t>Items</t>
  </si>
  <si>
    <t>%</t>
  </si>
  <si>
    <t>CONT: GARMENT &amp; SOFT GOODS CLN</t>
  </si>
  <si>
    <t>CONT: CLEAN - GENERAL ITEMS</t>
  </si>
  <si>
    <t>CONT: CLEAN - LAMPS OR VASES</t>
  </si>
  <si>
    <t>CONTENT MANIPULATION</t>
  </si>
  <si>
    <t>CONT: PACKING,HANDLNG,STORAGE</t>
  </si>
  <si>
    <t>CONT: CLEAN, UPHOLSTERY &amp; SOFT</t>
  </si>
  <si>
    <t>GENERAL DEMOLITION</t>
  </si>
  <si>
    <t>LABOR ONLY</t>
  </si>
  <si>
    <t>WINDOW TREATMENT</t>
  </si>
  <si>
    <t>Subtotal</t>
  </si>
  <si>
    <t>Thank You !!!!!</t>
  </si>
  <si>
    <t>SFI HENDKING</t>
  </si>
  <si>
    <t>Guys this really is not that difficult of an area (CPS) to resolve and finalize.</t>
  </si>
  <si>
    <t>We are only dealing with 12 to 16 items</t>
  </si>
  <si>
    <t>12 different box sizes </t>
  </si>
  <si>
    <t>XL ITEM WRAP / NO Box</t>
  </si>
  <si>
    <t>PICTURE / MIRROR</t>
  </si>
  <si>
    <r>
      <t>With the same work activity for each </t>
    </r>
    <r>
      <rPr>
        <b/>
        <i/>
        <sz val="14"/>
        <color rgb="FF000000"/>
        <rFont val="Times New Roman"/>
        <family val="1"/>
      </rPr>
      <t>  JOB/WORK DETAILS BRIEF:</t>
    </r>
  </si>
  <si>
    <t>A]  SUPPLIES ;BOXES, TAPE, LABELS, ETC.</t>
  </si>
  <si>
    <t>B)  Allowance for evaluation &amp; packing only</t>
  </si>
  <si>
    <t>C)  Allowance to wipe down, vacuum, air dust.</t>
  </si>
  <si>
    <t>D)  Allowance for moving labor INTO storage</t>
  </si>
  <si>
    <t>H)  Allowance for Administrative labor hours</t>
  </si>
  <si>
    <t>I)  Lead Technician</t>
  </si>
  <si>
    <t>THEN  3 other line items to address</t>
  </si>
  <si>
    <t>1. 1MISCELLANEOUS PACKING SUPPLIES</t>
  </si>
  <si>
    <t>1. 2.Haul debris - per pickup truck load - including dump fees</t>
  </si>
  <si>
    <t>1. 3.Storage Info.</t>
  </si>
  <si>
    <t>You guys promised to wrap this up last Friday; 5 days ago</t>
  </si>
  <si>
    <t> after having it for over 30 days.</t>
  </si>
  <si>
    <t>What can we do on our end to expediate the resolution of this claim payment</t>
  </si>
  <si>
    <t>Joe 216450 7228</t>
  </si>
  <si>
    <t>INVOICE per CONTENTS PACKOUT &amp; STORAGE; PERSONAL PROPERTY HANDLING</t>
  </si>
  <si>
    <t>EIN #</t>
  </si>
  <si>
    <t>COMPANY REP.</t>
  </si>
  <si>
    <t xml:space="preserve">COMPANY REP. #2 </t>
  </si>
  <si>
    <t xml:space="preserve">Insurance Co. Name </t>
  </si>
  <si>
    <t>Property-Owner Name</t>
  </si>
  <si>
    <t>Customer Email</t>
  </si>
  <si>
    <t>Property address: street</t>
  </si>
  <si>
    <t>Cst-owner Phone#</t>
  </si>
  <si>
    <t>Please READ:</t>
  </si>
  <si>
    <t>Enclosed is an estimate of repair to your property that you may use to submit to your insurer.
We are offering Project Management Services, construction consulting ,repair or reconstruction services; which may include emergency , tarp installation / mitigation services, damage estimating, cost analysis,  written  estimates,  consulting with customer, insurance adjuster, and or roofing inspector and site visits.</t>
  </si>
  <si>
    <t xml:space="preserve">   </t>
  </si>
  <si>
    <t>YOU MAY PERFORM THE SERVICES WE ARE OFFERING ON YOUR OWN. USE OF OUR SERVICES IS  OPTIONAL!!  BY CHOOSING TO  USE OUR SERVICES YOU AGREE TO THE TERMS AND FEES WE CHARGE.</t>
  </si>
  <si>
    <t>In our opinion the damage is from a storm or other incident normally covered by insurance. We will be present when the insurance adjuster inspects the damage; we may answer questions and discuss the estimates and other technical information with an insurer or its adjuster.</t>
  </si>
  <si>
    <r>
      <rPr>
        <b/>
        <i/>
        <sz val="14"/>
        <rFont val="Calibri"/>
        <family val="2"/>
        <scheme val="minor"/>
      </rPr>
      <t xml:space="preserve">Subcontractors;  </t>
    </r>
    <r>
      <rPr>
        <sz val="14"/>
        <rFont val="Calibri"/>
        <family val="2"/>
        <scheme val="minor"/>
      </rPr>
      <t>the work may be performed by qualified subcontractors whom we may contract with or put you in contact with.</t>
    </r>
  </si>
  <si>
    <r>
      <rPr>
        <b/>
        <i/>
        <sz val="14"/>
        <rFont val="Calibri"/>
        <family val="2"/>
        <scheme val="minor"/>
      </rPr>
      <t>Scope of work</t>
    </r>
    <r>
      <rPr>
        <sz val="14"/>
        <rFont val="Calibri"/>
        <family val="2"/>
        <scheme val="minor"/>
      </rPr>
      <t>: based on our experience, we have made every effort to detail all visible damages and to estimate the most comprehensive and professional methods which are " usual and customary'' to restore your property.  Work components and processes are from utilizing industry wide estimating software programs as our base model. Our experience has been that most insurers are very willing to restore your property to the highest industry standards and will normally provide a list detailing why particular items may not be covered or an acceptable alternative repair method.</t>
    </r>
  </si>
  <si>
    <r>
      <rPr>
        <b/>
        <i/>
        <u/>
        <sz val="14"/>
        <color rgb="FF000000"/>
        <rFont val="Calibri"/>
        <family val="2"/>
        <scheme val="minor"/>
      </rPr>
      <t>Pricing;</t>
    </r>
    <r>
      <rPr>
        <sz val="14"/>
        <color rgb="FF000000"/>
        <rFont val="Calibri"/>
        <family val="2"/>
        <scheme val="minor"/>
      </rPr>
      <t xml:space="preserve"> is industry wide standard pricing adjusted for your area; which is "usual and customary"</t>
    </r>
  </si>
  <si>
    <t xml:space="preserve"> and represents  the "reasonable cost "of repairs  or replacement with similar construction..</t>
  </si>
  <si>
    <t>One of the primary estimating softwares that we also use is Xactmate/Xactware/Verisk .</t>
  </si>
  <si>
    <t>XACT ware is an independent, third-party company that researches and reports on industry pricing.  "We use pricing information from general contractors, subcontractors, insurance carriers, insurance adjusters, and a host of other industry professionals as we research and report on the average market    price for each price-list item."</t>
  </si>
  <si>
    <t xml:space="preserve"> Work components and processes are from utilizing industry wide estimating software programs                       as our base model. </t>
  </si>
  <si>
    <t>Also incorporated are adaptations from the following industry sources:</t>
  </si>
  <si>
    <t xml:space="preserve">          Construction Specifications Institute CSI format…</t>
  </si>
  <si>
    <t xml:space="preserve">          American Institute of Architects AIA details ;</t>
  </si>
  <si>
    <t xml:space="preserve">          RS Means Construction Cast Data; &amp; </t>
  </si>
  <si>
    <t xml:space="preserve">          Federal OSHA Construction  &amp; Safety Standards &amp; </t>
  </si>
  <si>
    <t xml:space="preserve">          ASTM International Standards,</t>
  </si>
  <si>
    <t xml:space="preserve">Local and National Major Building Codes.; </t>
  </si>
  <si>
    <t>Recognized Trade Customs,</t>
  </si>
  <si>
    <t>Industry Standards,</t>
  </si>
  <si>
    <t>Manufacturers Specifications</t>
  </si>
  <si>
    <r>
      <rPr>
        <b/>
        <i/>
        <u/>
        <sz val="14"/>
        <color rgb="FF000000"/>
        <rFont val="Calibri"/>
        <family val="2"/>
        <scheme val="minor"/>
      </rPr>
      <t>Insurance coverage;</t>
    </r>
    <r>
      <rPr>
        <sz val="14"/>
        <color rgb="FF000000"/>
        <rFont val="Calibri"/>
        <family val="2"/>
        <scheme val="minor"/>
      </rPr>
      <t xml:space="preserve"> will be dependent on your particular policy,</t>
    </r>
  </si>
  <si>
    <t>We are not Public Adjusters nor Attorneys and you may need their services to help determine coverage.</t>
  </si>
  <si>
    <t>We can't guarantee that the scope of work noted by us is necessarily covered by your particular situation. </t>
  </si>
  <si>
    <r>
      <rPr>
        <b/>
        <i/>
        <sz val="14"/>
        <rFont val="Calibri"/>
        <family val="2"/>
        <scheme val="minor"/>
      </rPr>
      <t>We are neither Public Adjusters nor Attorneys</t>
    </r>
    <r>
      <rPr>
        <sz val="14"/>
        <rFont val="Calibri"/>
        <family val="2"/>
        <scheme val="minor"/>
      </rPr>
      <t xml:space="preserve">. We provide information ONLY.  Nothing herein shall be considered legal advice. You may wish to consult with a public adjuster or an attorney; if you so deem that there is a need for one in your situation.
</t>
    </r>
  </si>
  <si>
    <r>
      <rPr>
        <b/>
        <i/>
        <u/>
        <sz val="14"/>
        <color rgb="FF000000"/>
        <rFont val="Calibri"/>
        <family val="2"/>
        <scheme val="minor"/>
      </rPr>
      <t>Payments:</t>
    </r>
    <r>
      <rPr>
        <sz val="14"/>
        <color rgb="FF000000"/>
        <rFont val="Calibri"/>
        <family val="2"/>
        <scheme val="minor"/>
      </rPr>
      <t xml:space="preserve"> Issuance, payment and acceptance of payment are without prejudice to any rights  of the Owner or Contractor under the terms of this agreement.</t>
    </r>
  </si>
  <si>
    <t>The final settled amount is payable only to the Contractor named herein.</t>
  </si>
  <si>
    <t>Thank You for your business and entrusting us with your personal property!!!!</t>
  </si>
  <si>
    <t>JOB/WORK DETAILS BREIF</t>
  </si>
  <si>
    <t>JOB/WORK DETAILS EXPANDED NOTES</t>
  </si>
  <si>
    <t>1. Transport to Moving Truck</t>
  </si>
  <si>
    <t>2. Load onto Moving Truck</t>
  </si>
  <si>
    <t>3. Travel Time to Storage Unit</t>
  </si>
  <si>
    <t>4. Unload from Moving Truck</t>
  </si>
  <si>
    <t>5. Transport to Storage Unit</t>
  </si>
  <si>
    <t>6. Stage Into Storage Unit</t>
  </si>
  <si>
    <t>E)  Moving Allowance; FROM storage back to property</t>
  </si>
  <si>
    <t>1. REVIEW/CONSULT ORIGINAL PACKOUT LIST</t>
  </si>
  <si>
    <t xml:space="preserve">2. Determine original location of contents
</t>
  </si>
  <si>
    <t>3.Confirm reset location with owners</t>
  </si>
  <si>
    <t>4. Return/Place contents back to original location.</t>
  </si>
  <si>
    <t xml:space="preserve">1. Remove packing materials &amp; bag </t>
  </si>
  <si>
    <t>2., Haul to dumpster</t>
  </si>
  <si>
    <t>3. Remove from jobsite.</t>
  </si>
  <si>
    <t>4. Perform final cleaning of property</t>
  </si>
  <si>
    <t>1) DOCUMENTATION MANAGEMENT</t>
  </si>
  <si>
    <t xml:space="preserve">A) Posting of items into computer database ,
</t>
  </si>
  <si>
    <t>B) Tracking all job processes,</t>
  </si>
  <si>
    <t>C) Docs prep by SUBS</t>
  </si>
  <si>
    <t xml:space="preserve">      1. Quickview / CPS Overview</t>
  </si>
  <si>
    <t xml:space="preserve">      2. Manage handwritten list of contents</t>
  </si>
  <si>
    <t xml:space="preserve">E) Manage and Provide photo documentation                                   </t>
  </si>
  <si>
    <t xml:space="preserve">F) Generate                                                                     </t>
  </si>
  <si>
    <t xml:space="preserve">       1. Management Reports per Project Verification                                                                                             </t>
  </si>
  <si>
    <t xml:space="preserve">2. Invoices/Estimates                                                                                                        </t>
  </si>
  <si>
    <t>3. Emails to involved paries.</t>
  </si>
  <si>
    <t>2) INVENTORY of  CPS Supplies</t>
  </si>
  <si>
    <t xml:space="preserve">     A) Verify Equipment/Supplies are stocked;                                                                     .                                                                                              </t>
  </si>
  <si>
    <t xml:space="preserve">     B) Order Equipment/Supplies as needed.  </t>
  </si>
  <si>
    <t xml:space="preserve">  C) Order Equipment/Supplies order per current job as needed.</t>
  </si>
  <si>
    <t xml:space="preserve">  D) Pick up Equipment/Supplies order at supply store as needed.                     </t>
  </si>
  <si>
    <t xml:space="preserve">  E) Deliver Equipment/Supplies to jobsite.</t>
  </si>
  <si>
    <t xml:space="preserve">1, Maintain and direct the job in accordance with business requirements,
</t>
  </si>
  <si>
    <t>2. Develop and monitor equipment, schedules and delegate duties to junior technicians</t>
  </si>
  <si>
    <t>3. Makes decisions and solves problems, monitors processes and materials,</t>
  </si>
  <si>
    <t xml:space="preserve">4. Evaluates information to Ensure conformity to industry standards.        ...                </t>
  </si>
  <si>
    <t>SALES TAX</t>
  </si>
  <si>
    <t>SUB TOTAL</t>
  </si>
  <si>
    <t>CONTRACTOR OVERHEAD</t>
  </si>
  <si>
    <t>CONTRACTOR PROFIT</t>
  </si>
  <si>
    <t>BOX TYPE RECAP</t>
  </si>
  <si>
    <t>Category</t>
  </si>
  <si>
    <t>GENERAL ITEMS</t>
  </si>
  <si>
    <t>#</t>
  </si>
  <si>
    <t>ITEM</t>
  </si>
  <si>
    <t>Description</t>
  </si>
  <si>
    <t>Unit</t>
  </si>
  <si>
    <t>Qty</t>
  </si>
  <si>
    <t>Unit Cost</t>
  </si>
  <si>
    <t>TOTAL</t>
  </si>
  <si>
    <t>Demo &amp; Dumpster Trash Removal</t>
  </si>
  <si>
    <t>Contents Evaluation and Packing Supervision</t>
  </si>
  <si>
    <t>Supervisory Hours allowance To Include:</t>
  </si>
  <si>
    <t>a] initial site visit</t>
  </si>
  <si>
    <t>SF</t>
  </si>
  <si>
    <t>b] work in progress monitoring</t>
  </si>
  <si>
    <t>c] final closeout</t>
  </si>
  <si>
    <t>MISCELLANEOUS PACKING SUPPLIES</t>
  </si>
  <si>
    <t>Billed as Percentage/Average of room SF/ CF /  PF / Box Count</t>
  </si>
  <si>
    <t>TOTAL GENERAL ITEMS COSTS</t>
  </si>
  <si>
    <t>Storage Info</t>
  </si>
  <si>
    <t xml:space="preserve">
Temporary Contents / CPS Staging Space Allotment
HOLD damaged replacement items , until disposal approved.
Space Used to Evaluate Personal Property</t>
  </si>
  <si>
    <t xml:space="preserve">
Space Used to Evaluate Personal Property</t>
  </si>
  <si>
    <t>HOLD damaged replacement items , until disposal approved.</t>
  </si>
  <si>
    <t>Percentage/Average of room SF/ CF / PF / Box Count</t>
  </si>
  <si>
    <t>OFF SITE STORAGE</t>
  </si>
  <si>
    <t xml:space="preserve">
Temporary Contents / CPS Staging Space/ ON SITE</t>
  </si>
  <si>
    <t xml:space="preserve">and or Box Trailer </t>
  </si>
  <si>
    <t>OFF SITE = Storage Personal Property</t>
  </si>
  <si>
    <t>Month 1</t>
  </si>
  <si>
    <t>Month 2</t>
  </si>
  <si>
    <t>Month 3</t>
  </si>
  <si>
    <t>Transporting Contents</t>
  </si>
  <si>
    <t>Allowance for 2 days move out, into storage and 2 days return contents from storage</t>
  </si>
  <si>
    <t>=========================================</t>
  </si>
  <si>
    <t>Allowance for travel time to 2nd or 3rd floor Steep entry stairs. Confined spaces.</t>
  </si>
  <si>
    <t>TOTAL Storage COSTS</t>
  </si>
  <si>
    <t>A] SUPPLIES ;BOXES, TAPE, LABELS, ETC.</t>
  </si>
  <si>
    <t>B) Allowance for evaluation &amp; packing only</t>
  </si>
  <si>
    <t>D) Allowance for moving labor INTO storage</t>
  </si>
  <si>
    <t>MINUTES PER BOX</t>
  </si>
  <si>
    <t>H) Allowance for Administrative labor hours</t>
  </si>
  <si>
    <t>I) Lead Technician</t>
  </si>
  <si>
    <t>Totals:</t>
  </si>
  <si>
    <t>IMPORT LINE #</t>
  </si>
  <si>
    <t>C) Allowance to wipe down, vacuum, air dust.</t>
  </si>
  <si>
    <t>E) Allowance for moving labor BACK FROM storage back to property</t>
  </si>
  <si>
    <t>G) Allowance for; DMO remove packing materials &amp; bag, haul to dump; remove from jobsite</t>
  </si>
  <si>
    <t>FACTOR</t>
  </si>
  <si>
    <r>
      <t xml:space="preserve">A]  </t>
    </r>
    <r>
      <rPr>
        <b/>
        <i/>
        <sz val="12"/>
        <rFont val="Calibri"/>
        <family val="2"/>
        <scheme val="minor"/>
      </rPr>
      <t>SUPPLIES ;BOXES, TAPE, LABELS, ETC.</t>
    </r>
  </si>
  <si>
    <t>E)  Allowance for moving labor BACK FROM storage back to property</t>
  </si>
  <si>
    <t>G)  Allowance for; DMO remove packing materials &amp; bag, haul to dump; remove from jobsite</t>
  </si>
  <si>
    <t>WARDROBE BOX COUNT</t>
  </si>
  <si>
    <t>MATTRESS BOX COUNT</t>
  </si>
  <si>
    <t>GLASSPACK BOX COUNT</t>
  </si>
  <si>
    <t>xact in</t>
  </si>
  <si>
    <t>box summary</t>
  </si>
  <si>
    <t>B</t>
  </si>
  <si>
    <t>C</t>
  </si>
  <si>
    <t>D</t>
  </si>
  <si>
    <t>F</t>
  </si>
  <si>
    <t>G</t>
  </si>
  <si>
    <t>H</t>
  </si>
  <si>
    <t>I</t>
  </si>
  <si>
    <t>J</t>
  </si>
  <si>
    <t>K</t>
  </si>
  <si>
    <t>L</t>
  </si>
  <si>
    <t>M</t>
  </si>
  <si>
    <t>MEDIUM BOX</t>
  </si>
  <si>
    <t>LARGE</t>
  </si>
  <si>
    <t>X LARGE</t>
  </si>
  <si>
    <t>WORK</t>
  </si>
  <si>
    <t>HRS</t>
  </si>
  <si>
    <t>Minutes</t>
  </si>
  <si>
    <t>TIME CALCULATION of CPS WORK DETAILS</t>
  </si>
  <si>
    <t>MINUTES PER TASK</t>
  </si>
  <si>
    <t>Labor to evaluate, pack &amp; inventory items on a per box basis.</t>
  </si>
  <si>
    <t>Move the box within the service provider's facility,from storage to cleaning station.</t>
  </si>
  <si>
    <t xml:space="preserve">Unbox contents per box. </t>
  </si>
  <si>
    <t xml:space="preserve">Clean contents per box. </t>
  </si>
  <si>
    <t>Repack contents per box.</t>
  </si>
  <si>
    <t>Move the box; return the box back to the storage area.</t>
  </si>
  <si>
    <t>time may vary due to size and complexity of contents. May include china, pots &amp; pans, bric-a-brac, or a combination.</t>
  </si>
  <si>
    <t>1. Travel Time to Storage Unit</t>
  </si>
  <si>
    <t>2. Transport from Storage Unit</t>
  </si>
  <si>
    <t>3. Load onto Moving Truck</t>
  </si>
  <si>
    <t>4. Travel Time from Storage Unit to Property</t>
  </si>
  <si>
    <t>5. Unload from Moving Truck</t>
  </si>
  <si>
    <t>6. Stage Into Property</t>
  </si>
  <si>
    <t>2. determine original location of contents</t>
  </si>
  <si>
    <t>3. When possible confirm reset location with owners</t>
  </si>
  <si>
    <t>4. Return/Place contents back to original location</t>
  </si>
  <si>
    <t>A) Posting of items into computer database ,</t>
  </si>
  <si>
    <t xml:space="preserve">      1. Quickview / CPS Overview       2. Manage handwritten list of contents</t>
  </si>
  <si>
    <t>D) Provide photo documentation of all phases of job.</t>
  </si>
  <si>
    <t>E) Generate</t>
  </si>
  <si>
    <t>1. Management Reports per Project Verification</t>
  </si>
  <si>
    <t xml:space="preserve">2. Invoices/Estimates  </t>
  </si>
  <si>
    <t xml:space="preserve"> 3. Emails out</t>
  </si>
  <si>
    <t>F.) Maintain Comminication with ALL Parties of Interest.</t>
  </si>
  <si>
    <t xml:space="preserve">Verify Equipment/Supplies are stocked;                                                                                                                                                                                         </t>
  </si>
  <si>
    <t xml:space="preserve">Order Equipment/Supplies as needed = RESTOCKING                                                                    </t>
  </si>
  <si>
    <t>Order Equipment/Supplies order per current job as needed.</t>
  </si>
  <si>
    <t>Pick up Equipment/Supplies order at supply store as needed.</t>
  </si>
  <si>
    <t>Deliver Equipment/Supplies to jobsite</t>
  </si>
  <si>
    <t xml:space="preserve">Determine storage location details                                                                    </t>
  </si>
  <si>
    <t>Coordinate temporary staging area (POD/Box Trailer on site).</t>
  </si>
  <si>
    <t>Determine &amp; Coordinate Transportation to storage location.</t>
  </si>
  <si>
    <t>Determine &amp; Coordinate Transportation return back from storage location.</t>
  </si>
  <si>
    <t>1, Maintain and direct the job in accordance with business requirements,</t>
  </si>
  <si>
    <t>2. Develop and monitor:  equipment /  schedules / processes /  materials.</t>
  </si>
  <si>
    <t>3. Make decisions and solve problems,</t>
  </si>
  <si>
    <t>4. Evaluates Information &amp; Activities to Ensure Conformity to Industry Standards.</t>
  </si>
  <si>
    <t>5. Delegate duties &amp; Coordinate WORK to junior technicians.</t>
  </si>
  <si>
    <t>6. Maintain Comminication with Management</t>
  </si>
  <si>
    <t>7. Maintain Comminication with POLICY HOLDERS.</t>
  </si>
  <si>
    <t>A lead technician must have:</t>
  </si>
  <si>
    <r>
      <t>·</t>
    </r>
    <r>
      <rPr>
        <sz val="7"/>
        <color rgb="FF000000"/>
        <rFont val="Times New Roman"/>
        <family val="1"/>
      </rPr>
      <t xml:space="preserve">       </t>
    </r>
    <r>
      <rPr>
        <sz val="12"/>
        <color rgb="FF000000"/>
        <rFont val="Calibri"/>
        <family val="2"/>
      </rPr>
      <t>good vision / effective communication skills</t>
    </r>
  </si>
  <si>
    <r>
      <t>·</t>
    </r>
    <r>
      <rPr>
        <sz val="7"/>
        <color rgb="FF000000"/>
        <rFont val="Times New Roman"/>
        <family val="1"/>
      </rPr>
      <t xml:space="preserve">       </t>
    </r>
    <r>
      <rPr>
        <sz val="12"/>
        <color rgb="FF000000"/>
        <rFont val="Calibri"/>
        <family val="2"/>
      </rPr>
      <t xml:space="preserve">deductive reasoning ability &amp; ability to perform tasks competently </t>
    </r>
  </si>
  <si>
    <r>
      <t>·</t>
    </r>
    <r>
      <rPr>
        <sz val="7"/>
        <color rgb="FF000000"/>
        <rFont val="Times New Roman"/>
        <family val="1"/>
      </rPr>
      <t xml:space="preserve">       </t>
    </r>
    <r>
      <rPr>
        <sz val="12"/>
        <color rgb="FF000000"/>
        <rFont val="Calibri"/>
        <family val="2"/>
      </rPr>
      <t>use inspection tools &amp; equipment / utilize analytical software.</t>
    </r>
  </si>
  <si>
    <t>CPS</t>
  </si>
  <si>
    <t>BIDITM</t>
  </si>
  <si>
    <t>Packaging, Handling, Storage (Bid iTEMS]    PACKOUT ONLY</t>
  </si>
  <si>
    <t>Packaging, Handling, Storage (Bid Item) CLEAN IN HOUSE</t>
  </si>
  <si>
    <t>Packaging, Handling, Storage (Bid Item) CLEANING BY OUTSIDE VENDOR</t>
  </si>
  <si>
    <t>CUP</t>
  </si>
  <si>
    <t>Upholstery and Soft Goods Cleaning (Bid Item)</t>
  </si>
  <si>
    <t>DMO</t>
  </si>
  <si>
    <t>PU</t>
  </si>
  <si>
    <t>Haul debris - per pickup truck load - including dump fees</t>
  </si>
  <si>
    <t>EA</t>
  </si>
  <si>
    <t>DENSITY FACTOR</t>
  </si>
  <si>
    <t>LABS</t>
  </si>
  <si>
    <t>Contents Evaluation and/or Supervisor/Admin - per hour</t>
  </si>
  <si>
    <t>HR</t>
  </si>
  <si>
    <t>ESTIMATE BASED UPON VOLUME OF ROOM CONTENTS</t>
  </si>
  <si>
    <t>EMPTY</t>
  </si>
  <si>
    <t>SPARSE</t>
  </si>
  <si>
    <t>AVERAGE</t>
  </si>
  <si>
    <t>HIGH</t>
  </si>
  <si>
    <t>LAB</t>
  </si>
  <si>
    <t>Inventory, Packing, Boxing, and Moving charge - per hour</t>
  </si>
  <si>
    <t xml:space="preserve"> -   </t>
  </si>
  <si>
    <t>HOARDER</t>
  </si>
  <si>
    <t>OTHER</t>
  </si>
  <si>
    <t>"= +++</t>
  </si>
  <si>
    <t>BWRAP</t>
  </si>
  <si>
    <t>Bubble Wrap - Add-on cost for fragile items</t>
  </si>
  <si>
    <t>LF</t>
  </si>
  <si>
    <t>WRAP</t>
  </si>
  <si>
    <t>Provide stretch film/wrap</t>
  </si>
  <si>
    <t>RL</t>
  </si>
  <si>
    <t>PEANUT</t>
  </si>
  <si>
    <t>Loose fill peanuts - Add-on cost for fragile items</t>
  </si>
  <si>
    <t>CF</t>
  </si>
  <si>
    <t>Billed as Percentage/Average of room SF/ CF / PF / Box Count</t>
  </si>
  <si>
    <t>ON SITE STORAGE</t>
  </si>
  <si>
    <t>STOPM</t>
  </si>
  <si>
    <t>Job-site moving/storage container - 20' long - per month</t>
  </si>
  <si>
    <t>MO</t>
  </si>
  <si>
    <t>STOPCD</t>
  </si>
  <si>
    <t>Job-site cargo container - pick up/del. (each way) 16'-40'</t>
  </si>
  <si>
    <t>STOPP</t>
  </si>
  <si>
    <t>Padlock/disc lock</t>
  </si>
  <si>
    <t>STOR</t>
  </si>
  <si>
    <t>Off-site storage &amp; insurance - per month</t>
  </si>
  <si>
    <t>TR&gt;</t>
  </si>
  <si>
    <t>Moving van (21'-27') and equipment - per day</t>
  </si>
  <si>
    <t>TRCV</t>
  </si>
  <si>
    <t>Cargo van and equipment - per day</t>
  </si>
  <si>
    <t>LBR</t>
  </si>
  <si>
    <t>General Laborer - per hour</t>
  </si>
  <si>
    <t>SMALL TOTAL COUNT</t>
  </si>
  <si>
    <t xml:space="preserve">Customer </t>
  </si>
  <si>
    <t>4514 Wellington Avenue</t>
  </si>
  <si>
    <t>Property city, state, zip</t>
  </si>
  <si>
    <t>Parma, OH, 44134</t>
  </si>
  <si>
    <t>blw8958@gmail.com</t>
  </si>
  <si>
    <t>(216) 512-4318</t>
  </si>
  <si>
    <t>Co-Owner.cst#2</t>
  </si>
  <si>
    <t>TBD</t>
  </si>
  <si>
    <t>cst ph # 2</t>
  </si>
  <si>
    <t>Cst address # 2</t>
  </si>
  <si>
    <t>city, state-cst#2</t>
  </si>
  <si>
    <t>email-cst #2</t>
  </si>
  <si>
    <t>Loss Info</t>
  </si>
  <si>
    <t>Cause of Loss</t>
  </si>
  <si>
    <t>Water</t>
  </si>
  <si>
    <t>date of loss</t>
  </si>
  <si>
    <t>rebuild  type 1</t>
  </si>
  <si>
    <t>Interior Repairs LVL1</t>
  </si>
  <si>
    <t>rebuild  type 2</t>
  </si>
  <si>
    <t>Interior Repairs LVL2</t>
  </si>
  <si>
    <t>rebuild  type 3</t>
  </si>
  <si>
    <t>Interior Repairs LVL3</t>
  </si>
  <si>
    <t>DEMO</t>
  </si>
  <si>
    <t>Y</t>
  </si>
  <si>
    <t>Mitigation</t>
  </si>
  <si>
    <t>Other Structures</t>
  </si>
  <si>
    <t>NA</t>
  </si>
  <si>
    <t>Replacement</t>
  </si>
  <si>
    <t>CPS / CLN / CON/ CGN</t>
  </si>
  <si>
    <t>Year Built</t>
  </si>
  <si>
    <t>Contract Date</t>
  </si>
  <si>
    <t>Loss of use/ ALE</t>
  </si>
  <si>
    <t>Breathing issue</t>
  </si>
  <si>
    <t>HMR</t>
  </si>
  <si>
    <t>Allstate Insurance Company</t>
  </si>
  <si>
    <t>Insurance Co.</t>
  </si>
  <si>
    <t xml:space="preserve">Claim # </t>
  </si>
  <si>
    <t>policy #</t>
  </si>
  <si>
    <t>#000826481282</t>
  </si>
  <si>
    <t>Email INS. co.</t>
  </si>
  <si>
    <t>claims@claims.allstate.com</t>
  </si>
  <si>
    <t>DESK Adjuster DA</t>
  </si>
  <si>
    <t>LESLIE</t>
  </si>
  <si>
    <t>DA Phone</t>
  </si>
  <si>
    <t>888 656.8005</t>
  </si>
  <si>
    <t>DA Ph. Ext. #</t>
  </si>
  <si>
    <t xml:space="preserve">DA Email </t>
  </si>
  <si>
    <t>Field Adjuster Name</t>
  </si>
  <si>
    <t> Drew over at Paul Davis.</t>
  </si>
  <si>
    <t>Phone # field adj</t>
  </si>
  <si>
    <t>(216) 379-9943</t>
  </si>
  <si>
    <t>Field adj email</t>
  </si>
  <si>
    <t>adj contents</t>
  </si>
  <si>
    <t>Victoria Lindsay</t>
  </si>
  <si>
    <t>adj CPS phone #</t>
  </si>
  <si>
    <t>812-235-7239 </t>
  </si>
  <si>
    <t>adj CPS email</t>
  </si>
  <si>
    <t>victoria.lindsay@infraware.com</t>
  </si>
  <si>
    <t>TMP adj</t>
  </si>
  <si>
    <t>TMP adj phone #</t>
  </si>
  <si>
    <t>adj TMP email</t>
  </si>
  <si>
    <t>ATT: Loss Draft Dept.</t>
  </si>
  <si>
    <t>infraware-unit_pulse_6186901262_caa786c400a91a6c379e__48318471@use1.mx.monday.com</t>
  </si>
  <si>
    <t>address ins overnight mail</t>
  </si>
  <si>
    <t>city, state-zip ins</t>
  </si>
  <si>
    <t xml:space="preserve">Insurance Co. Phone </t>
  </si>
  <si>
    <t>Website Ins Co.</t>
  </si>
  <si>
    <t>Mailing   address INS</t>
  </si>
  <si>
    <t>Mail city, state, zip INS</t>
  </si>
  <si>
    <t>FAX Ins. Co</t>
  </si>
  <si>
    <t>NEW CUSTOMER #</t>
  </si>
  <si>
    <t>OH24H WILLIAMS</t>
  </si>
  <si>
    <t>Room Sizes</t>
  </si>
  <si>
    <t xml:space="preserve"> AFFECTED AREA %                  AFFECTED AREA SF = </t>
  </si>
  <si>
    <t>Total SF</t>
  </si>
  <si>
    <t>ROOM ID</t>
  </si>
  <si>
    <t>W</t>
  </si>
  <si>
    <t>WALL %</t>
  </si>
  <si>
    <t>FLOOR  %</t>
  </si>
  <si>
    <t>CEILING %</t>
  </si>
  <si>
    <t xml:space="preserve">   Room/Area 1   </t>
  </si>
  <si>
    <t>SPACER COLUMN</t>
  </si>
  <si>
    <t xml:space="preserve">   Room/Area 2   </t>
  </si>
  <si>
    <t xml:space="preserve">   Room/Area 3   </t>
  </si>
  <si>
    <t xml:space="preserve">   Room/Area 4   </t>
  </si>
  <si>
    <t xml:space="preserve">   Room/Area 5   </t>
  </si>
  <si>
    <t>Back Foyer</t>
  </si>
  <si>
    <t xml:space="preserve">   Room/Area 6   </t>
  </si>
  <si>
    <t>Stairs Up</t>
  </si>
  <si>
    <t xml:space="preserve">   Room/Area 7   </t>
  </si>
  <si>
    <t>Up Hallway</t>
  </si>
  <si>
    <t xml:space="preserve">   Room/Area 8   </t>
  </si>
  <si>
    <t>LINEN CLOSET 1</t>
  </si>
  <si>
    <t xml:space="preserve">   Room/Area 9   </t>
  </si>
  <si>
    <t>Bathroom</t>
  </si>
  <si>
    <t xml:space="preserve">   Room/Area 10   </t>
  </si>
  <si>
    <t>BR PRIMARY</t>
  </si>
  <si>
    <t xml:space="preserve">   Room/Area 11   </t>
  </si>
  <si>
    <t>CLOSET2 BR MASTER</t>
  </si>
  <si>
    <t xml:space="preserve">   Room/Area 12   </t>
  </si>
  <si>
    <t>CLOSET BR MASTER</t>
  </si>
  <si>
    <t xml:space="preserve">   Room/Area 13   </t>
  </si>
  <si>
    <t>Bedroom2</t>
  </si>
  <si>
    <t xml:space="preserve">   Room/Area 14   </t>
  </si>
  <si>
    <t xml:space="preserve">   Room/Area 15   </t>
  </si>
  <si>
    <t>Basement Stairs</t>
  </si>
  <si>
    <t xml:space="preserve">   Room/Area 16   </t>
  </si>
  <si>
    <t>Basement Rec Room</t>
  </si>
  <si>
    <t xml:space="preserve">   Room/Area 17   </t>
  </si>
  <si>
    <t>LL Bathroom</t>
  </si>
  <si>
    <t xml:space="preserve">   Room/Area 18   </t>
  </si>
  <si>
    <t xml:space="preserve">   Room/Area 19   </t>
  </si>
  <si>
    <t>Utility Room</t>
  </si>
  <si>
    <t xml:space="preserve">   Room/Area 20   </t>
  </si>
  <si>
    <t xml:space="preserve">   Room/Area 21 </t>
  </si>
  <si>
    <t xml:space="preserve">   Room/Area 22 </t>
  </si>
  <si>
    <t xml:space="preserve">   Room/Area 23 </t>
  </si>
  <si>
    <t xml:space="preserve">   Room/Area 24 </t>
  </si>
  <si>
    <t xml:space="preserve">   Room/Area 25 </t>
  </si>
  <si>
    <t>Mortgage Company</t>
  </si>
  <si>
    <t xml:space="preserve">Mortgage co       </t>
  </si>
  <si>
    <t>Account# Mtge Co.</t>
  </si>
  <si>
    <t>Loan status</t>
  </si>
  <si>
    <t>contact person mtge</t>
  </si>
  <si>
    <t>Phone # MTGE contact</t>
  </si>
  <si>
    <t>Ph. Ext. Mtge contact</t>
  </si>
  <si>
    <t>Attn.: Loss Draft Dept</t>
  </si>
  <si>
    <t>Mtge OVN mail</t>
  </si>
  <si>
    <t>city, St., zip ,mtge OVN</t>
  </si>
  <si>
    <t>Phone # MTGE co.</t>
  </si>
  <si>
    <t>email mtge</t>
  </si>
  <si>
    <t>mtge website</t>
  </si>
  <si>
    <t>MTGE co. Fax #</t>
  </si>
  <si>
    <t>Mailing   address mtge</t>
  </si>
  <si>
    <t>Mail city, state, zip mtge</t>
  </si>
  <si>
    <t>Initial Offer / phase 1 contract amount</t>
  </si>
  <si>
    <t>Draw Request</t>
  </si>
  <si>
    <t>Cust id</t>
  </si>
  <si>
    <t>co name</t>
  </si>
  <si>
    <t>All Phase Consulting, LLC</t>
  </si>
  <si>
    <t>Co. website</t>
  </si>
  <si>
    <t>WWW.MYAPCLLC.COM</t>
  </si>
  <si>
    <t>co. EMAIL/co. status</t>
  </si>
  <si>
    <t>Insured  &amp; GA Registered #09073201</t>
  </si>
  <si>
    <t>co address</t>
  </si>
  <si>
    <t>375 Rockbridge Road, Suite 172-343</t>
  </si>
  <si>
    <t>co. city state</t>
  </si>
  <si>
    <t>Lilburn, GA, 30047</t>
  </si>
  <si>
    <t>co. address 2</t>
  </si>
  <si>
    <t>ECI 531 FIFTH AVE,</t>
  </si>
  <si>
    <t>co. city state 2</t>
  </si>
  <si>
    <t>PELHAM, NY 10803</t>
  </si>
  <si>
    <t>co address 3</t>
  </si>
  <si>
    <t>20810 Aurora Rd</t>
  </si>
  <si>
    <t>co. city state 3</t>
  </si>
  <si>
    <t>Bedford, OH 44146 </t>
  </si>
  <si>
    <t>Co. logo 1</t>
  </si>
  <si>
    <t>Providing Cost Estimating &amp; Project Management Services</t>
  </si>
  <si>
    <t>Co. logo 2</t>
  </si>
  <si>
    <t>Five Generations of Great Work</t>
  </si>
  <si>
    <t>Co. logo 3</t>
  </si>
  <si>
    <t>Five Generations of Pride &amp; Skills</t>
  </si>
  <si>
    <t>Co. REP. / PH</t>
  </si>
  <si>
    <t>Joe Jones, PM  216.450.7228</t>
  </si>
  <si>
    <t>CO.REP.
email</t>
  </si>
  <si>
    <t>wsbjoe9@gmail.com</t>
  </si>
  <si>
    <t>Co PH # 2</t>
  </si>
  <si>
    <t>404-446-9060</t>
  </si>
  <si>
    <t>CO.REP. email 2</t>
  </si>
  <si>
    <t>info@myapcllc.com</t>
  </si>
  <si>
    <t>TIN W9</t>
  </si>
  <si>
    <t>TIN 83-226 0563</t>
  </si>
  <si>
    <t xml:space="preserve">  FedEx     account # </t>
  </si>
  <si>
    <t xml:space="preserve">  FEDEX    # 9836-2151-1</t>
  </si>
  <si>
    <t>claim report date</t>
  </si>
  <si>
    <t>Time OF CLAIM REPORT</t>
  </si>
  <si>
    <t>co.represesntative</t>
  </si>
  <si>
    <t>phone ext.</t>
  </si>
  <si>
    <t>Tarp ext. TMP ok</t>
  </si>
  <si>
    <t>Int TMP ok</t>
  </si>
  <si>
    <t>DRY/PLA CUTOUT MOLD SPRAY  OK</t>
  </si>
  <si>
    <t>ALE INFO</t>
  </si>
  <si>
    <t>BX</t>
  </si>
  <si>
    <t>Cat</t>
  </si>
  <si>
    <t>Sel</t>
  </si>
  <si>
    <t>Desc</t>
  </si>
  <si>
    <t>Item Amount</t>
  </si>
  <si>
    <t>Group Code</t>
  </si>
  <si>
    <t>Group Description</t>
  </si>
  <si>
    <t/>
  </si>
  <si>
    <t>BX&lt;</t>
  </si>
  <si>
    <t>Provide box, packing paper &amp; tape - small size</t>
  </si>
  <si>
    <t>BXMSE</t>
  </si>
  <si>
    <t>Evaluate pack &amp; inventory misc items - per Sml box</t>
  </si>
  <si>
    <t>SMALL TOTAL BOX COUNT</t>
  </si>
  <si>
    <t>CGN</t>
  </si>
  <si>
    <t>BXMS</t>
  </si>
  <si>
    <t>Clean misc items - per Sml box</t>
  </si>
  <si>
    <t>CON</t>
  </si>
  <si>
    <t>Content Manipulation charge - per hour</t>
  </si>
  <si>
    <t>Provide box, packing paper &amp; tape - medium size</t>
  </si>
  <si>
    <t>BXMME</t>
  </si>
  <si>
    <t>Evaluate pack &amp; inventory misc items - per Med box</t>
  </si>
  <si>
    <t>MEDIUM TOTAL BOX COUNT</t>
  </si>
  <si>
    <t>BXMM</t>
  </si>
  <si>
    <t>Clean misc items - per Med box</t>
  </si>
  <si>
    <t>BX&gt;</t>
  </si>
  <si>
    <t>Provide box, packing paper &amp; tape - large size</t>
  </si>
  <si>
    <t>BXMLE</t>
  </si>
  <si>
    <t>Evaluate pack &amp; inventory misc items - per Lg box</t>
  </si>
  <si>
    <t>LRG_TOTAL_BO</t>
  </si>
  <si>
    <t>LRG TOTAL BOX COUNT</t>
  </si>
  <si>
    <t>BXML</t>
  </si>
  <si>
    <t>Clean misc items - per Lg box</t>
  </si>
  <si>
    <t>CVCH</t>
  </si>
  <si>
    <t>Provide plastic chair cover &amp; packing tape</t>
  </si>
  <si>
    <t>CVCH&gt;</t>
  </si>
  <si>
    <t>Provide plastic couch/sofa cover &amp; packing tape</t>
  </si>
  <si>
    <t>XL_TOTAL_ITE</t>
  </si>
  <si>
    <t>XL TOTAL ITEM COUNT</t>
  </si>
  <si>
    <t>PAD+</t>
  </si>
  <si>
    <t>Provide furniture heavyweight blanket/pad</t>
  </si>
  <si>
    <t>BXMXE</t>
  </si>
  <si>
    <t>Evaluate pack &amp; inventory misc items - per Xlg box</t>
  </si>
  <si>
    <t>BXMX</t>
  </si>
  <si>
    <t>Clean misc items - per Xlg box</t>
  </si>
  <si>
    <t>General Demolition - per hour</t>
  </si>
  <si>
    <t>BXMIR</t>
  </si>
  <si>
    <t>Provide mirror/picture box, packing paper &amp; tape</t>
  </si>
  <si>
    <t>MIRROR_PIC_B</t>
  </si>
  <si>
    <t>MIRROR PIC BOX  MED</t>
  </si>
  <si>
    <t>BXLMP</t>
  </si>
  <si>
    <t>Provide lamp box set, packing paper &amp; tape</t>
  </si>
  <si>
    <t>LAMP__PLANT_</t>
  </si>
  <si>
    <t>Lamp /Plant/ Vase  MED BOX</t>
  </si>
  <si>
    <t>CLM</t>
  </si>
  <si>
    <t>FLF-</t>
  </si>
  <si>
    <t>Clean floor lamp - flat finish (no shade) - Light clean</t>
  </si>
  <si>
    <t>BXTV</t>
  </si>
  <si>
    <t>Provide TV box, packing paper &amp; tape</t>
  </si>
  <si>
    <t>TV_BOX_COUNT</t>
  </si>
  <si>
    <t>TV BOX Count</t>
  </si>
  <si>
    <t>BXWDR&gt;</t>
  </si>
  <si>
    <t>Provide wardrobe box &amp; tape - large size</t>
  </si>
  <si>
    <t>WARDROBE_BOX</t>
  </si>
  <si>
    <t>CDC</t>
  </si>
  <si>
    <t>LABC</t>
  </si>
  <si>
    <t>On-Site Inventory, Packing, Boxing, Moving chrg - per hour</t>
  </si>
  <si>
    <t>BXMATQ</t>
  </si>
  <si>
    <t>Provide mattress box &amp; tape - queen size</t>
  </si>
  <si>
    <t>BEDROOM_MAT2</t>
  </si>
  <si>
    <t>MATF-</t>
  </si>
  <si>
    <t>Clean &amp; deodorize mattress or box spring - full - Light cl</t>
  </si>
  <si>
    <t>BXGL</t>
  </si>
  <si>
    <t>Provide glasspack box, packing paper &amp; tape</t>
  </si>
  <si>
    <t>BXGLE</t>
  </si>
  <si>
    <t>Evaluate pack &amp; inventory glasspack - per box</t>
  </si>
  <si>
    <t>GLASSPACK_BO</t>
  </si>
  <si>
    <t>BXGL-</t>
  </si>
  <si>
    <t>Clean glasspack - per box - Light clean</t>
  </si>
  <si>
    <t>BXDISH</t>
  </si>
  <si>
    <t>Provide dishpack box, packing paper &amp; tape</t>
  </si>
  <si>
    <t>BXDPE</t>
  </si>
  <si>
    <t>Evaluate pack &amp; inventory dishpack - per box</t>
  </si>
  <si>
    <t>DISH_PACK_BO</t>
  </si>
  <si>
    <t>BXDP-</t>
  </si>
  <si>
    <t>Clean dishpack - per box - Light clean</t>
  </si>
  <si>
    <t>BXPPE</t>
  </si>
  <si>
    <t>Evaluate pack &amp; inventory pots and pans - per Med box</t>
  </si>
  <si>
    <t>POTS_PANS_BO</t>
  </si>
  <si>
    <t>BROWN</t>
  </si>
  <si>
    <t>#07</t>
  </si>
  <si>
    <r>
      <t>Box Summary</t>
    </r>
    <r>
      <rPr>
        <sz val="10"/>
        <color rgb="FF000000"/>
        <rFont val="Calibri"/>
        <family val="2"/>
      </rPr>
      <t xml:space="preserve">
Report Date: FEB</t>
    </r>
    <r>
      <rPr>
        <sz val="11"/>
        <color rgb="FF000000"/>
        <rFont val="Calibri"/>
        <family val="2"/>
      </rPr>
      <t xml:space="preserve"> 26, 2025</t>
    </r>
  </si>
  <si>
    <t>Foyer</t>
  </si>
  <si>
    <t>Rec Storage Room</t>
  </si>
  <si>
    <t>Bedroom 3</t>
  </si>
  <si>
    <t>Closet BR 3</t>
  </si>
  <si>
    <t>Bedroom 2</t>
  </si>
  <si>
    <t>Bedroom 2 Closet</t>
  </si>
  <si>
    <t>Upstairs Bathroom</t>
  </si>
  <si>
    <t>Primary Bedroom</t>
  </si>
  <si>
    <t>Primary Bedroom Closet</t>
  </si>
  <si>
    <t>Primary Bedroom Closet 2</t>
  </si>
  <si>
    <t>LARGE BOX</t>
  </si>
  <si>
    <t>Packaging, Handling, Storage (Bid Item)</t>
  </si>
  <si>
    <t>Replace</t>
  </si>
  <si>
    <t>None</t>
  </si>
  <si>
    <t>Yes</t>
  </si>
  <si>
    <t>No</t>
  </si>
  <si>
    <t>WSBJOE9</t>
  </si>
  <si>
    <t>Average</t>
  </si>
  <si>
    <t>Percent</t>
  </si>
  <si>
    <t>TMPL-CPS-PACKOUT</t>
  </si>
  <si>
    <t>CPS_DMO_RUBB</t>
  </si>
  <si>
    <t>Remove</t>
  </si>
  <si>
    <t>CPS DMO Rubbish Removal</t>
  </si>
  <si>
    <t>PER_LEVEL_SF</t>
  </si>
  <si>
    <t>CLNMN-A</t>
  </si>
  <si>
    <t>Per Level SF Calc</t>
  </si>
  <si>
    <t>SMALL_TOTAL2</t>
  </si>
  <si>
    <t>Price List Item</t>
  </si>
  <si>
    <t>LABLBRMN-A</t>
  </si>
  <si>
    <t>MEDIUM_TOTAL</t>
  </si>
  <si>
    <t>BXPP</t>
  </si>
  <si>
    <t>Clean pots and pans - per medium box</t>
  </si>
  <si>
    <t>EXHAUST_PER_</t>
  </si>
  <si>
    <t>MISC</t>
  </si>
  <si>
    <t>Air mover (per 24 hour period) - No monitoring</t>
  </si>
  <si>
    <t>EXHAUST PER LEVEL</t>
  </si>
  <si>
    <t>Hazardous Waste/Mold Cleaning Technician - per hour</t>
  </si>
  <si>
    <t>Hazardous Material Remediation materials including tape, duct connectors, flat duct, insulation board/opening cover &amp; protection, exhauxt vent</t>
  </si>
  <si>
    <t>Negative air fan/Air scrubber (24 hr period) - No monit.</t>
  </si>
  <si>
    <t>Add for HEPA filter (for negative air exhaust fan)</t>
  </si>
  <si>
    <t>Equipment decontamination charge - per piece of equipment</t>
  </si>
  <si>
    <t xml:space="preserve">Equipment setup, take down, </t>
  </si>
  <si>
    <t>RCV</t>
  </si>
  <si>
    <t>Activity</t>
  </si>
  <si>
    <t>ACV</t>
  </si>
  <si>
    <t>Sales Tax</t>
  </si>
  <si>
    <t>Worker's Wage</t>
  </si>
  <si>
    <t>Labor burden</t>
  </si>
  <si>
    <t>Labor Overhead</t>
  </si>
  <si>
    <t>Material</t>
  </si>
  <si>
    <t>Equipment</t>
  </si>
  <si>
    <t>Labor Minimum</t>
  </si>
  <si>
    <t>Tax</t>
  </si>
  <si>
    <t>Owner</t>
  </si>
  <si>
    <t>Original Vendor</t>
  </si>
  <si>
    <t>Date</t>
  </si>
  <si>
    <t>Source Name</t>
  </si>
  <si>
    <t>Age</t>
  </si>
  <si>
    <t>Condition</t>
  </si>
  <si>
    <t>Coverage</t>
  </si>
  <si>
    <t>Depreciation Amount</t>
  </si>
  <si>
    <t>Depreciation Type</t>
  </si>
  <si>
    <t>Life</t>
  </si>
  <si>
    <t>Market Conditions</t>
  </si>
  <si>
    <t>Recoverable</t>
  </si>
  <si>
    <t>Reported Cost</t>
  </si>
  <si>
    <t>USR</t>
  </si>
  <si>
    <t>.." SMALL BOX COUNT...."</t>
  </si>
  <si>
    <t>.." MEDIUM BOX COUNT...."</t>
  </si>
  <si>
    <t>.." LARGE BOX COUNT...."</t>
  </si>
  <si>
    <t>.."   X LARGE BOX COUNT...."</t>
  </si>
  <si>
    <t>.."  MIRROR PIC  BOX COUNT...."</t>
  </si>
  <si>
    <t>.." LAMP /PLANT/ VASE BOX COUNT...."</t>
  </si>
  <si>
    <t>.." TV BOX COUNT...."</t>
  </si>
  <si>
    <t>.." WARDROBE BOX COUNT...."</t>
  </si>
  <si>
    <t>.." MATRTRESS BOX COUNT...."</t>
  </si>
  <si>
    <t>.."  GLASSPACK BOX COUNT...."</t>
  </si>
  <si>
    <t>.." DISHPACK BOX COUNT...."</t>
  </si>
  <si>
    <t>CONTENT MANIPULATION/DEMO LABOR</t>
  </si>
  <si>
    <t>CLEAN</t>
  </si>
  <si>
    <t>EVALUATION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</si>
</sst>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7" formatCode="&quot;$&quot;#,##0.00_);\(&quot;$&quot;#,##0.00\)"/>
    <numFmt numFmtId="8" formatCode="&quot;$&quot;#,##0.00_);[Red]\(&quot;$&quot;#,##0.00\)"/>
    <numFmt numFmtId="44" formatCode="_(&quot;$&quot;* #,##0.00_);_(&quot;$&quot;* \(#,##0.00\);_(&quot;$&quot;* &quot;-&quot;??_);_(@_)"/>
    <numFmt numFmtId="43" formatCode="_(* #,##0.00_);_(* \(#,##0.00\);_(* &quot;-&quot;??_);_(@_)"/>
    <numFmt numFmtId="164" formatCode="mmm\ d\,\ yyyy"/>
    <numFmt numFmtId="165" formatCode="_(* #,##0_);_(* \(#,##0\);_(* &quot;-&quot;??_);_(@_)"/>
    <numFmt numFmtId="166" formatCode="0.0"/>
    <numFmt numFmtId="167" formatCode="0.000"/>
    <numFmt numFmtId="168" formatCode="[&lt;=9999999]###\-####;\(###\)\ ###\-####"/>
    <numFmt numFmtId="169" formatCode="&quot;$&quot;#,##0.00"/>
    <numFmt numFmtId="170" formatCode="_(* #,##0.0_);_(* \(#,##0.0\);_(* &quot;-&quot;??_);_(@_)"/>
    <numFmt numFmtId="171" formatCode="0.0000%"/>
    <numFmt numFmtId="172" formatCode="_(&quot;$&quot;* #,##0_);_(&quot;$&quot;* \(#,##0\);_(&quot;$&quot;* &quot;-&quot;??_);_(@_)"/>
    <numFmt numFmtId="173" formatCode="##.0"/>
    <numFmt numFmtId="174" formatCode="&quot;$&quot;#,##0"/>
  </numFmts>
  <fonts count="175">
    <font>
      <sz val="10"/>
      <color rgb="FF000000"/>
      <name val="Times New Roman"/>
      <charset val="204"/>
    </font>
    <font>
      <sz val="11"/>
      <color theme="1"/>
      <name val="Calibri"/>
      <family val="2"/>
      <scheme val="minor"/>
    </font>
    <font>
      <sz val="10"/>
      <color theme="1"/>
      <name val="Arial"/>
      <family val="2"/>
    </font>
    <font>
      <sz val="10"/>
      <color theme="1"/>
      <name val="Arial"/>
      <family val="2"/>
    </font>
    <font>
      <sz val="10"/>
      <color theme="1"/>
      <name val="Arial"/>
      <family val="2"/>
    </font>
    <font>
      <sz val="11"/>
      <color theme="1"/>
      <name val="Calibri"/>
      <family val="2"/>
      <scheme val="minor"/>
    </font>
    <font>
      <sz val="10"/>
      <color theme="1"/>
      <name val="Arial"/>
      <family val="2"/>
    </font>
    <font>
      <sz val="10"/>
      <color theme="1"/>
      <name val="Arial"/>
      <family val="2"/>
    </font>
    <font>
      <sz val="10"/>
      <color rgb="FF000000"/>
      <name val="Times New Roman"/>
      <family val="1"/>
    </font>
    <font>
      <sz val="11"/>
      <color theme="1"/>
      <name val="Calibri"/>
      <family val="2"/>
      <scheme val="minor"/>
    </font>
    <font>
      <sz val="10"/>
      <color theme="1"/>
      <name val="Calibri"/>
      <family val="2"/>
      <scheme val="minor"/>
    </font>
    <font>
      <b/>
      <sz val="12"/>
      <color theme="1"/>
      <name val="Calibri"/>
      <family val="2"/>
      <scheme val="minor"/>
    </font>
    <font>
      <sz val="12"/>
      <color theme="1"/>
      <name val="Calibri"/>
      <family val="2"/>
      <scheme val="minor"/>
    </font>
    <font>
      <sz val="14"/>
      <color rgb="FF000000"/>
      <name val="Calibri"/>
      <family val="2"/>
      <scheme val="minor"/>
    </font>
    <font>
      <sz val="14"/>
      <name val="Calibri"/>
      <family val="2"/>
      <scheme val="minor"/>
    </font>
    <font>
      <b/>
      <i/>
      <sz val="14"/>
      <name val="Calibri"/>
      <family val="2"/>
      <scheme val="minor"/>
    </font>
    <font>
      <b/>
      <sz val="14"/>
      <color rgb="FF000000"/>
      <name val="Calibri"/>
      <family val="2"/>
      <scheme val="minor"/>
    </font>
    <font>
      <sz val="12"/>
      <color rgb="FF000000"/>
      <name val="Calibri"/>
      <family val="2"/>
      <scheme val="minor"/>
    </font>
    <font>
      <b/>
      <sz val="12"/>
      <color rgb="FF000000"/>
      <name val="Calibri"/>
      <family val="2"/>
      <scheme val="minor"/>
    </font>
    <font>
      <b/>
      <i/>
      <u/>
      <sz val="14"/>
      <color rgb="FF000000"/>
      <name val="Calibri"/>
      <family val="2"/>
      <scheme val="minor"/>
    </font>
    <font>
      <i/>
      <u val="double"/>
      <sz val="16"/>
      <color rgb="FF000000"/>
      <name val="Arial Narrow"/>
      <family val="2"/>
    </font>
    <font>
      <i/>
      <sz val="18"/>
      <color rgb="FF000000"/>
      <name val="Arial Narrow"/>
      <family val="2"/>
    </font>
    <font>
      <b/>
      <i/>
      <u/>
      <sz val="14"/>
      <color rgb="FF000000"/>
      <name val="Arial Narrow"/>
      <family val="2"/>
    </font>
    <font>
      <i/>
      <u val="singleAccounting"/>
      <sz val="12"/>
      <color rgb="FF0070C0"/>
      <name val="Arial Narrow"/>
      <family val="2"/>
    </font>
    <font>
      <i/>
      <sz val="12"/>
      <color rgb="FF000000"/>
      <name val="Arial Narrow"/>
      <family val="2"/>
    </font>
    <font>
      <i/>
      <u/>
      <sz val="14"/>
      <color rgb="FF000000"/>
      <name val="Arial Narrow"/>
      <family val="2"/>
    </font>
    <font>
      <b/>
      <sz val="8"/>
      <color rgb="FF000000"/>
      <name val="Arial Narrow"/>
      <family val="2"/>
    </font>
    <font>
      <u/>
      <sz val="8"/>
      <color rgb="FF404040"/>
      <name val="Arial Narrow"/>
      <family val="2"/>
    </font>
    <font>
      <sz val="11"/>
      <color rgb="FF000000"/>
      <name val="Arial Narrow"/>
      <family val="2"/>
    </font>
    <font>
      <sz val="12"/>
      <color rgb="FF000000"/>
      <name val="Arial Narrow"/>
      <family val="2"/>
    </font>
    <font>
      <i/>
      <u/>
      <sz val="12"/>
      <name val="Arial Narrow"/>
      <family val="2"/>
    </font>
    <font>
      <i/>
      <u/>
      <sz val="12"/>
      <color rgb="FF000000"/>
      <name val="Times New Roman"/>
      <family val="1"/>
    </font>
    <font>
      <i/>
      <u/>
      <sz val="12"/>
      <color indexed="8"/>
      <name val="Times New Roman"/>
      <family val="1"/>
    </font>
    <font>
      <sz val="11"/>
      <color rgb="FF000000"/>
      <name val="Calibri"/>
      <family val="2"/>
      <scheme val="minor"/>
    </font>
    <font>
      <sz val="12"/>
      <color rgb="FF000000"/>
      <name val="Times New Roman"/>
      <family val="1"/>
    </font>
    <font>
      <sz val="12"/>
      <color rgb="FF404040"/>
      <name val="Myanmar Text"/>
      <family val="2"/>
    </font>
    <font>
      <sz val="12"/>
      <color rgb="FF000000"/>
      <name val="Trebuchet MS"/>
      <family val="2"/>
    </font>
    <font>
      <u/>
      <sz val="11"/>
      <color theme="10"/>
      <name val="Calibri"/>
      <family val="2"/>
    </font>
    <font>
      <sz val="12"/>
      <color theme="1"/>
      <name val="Arial Narrow"/>
      <family val="2"/>
    </font>
    <font>
      <sz val="14"/>
      <name val="Arial Narrow"/>
      <family val="2"/>
    </font>
    <font>
      <i/>
      <u/>
      <sz val="12"/>
      <color rgb="FF000000"/>
      <name val="Arial Narrow"/>
      <family val="2"/>
    </font>
    <font>
      <b/>
      <i/>
      <u/>
      <sz val="12"/>
      <color rgb="FFFFFFFF"/>
      <name val="Calibri"/>
      <family val="2"/>
      <scheme val="minor"/>
    </font>
    <font>
      <i/>
      <u/>
      <sz val="12"/>
      <name val="Calibri"/>
      <family val="2"/>
      <scheme val="minor"/>
    </font>
    <font>
      <sz val="16"/>
      <name val="Arial Narrow"/>
      <family val="2"/>
    </font>
    <font>
      <sz val="14"/>
      <color rgb="FFFA7D00"/>
      <name val="Arial Narrow"/>
      <family val="2"/>
    </font>
    <font>
      <sz val="12"/>
      <color rgb="FFFA7D00"/>
      <name val="NEW Times"/>
      <family val="2"/>
    </font>
    <font>
      <sz val="14"/>
      <color rgb="FF000000"/>
      <name val="Arial Narrow"/>
      <family val="2"/>
    </font>
    <font>
      <i/>
      <u/>
      <sz val="12"/>
      <color rgb="FF000000"/>
      <name val="Calibri"/>
      <family val="2"/>
      <scheme val="minor"/>
    </font>
    <font>
      <i/>
      <u/>
      <sz val="12"/>
      <color rgb="FF0000FF"/>
      <name val="Calibri"/>
      <family val="2"/>
      <scheme val="minor"/>
    </font>
    <font>
      <i/>
      <sz val="12"/>
      <color rgb="FF000000"/>
      <name val="Bodoni MT Condensed"/>
      <family val="1"/>
    </font>
    <font>
      <sz val="14"/>
      <color theme="1"/>
      <name val="Calibri"/>
      <family val="2"/>
      <scheme val="minor"/>
    </font>
    <font>
      <b/>
      <sz val="12"/>
      <color rgb="FF000000"/>
      <name val="Arial Narrow"/>
      <family val="2"/>
    </font>
    <font>
      <i/>
      <sz val="14"/>
      <color rgb="FF000000"/>
      <name val="Bodoni MT Condensed"/>
      <family val="1"/>
    </font>
    <font>
      <sz val="11"/>
      <name val="Arial Narrow"/>
      <family val="2"/>
    </font>
    <font>
      <b/>
      <sz val="14"/>
      <name val="Calibri"/>
      <family val="2"/>
    </font>
    <font>
      <b/>
      <sz val="12"/>
      <name val="Calibri"/>
      <family val="2"/>
      <scheme val="minor"/>
    </font>
    <font>
      <b/>
      <i/>
      <sz val="12"/>
      <name val="Calibri"/>
      <family val="2"/>
      <scheme val="minor"/>
    </font>
    <font>
      <b/>
      <i/>
      <u/>
      <sz val="12"/>
      <color rgb="FF000000"/>
      <name val="Calibri"/>
      <family val="2"/>
      <scheme val="minor"/>
    </font>
    <font>
      <b/>
      <u/>
      <sz val="12"/>
      <color rgb="FF000000"/>
      <name val="Calibri"/>
      <family val="2"/>
    </font>
    <font>
      <sz val="12"/>
      <color rgb="FF000000"/>
      <name val="Calibri"/>
      <family val="2"/>
    </font>
    <font>
      <sz val="10"/>
      <color rgb="FF000000"/>
      <name val="Times New Roman"/>
      <family val="1"/>
    </font>
    <font>
      <u val="singleAccounting"/>
      <sz val="12"/>
      <color theme="1"/>
      <name val="Calibri"/>
      <family val="2"/>
      <scheme val="minor"/>
    </font>
    <font>
      <u val="singleAccounting"/>
      <sz val="12"/>
      <color rgb="FF000000"/>
      <name val="Calibri"/>
      <family val="2"/>
      <scheme val="minor"/>
    </font>
    <font>
      <b/>
      <sz val="12"/>
      <name val="Calibri"/>
      <family val="2"/>
    </font>
    <font>
      <b/>
      <i/>
      <sz val="12"/>
      <name val="Calibri"/>
      <family val="2"/>
    </font>
    <font>
      <b/>
      <i/>
      <u/>
      <sz val="12"/>
      <color rgb="FF000000"/>
      <name val="Calibri"/>
      <family val="2"/>
    </font>
    <font>
      <u/>
      <sz val="10"/>
      <color theme="10"/>
      <name val="Times New Roman"/>
      <family val="1"/>
    </font>
    <font>
      <sz val="10"/>
      <color rgb="FF637183"/>
      <name val="Calibri"/>
      <family val="2"/>
      <scheme val="minor"/>
    </font>
    <font>
      <sz val="11"/>
      <color rgb="FF000000"/>
      <name val="Calibri"/>
      <family val="2"/>
    </font>
    <font>
      <i/>
      <u/>
      <sz val="10"/>
      <color rgb="FF000000"/>
      <name val="Arial Narrow"/>
      <family val="2"/>
    </font>
    <font>
      <sz val="10"/>
      <color rgb="FF000000"/>
      <name val="Arial Narrow"/>
      <family val="2"/>
    </font>
    <font>
      <b/>
      <u/>
      <sz val="14"/>
      <color rgb="FF404040"/>
      <name val="Arial Narrow"/>
      <family val="2"/>
    </font>
    <font>
      <u/>
      <sz val="10"/>
      <color theme="10"/>
      <name val="Times New Roman"/>
      <family val="1"/>
    </font>
    <font>
      <sz val="10"/>
      <color rgb="FF000000"/>
      <name val="Times New Roman"/>
      <family val="1"/>
    </font>
    <font>
      <b/>
      <i/>
      <sz val="14"/>
      <color rgb="FF000000"/>
      <name val="Times New Roman"/>
      <family val="1"/>
    </font>
    <font>
      <b/>
      <i/>
      <u/>
      <sz val="14"/>
      <color rgb="FF000000"/>
      <name val="Times New Roman"/>
      <family val="1"/>
    </font>
    <font>
      <b/>
      <u/>
      <sz val="14"/>
      <color rgb="FF000000"/>
      <name val="Calibri"/>
      <family val="2"/>
      <scheme val="minor"/>
    </font>
    <font>
      <u/>
      <sz val="12"/>
      <color theme="1"/>
      <name val="Calibri"/>
      <family val="2"/>
      <scheme val="minor"/>
    </font>
    <font>
      <i/>
      <sz val="12"/>
      <color rgb="FF0070C0"/>
      <name val="Arial Narrow"/>
      <family val="2"/>
    </font>
    <font>
      <b/>
      <i/>
      <u/>
      <sz val="16"/>
      <color rgb="FF000000"/>
      <name val="Calibri"/>
      <family val="2"/>
      <scheme val="minor"/>
    </font>
    <font>
      <sz val="13.5"/>
      <color rgb="FF000000"/>
      <name val="Times New Roman"/>
      <family val="1"/>
    </font>
    <font>
      <b/>
      <sz val="12"/>
      <color rgb="FF000000"/>
      <name val="Times New Roman"/>
      <family val="1"/>
    </font>
    <font>
      <b/>
      <sz val="10"/>
      <color rgb="FF000000"/>
      <name val="Times New Roman"/>
      <family val="1"/>
    </font>
    <font>
      <sz val="8"/>
      <color rgb="FF000000"/>
      <name val="Times New Roman"/>
      <family val="1"/>
    </font>
    <font>
      <sz val="12"/>
      <name val="Calibri"/>
      <family val="2"/>
    </font>
    <font>
      <b/>
      <i/>
      <u/>
      <sz val="14"/>
      <name val="Calibri"/>
      <family val="2"/>
      <scheme val="minor"/>
    </font>
    <font>
      <u/>
      <sz val="12"/>
      <name val="Calibri"/>
      <family val="2"/>
      <scheme val="minor"/>
    </font>
    <font>
      <sz val="16"/>
      <color rgb="FF000000"/>
      <name val="Times New Roman"/>
      <family val="1"/>
    </font>
    <font>
      <b/>
      <i/>
      <u/>
      <sz val="14"/>
      <color theme="1"/>
      <name val="Times New Roman"/>
      <family val="1"/>
    </font>
    <font>
      <i/>
      <u/>
      <sz val="14"/>
      <color theme="1"/>
      <name val="Times New Roman"/>
      <family val="1"/>
    </font>
    <font>
      <b/>
      <i/>
      <sz val="14"/>
      <color theme="1"/>
      <name val="Times New Roman"/>
      <family val="1"/>
    </font>
    <font>
      <u/>
      <sz val="14"/>
      <color theme="1"/>
      <name val="Calibri"/>
      <family val="2"/>
      <scheme val="minor"/>
    </font>
    <font>
      <b/>
      <i/>
      <sz val="14"/>
      <name val="Times New Roman"/>
      <family val="1"/>
    </font>
    <font>
      <b/>
      <i/>
      <sz val="16"/>
      <color rgb="FF000000"/>
      <name val="Times New Roman"/>
      <family val="1"/>
    </font>
    <font>
      <sz val="10"/>
      <color rgb="FF231F20"/>
      <name val="Times New Roman"/>
      <family val="1"/>
    </font>
    <font>
      <b/>
      <sz val="14"/>
      <color rgb="FF000000"/>
      <name val="Arial Black"/>
      <family val="2"/>
    </font>
    <font>
      <u/>
      <sz val="14"/>
      <name val="Arial Black"/>
      <family val="2"/>
    </font>
    <font>
      <u/>
      <sz val="14"/>
      <color rgb="FF000000"/>
      <name val="Arial Black"/>
      <family val="2"/>
    </font>
    <font>
      <i/>
      <u/>
      <sz val="8"/>
      <color rgb="FF000000"/>
      <name val="Times New Roman"/>
      <family val="1"/>
    </font>
    <font>
      <sz val="11"/>
      <color rgb="FF000000"/>
      <name val="Arial"/>
      <family val="2"/>
    </font>
    <font>
      <sz val="11"/>
      <color rgb="FF323C46"/>
      <name val="Inherit"/>
    </font>
    <font>
      <sz val="14"/>
      <color rgb="FF727475"/>
      <name val="Arial"/>
      <family val="2"/>
    </font>
    <font>
      <sz val="14"/>
      <color theme="1"/>
      <name val="Arial"/>
      <family val="2"/>
    </font>
    <font>
      <sz val="14"/>
      <color rgb="FF60646D"/>
      <name val="Arial"/>
      <family val="2"/>
    </font>
    <font>
      <sz val="14"/>
      <color rgb="FF838789"/>
      <name val="Arial"/>
      <family val="2"/>
    </font>
    <font>
      <u/>
      <sz val="12"/>
      <color theme="10"/>
      <name val="Calibri"/>
      <family val="2"/>
      <scheme val="minor"/>
    </font>
    <font>
      <u/>
      <sz val="14"/>
      <color theme="10"/>
      <name val="Calibri"/>
      <family val="2"/>
      <scheme val="minor"/>
    </font>
    <font>
      <sz val="8"/>
      <color rgb="FF000000"/>
      <name val="Arial"/>
      <family val="2"/>
    </font>
    <font>
      <u/>
      <sz val="12"/>
      <color rgb="FF000000"/>
      <name val="Arial Narrow"/>
      <family val="2"/>
    </font>
    <font>
      <b/>
      <i/>
      <u/>
      <sz val="16"/>
      <color rgb="FF000000"/>
      <name val="Times New Roman"/>
      <family val="1"/>
    </font>
    <font>
      <b/>
      <i/>
      <u/>
      <sz val="18"/>
      <color rgb="FF000000"/>
      <name val="Times New Roman"/>
      <family val="1"/>
    </font>
    <font>
      <i/>
      <u/>
      <sz val="14"/>
      <color rgb="FF000000"/>
      <name val="Calibri"/>
      <family val="2"/>
      <scheme val="minor"/>
    </font>
    <font>
      <i/>
      <u/>
      <sz val="9"/>
      <color rgb="FF000000"/>
      <name val="Arial Narrow"/>
      <family val="2"/>
    </font>
    <font>
      <b/>
      <u/>
      <sz val="9"/>
      <color rgb="FF404040"/>
      <name val="Arial Narrow"/>
      <family val="2"/>
    </font>
    <font>
      <u/>
      <sz val="9"/>
      <color rgb="FF404040"/>
      <name val="Arial Narrow"/>
      <family val="2"/>
    </font>
    <font>
      <sz val="9"/>
      <color rgb="FF000000"/>
      <name val="Arial Narrow"/>
      <family val="2"/>
    </font>
    <font>
      <b/>
      <i/>
      <u/>
      <sz val="10"/>
      <name val="Calibri"/>
      <family val="2"/>
      <scheme val="minor"/>
    </font>
    <font>
      <b/>
      <u/>
      <sz val="10"/>
      <color rgb="FF000000"/>
      <name val="Calibri"/>
      <family val="2"/>
    </font>
    <font>
      <b/>
      <i/>
      <u/>
      <sz val="11"/>
      <name val="Calibri"/>
      <family val="2"/>
      <scheme val="minor"/>
    </font>
    <font>
      <sz val="10"/>
      <color rgb="FF000000"/>
      <name val="Calibri"/>
      <family val="2"/>
      <scheme val="minor"/>
    </font>
    <font>
      <b/>
      <sz val="10"/>
      <color rgb="FF000000"/>
      <name val="Calibri"/>
      <family val="2"/>
      <scheme val="minor"/>
    </font>
    <font>
      <sz val="9"/>
      <color rgb="FF000000"/>
      <name val="Calibri"/>
      <family val="2"/>
      <scheme val="minor"/>
    </font>
    <font>
      <sz val="9"/>
      <color rgb="FF000000"/>
      <name val="Times New Roman"/>
      <family val="1"/>
    </font>
    <font>
      <sz val="16"/>
      <color rgb="FF000000"/>
      <name val="Calibri"/>
      <family val="2"/>
      <scheme val="minor"/>
    </font>
    <font>
      <sz val="16"/>
      <color theme="1"/>
      <name val="Calibri"/>
      <family val="2"/>
      <scheme val="minor"/>
    </font>
    <font>
      <i/>
      <sz val="11"/>
      <color rgb="FF000000"/>
      <name val="Arial Narrow"/>
      <family val="2"/>
    </font>
    <font>
      <i/>
      <u val="singleAccounting"/>
      <sz val="11"/>
      <color rgb="FF0070C0"/>
      <name val="Arial Narrow"/>
      <family val="2"/>
    </font>
    <font>
      <u/>
      <sz val="12"/>
      <color theme="1"/>
      <name val="Calibri Light"/>
      <family val="2"/>
    </font>
    <font>
      <sz val="14"/>
      <color rgb="FF000000"/>
      <name val="Calibri"/>
      <family val="2"/>
    </font>
    <font>
      <sz val="14"/>
      <name val="Calibri"/>
      <family val="2"/>
    </font>
    <font>
      <sz val="16"/>
      <color rgb="FF000000"/>
      <name val="Calibri"/>
      <family val="2"/>
    </font>
    <font>
      <b/>
      <u/>
      <sz val="11"/>
      <color rgb="FF000000"/>
      <name val="Calibri"/>
      <family val="2"/>
    </font>
    <font>
      <b/>
      <sz val="14"/>
      <color rgb="FF000000"/>
      <name val="Times New Roman"/>
      <family val="1"/>
    </font>
    <font>
      <sz val="14"/>
      <color rgb="FF000000"/>
      <name val="Times New Roman"/>
      <family val="1"/>
    </font>
    <font>
      <b/>
      <u/>
      <sz val="14"/>
      <color rgb="FF000000"/>
      <name val="Times New Roman"/>
      <family val="1"/>
    </font>
    <font>
      <b/>
      <sz val="16"/>
      <color rgb="FF000000"/>
      <name val="Times New Roman"/>
      <family val="1"/>
    </font>
    <font>
      <b/>
      <u val="double"/>
      <sz val="14"/>
      <color rgb="FF000000"/>
      <name val="Times New Roman"/>
      <family val="1"/>
    </font>
    <font>
      <b/>
      <sz val="14"/>
      <name val="Calibri"/>
      <family val="2"/>
      <scheme val="minor"/>
    </font>
    <font>
      <b/>
      <u val="singleAccounting"/>
      <sz val="14"/>
      <color rgb="FF000000"/>
      <name val="Times New Roman"/>
      <family val="1"/>
    </font>
    <font>
      <b/>
      <sz val="10"/>
      <color theme="1"/>
      <name val="Arial"/>
      <family val="2"/>
    </font>
    <font>
      <sz val="12"/>
      <color rgb="FF323C46"/>
      <name val="Arial"/>
      <family val="2"/>
    </font>
    <font>
      <sz val="10"/>
      <color rgb="FF637183"/>
      <name val="Arial"/>
      <family val="2"/>
    </font>
    <font>
      <u/>
      <sz val="14"/>
      <name val="Arial Narrow"/>
      <family val="2"/>
    </font>
    <font>
      <sz val="7"/>
      <color rgb="FF606060"/>
      <name val="Roboto"/>
    </font>
    <font>
      <sz val="11"/>
      <color rgb="FF323C46"/>
      <name val="Arial"/>
      <family val="2"/>
    </font>
    <font>
      <sz val="12"/>
      <color rgb="FF222222"/>
      <name val="Arial"/>
      <family val="2"/>
    </font>
    <font>
      <sz val="11"/>
      <color rgb="FF5E5E5E"/>
      <name val="Google Sans"/>
      <charset val="1"/>
    </font>
    <font>
      <u/>
      <sz val="12"/>
      <color theme="10"/>
      <name val="Arial"/>
      <family val="2"/>
    </font>
    <font>
      <u/>
      <sz val="11"/>
      <color rgb="FF0563C1"/>
      <name val="Calibri"/>
      <family val="2"/>
      <scheme val="minor"/>
    </font>
    <font>
      <sz val="11"/>
      <color rgb="FF3B3D3F"/>
      <name val="Arial"/>
      <family val="2"/>
    </font>
    <font>
      <sz val="11"/>
      <color rgb="FF4F4F50"/>
      <name val="Arial"/>
      <family val="2"/>
    </font>
    <font>
      <b/>
      <sz val="14"/>
      <color rgb="FF000000"/>
      <name val="Calibri"/>
      <family val="2"/>
    </font>
    <font>
      <sz val="10"/>
      <color rgb="FF000000"/>
      <name val="Calibri"/>
      <family val="2"/>
    </font>
    <font>
      <b/>
      <sz val="12"/>
      <color rgb="FF000000"/>
      <name val="Calibri"/>
      <family val="2"/>
    </font>
    <font>
      <b/>
      <i/>
      <u/>
      <sz val="14"/>
      <color rgb="FF000000"/>
      <name val="Calibri"/>
      <family val="2"/>
    </font>
    <font>
      <b/>
      <i/>
      <sz val="12"/>
      <color rgb="FF000000"/>
      <name val="Calibri"/>
      <family val="2"/>
    </font>
    <font>
      <sz val="14"/>
      <color rgb="FF222222"/>
      <name val="Arial"/>
      <family val="2"/>
    </font>
    <font>
      <sz val="14"/>
      <color rgb="FF222222"/>
      <name val="Roboto"/>
    </font>
    <font>
      <b/>
      <sz val="13.5"/>
      <color rgb="FF5F6368"/>
      <name val="Roboto"/>
    </font>
    <font>
      <b/>
      <sz val="13.5"/>
      <color rgb="FF1F1F1F"/>
      <name val="Roboto"/>
    </font>
    <font>
      <b/>
      <sz val="13.5"/>
      <color rgb="FF5E5E5E"/>
      <name val="Roboto"/>
    </font>
    <font>
      <sz val="10"/>
      <color rgb="FF222222"/>
      <name val="Roboto"/>
    </font>
    <font>
      <sz val="10"/>
      <color rgb="FF5E5E5E"/>
      <name val="Roboto"/>
    </font>
    <font>
      <sz val="18"/>
      <color rgb="FF222222"/>
      <name val="Arial"/>
      <family val="2"/>
    </font>
    <font>
      <sz val="12"/>
      <color rgb="FF000000"/>
      <name val="Aptos"/>
      <family val="2"/>
    </font>
    <font>
      <sz val="12"/>
      <color rgb="FF000000"/>
      <name val="Symbol"/>
      <family val="1"/>
      <charset val="2"/>
    </font>
    <font>
      <sz val="7"/>
      <color rgb="FF000000"/>
      <name val="Times New Roman"/>
      <family val="1"/>
    </font>
    <font>
      <b/>
      <u/>
      <sz val="14"/>
      <name val="Calibri"/>
      <family val="2"/>
    </font>
    <font>
      <b/>
      <sz val="8"/>
      <name val="Calibri"/>
      <family val="2"/>
    </font>
    <font>
      <b/>
      <sz val="11"/>
      <color theme="1"/>
      <name val="Calibri"/>
      <family val="2"/>
      <scheme val="minor"/>
    </font>
    <font>
      <sz val="7"/>
      <color theme="1"/>
      <name val="Calibri"/>
      <family val="2"/>
      <scheme val="minor"/>
    </font>
    <font>
      <b/>
      <sz val="7"/>
      <color theme="1"/>
      <name val="Calibri"/>
      <family val="2"/>
      <scheme val="minor"/>
    </font>
    <font>
      <b/>
      <sz val="7"/>
      <color theme="1"/>
      <name val="Arial"/>
      <family val="2"/>
    </font>
    <font>
      <b/>
      <i/>
      <u/>
      <sz val="11"/>
      <color theme="1"/>
      <name val="Calibri"/>
      <family val="2"/>
      <scheme val="minor"/>
    </font>
    <font>
      <b/>
      <i/>
      <u/>
      <sz val="7"/>
      <color theme="1"/>
      <name val="Calibri"/>
      <family val="2"/>
      <scheme val="minor"/>
    </font>
  </fonts>
  <fills count="27">
    <fill>
      <patternFill patternType="none"/>
    </fill>
    <fill>
      <patternFill patternType="gray125"/>
    </fill>
    <fill>
      <patternFill patternType="solid">
        <fgColor rgb="FFFFFF00"/>
        <bgColor rgb="FF000000"/>
      </patternFill>
    </fill>
    <fill>
      <patternFill patternType="solid">
        <fgColor rgb="FFFFE699"/>
        <bgColor rgb="FF000000"/>
      </patternFill>
    </fill>
    <fill>
      <patternFill patternType="solid">
        <fgColor theme="7" tint="0.59999389629810485"/>
        <bgColor indexed="64"/>
      </patternFill>
    </fill>
    <fill>
      <patternFill patternType="solid">
        <fgColor theme="5"/>
        <bgColor indexed="64"/>
      </patternFill>
    </fill>
    <fill>
      <patternFill patternType="solid">
        <fgColor rgb="FFFFC000"/>
        <bgColor rgb="FF000000"/>
      </patternFill>
    </fill>
    <fill>
      <patternFill patternType="solid">
        <fgColor rgb="FFD9E1F2"/>
        <bgColor rgb="FFD9E1F2"/>
      </patternFill>
    </fill>
    <fill>
      <patternFill patternType="solid">
        <fgColor theme="0" tint="-4.9989318521683403E-2"/>
        <bgColor indexed="64"/>
      </patternFill>
    </fill>
    <fill>
      <patternFill patternType="solid">
        <fgColor rgb="FFA5A5A5"/>
        <bgColor rgb="FF000000"/>
      </patternFill>
    </fill>
    <fill>
      <patternFill patternType="solid">
        <fgColor rgb="FF92D050"/>
        <bgColor indexed="64"/>
      </patternFill>
    </fill>
    <fill>
      <patternFill patternType="solid">
        <fgColor rgb="FF00B050"/>
        <bgColor rgb="FF000000"/>
      </patternFill>
    </fill>
    <fill>
      <patternFill patternType="solid">
        <fgColor rgb="FF92D050"/>
        <bgColor rgb="FF000000"/>
      </patternFill>
    </fill>
    <fill>
      <patternFill patternType="solid">
        <fgColor rgb="FFFFFF00"/>
        <bgColor indexed="64"/>
      </patternFill>
    </fill>
    <fill>
      <patternFill patternType="solid">
        <fgColor theme="8"/>
        <bgColor indexed="64"/>
      </patternFill>
    </fill>
    <fill>
      <patternFill patternType="solid">
        <fgColor rgb="FFFF0000"/>
        <bgColor rgb="FF000000"/>
      </patternFill>
    </fill>
    <fill>
      <patternFill patternType="solid">
        <fgColor theme="2"/>
        <bgColor indexed="64"/>
      </patternFill>
    </fill>
    <fill>
      <patternFill patternType="solid">
        <fgColor theme="0"/>
        <bgColor rgb="FF000000"/>
      </patternFill>
    </fill>
    <fill>
      <patternFill patternType="solid">
        <fgColor theme="0"/>
        <bgColor indexed="64"/>
      </patternFill>
    </fill>
    <fill>
      <patternFill patternType="solid">
        <fgColor rgb="FFFFFFFF"/>
        <bgColor rgb="FF000000"/>
      </patternFill>
    </fill>
    <fill>
      <patternFill patternType="solid">
        <fgColor rgb="FFE7E6E6"/>
        <bgColor rgb="FF000000"/>
      </patternFill>
    </fill>
    <fill>
      <patternFill patternType="solid">
        <fgColor theme="7"/>
        <bgColor rgb="FF000000"/>
      </patternFill>
    </fill>
    <fill>
      <patternFill patternType="solid">
        <fgColor theme="2"/>
        <bgColor rgb="FF000000"/>
      </patternFill>
    </fill>
    <fill>
      <patternFill patternType="solid">
        <fgColor theme="6" tint="0.79998168889431442"/>
        <bgColor indexed="64"/>
      </patternFill>
    </fill>
    <fill>
      <patternFill patternType="solid">
        <fgColor theme="5" tint="0.79998168889431442"/>
        <bgColor indexed="64"/>
      </patternFill>
    </fill>
    <fill>
      <patternFill patternType="solid">
        <fgColor rgb="FFFFC000"/>
        <bgColor indexed="64"/>
      </patternFill>
    </fill>
    <fill>
      <patternFill patternType="solid">
        <fgColor theme="2" tint="-9.9978637043366805E-2"/>
        <bgColor indexed="64"/>
      </patternFill>
    </fill>
  </fills>
  <borders count="21">
    <border>
      <left/>
      <right/>
      <top/>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7F7F7F"/>
      </left>
      <right style="thin">
        <color rgb="FF7F7F7F"/>
      </right>
      <top style="thin">
        <color rgb="FF7F7F7F"/>
      </top>
      <bottom style="thin">
        <color rgb="FF7F7F7F"/>
      </bottom>
      <diagonal/>
    </border>
    <border>
      <left/>
      <right/>
      <top style="double">
        <color rgb="FF3F3F3F"/>
      </top>
      <bottom/>
      <diagonal/>
    </border>
    <border>
      <left/>
      <right/>
      <top/>
      <bottom style="thin">
        <color rgb="FF8EA9DB"/>
      </bottom>
      <diagonal/>
    </border>
    <border>
      <left style="thin">
        <color rgb="FF8EA9DB"/>
      </left>
      <right/>
      <top/>
      <bottom style="thin">
        <color rgb="FF8EA9DB"/>
      </bottom>
      <diagonal/>
    </border>
    <border>
      <left/>
      <right style="thin">
        <color rgb="FF8EA9DB"/>
      </right>
      <top/>
      <bottom style="thin">
        <color rgb="FF8EA9DB"/>
      </bottom>
      <diagonal/>
    </border>
    <border>
      <left/>
      <right/>
      <top/>
      <bottom style="thin">
        <color rgb="FF7F7F7F"/>
      </bottom>
      <diagonal/>
    </border>
    <border>
      <left style="thin">
        <color rgb="FF7F7F7F"/>
      </left>
      <right style="thin">
        <color rgb="FF7F7F7F"/>
      </right>
      <top/>
      <bottom style="thin">
        <color rgb="FF7F7F7F"/>
      </bottom>
      <diagonal/>
    </border>
    <border>
      <left/>
      <right/>
      <top style="thin">
        <color rgb="FF8EA9DB"/>
      </top>
      <bottom style="thin">
        <color rgb="FF8EA9DB"/>
      </bottom>
      <diagonal/>
    </border>
    <border>
      <left/>
      <right/>
      <top/>
      <bottom style="double">
        <color rgb="FF3F3F3F"/>
      </bottom>
      <diagonal/>
    </border>
    <border>
      <left style="thin">
        <color rgb="FF8EA9DB"/>
      </left>
      <right/>
      <top style="thin">
        <color rgb="FF8EA9DB"/>
      </top>
      <bottom style="thin">
        <color rgb="FF8EA9DB"/>
      </bottom>
      <diagonal/>
    </border>
    <border>
      <left/>
      <right/>
      <top style="thin">
        <color indexed="64"/>
      </top>
      <bottom style="thin">
        <color indexed="64"/>
      </bottom>
      <diagonal/>
    </border>
    <border>
      <left/>
      <right/>
      <top/>
      <bottom style="medium">
        <color rgb="FF000000"/>
      </bottom>
      <diagonal/>
    </border>
    <border>
      <left/>
      <right/>
      <top style="medium">
        <color rgb="FF000000"/>
      </top>
      <bottom/>
      <diagonal/>
    </border>
    <border>
      <left/>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s>
  <cellStyleXfs count="18">
    <xf numFmtId="0" fontId="0" fillId="0" borderId="0"/>
    <xf numFmtId="0" fontId="7" fillId="0" borderId="0"/>
    <xf numFmtId="0" fontId="9" fillId="0" borderId="0"/>
    <xf numFmtId="0" fontId="6" fillId="0" borderId="0"/>
    <xf numFmtId="0" fontId="37" fillId="0" borderId="0" applyNumberFormat="0" applyFill="0" applyBorder="0" applyAlignment="0" applyProtection="0">
      <alignment vertical="top"/>
      <protection locked="0"/>
    </xf>
    <xf numFmtId="44" fontId="60" fillId="0" borderId="0" applyFont="0" applyFill="0" applyBorder="0" applyAlignment="0" applyProtection="0"/>
    <xf numFmtId="0" fontId="8" fillId="0" borderId="0"/>
    <xf numFmtId="0" fontId="6" fillId="0" borderId="0"/>
    <xf numFmtId="0" fontId="5" fillId="0" borderId="0"/>
    <xf numFmtId="0" fontId="66" fillId="0" borderId="0" applyNumberFormat="0" applyFill="0" applyBorder="0" applyAlignment="0" applyProtection="0"/>
    <xf numFmtId="0" fontId="72" fillId="0" borderId="0" applyNumberFormat="0" applyFill="0" applyBorder="0" applyAlignment="0" applyProtection="0"/>
    <xf numFmtId="43" fontId="73" fillId="0" borderId="0" applyFont="0" applyFill="0" applyBorder="0" applyAlignment="0" applyProtection="0"/>
    <xf numFmtId="9" fontId="73" fillId="0" borderId="0" applyFont="0" applyFill="0" applyBorder="0" applyAlignment="0" applyProtection="0"/>
    <xf numFmtId="0" fontId="4" fillId="0" borderId="0"/>
    <xf numFmtId="0" fontId="3" fillId="0" borderId="0"/>
    <xf numFmtId="0" fontId="2" fillId="0" borderId="0"/>
    <xf numFmtId="0" fontId="37" fillId="0" borderId="0" applyNumberFormat="0" applyFill="0" applyBorder="0" applyAlignment="0" applyProtection="0">
      <alignment vertical="top"/>
      <protection locked="0"/>
    </xf>
    <xf numFmtId="0" fontId="1" fillId="0" borderId="0"/>
  </cellStyleXfs>
  <cellXfs count="620">
    <xf numFmtId="0" fontId="0" fillId="0" borderId="0" xfId="0" applyAlignment="1">
      <alignment horizontal="left" vertical="top"/>
    </xf>
    <xf numFmtId="0" fontId="9" fillId="0" borderId="0" xfId="2"/>
    <xf numFmtId="0" fontId="13" fillId="0" borderId="0" xfId="0" applyFont="1" applyAlignment="1">
      <alignment horizontal="left" vertical="top"/>
    </xf>
    <xf numFmtId="0" fontId="13" fillId="0" borderId="0" xfId="0" applyFont="1" applyAlignment="1">
      <alignment horizontal="left" vertical="top" wrapText="1"/>
    </xf>
    <xf numFmtId="0" fontId="13" fillId="0" borderId="0" xfId="0" applyFont="1" applyAlignment="1">
      <alignment horizontal="left" vertical="center" wrapText="1"/>
    </xf>
    <xf numFmtId="0" fontId="13" fillId="0" borderId="0" xfId="0" applyFont="1" applyAlignment="1">
      <alignment vertical="top"/>
    </xf>
    <xf numFmtId="0" fontId="13" fillId="0" borderId="0" xfId="0" applyFont="1" applyAlignment="1">
      <alignment horizontal="left" wrapText="1"/>
    </xf>
    <xf numFmtId="0" fontId="14" fillId="0" borderId="0" xfId="0" applyFont="1" applyAlignment="1">
      <alignment vertical="top" wrapText="1"/>
    </xf>
    <xf numFmtId="0" fontId="13" fillId="0" borderId="0" xfId="0" applyFont="1" applyAlignment="1">
      <alignment horizontal="center" vertical="top" wrapText="1"/>
    </xf>
    <xf numFmtId="0" fontId="13" fillId="0" borderId="0" xfId="0" applyFont="1" applyAlignment="1">
      <alignment horizontal="left" vertical="center"/>
    </xf>
    <xf numFmtId="0" fontId="14" fillId="0" borderId="0" xfId="0" applyFont="1" applyAlignment="1">
      <alignment horizontal="left" vertical="top" wrapText="1" indent="1"/>
    </xf>
    <xf numFmtId="0" fontId="13" fillId="0" borderId="0" xfId="0" applyFont="1" applyAlignment="1">
      <alignment horizontal="left" vertical="top" wrapText="1" indent="1"/>
    </xf>
    <xf numFmtId="0" fontId="13" fillId="0" borderId="0" xfId="0" applyFont="1" applyAlignment="1">
      <alignment horizontal="left" vertical="center" wrapText="1" indent="1"/>
    </xf>
    <xf numFmtId="0" fontId="8" fillId="0" borderId="0" xfId="0" applyFont="1" applyAlignment="1">
      <alignment horizontal="left" vertical="center" wrapText="1"/>
    </xf>
    <xf numFmtId="43" fontId="24" fillId="0" borderId="0" xfId="0" applyNumberFormat="1" applyFont="1"/>
    <xf numFmtId="0" fontId="26" fillId="0" borderId="0" xfId="0" applyFont="1"/>
    <xf numFmtId="43" fontId="25" fillId="0" borderId="0" xfId="0" applyNumberFormat="1" applyFont="1"/>
    <xf numFmtId="0" fontId="30" fillId="2" borderId="5" xfId="2" applyFont="1" applyFill="1" applyBorder="1" applyAlignment="1">
      <alignment horizontal="center" vertical="center" textRotation="255"/>
    </xf>
    <xf numFmtId="0" fontId="31" fillId="3" borderId="0" xfId="2" applyFont="1" applyFill="1" applyAlignment="1">
      <alignment horizontal="left" vertical="center"/>
    </xf>
    <xf numFmtId="0" fontId="12" fillId="0" borderId="0" xfId="2" applyFont="1"/>
    <xf numFmtId="0" fontId="30" fillId="2" borderId="0" xfId="2" applyFont="1" applyFill="1" applyAlignment="1">
      <alignment horizontal="center" vertical="center" textRotation="255"/>
    </xf>
    <xf numFmtId="0" fontId="34" fillId="0" borderId="0" xfId="2" applyFont="1" applyAlignment="1">
      <alignment vertical="center"/>
    </xf>
    <xf numFmtId="0" fontId="35" fillId="3" borderId="0" xfId="2" applyFont="1" applyFill="1" applyAlignment="1">
      <alignment vertical="top" wrapText="1"/>
    </xf>
    <xf numFmtId="0" fontId="34" fillId="3" borderId="0" xfId="2" applyFont="1" applyFill="1" applyAlignment="1">
      <alignment vertical="center"/>
    </xf>
    <xf numFmtId="0" fontId="36" fillId="0" borderId="6" xfId="2" applyFont="1" applyBorder="1" applyAlignment="1">
      <alignment vertical="center"/>
    </xf>
    <xf numFmtId="0" fontId="17" fillId="3" borderId="6" xfId="2" applyFont="1" applyFill="1" applyBorder="1" applyAlignment="1">
      <alignment vertical="center"/>
    </xf>
    <xf numFmtId="0" fontId="29" fillId="0" borderId="0" xfId="2" applyFont="1"/>
    <xf numFmtId="0" fontId="29" fillId="3" borderId="0" xfId="2" applyFont="1" applyFill="1"/>
    <xf numFmtId="0" fontId="17" fillId="6" borderId="7" xfId="2" applyFont="1" applyFill="1" applyBorder="1" applyAlignment="1">
      <alignment vertical="center"/>
    </xf>
    <xf numFmtId="0" fontId="17" fillId="0" borderId="7" xfId="2" applyFont="1" applyBorder="1" applyAlignment="1">
      <alignment vertical="center"/>
    </xf>
    <xf numFmtId="0" fontId="17" fillId="7" borderId="7" xfId="2" applyFont="1" applyFill="1" applyBorder="1" applyAlignment="1">
      <alignment vertical="center"/>
    </xf>
    <xf numFmtId="0" fontId="17" fillId="0" borderId="6" xfId="2" applyFont="1" applyBorder="1" applyAlignment="1">
      <alignment vertical="center"/>
    </xf>
    <xf numFmtId="0" fontId="17" fillId="7" borderId="6" xfId="2" applyFont="1" applyFill="1" applyBorder="1" applyAlignment="1">
      <alignment vertical="center"/>
    </xf>
    <xf numFmtId="0" fontId="17" fillId="0" borderId="6" xfId="2" applyFont="1" applyBorder="1" applyAlignment="1">
      <alignment horizontal="left" vertical="center"/>
    </xf>
    <xf numFmtId="0" fontId="29" fillId="7" borderId="8" xfId="2" applyFont="1" applyFill="1" applyBorder="1" applyAlignment="1">
      <alignment horizontal="left" vertical="center"/>
    </xf>
    <xf numFmtId="0" fontId="17" fillId="0" borderId="8" xfId="2" applyFont="1" applyBorder="1" applyAlignment="1">
      <alignment horizontal="left" vertical="center"/>
    </xf>
    <xf numFmtId="0" fontId="17" fillId="0" borderId="0" xfId="2" applyFont="1" applyAlignment="1">
      <alignment horizontal="left" vertical="center"/>
    </xf>
    <xf numFmtId="0" fontId="29" fillId="6" borderId="0" xfId="2" applyFont="1" applyFill="1"/>
    <xf numFmtId="0" fontId="41" fillId="9" borderId="0" xfId="2" applyFont="1" applyFill="1" applyAlignment="1">
      <alignment horizontal="center" vertical="center" textRotation="255"/>
    </xf>
    <xf numFmtId="0" fontId="12" fillId="10" borderId="0" xfId="2" applyFont="1" applyFill="1"/>
    <xf numFmtId="0" fontId="31" fillId="6" borderId="0" xfId="2" applyFont="1" applyFill="1" applyAlignment="1">
      <alignment vertical="center"/>
    </xf>
    <xf numFmtId="0" fontId="18" fillId="0" borderId="0" xfId="2" applyFont="1" applyAlignment="1">
      <alignment vertical="center"/>
    </xf>
    <xf numFmtId="0" fontId="18" fillId="11" borderId="0" xfId="2" applyFont="1" applyFill="1" applyAlignment="1">
      <alignment vertical="center"/>
    </xf>
    <xf numFmtId="0" fontId="17" fillId="0" borderId="0" xfId="2" applyFont="1" applyAlignment="1">
      <alignment vertical="center"/>
    </xf>
    <xf numFmtId="0" fontId="34" fillId="11" borderId="0" xfId="2" applyFont="1" applyFill="1" applyAlignment="1">
      <alignment vertical="center"/>
    </xf>
    <xf numFmtId="0" fontId="17" fillId="11" borderId="0" xfId="2" applyFont="1" applyFill="1" applyAlignment="1">
      <alignment vertical="center"/>
    </xf>
    <xf numFmtId="0" fontId="41" fillId="12" borderId="0" xfId="2" applyFont="1" applyFill="1" applyAlignment="1">
      <alignment horizontal="center" vertical="center" textRotation="255"/>
    </xf>
    <xf numFmtId="0" fontId="12" fillId="0" borderId="0" xfId="2" applyFont="1" applyAlignment="1">
      <alignment vertical="center" textRotation="45" wrapText="1"/>
    </xf>
    <xf numFmtId="0" fontId="17" fillId="0" borderId="0" xfId="2" applyFont="1"/>
    <xf numFmtId="0" fontId="12" fillId="0" borderId="9" xfId="2" applyFont="1" applyBorder="1" applyAlignment="1">
      <alignment vertical="center" textRotation="45" wrapText="1"/>
    </xf>
    <xf numFmtId="0" fontId="17" fillId="6" borderId="0" xfId="2" applyFont="1" applyFill="1"/>
    <xf numFmtId="165" fontId="44" fillId="0" borderId="4" xfId="2" applyNumberFormat="1" applyFont="1" applyBorder="1" applyAlignment="1">
      <alignment horizontal="left" vertical="center"/>
    </xf>
    <xf numFmtId="43" fontId="45" fillId="0" borderId="4" xfId="2" applyNumberFormat="1" applyFont="1" applyBorder="1" applyAlignment="1">
      <alignment vertical="top"/>
    </xf>
    <xf numFmtId="43" fontId="45" fillId="0" borderId="10" xfId="2" applyNumberFormat="1" applyFont="1" applyBorder="1" applyAlignment="1">
      <alignment vertical="top"/>
    </xf>
    <xf numFmtId="43" fontId="45" fillId="13" borderId="10" xfId="2" applyNumberFormat="1" applyFont="1" applyFill="1" applyBorder="1" applyAlignment="1">
      <alignment vertical="center"/>
    </xf>
    <xf numFmtId="0" fontId="47" fillId="6" borderId="11" xfId="2" applyFont="1" applyFill="1" applyBorder="1" applyAlignment="1">
      <alignment horizontal="center" vertical="center"/>
    </xf>
    <xf numFmtId="0" fontId="34" fillId="0" borderId="6" xfId="2" applyFont="1" applyBorder="1" applyAlignment="1">
      <alignment vertical="center"/>
    </xf>
    <xf numFmtId="0" fontId="34" fillId="7" borderId="6" xfId="2" applyFont="1" applyFill="1" applyBorder="1" applyAlignment="1">
      <alignment vertical="center"/>
    </xf>
    <xf numFmtId="0" fontId="48" fillId="0" borderId="6" xfId="2" applyFont="1" applyBorder="1" applyAlignment="1">
      <alignment horizontal="left" vertical="center"/>
    </xf>
    <xf numFmtId="0" fontId="49" fillId="6" borderId="0" xfId="2" applyFont="1" applyFill="1" applyAlignment="1">
      <alignment horizontal="left"/>
    </xf>
    <xf numFmtId="0" fontId="13" fillId="7" borderId="13" xfId="2" applyFont="1" applyFill="1" applyBorder="1" applyAlignment="1">
      <alignment horizontal="left"/>
    </xf>
    <xf numFmtId="0" fontId="13" fillId="0" borderId="7" xfId="2" applyFont="1" applyBorder="1" applyAlignment="1">
      <alignment horizontal="left"/>
    </xf>
    <xf numFmtId="0" fontId="13" fillId="7" borderId="7" xfId="2" applyFont="1" applyFill="1" applyBorder="1" applyAlignment="1">
      <alignment horizontal="left"/>
    </xf>
    <xf numFmtId="0" fontId="13" fillId="0" borderId="6" xfId="2" applyFont="1" applyBorder="1" applyAlignment="1">
      <alignment horizontal="left"/>
    </xf>
    <xf numFmtId="0" fontId="13" fillId="7" borderId="6" xfId="2" applyFont="1" applyFill="1" applyBorder="1" applyAlignment="1">
      <alignment horizontal="left"/>
    </xf>
    <xf numFmtId="0" fontId="51" fillId="7" borderId="7" xfId="2" applyFont="1" applyFill="1" applyBorder="1" applyAlignment="1">
      <alignment horizontal="left"/>
    </xf>
    <xf numFmtId="0" fontId="13" fillId="0" borderId="7" xfId="2" applyFont="1" applyBorder="1" applyAlignment="1">
      <alignment horizontal="left" wrapText="1"/>
    </xf>
    <xf numFmtId="0" fontId="13" fillId="15" borderId="0" xfId="2" applyFont="1" applyFill="1" applyAlignment="1">
      <alignment horizontal="left" wrapText="1"/>
    </xf>
    <xf numFmtId="0" fontId="52" fillId="6" borderId="0" xfId="2" applyFont="1" applyFill="1" applyAlignment="1">
      <alignment horizontal="left"/>
    </xf>
    <xf numFmtId="0" fontId="53" fillId="0" borderId="0" xfId="2" applyFont="1"/>
    <xf numFmtId="0" fontId="43" fillId="0" borderId="0" xfId="2" applyFont="1"/>
    <xf numFmtId="14" fontId="46" fillId="0" borderId="0" xfId="2" applyNumberFormat="1" applyFont="1"/>
    <xf numFmtId="4" fontId="6" fillId="0" borderId="0" xfId="3" applyNumberFormat="1"/>
    <xf numFmtId="0" fontId="54" fillId="0" borderId="0" xfId="0" applyFont="1" applyAlignment="1">
      <alignment horizontal="left" vertical="center"/>
    </xf>
    <xf numFmtId="0" fontId="17" fillId="0" borderId="0" xfId="0" applyFont="1" applyAlignment="1">
      <alignment horizontal="left" vertical="top"/>
    </xf>
    <xf numFmtId="0" fontId="17" fillId="0" borderId="0" xfId="0" applyFont="1" applyAlignment="1">
      <alignment horizontal="center" vertical="top"/>
    </xf>
    <xf numFmtId="3" fontId="12" fillId="0" borderId="0" xfId="3" applyNumberFormat="1" applyFont="1"/>
    <xf numFmtId="0" fontId="12" fillId="0" borderId="0" xfId="3" applyFont="1"/>
    <xf numFmtId="4" fontId="12" fillId="0" borderId="0" xfId="3" applyNumberFormat="1" applyFont="1"/>
    <xf numFmtId="0" fontId="55" fillId="0" borderId="0" xfId="0" applyFont="1" applyAlignment="1">
      <alignment horizontal="left" vertical="center"/>
    </xf>
    <xf numFmtId="0" fontId="17" fillId="0" borderId="0" xfId="0" applyFont="1"/>
    <xf numFmtId="0" fontId="57" fillId="0" borderId="0" xfId="0" applyFont="1" applyAlignment="1">
      <alignment horizontal="left" vertical="top"/>
    </xf>
    <xf numFmtId="49" fontId="58" fillId="0" borderId="1" xfId="0" applyNumberFormat="1" applyFont="1" applyBorder="1"/>
    <xf numFmtId="49" fontId="58" fillId="0" borderId="1" xfId="0" applyNumberFormat="1" applyFont="1" applyBorder="1" applyAlignment="1">
      <alignment horizontal="center"/>
    </xf>
    <xf numFmtId="0" fontId="17" fillId="0" borderId="0" xfId="0" applyFont="1" applyAlignment="1">
      <alignment horizontal="center"/>
    </xf>
    <xf numFmtId="0" fontId="59" fillId="0" borderId="0" xfId="0" applyFont="1" applyAlignment="1">
      <alignment horizontal="center"/>
    </xf>
    <xf numFmtId="0" fontId="8" fillId="0" borderId="0" xfId="0" applyFont="1" applyAlignment="1">
      <alignment horizontal="left" vertical="top"/>
    </xf>
    <xf numFmtId="167" fontId="17" fillId="0" borderId="0" xfId="0" applyNumberFormat="1" applyFont="1" applyAlignment="1">
      <alignment horizontal="center"/>
    </xf>
    <xf numFmtId="44" fontId="12" fillId="0" borderId="0" xfId="5" applyFont="1"/>
    <xf numFmtId="44" fontId="61" fillId="0" borderId="0" xfId="5" applyFont="1"/>
    <xf numFmtId="44" fontId="62" fillId="0" borderId="0" xfId="5" applyFont="1" applyAlignment="1">
      <alignment horizontal="left" vertical="top"/>
    </xf>
    <xf numFmtId="0" fontId="56" fillId="0" borderId="0" xfId="0" applyFont="1" applyAlignment="1">
      <alignment horizontal="left" vertical="center"/>
    </xf>
    <xf numFmtId="3" fontId="59" fillId="0" borderId="0" xfId="0" applyNumberFormat="1" applyFont="1"/>
    <xf numFmtId="0" fontId="59" fillId="0" borderId="0" xfId="0" applyFont="1"/>
    <xf numFmtId="0" fontId="63" fillId="0" borderId="0" xfId="0" applyFont="1" applyAlignment="1">
      <alignment horizontal="left" vertical="center"/>
    </xf>
    <xf numFmtId="0" fontId="64" fillId="0" borderId="0" xfId="0" applyFont="1" applyAlignment="1">
      <alignment horizontal="left" vertical="center"/>
    </xf>
    <xf numFmtId="0" fontId="65" fillId="0" borderId="0" xfId="0" applyFont="1" applyAlignment="1">
      <alignment horizontal="left" vertical="top"/>
    </xf>
    <xf numFmtId="0" fontId="12" fillId="0" borderId="0" xfId="3" applyFont="1" applyAlignment="1">
      <alignment horizontal="center"/>
    </xf>
    <xf numFmtId="166" fontId="11" fillId="0" borderId="0" xfId="3" applyNumberFormat="1" applyFont="1" applyAlignment="1">
      <alignment vertical="top"/>
    </xf>
    <xf numFmtId="1" fontId="11" fillId="0" borderId="0" xfId="3" applyNumberFormat="1" applyFont="1" applyAlignment="1">
      <alignment vertical="top"/>
    </xf>
    <xf numFmtId="0" fontId="20" fillId="0" borderId="0" xfId="0" applyFont="1" applyAlignment="1">
      <alignment horizontal="center" vertical="top"/>
    </xf>
    <xf numFmtId="49" fontId="11" fillId="0" borderId="0" xfId="3" applyNumberFormat="1" applyFont="1"/>
    <xf numFmtId="0" fontId="13" fillId="0" borderId="0" xfId="0" applyFont="1" applyAlignment="1">
      <alignment horizontal="center" vertical="center" wrapText="1"/>
    </xf>
    <xf numFmtId="43" fontId="22" fillId="0" borderId="0" xfId="0" applyNumberFormat="1" applyFont="1" applyAlignment="1">
      <alignment horizontal="center"/>
    </xf>
    <xf numFmtId="0" fontId="17" fillId="0" borderId="0" xfId="0" applyFont="1" applyAlignment="1">
      <alignment horizontal="left" vertical="center"/>
    </xf>
    <xf numFmtId="0" fontId="57" fillId="0" borderId="0" xfId="0" applyFont="1" applyAlignment="1">
      <alignment vertical="top"/>
    </xf>
    <xf numFmtId="0" fontId="9" fillId="0" borderId="0" xfId="2" applyAlignment="1">
      <alignment wrapText="1"/>
    </xf>
    <xf numFmtId="0" fontId="8" fillId="0" borderId="0" xfId="6" applyAlignment="1">
      <alignment horizontal="left" vertical="top"/>
    </xf>
    <xf numFmtId="0" fontId="11" fillId="0" borderId="2" xfId="6" applyFont="1" applyBorder="1" applyAlignment="1">
      <alignment horizontal="center" wrapText="1"/>
    </xf>
    <xf numFmtId="43" fontId="25" fillId="0" borderId="0" xfId="0" applyNumberFormat="1" applyFont="1" applyAlignment="1">
      <alignment horizontal="center"/>
    </xf>
    <xf numFmtId="44" fontId="12" fillId="0" borderId="0" xfId="5" applyFont="1" applyAlignment="1"/>
    <xf numFmtId="0" fontId="25" fillId="0" borderId="0" xfId="0" applyFont="1" applyAlignment="1">
      <alignment horizontal="center"/>
    </xf>
    <xf numFmtId="0" fontId="31" fillId="3" borderId="0" xfId="0" applyFont="1" applyFill="1" applyAlignment="1">
      <alignment horizontal="left" vertical="center"/>
    </xf>
    <xf numFmtId="0" fontId="33" fillId="0" borderId="0" xfId="0" applyFont="1"/>
    <xf numFmtId="0" fontId="25" fillId="0" borderId="0" xfId="0" applyFont="1"/>
    <xf numFmtId="0" fontId="67" fillId="0" borderId="0" xfId="0" applyFont="1"/>
    <xf numFmtId="0" fontId="22" fillId="0" borderId="0" xfId="0" applyFont="1"/>
    <xf numFmtId="0" fontId="46" fillId="0" borderId="0" xfId="0" applyFont="1"/>
    <xf numFmtId="43" fontId="25" fillId="0" borderId="0" xfId="0" applyNumberFormat="1" applyFont="1" applyAlignment="1">
      <alignment horizontal="left" indent="2"/>
    </xf>
    <xf numFmtId="43" fontId="22" fillId="0" borderId="0" xfId="0" applyNumberFormat="1" applyFont="1" applyAlignment="1">
      <alignment horizontal="center" vertical="top"/>
    </xf>
    <xf numFmtId="0" fontId="22" fillId="0" borderId="0" xfId="0" applyFont="1" applyAlignment="1">
      <alignment horizontal="center"/>
    </xf>
    <xf numFmtId="43" fontId="69" fillId="0" borderId="0" xfId="0" applyNumberFormat="1" applyFont="1"/>
    <xf numFmtId="0" fontId="8" fillId="0" borderId="0" xfId="0" applyFont="1" applyAlignment="1">
      <alignment vertical="top"/>
    </xf>
    <xf numFmtId="44" fontId="78" fillId="0" borderId="0" xfId="0" applyNumberFormat="1" applyFont="1" applyAlignment="1">
      <alignment vertical="center"/>
    </xf>
    <xf numFmtId="3" fontId="12" fillId="0" borderId="0" xfId="3" applyNumberFormat="1" applyFont="1" applyAlignment="1">
      <alignment horizontal="center"/>
    </xf>
    <xf numFmtId="169" fontId="77" fillId="0" borderId="0" xfId="5" applyNumberFormat="1" applyFont="1"/>
    <xf numFmtId="169" fontId="58" fillId="0" borderId="1" xfId="0" applyNumberFormat="1" applyFont="1" applyBorder="1" applyAlignment="1">
      <alignment horizontal="center"/>
    </xf>
    <xf numFmtId="169" fontId="12" fillId="0" borderId="0" xfId="3" applyNumberFormat="1" applyFont="1"/>
    <xf numFmtId="43" fontId="77" fillId="0" borderId="0" xfId="11" applyFont="1" applyAlignment="1">
      <alignment horizontal="center"/>
    </xf>
    <xf numFmtId="165" fontId="77" fillId="0" borderId="0" xfId="11" applyNumberFormat="1" applyFont="1" applyAlignment="1">
      <alignment horizontal="center"/>
    </xf>
    <xf numFmtId="7" fontId="12" fillId="0" borderId="0" xfId="5" applyNumberFormat="1" applyFont="1"/>
    <xf numFmtId="0" fontId="19" fillId="0" borderId="0" xfId="0" applyFont="1" applyAlignment="1">
      <alignment horizontal="right"/>
    </xf>
    <xf numFmtId="169" fontId="17" fillId="0" borderId="0" xfId="0" applyNumberFormat="1" applyFont="1" applyAlignment="1">
      <alignment vertical="top"/>
    </xf>
    <xf numFmtId="1" fontId="11" fillId="0" borderId="0" xfId="3" applyNumberFormat="1" applyFont="1" applyAlignment="1">
      <alignment horizontal="right" vertical="top"/>
    </xf>
    <xf numFmtId="0" fontId="0" fillId="0" borderId="0" xfId="0" applyAlignment="1">
      <alignment horizontal="left" vertical="top" wrapText="1"/>
    </xf>
    <xf numFmtId="0" fontId="13" fillId="0" borderId="0" xfId="0" applyFont="1" applyAlignment="1">
      <alignment horizontal="center" vertical="center"/>
    </xf>
    <xf numFmtId="0" fontId="14" fillId="0" borderId="0" xfId="0" applyFont="1" applyAlignment="1">
      <alignment horizontal="center" vertical="top" wrapText="1"/>
    </xf>
    <xf numFmtId="43" fontId="25" fillId="0" borderId="0" xfId="0" applyNumberFormat="1" applyFont="1" applyAlignment="1">
      <alignment horizontal="left" vertical="top"/>
    </xf>
    <xf numFmtId="0" fontId="54" fillId="0" borderId="0" xfId="0" applyFont="1" applyAlignment="1">
      <alignment horizontal="left" vertical="top" wrapText="1"/>
    </xf>
    <xf numFmtId="0" fontId="54" fillId="0" borderId="0" xfId="0" applyFont="1" applyAlignment="1">
      <alignment horizontal="left" vertical="center" wrapText="1"/>
    </xf>
    <xf numFmtId="0" fontId="54" fillId="0" borderId="0" xfId="0" applyFont="1" applyAlignment="1">
      <alignment horizontal="left" vertical="top" wrapText="1" indent="1"/>
    </xf>
    <xf numFmtId="0" fontId="54" fillId="0" borderId="0" xfId="0" applyFont="1" applyAlignment="1">
      <alignment horizontal="left" vertical="center" wrapText="1" indent="3"/>
    </xf>
    <xf numFmtId="0" fontId="54" fillId="0" borderId="0" xfId="0" applyFont="1" applyAlignment="1">
      <alignment horizontal="left" vertical="top" wrapText="1" indent="3"/>
    </xf>
    <xf numFmtId="0" fontId="34" fillId="0" borderId="0" xfId="0" applyFont="1" applyAlignment="1">
      <alignment horizontal="left" vertical="top"/>
    </xf>
    <xf numFmtId="0" fontId="11" fillId="0" borderId="2" xfId="6" applyFont="1" applyBorder="1" applyAlignment="1">
      <alignment horizontal="left"/>
    </xf>
    <xf numFmtId="0" fontId="8" fillId="0" borderId="0" xfId="0" applyFont="1" applyAlignment="1">
      <alignment horizontal="left" vertical="center"/>
    </xf>
    <xf numFmtId="0" fontId="80" fillId="0" borderId="0" xfId="0" applyFont="1" applyAlignment="1">
      <alignment horizontal="left" vertical="center"/>
    </xf>
    <xf numFmtId="0" fontId="81" fillId="0" borderId="0" xfId="0" applyFont="1" applyAlignment="1">
      <alignment horizontal="center" vertical="center"/>
    </xf>
    <xf numFmtId="4" fontId="8" fillId="0" borderId="0" xfId="0" applyNumberFormat="1" applyFont="1" applyAlignment="1">
      <alignment horizontal="center" vertical="center"/>
    </xf>
    <xf numFmtId="8" fontId="82" fillId="0" borderId="0" xfId="0" applyNumberFormat="1" applyFont="1" applyAlignment="1">
      <alignment horizontal="center" vertical="center"/>
    </xf>
    <xf numFmtId="0" fontId="82" fillId="0" borderId="0" xfId="0" applyFont="1" applyAlignment="1">
      <alignment horizontal="left" vertical="center"/>
    </xf>
    <xf numFmtId="0" fontId="8" fillId="0" borderId="0" xfId="0" applyFont="1" applyAlignment="1">
      <alignment horizontal="left" vertical="center" indent="15"/>
    </xf>
    <xf numFmtId="0" fontId="81" fillId="0" borderId="0" xfId="0" applyFont="1" applyAlignment="1">
      <alignment horizontal="left" vertical="center"/>
    </xf>
    <xf numFmtId="0" fontId="82" fillId="0" borderId="15" xfId="0" applyFont="1" applyBorder="1" applyAlignment="1">
      <alignment horizontal="right" vertical="center" wrapText="1"/>
    </xf>
    <xf numFmtId="0" fontId="8" fillId="0" borderId="15" xfId="0" applyFont="1" applyBorder="1" applyAlignment="1">
      <alignment horizontal="left" vertical="center" wrapText="1"/>
    </xf>
    <xf numFmtId="10" fontId="82" fillId="0" borderId="15" xfId="0" applyNumberFormat="1" applyFont="1" applyBorder="1" applyAlignment="1">
      <alignment horizontal="right" vertical="center" wrapText="1"/>
    </xf>
    <xf numFmtId="0" fontId="82" fillId="0" borderId="0" xfId="0" applyFont="1" applyAlignment="1">
      <alignment horizontal="right" vertical="center" wrapText="1"/>
    </xf>
    <xf numFmtId="10" fontId="82" fillId="0" borderId="0" xfId="0" applyNumberFormat="1" applyFont="1" applyAlignment="1">
      <alignment horizontal="right" vertical="center" wrapText="1"/>
    </xf>
    <xf numFmtId="0" fontId="83" fillId="0" borderId="0" xfId="0" applyFont="1" applyAlignment="1">
      <alignment horizontal="left" vertical="center" wrapText="1"/>
    </xf>
    <xf numFmtId="4" fontId="82" fillId="0" borderId="0" xfId="0" applyNumberFormat="1" applyFont="1" applyAlignment="1">
      <alignment horizontal="right" vertical="center" wrapText="1"/>
    </xf>
    <xf numFmtId="0" fontId="82" fillId="0" borderId="0" xfId="0" applyFont="1" applyAlignment="1">
      <alignment horizontal="left" vertical="center" wrapText="1"/>
    </xf>
    <xf numFmtId="4" fontId="82" fillId="0" borderId="15" xfId="0" applyNumberFormat="1" applyFont="1" applyBorder="1" applyAlignment="1">
      <alignment horizontal="right" vertical="center" wrapText="1"/>
    </xf>
    <xf numFmtId="0" fontId="81" fillId="0" borderId="0" xfId="0" applyFont="1" applyAlignment="1">
      <alignment horizontal="left" vertical="center" wrapText="1"/>
    </xf>
    <xf numFmtId="0" fontId="81" fillId="0" borderId="15" xfId="0" applyFont="1" applyBorder="1" applyAlignment="1">
      <alignment horizontal="left" vertical="center" wrapText="1"/>
    </xf>
    <xf numFmtId="0" fontId="81" fillId="0" borderId="15" xfId="0" applyFont="1" applyBorder="1" applyAlignment="1">
      <alignment horizontal="right" vertical="center" wrapText="1"/>
    </xf>
    <xf numFmtId="0" fontId="82" fillId="0" borderId="15" xfId="0" applyFont="1" applyBorder="1" applyAlignment="1">
      <alignment horizontal="left" vertical="center" wrapText="1"/>
    </xf>
    <xf numFmtId="0" fontId="83" fillId="0" borderId="0" xfId="0" applyFont="1" applyAlignment="1">
      <alignment horizontal="left" vertical="center"/>
    </xf>
    <xf numFmtId="0" fontId="8" fillId="0" borderId="0" xfId="0" applyFont="1" applyAlignment="1">
      <alignment horizontal="left" vertical="center" indent="1"/>
    </xf>
    <xf numFmtId="0" fontId="81" fillId="0" borderId="0" xfId="0" applyFont="1" applyAlignment="1">
      <alignment horizontal="left" vertical="center" indent="1"/>
    </xf>
    <xf numFmtId="0" fontId="55" fillId="0" borderId="0" xfId="0" applyFont="1" applyAlignment="1">
      <alignment horizontal="center" vertical="center"/>
    </xf>
    <xf numFmtId="0" fontId="84" fillId="0" borderId="0" xfId="0" applyFont="1" applyAlignment="1">
      <alignment horizontal="left" vertical="center" indent="3"/>
    </xf>
    <xf numFmtId="0" fontId="54" fillId="0" borderId="0" xfId="0" applyFont="1" applyAlignment="1">
      <alignment horizontal="left"/>
    </xf>
    <xf numFmtId="0" fontId="84" fillId="0" borderId="0" xfId="0" applyFont="1" applyAlignment="1">
      <alignment horizontal="left" vertical="top" wrapText="1" indent="3"/>
    </xf>
    <xf numFmtId="0" fontId="84" fillId="0" borderId="0" xfId="0" applyFont="1" applyAlignment="1">
      <alignment horizontal="left" vertical="center" wrapText="1" indent="3"/>
    </xf>
    <xf numFmtId="0" fontId="54" fillId="0" borderId="0" xfId="0" applyFont="1" applyAlignment="1">
      <alignment horizontal="left" wrapText="1"/>
    </xf>
    <xf numFmtId="0" fontId="63" fillId="0" borderId="0" xfId="0" applyFont="1" applyAlignment="1">
      <alignment horizontal="left" vertical="top" wrapText="1" indent="3"/>
    </xf>
    <xf numFmtId="0" fontId="84" fillId="0" borderId="0" xfId="0" applyFont="1" applyAlignment="1">
      <alignment horizontal="left" vertical="top" wrapText="1" indent="1"/>
    </xf>
    <xf numFmtId="0" fontId="17" fillId="0" borderId="0" xfId="0" applyFont="1" applyAlignment="1">
      <alignment horizontal="left" vertical="top" wrapText="1"/>
    </xf>
    <xf numFmtId="0" fontId="85" fillId="0" borderId="0" xfId="0" applyFont="1" applyAlignment="1">
      <alignment horizontal="center" vertical="center"/>
    </xf>
    <xf numFmtId="0" fontId="86" fillId="0" borderId="0" xfId="0" applyFont="1" applyAlignment="1">
      <alignment horizontal="left" vertical="center" indent="3"/>
    </xf>
    <xf numFmtId="0" fontId="87" fillId="0" borderId="0" xfId="0" applyFont="1" applyAlignment="1">
      <alignment horizontal="left"/>
    </xf>
    <xf numFmtId="0" fontId="84" fillId="0" borderId="0" xfId="0" applyFont="1" applyAlignment="1">
      <alignment horizontal="left" vertical="top" indent="1"/>
    </xf>
    <xf numFmtId="0" fontId="63" fillId="0" borderId="0" xfId="0" applyFont="1" applyAlignment="1">
      <alignment horizontal="left" wrapText="1" indent="3"/>
    </xf>
    <xf numFmtId="0" fontId="84" fillId="0" borderId="0" xfId="0" applyFont="1" applyAlignment="1">
      <alignment horizontal="left" vertical="top" wrapText="1" indent="6"/>
    </xf>
    <xf numFmtId="0" fontId="84" fillId="0" borderId="0" xfId="0" applyFont="1" applyAlignment="1">
      <alignment horizontal="left" vertical="top" indent="3"/>
    </xf>
    <xf numFmtId="0" fontId="84" fillId="0" borderId="0" xfId="0" applyFont="1" applyAlignment="1">
      <alignment horizontal="left" vertical="top" indent="4"/>
    </xf>
    <xf numFmtId="0" fontId="63" fillId="0" borderId="0" xfId="0" applyFont="1" applyAlignment="1">
      <alignment horizontal="left" wrapText="1" indent="2"/>
    </xf>
    <xf numFmtId="49" fontId="77" fillId="0" borderId="0" xfId="11" applyNumberFormat="1" applyFont="1"/>
    <xf numFmtId="170" fontId="77" fillId="0" borderId="0" xfId="11" applyNumberFormat="1" applyFont="1"/>
    <xf numFmtId="169" fontId="88" fillId="0" borderId="0" xfId="5" applyNumberFormat="1" applyFont="1"/>
    <xf numFmtId="169" fontId="89" fillId="0" borderId="0" xfId="5" applyNumberFormat="1" applyFont="1"/>
    <xf numFmtId="0" fontId="90" fillId="0" borderId="0" xfId="3" applyFont="1"/>
    <xf numFmtId="0" fontId="74" fillId="0" borderId="0" xfId="0" applyFont="1" applyAlignment="1">
      <alignment horizontal="left"/>
    </xf>
    <xf numFmtId="0" fontId="92" fillId="0" borderId="0" xfId="0" applyFont="1" applyAlignment="1">
      <alignment horizontal="left" wrapText="1"/>
    </xf>
    <xf numFmtId="169" fontId="77" fillId="0" borderId="0" xfId="5" applyNumberFormat="1" applyFont="1" applyAlignment="1">
      <alignment horizontal="left" indent="1"/>
    </xf>
    <xf numFmtId="169" fontId="75" fillId="0" borderId="0" xfId="0" applyNumberFormat="1" applyFont="1"/>
    <xf numFmtId="0" fontId="31" fillId="17" borderId="0" xfId="0" applyFont="1" applyFill="1" applyAlignment="1">
      <alignment horizontal="left" vertical="center"/>
    </xf>
    <xf numFmtId="0" fontId="0" fillId="0" borderId="0" xfId="0"/>
    <xf numFmtId="15" fontId="33" fillId="0" borderId="0" xfId="0" applyNumberFormat="1" applyFont="1"/>
    <xf numFmtId="15" fontId="33" fillId="0" borderId="0" xfId="0" applyNumberFormat="1" applyFont="1" applyAlignment="1">
      <alignment horizontal="left"/>
    </xf>
    <xf numFmtId="14" fontId="31" fillId="17" borderId="0" xfId="0" applyNumberFormat="1" applyFont="1" applyFill="1" applyAlignment="1">
      <alignment horizontal="left" vertical="center"/>
    </xf>
    <xf numFmtId="0" fontId="39" fillId="0" borderId="0" xfId="0" applyFont="1"/>
    <xf numFmtId="0" fontId="94" fillId="0" borderId="0" xfId="0" applyFont="1" applyAlignment="1">
      <alignment vertical="center" wrapText="1"/>
    </xf>
    <xf numFmtId="0" fontId="94" fillId="0" borderId="0" xfId="0" applyFont="1" applyAlignment="1">
      <alignment horizontal="right" vertical="center" wrapText="1"/>
    </xf>
    <xf numFmtId="0" fontId="72" fillId="0" borderId="0" xfId="10" applyAlignment="1">
      <alignment vertical="center" wrapText="1"/>
    </xf>
    <xf numFmtId="0" fontId="94" fillId="0" borderId="0" xfId="0" applyFont="1"/>
    <xf numFmtId="0" fontId="72" fillId="17" borderId="0" xfId="10" applyFill="1" applyAlignment="1">
      <alignment horizontal="left" vertical="center"/>
    </xf>
    <xf numFmtId="0" fontId="8" fillId="0" borderId="0" xfId="0" applyFont="1" applyAlignment="1">
      <alignment vertical="center" wrapText="1"/>
    </xf>
    <xf numFmtId="0" fontId="72" fillId="18" borderId="0" xfId="10" applyFill="1"/>
    <xf numFmtId="0" fontId="95" fillId="0" borderId="0" xfId="0" applyFont="1" applyAlignment="1">
      <alignment horizontal="left" indent="5"/>
    </xf>
    <xf numFmtId="0" fontId="13" fillId="6" borderId="0" xfId="0" applyFont="1" applyFill="1" applyAlignment="1">
      <alignment horizontal="left" indent="2"/>
    </xf>
    <xf numFmtId="0" fontId="13" fillId="19" borderId="0" xfId="0" applyFont="1" applyFill="1" applyAlignment="1">
      <alignment horizontal="left" indent="1"/>
    </xf>
    <xf numFmtId="0" fontId="96" fillId="0" borderId="0" xfId="0" applyFont="1" applyAlignment="1">
      <alignment horizontal="center"/>
    </xf>
    <xf numFmtId="0" fontId="97" fillId="0" borderId="0" xfId="0" applyFont="1" applyAlignment="1">
      <alignment horizontal="center"/>
    </xf>
    <xf numFmtId="0" fontId="28" fillId="0" borderId="0" xfId="0" applyFont="1" applyAlignment="1">
      <alignment horizontal="center" vertical="center" wrapText="1"/>
    </xf>
    <xf numFmtId="0" fontId="28" fillId="20" borderId="0" xfId="0" applyFont="1" applyFill="1" applyAlignment="1">
      <alignment horizontal="center" vertical="center" wrapText="1"/>
    </xf>
    <xf numFmtId="0" fontId="31" fillId="0" borderId="0" xfId="0" applyFont="1" applyAlignment="1">
      <alignment horizontal="left" vertical="center"/>
    </xf>
    <xf numFmtId="0" fontId="31" fillId="21" borderId="0" xfId="0" applyFont="1" applyFill="1" applyAlignment="1">
      <alignment horizontal="left" vertical="center"/>
    </xf>
    <xf numFmtId="0" fontId="31" fillId="21" borderId="0" xfId="0" applyFont="1" applyFill="1" applyAlignment="1">
      <alignment horizontal="right" vertical="center"/>
    </xf>
    <xf numFmtId="0" fontId="31" fillId="4" borderId="0" xfId="0" applyFont="1" applyFill="1" applyAlignment="1">
      <alignment horizontal="left" vertical="center"/>
    </xf>
    <xf numFmtId="0" fontId="31" fillId="19" borderId="0" xfId="0" applyFont="1" applyFill="1" applyAlignment="1">
      <alignment horizontal="left" vertical="center"/>
    </xf>
    <xf numFmtId="0" fontId="100" fillId="0" borderId="0" xfId="0" applyFont="1" applyAlignment="1">
      <alignment vertical="center" wrapText="1"/>
    </xf>
    <xf numFmtId="0" fontId="33" fillId="19" borderId="0" xfId="0" applyFont="1" applyFill="1"/>
    <xf numFmtId="0" fontId="0" fillId="18" borderId="0" xfId="0" applyFill="1"/>
    <xf numFmtId="0" fontId="101" fillId="13" borderId="0" xfId="0" applyFont="1" applyFill="1" applyAlignment="1">
      <alignment vertical="center"/>
    </xf>
    <xf numFmtId="0" fontId="101" fillId="0" borderId="0" xfId="0" applyFont="1" applyAlignment="1">
      <alignment vertical="center"/>
    </xf>
    <xf numFmtId="0" fontId="102" fillId="0" borderId="0" xfId="0" applyFont="1"/>
    <xf numFmtId="0" fontId="103" fillId="0" borderId="0" xfId="0" applyFont="1" applyAlignment="1">
      <alignment vertical="center"/>
    </xf>
    <xf numFmtId="0" fontId="104" fillId="0" borderId="0" xfId="0" applyFont="1" applyAlignment="1">
      <alignment vertical="center"/>
    </xf>
    <xf numFmtId="0" fontId="32" fillId="4" borderId="0" xfId="0" applyFont="1" applyFill="1" applyAlignment="1">
      <alignment horizontal="left" vertical="center"/>
    </xf>
    <xf numFmtId="0" fontId="99" fillId="0" borderId="0" xfId="0" applyFont="1"/>
    <xf numFmtId="44" fontId="32" fillId="4" borderId="0" xfId="0" applyNumberFormat="1" applyFont="1" applyFill="1" applyAlignment="1">
      <alignment horizontal="left" vertical="center"/>
    </xf>
    <xf numFmtId="0" fontId="72" fillId="0" borderId="0" xfId="10"/>
    <xf numFmtId="0" fontId="105" fillId="4" borderId="0" xfId="10" applyFont="1" applyFill="1" applyAlignment="1">
      <alignment horizontal="center" vertical="center"/>
    </xf>
    <xf numFmtId="0" fontId="50" fillId="0" borderId="0" xfId="0" applyFont="1" applyAlignment="1">
      <alignment horizontal="center"/>
    </xf>
    <xf numFmtId="44" fontId="106" fillId="4" borderId="0" xfId="10" applyNumberFormat="1" applyFont="1" applyFill="1" applyAlignment="1">
      <alignment horizontal="left" vertical="center"/>
    </xf>
    <xf numFmtId="0" fontId="107" fillId="0" borderId="0" xfId="0" applyFont="1"/>
    <xf numFmtId="0" fontId="31" fillId="22" borderId="0" xfId="0" applyFont="1" applyFill="1" applyAlignment="1">
      <alignment horizontal="left" vertical="center"/>
    </xf>
    <xf numFmtId="0" fontId="31" fillId="0" borderId="0" xfId="0" applyFont="1" applyAlignment="1">
      <alignment horizontal="right" vertical="center"/>
    </xf>
    <xf numFmtId="165" fontId="50" fillId="0" borderId="0" xfId="11" applyNumberFormat="1" applyFont="1"/>
    <xf numFmtId="0" fontId="50" fillId="0" borderId="0" xfId="2" applyFont="1"/>
    <xf numFmtId="0" fontId="50" fillId="18" borderId="0" xfId="0" applyFont="1" applyFill="1" applyAlignment="1">
      <alignment horizontal="left"/>
    </xf>
    <xf numFmtId="0" fontId="50" fillId="18" borderId="0" xfId="0" applyFont="1" applyFill="1" applyAlignment="1">
      <alignment horizontal="center"/>
    </xf>
    <xf numFmtId="0" fontId="50" fillId="18" borderId="0" xfId="0" applyFont="1" applyFill="1"/>
    <xf numFmtId="0" fontId="91" fillId="18" borderId="0" xfId="0" applyFont="1" applyFill="1" applyAlignment="1">
      <alignment horizontal="center"/>
    </xf>
    <xf numFmtId="0" fontId="108" fillId="18" borderId="0" xfId="0" applyFont="1" applyFill="1" applyAlignment="1">
      <alignment horizontal="center"/>
    </xf>
    <xf numFmtId="0" fontId="91" fillId="16" borderId="0" xfId="0" applyFont="1" applyFill="1" applyAlignment="1">
      <alignment horizontal="center" vertical="center"/>
    </xf>
    <xf numFmtId="0" fontId="91" fillId="18" borderId="0" xfId="0" applyFont="1" applyFill="1" applyAlignment="1">
      <alignment horizontal="center" vertical="center"/>
    </xf>
    <xf numFmtId="169" fontId="61" fillId="0" borderId="0" xfId="5" applyNumberFormat="1" applyFont="1" applyAlignment="1"/>
    <xf numFmtId="166" fontId="11" fillId="0" borderId="0" xfId="3" applyNumberFormat="1" applyFont="1" applyAlignment="1">
      <alignment horizontal="right" vertical="top"/>
    </xf>
    <xf numFmtId="0" fontId="109" fillId="0" borderId="0" xfId="0" applyFont="1" applyAlignment="1">
      <alignment horizontal="left" vertical="center"/>
    </xf>
    <xf numFmtId="0" fontId="79" fillId="0" borderId="0" xfId="0" applyFont="1" applyAlignment="1">
      <alignment horizontal="left" vertical="top"/>
    </xf>
    <xf numFmtId="43" fontId="110" fillId="0" borderId="0" xfId="0" applyNumberFormat="1" applyFont="1"/>
    <xf numFmtId="43" fontId="111" fillId="0" borderId="0" xfId="0" applyNumberFormat="1" applyFont="1"/>
    <xf numFmtId="0" fontId="13" fillId="0" borderId="0" xfId="0" applyFont="1" applyAlignment="1">
      <alignment horizontal="left" indent="1"/>
    </xf>
    <xf numFmtId="0" fontId="13" fillId="0" borderId="0" xfId="0" applyFont="1" applyAlignment="1">
      <alignment horizontal="left" vertical="top" indent="1"/>
    </xf>
    <xf numFmtId="0" fontId="17" fillId="0" borderId="0" xfId="0" applyFont="1" applyAlignment="1">
      <alignment horizontal="left" vertical="top" indent="1"/>
    </xf>
    <xf numFmtId="43" fontId="112" fillId="0" borderId="0" xfId="0" applyNumberFormat="1" applyFont="1"/>
    <xf numFmtId="0" fontId="0" fillId="0" borderId="0" xfId="0" applyAlignment="1">
      <alignment horizontal="left" vertical="center"/>
    </xf>
    <xf numFmtId="2" fontId="13" fillId="0" borderId="0" xfId="0" applyNumberFormat="1" applyFont="1" applyAlignment="1">
      <alignment horizontal="center" wrapText="1"/>
    </xf>
    <xf numFmtId="165" fontId="77" fillId="0" borderId="0" xfId="11" applyNumberFormat="1" applyFont="1"/>
    <xf numFmtId="0" fontId="85" fillId="0" borderId="0" xfId="0" applyFont="1" applyAlignment="1">
      <alignment vertical="center"/>
    </xf>
    <xf numFmtId="49" fontId="77" fillId="0" borderId="0" xfId="11" applyNumberFormat="1" applyFont="1" applyAlignment="1"/>
    <xf numFmtId="0" fontId="116" fillId="0" borderId="0" xfId="0" applyFont="1" applyAlignment="1">
      <alignment horizontal="center"/>
    </xf>
    <xf numFmtId="49" fontId="117" fillId="0" borderId="1" xfId="0" applyNumberFormat="1" applyFont="1" applyBorder="1" applyAlignment="1">
      <alignment horizontal="center"/>
    </xf>
    <xf numFmtId="0" fontId="118" fillId="0" borderId="0" xfId="0" applyFont="1" applyAlignment="1">
      <alignment horizontal="center"/>
    </xf>
    <xf numFmtId="0" fontId="120" fillId="0" borderId="0" xfId="0" applyFont="1" applyAlignment="1">
      <alignment wrapText="1"/>
    </xf>
    <xf numFmtId="0" fontId="17" fillId="0" borderId="0" xfId="0" applyFont="1" applyAlignment="1">
      <alignment horizontal="left"/>
    </xf>
    <xf numFmtId="0" fontId="57" fillId="0" borderId="0" xfId="0" applyFont="1" applyAlignment="1">
      <alignment horizontal="left"/>
    </xf>
    <xf numFmtId="0" fontId="123" fillId="0" borderId="0" xfId="0" applyFont="1" applyAlignment="1">
      <alignment horizontal="left"/>
    </xf>
    <xf numFmtId="0" fontId="123" fillId="0" borderId="0" xfId="0" applyFont="1" applyAlignment="1">
      <alignment horizontal="center"/>
    </xf>
    <xf numFmtId="44" fontId="124" fillId="0" borderId="0" xfId="5" applyFont="1" applyAlignment="1">
      <alignment horizontal="center"/>
    </xf>
    <xf numFmtId="165" fontId="12" fillId="0" borderId="0" xfId="11" applyNumberFormat="1" applyFont="1"/>
    <xf numFmtId="169" fontId="117" fillId="0" borderId="1" xfId="0" applyNumberFormat="1" applyFont="1" applyBorder="1" applyAlignment="1">
      <alignment horizontal="center"/>
    </xf>
    <xf numFmtId="43" fontId="125" fillId="0" borderId="0" xfId="0" applyNumberFormat="1" applyFont="1"/>
    <xf numFmtId="169" fontId="77" fillId="0" borderId="0" xfId="5" applyNumberFormat="1" applyFont="1" applyAlignment="1"/>
    <xf numFmtId="165" fontId="77" fillId="0" borderId="0" xfId="11" applyNumberFormat="1" applyFont="1" applyAlignment="1"/>
    <xf numFmtId="0" fontId="13" fillId="0" borderId="0" xfId="0" applyFont="1" applyAlignment="1">
      <alignment horizontal="center" wrapText="1"/>
    </xf>
    <xf numFmtId="0" fontId="20" fillId="0" borderId="0" xfId="0" applyFont="1" applyAlignment="1">
      <alignment horizontal="center"/>
    </xf>
    <xf numFmtId="0" fontId="14" fillId="0" borderId="0" xfId="0" applyFont="1" applyAlignment="1">
      <alignment horizontal="center" wrapText="1"/>
    </xf>
    <xf numFmtId="0" fontId="0" fillId="0" borderId="0" xfId="0" applyAlignment="1">
      <alignment horizontal="left"/>
    </xf>
    <xf numFmtId="0" fontId="79" fillId="0" borderId="0" xfId="0" applyFont="1" applyAlignment="1">
      <alignment horizontal="left"/>
    </xf>
    <xf numFmtId="169" fontId="127" fillId="0" borderId="0" xfId="5" applyNumberFormat="1" applyFont="1"/>
    <xf numFmtId="8" fontId="0" fillId="0" borderId="0" xfId="0" applyNumberFormat="1" applyAlignment="1">
      <alignment horizontal="left" vertical="top"/>
    </xf>
    <xf numFmtId="10" fontId="0" fillId="0" borderId="0" xfId="0" applyNumberFormat="1" applyAlignment="1">
      <alignment horizontal="left" vertical="top"/>
    </xf>
    <xf numFmtId="3" fontId="0" fillId="0" borderId="0" xfId="0" applyNumberFormat="1" applyAlignment="1">
      <alignment horizontal="left" vertical="top"/>
    </xf>
    <xf numFmtId="0" fontId="8" fillId="0" borderId="0" xfId="6" applyAlignment="1">
      <alignment horizontal="center" vertical="center"/>
    </xf>
    <xf numFmtId="0" fontId="121" fillId="23" borderId="0" xfId="6" applyFont="1" applyFill="1" applyAlignment="1">
      <alignment horizontal="center" vertical="center"/>
    </xf>
    <xf numFmtId="0" fontId="122" fillId="16" borderId="0" xfId="6" applyFont="1" applyFill="1" applyAlignment="1">
      <alignment horizontal="center" vertical="top"/>
    </xf>
    <xf numFmtId="0" fontId="122" fillId="23" borderId="0" xfId="6" applyFont="1" applyFill="1" applyAlignment="1">
      <alignment horizontal="center" vertical="center"/>
    </xf>
    <xf numFmtId="0" fontId="122" fillId="24" borderId="0" xfId="6" applyFont="1" applyFill="1" applyAlignment="1">
      <alignment horizontal="center" vertical="center" wrapText="1"/>
    </xf>
    <xf numFmtId="0" fontId="8" fillId="24" borderId="0" xfId="6" applyFill="1" applyAlignment="1">
      <alignment horizontal="left" vertical="center"/>
    </xf>
    <xf numFmtId="0" fontId="8" fillId="0" borderId="0" xfId="6" applyAlignment="1">
      <alignment horizontal="center" vertical="top"/>
    </xf>
    <xf numFmtId="0" fontId="8" fillId="0" borderId="0" xfId="6" applyAlignment="1">
      <alignment horizontal="center" vertical="top" wrapText="1"/>
    </xf>
    <xf numFmtId="0" fontId="8" fillId="16" borderId="0" xfId="6" applyFill="1" applyAlignment="1">
      <alignment horizontal="center" vertical="top"/>
    </xf>
    <xf numFmtId="0" fontId="8" fillId="23" borderId="0" xfId="6" applyFill="1" applyAlignment="1">
      <alignment horizontal="center" vertical="top"/>
    </xf>
    <xf numFmtId="0" fontId="122" fillId="23" borderId="0" xfId="6" applyFont="1" applyFill="1" applyAlignment="1">
      <alignment horizontal="center" vertical="top"/>
    </xf>
    <xf numFmtId="0" fontId="8" fillId="24" borderId="0" xfId="6" applyFill="1" applyAlignment="1">
      <alignment horizontal="center" vertical="top" wrapText="1"/>
    </xf>
    <xf numFmtId="0" fontId="8" fillId="24" borderId="0" xfId="6" applyFill="1" applyAlignment="1">
      <alignment horizontal="left" vertical="top"/>
    </xf>
    <xf numFmtId="0" fontId="119" fillId="0" borderId="0" xfId="6" applyFont="1" applyAlignment="1">
      <alignment horizontal="left" vertical="top" wrapText="1"/>
    </xf>
    <xf numFmtId="0" fontId="8" fillId="24" borderId="0" xfId="6" applyFill="1" applyAlignment="1">
      <alignment horizontal="center" vertical="top"/>
    </xf>
    <xf numFmtId="2" fontId="20" fillId="0" borderId="0" xfId="0" applyNumberFormat="1" applyFont="1" applyAlignment="1">
      <alignment horizontal="center" vertical="top"/>
    </xf>
    <xf numFmtId="0" fontId="91" fillId="18" borderId="0" xfId="0" applyFont="1" applyFill="1" applyAlignment="1">
      <alignment horizontal="left"/>
    </xf>
    <xf numFmtId="0" fontId="91" fillId="16" borderId="0" xfId="0" applyFont="1" applyFill="1" applyAlignment="1">
      <alignment horizontal="left" vertical="center"/>
    </xf>
    <xf numFmtId="171" fontId="13" fillId="0" borderId="0" xfId="12" applyNumberFormat="1" applyFont="1" applyAlignment="1">
      <alignment horizontal="center" vertical="center" wrapText="1"/>
    </xf>
    <xf numFmtId="0" fontId="128" fillId="0" borderId="0" xfId="0" applyFont="1" applyAlignment="1">
      <alignment horizontal="center" wrapText="1"/>
    </xf>
    <xf numFmtId="0" fontId="128" fillId="0" borderId="0" xfId="0" applyFont="1" applyAlignment="1">
      <alignment horizontal="center" vertical="center" wrapText="1"/>
    </xf>
    <xf numFmtId="0" fontId="128" fillId="0" borderId="0" xfId="0" applyFont="1" applyAlignment="1">
      <alignment horizontal="left" wrapText="1"/>
    </xf>
    <xf numFmtId="0" fontId="129" fillId="0" borderId="0" xfId="0" applyFont="1" applyAlignment="1">
      <alignment horizontal="center" wrapText="1"/>
    </xf>
    <xf numFmtId="0" fontId="130" fillId="0" borderId="0" xfId="0" applyFont="1" applyAlignment="1">
      <alignment horizontal="center"/>
    </xf>
    <xf numFmtId="0" fontId="130" fillId="0" borderId="0" xfId="0" applyFont="1" applyAlignment="1">
      <alignment horizontal="left"/>
    </xf>
    <xf numFmtId="44" fontId="130" fillId="0" borderId="0" xfId="0" applyNumberFormat="1" applyFont="1" applyAlignment="1">
      <alignment horizontal="center"/>
    </xf>
    <xf numFmtId="44" fontId="0" fillId="0" borderId="0" xfId="0" applyNumberFormat="1" applyAlignment="1">
      <alignment horizontal="left"/>
    </xf>
    <xf numFmtId="0" fontId="12" fillId="0" borderId="0" xfId="3" applyFont="1" applyAlignment="1">
      <alignment vertical="top"/>
    </xf>
    <xf numFmtId="0" fontId="109" fillId="0" borderId="0" xfId="0" applyFont="1" applyAlignment="1">
      <alignment vertical="center"/>
    </xf>
    <xf numFmtId="3" fontId="11" fillId="0" borderId="0" xfId="3" applyNumberFormat="1" applyFont="1"/>
    <xf numFmtId="0" fontId="132" fillId="0" borderId="0" xfId="0" applyFont="1" applyAlignment="1">
      <alignment horizontal="left" vertical="center"/>
    </xf>
    <xf numFmtId="0" fontId="133" fillId="0" borderId="0" xfId="0" applyFont="1" applyAlignment="1">
      <alignment horizontal="left" vertical="top"/>
    </xf>
    <xf numFmtId="9" fontId="13" fillId="0" borderId="0" xfId="12" applyFont="1" applyAlignment="1">
      <alignment horizontal="center" vertical="center"/>
    </xf>
    <xf numFmtId="0" fontId="133" fillId="0" borderId="0" xfId="0" applyFont="1" applyAlignment="1">
      <alignment horizontal="left" vertical="center" indent="1"/>
    </xf>
    <xf numFmtId="0" fontId="132" fillId="0" borderId="0" xfId="0" applyFont="1" applyAlignment="1">
      <alignment horizontal="left"/>
    </xf>
    <xf numFmtId="0" fontId="13" fillId="0" borderId="0" xfId="0" applyFont="1" applyAlignment="1">
      <alignment horizontal="left"/>
    </xf>
    <xf numFmtId="0" fontId="133" fillId="0" borderId="0" xfId="0" applyFont="1" applyAlignment="1">
      <alignment horizontal="left"/>
    </xf>
    <xf numFmtId="0" fontId="34" fillId="0" borderId="0" xfId="0" applyFont="1" applyAlignment="1">
      <alignment horizontal="left"/>
    </xf>
    <xf numFmtId="0" fontId="132" fillId="0" borderId="0" xfId="0" applyFont="1" applyAlignment="1">
      <alignment vertical="center"/>
    </xf>
    <xf numFmtId="0" fontId="16" fillId="0" borderId="0" xfId="0" applyFont="1" applyAlignment="1">
      <alignment horizontal="left" vertical="top"/>
    </xf>
    <xf numFmtId="0" fontId="133" fillId="0" borderId="0" xfId="0" applyFont="1" applyAlignment="1">
      <alignment horizontal="left" vertical="center" wrapText="1"/>
    </xf>
    <xf numFmtId="0" fontId="132" fillId="0" borderId="15" xfId="0" applyFont="1" applyBorder="1" applyAlignment="1">
      <alignment horizontal="right" vertical="center" wrapText="1"/>
    </xf>
    <xf numFmtId="0" fontId="137" fillId="0" borderId="0" xfId="0" applyFont="1" applyAlignment="1">
      <alignment horizontal="center" vertical="center"/>
    </xf>
    <xf numFmtId="44" fontId="132" fillId="0" borderId="0" xfId="0" applyNumberFormat="1" applyFont="1" applyAlignment="1">
      <alignment horizontal="center" vertical="center" wrapText="1"/>
    </xf>
    <xf numFmtId="0" fontId="134" fillId="0" borderId="0" xfId="0" applyFont="1" applyAlignment="1">
      <alignment horizontal="left" vertical="center" wrapText="1" indent="4"/>
    </xf>
    <xf numFmtId="44" fontId="138" fillId="0" borderId="0" xfId="0" applyNumberFormat="1" applyFont="1" applyAlignment="1">
      <alignment horizontal="center" vertical="center" wrapText="1"/>
    </xf>
    <xf numFmtId="0" fontId="132" fillId="0" borderId="0" xfId="0" applyFont="1" applyAlignment="1">
      <alignment horizontal="left" vertical="center" wrapText="1"/>
    </xf>
    <xf numFmtId="0" fontId="132" fillId="0" borderId="0" xfId="0" applyFont="1" applyAlignment="1">
      <alignment horizontal="right" vertical="center" wrapText="1"/>
    </xf>
    <xf numFmtId="4" fontId="132" fillId="0" borderId="0" xfId="0" applyNumberFormat="1" applyFont="1" applyAlignment="1">
      <alignment horizontal="right" vertical="center" wrapText="1"/>
    </xf>
    <xf numFmtId="4" fontId="132" fillId="0" borderId="15" xfId="0" applyNumberFormat="1" applyFont="1" applyBorder="1" applyAlignment="1">
      <alignment horizontal="right" vertical="center" wrapText="1"/>
    </xf>
    <xf numFmtId="0" fontId="132" fillId="0" borderId="15" xfId="0" applyFont="1" applyBorder="1" applyAlignment="1">
      <alignment horizontal="left" vertical="center"/>
    </xf>
    <xf numFmtId="0" fontId="133" fillId="0" borderId="0" xfId="0" applyFont="1" applyAlignment="1">
      <alignment horizontal="left" wrapText="1"/>
    </xf>
    <xf numFmtId="4" fontId="136" fillId="0" borderId="0" xfId="0" applyNumberFormat="1" applyFont="1" applyAlignment="1">
      <alignment horizontal="right" wrapText="1"/>
    </xf>
    <xf numFmtId="0" fontId="77" fillId="0" borderId="0" xfId="11" applyNumberFormat="1" applyFont="1"/>
    <xf numFmtId="0" fontId="65" fillId="0" borderId="0" xfId="0" applyFont="1" applyAlignment="1">
      <alignment horizontal="right"/>
    </xf>
    <xf numFmtId="49" fontId="58" fillId="0" borderId="1" xfId="0" applyNumberFormat="1" applyFont="1" applyBorder="1" applyAlignment="1">
      <alignment horizontal="left"/>
    </xf>
    <xf numFmtId="0" fontId="81" fillId="0" borderId="0" xfId="6" applyFont="1" applyAlignment="1">
      <alignment horizontal="center" vertical="top"/>
    </xf>
    <xf numFmtId="0" fontId="81" fillId="23" borderId="0" xfId="6" applyFont="1" applyFill="1" applyAlignment="1">
      <alignment horizontal="center" vertical="top"/>
    </xf>
    <xf numFmtId="0" fontId="81" fillId="0" borderId="0" xfId="6" applyFont="1" applyAlignment="1">
      <alignment horizontal="left" vertical="top"/>
    </xf>
    <xf numFmtId="0" fontId="81" fillId="26" borderId="0" xfId="6" applyFont="1" applyFill="1" applyAlignment="1">
      <alignment horizontal="center" vertical="top"/>
    </xf>
    <xf numFmtId="0" fontId="81" fillId="18" borderId="0" xfId="6" applyFont="1" applyFill="1" applyAlignment="1">
      <alignment horizontal="center" vertical="top"/>
    </xf>
    <xf numFmtId="0" fontId="81" fillId="18" borderId="0" xfId="6" applyFont="1" applyFill="1" applyAlignment="1">
      <alignment horizontal="left" vertical="top"/>
    </xf>
    <xf numFmtId="0" fontId="81" fillId="26" borderId="0" xfId="6" applyFont="1" applyFill="1" applyAlignment="1">
      <alignment horizontal="left" vertical="top"/>
    </xf>
    <xf numFmtId="0" fontId="8" fillId="26" borderId="0" xfId="6" applyFill="1" applyAlignment="1">
      <alignment horizontal="center" vertical="top"/>
    </xf>
    <xf numFmtId="3" fontId="8" fillId="26" borderId="0" xfId="6" applyNumberFormat="1" applyFill="1" applyAlignment="1">
      <alignment horizontal="center" vertical="top"/>
    </xf>
    <xf numFmtId="0" fontId="119" fillId="0" borderId="0" xfId="6" applyFont="1" applyAlignment="1">
      <alignment horizontal="left" vertical="center" wrapText="1"/>
    </xf>
    <xf numFmtId="0" fontId="8" fillId="0" borderId="0" xfId="6" applyAlignment="1">
      <alignment horizontal="left" vertical="center"/>
    </xf>
    <xf numFmtId="0" fontId="82" fillId="0" borderId="0" xfId="6" applyFont="1" applyAlignment="1">
      <alignment horizontal="center" vertical="center"/>
    </xf>
    <xf numFmtId="0" fontId="8" fillId="25" borderId="0" xfId="6" applyFill="1" applyAlignment="1">
      <alignment horizontal="center" vertical="center"/>
    </xf>
    <xf numFmtId="0" fontId="8" fillId="16" borderId="0" xfId="6" applyFill="1" applyAlignment="1">
      <alignment horizontal="center" vertical="center"/>
    </xf>
    <xf numFmtId="0" fontId="8" fillId="23" borderId="0" xfId="6" applyFill="1" applyAlignment="1">
      <alignment horizontal="center" vertical="center"/>
    </xf>
    <xf numFmtId="0" fontId="8" fillId="24" borderId="0" xfId="6" applyFill="1" applyAlignment="1">
      <alignment horizontal="center" vertical="center"/>
    </xf>
    <xf numFmtId="2" fontId="8" fillId="0" borderId="0" xfId="6" applyNumberFormat="1" applyAlignment="1">
      <alignment horizontal="center" vertical="center"/>
    </xf>
    <xf numFmtId="0" fontId="8" fillId="26" borderId="0" xfId="6" applyFill="1" applyAlignment="1">
      <alignment horizontal="center" vertical="center"/>
    </xf>
    <xf numFmtId="0" fontId="124" fillId="0" borderId="0" xfId="2" applyFont="1" applyAlignment="1">
      <alignment horizontal="center" vertical="top"/>
    </xf>
    <xf numFmtId="3" fontId="17" fillId="0" borderId="0" xfId="0" applyNumberFormat="1" applyFont="1" applyAlignment="1">
      <alignment horizontal="left" vertical="top"/>
    </xf>
    <xf numFmtId="0" fontId="55" fillId="0" borderId="0" xfId="0" applyFont="1" applyAlignment="1">
      <alignment vertical="top"/>
    </xf>
    <xf numFmtId="166" fontId="59" fillId="0" borderId="0" xfId="0" applyNumberFormat="1" applyFont="1"/>
    <xf numFmtId="166" fontId="12" fillId="0" borderId="0" xfId="3" applyNumberFormat="1" applyFont="1"/>
    <xf numFmtId="166" fontId="17" fillId="0" borderId="0" xfId="0" applyNumberFormat="1" applyFont="1" applyAlignment="1">
      <alignment horizontal="left" vertical="top"/>
    </xf>
    <xf numFmtId="166" fontId="58" fillId="0" borderId="1" xfId="0" applyNumberFormat="1" applyFont="1" applyBorder="1"/>
    <xf numFmtId="49" fontId="131" fillId="0" borderId="0" xfId="0" applyNumberFormat="1" applyFont="1" applyAlignment="1">
      <alignment horizontal="center" vertical="center" textRotation="135"/>
    </xf>
    <xf numFmtId="0" fontId="93" fillId="0" borderId="0" xfId="0" applyFont="1" applyAlignment="1">
      <alignment horizontal="left"/>
    </xf>
    <xf numFmtId="0" fontId="76" fillId="0" borderId="0" xfId="0" applyFont="1" applyAlignment="1">
      <alignment horizontal="left"/>
    </xf>
    <xf numFmtId="0" fontId="74" fillId="0" borderId="0" xfId="0" applyFont="1" applyAlignment="1">
      <alignment horizontal="right"/>
    </xf>
    <xf numFmtId="0" fontId="75" fillId="0" borderId="0" xfId="0" applyFont="1" applyAlignment="1">
      <alignment vertical="center"/>
    </xf>
    <xf numFmtId="0" fontId="75" fillId="0" borderId="0" xfId="0" applyFont="1" applyAlignment="1">
      <alignment horizontal="right" vertical="center"/>
    </xf>
    <xf numFmtId="169" fontId="85" fillId="0" borderId="0" xfId="0" applyNumberFormat="1" applyFont="1" applyAlignment="1">
      <alignment vertical="center"/>
    </xf>
    <xf numFmtId="49" fontId="117" fillId="0" borderId="0" xfId="0" applyNumberFormat="1" applyFont="1" applyAlignment="1">
      <alignment horizontal="center"/>
    </xf>
    <xf numFmtId="49" fontId="58" fillId="0" borderId="0" xfId="0" applyNumberFormat="1" applyFont="1" applyAlignment="1">
      <alignment horizontal="center"/>
    </xf>
    <xf numFmtId="169" fontId="58" fillId="0" borderId="0" xfId="0" applyNumberFormat="1" applyFont="1" applyAlignment="1">
      <alignment horizontal="center"/>
    </xf>
    <xf numFmtId="0" fontId="93" fillId="0" borderId="0" xfId="0" applyFont="1" applyAlignment="1">
      <alignment horizontal="center"/>
    </xf>
    <xf numFmtId="0" fontId="140" fillId="0" borderId="0" xfId="0" applyFont="1"/>
    <xf numFmtId="0" fontId="141" fillId="0" borderId="0" xfId="0" applyFont="1"/>
    <xf numFmtId="168" fontId="141" fillId="0" borderId="0" xfId="0" applyNumberFormat="1" applyFont="1"/>
    <xf numFmtId="168" fontId="33" fillId="0" borderId="0" xfId="0" applyNumberFormat="1" applyFont="1"/>
    <xf numFmtId="0" fontId="142" fillId="0" borderId="0" xfId="0" applyFont="1" applyAlignment="1">
      <alignment horizontal="left"/>
    </xf>
    <xf numFmtId="0" fontId="16" fillId="0" borderId="0" xfId="0" applyFont="1"/>
    <xf numFmtId="0" fontId="143" fillId="0" borderId="0" xfId="0" applyFont="1"/>
    <xf numFmtId="0" fontId="144" fillId="0" borderId="0" xfId="0" applyFont="1"/>
    <xf numFmtId="43" fontId="32" fillId="0" borderId="0" xfId="0" applyNumberFormat="1" applyFont="1" applyAlignment="1">
      <alignment horizontal="left" vertical="center"/>
    </xf>
    <xf numFmtId="0" fontId="32" fillId="0" borderId="0" xfId="0" applyFont="1" applyAlignment="1">
      <alignment horizontal="left" vertical="center"/>
    </xf>
    <xf numFmtId="0" fontId="145" fillId="0" borderId="0" xfId="0" applyFont="1" applyAlignment="1">
      <alignment vertical="center"/>
    </xf>
    <xf numFmtId="0" fontId="33" fillId="0" borderId="7" xfId="0" applyFont="1" applyBorder="1" applyAlignment="1">
      <alignment horizontal="left" vertical="center"/>
    </xf>
    <xf numFmtId="0" fontId="146" fillId="0" borderId="0" xfId="0" applyFont="1" applyAlignment="1">
      <alignment vertical="center"/>
    </xf>
    <xf numFmtId="0" fontId="33" fillId="0" borderId="0" xfId="0" applyFont="1" applyAlignment="1">
      <alignment vertical="center"/>
    </xf>
    <xf numFmtId="0" fontId="145" fillId="0" borderId="0" xfId="0" applyFont="1" applyAlignment="1">
      <alignment vertical="center" wrapText="1"/>
    </xf>
    <xf numFmtId="0" fontId="147" fillId="0" borderId="0" xfId="10" applyFont="1" applyFill="1"/>
    <xf numFmtId="0" fontId="148" fillId="0" borderId="0" xfId="0" applyFont="1" applyAlignment="1">
      <alignment vertical="center"/>
    </xf>
    <xf numFmtId="0" fontId="145" fillId="0" borderId="0" xfId="0" applyFont="1" applyAlignment="1">
      <alignment horizontal="left" vertical="center"/>
    </xf>
    <xf numFmtId="0" fontId="33" fillId="0" borderId="0" xfId="0" applyFont="1" applyAlignment="1">
      <alignment horizontal="left" vertical="center" wrapText="1"/>
    </xf>
    <xf numFmtId="0" fontId="31" fillId="0" borderId="0" xfId="0" applyFont="1"/>
    <xf numFmtId="0" fontId="148" fillId="0" borderId="0" xfId="0" applyFont="1"/>
    <xf numFmtId="0" fontId="149" fillId="0" borderId="0" xfId="0" applyFont="1"/>
    <xf numFmtId="0" fontId="150" fillId="0" borderId="0" xfId="0" applyFont="1"/>
    <xf numFmtId="0" fontId="43" fillId="0" borderId="0" xfId="0" applyFont="1"/>
    <xf numFmtId="14" fontId="31" fillId="0" borderId="0" xfId="0" applyNumberFormat="1" applyFont="1" applyAlignment="1">
      <alignment horizontal="right" vertical="center"/>
    </xf>
    <xf numFmtId="43" fontId="31" fillId="0" borderId="0" xfId="0" applyNumberFormat="1" applyFont="1" applyAlignment="1">
      <alignment horizontal="left" vertical="center"/>
    </xf>
    <xf numFmtId="0" fontId="68" fillId="0" borderId="0" xfId="0" applyFont="1"/>
    <xf numFmtId="0" fontId="72" fillId="0" borderId="0" xfId="10" applyAlignment="1"/>
    <xf numFmtId="0" fontId="132" fillId="0" borderId="0" xfId="0" applyFont="1"/>
    <xf numFmtId="43" fontId="25" fillId="0" borderId="0" xfId="0" applyNumberFormat="1" applyFont="1" applyAlignment="1">
      <alignment vertical="center"/>
    </xf>
    <xf numFmtId="0" fontId="114" fillId="0" borderId="0" xfId="0" applyFont="1" applyAlignment="1">
      <alignment horizontal="left" vertical="center"/>
    </xf>
    <xf numFmtId="49" fontId="11" fillId="0" borderId="0" xfId="3" applyNumberFormat="1" applyFont="1" applyAlignment="1">
      <alignment vertical="center"/>
    </xf>
    <xf numFmtId="0" fontId="20" fillId="0" borderId="0" xfId="0" applyFont="1" applyAlignment="1">
      <alignment horizontal="center" vertical="center"/>
    </xf>
    <xf numFmtId="0" fontId="54" fillId="0" borderId="0" xfId="0" applyFont="1"/>
    <xf numFmtId="0" fontId="57" fillId="0" borderId="0" xfId="0" applyFont="1" applyAlignment="1">
      <alignment horizontal="left" vertical="center"/>
    </xf>
    <xf numFmtId="0" fontId="65" fillId="0" borderId="0" xfId="0" applyFont="1" applyAlignment="1">
      <alignment horizontal="left" vertical="center"/>
    </xf>
    <xf numFmtId="0" fontId="152" fillId="0" borderId="0" xfId="0" applyFont="1" applyAlignment="1">
      <alignment horizontal="right"/>
    </xf>
    <xf numFmtId="0" fontId="153" fillId="0" borderId="2" xfId="0" applyFont="1" applyBorder="1" applyAlignment="1">
      <alignment horizontal="center"/>
    </xf>
    <xf numFmtId="0" fontId="153" fillId="0" borderId="18" xfId="0" applyFont="1" applyBorder="1" applyAlignment="1">
      <alignment horizontal="center"/>
    </xf>
    <xf numFmtId="0" fontId="59" fillId="0" borderId="3" xfId="0" applyFont="1" applyBorder="1" applyAlignment="1">
      <alignment horizontal="left"/>
    </xf>
    <xf numFmtId="0" fontId="59" fillId="0" borderId="19" xfId="0" applyFont="1" applyBorder="1" applyAlignment="1">
      <alignment horizontal="center"/>
    </xf>
    <xf numFmtId="0" fontId="153" fillId="0" borderId="2" xfId="0" applyFont="1" applyBorder="1" applyAlignment="1">
      <alignment horizontal="center" wrapText="1"/>
    </xf>
    <xf numFmtId="0" fontId="153" fillId="0" borderId="18" xfId="0" applyFont="1" applyBorder="1" applyAlignment="1">
      <alignment horizontal="center" wrapText="1"/>
    </xf>
    <xf numFmtId="0" fontId="68" fillId="0" borderId="0" xfId="0" applyFont="1" applyAlignment="1">
      <alignment wrapText="1"/>
    </xf>
    <xf numFmtId="0" fontId="0" fillId="0" borderId="0" xfId="0" applyAlignment="1">
      <alignment horizontal="left" wrapText="1"/>
    </xf>
    <xf numFmtId="0" fontId="1" fillId="0" borderId="0" xfId="17"/>
    <xf numFmtId="0" fontId="11" fillId="0" borderId="2" xfId="17" applyFont="1" applyBorder="1" applyAlignment="1">
      <alignment horizontal="center"/>
    </xf>
    <xf numFmtId="0" fontId="12" fillId="0" borderId="3" xfId="0" applyFont="1" applyBorder="1" applyAlignment="1">
      <alignment horizontal="left"/>
    </xf>
    <xf numFmtId="0" fontId="12" fillId="0" borderId="3" xfId="0" applyFont="1" applyBorder="1" applyAlignment="1">
      <alignment horizontal="center"/>
    </xf>
    <xf numFmtId="0" fontId="11" fillId="0" borderId="2" xfId="0" applyFont="1" applyBorder="1" applyAlignment="1">
      <alignment horizontal="center"/>
    </xf>
    <xf numFmtId="49" fontId="131" fillId="0" borderId="1" xfId="0" applyNumberFormat="1" applyFont="1" applyBorder="1"/>
    <xf numFmtId="0" fontId="19" fillId="0" borderId="0" xfId="0" applyFont="1"/>
    <xf numFmtId="0" fontId="81" fillId="0" borderId="0" xfId="0" applyFont="1" applyAlignment="1">
      <alignment horizontal="left" vertical="center" wrapText="1" indent="4"/>
    </xf>
    <xf numFmtId="0" fontId="34" fillId="0" borderId="0" xfId="0" applyFont="1" applyAlignment="1">
      <alignment horizontal="left" vertical="center" wrapText="1"/>
    </xf>
    <xf numFmtId="0" fontId="81" fillId="0" borderId="0" xfId="0" applyFont="1" applyAlignment="1">
      <alignment horizontal="right" vertical="center" wrapText="1"/>
    </xf>
    <xf numFmtId="4" fontId="81" fillId="0" borderId="0" xfId="0" applyNumberFormat="1" applyFont="1" applyAlignment="1">
      <alignment horizontal="right" vertical="center" wrapText="1"/>
    </xf>
    <xf numFmtId="0" fontId="34" fillId="0" borderId="15" xfId="0" applyFont="1" applyBorder="1" applyAlignment="1">
      <alignment horizontal="left" vertical="center" wrapText="1"/>
    </xf>
    <xf numFmtId="4" fontId="81" fillId="0" borderId="15" xfId="0" applyNumberFormat="1" applyFont="1" applyBorder="1" applyAlignment="1">
      <alignment horizontal="right" vertical="center" wrapText="1"/>
    </xf>
    <xf numFmtId="0" fontId="154" fillId="0" borderId="0" xfId="0" applyFont="1"/>
    <xf numFmtId="0" fontId="17" fillId="0" borderId="0" xfId="0" applyFont="1" applyAlignment="1">
      <alignment vertical="top"/>
    </xf>
    <xf numFmtId="0" fontId="0" fillId="0" borderId="0" xfId="0" applyAlignment="1">
      <alignment horizontal="left" vertical="center" wrapText="1"/>
    </xf>
    <xf numFmtId="0" fontId="68" fillId="0" borderId="0" xfId="0" applyFont="1" applyAlignment="1">
      <alignment horizontal="right" wrapText="1"/>
    </xf>
    <xf numFmtId="0" fontId="153" fillId="0" borderId="20" xfId="0" applyFont="1" applyBorder="1" applyAlignment="1">
      <alignment horizontal="center" wrapText="1"/>
    </xf>
    <xf numFmtId="0" fontId="155" fillId="0" borderId="0" xfId="0" applyFont="1" applyAlignment="1">
      <alignment horizontal="left" vertical="center" wrapText="1"/>
    </xf>
    <xf numFmtId="0" fontId="34" fillId="0" borderId="0" xfId="0" applyFont="1" applyAlignment="1">
      <alignment horizontal="left" vertical="center" wrapText="1" indent="1"/>
    </xf>
    <xf numFmtId="0" fontId="156" fillId="0" borderId="0" xfId="0" applyFont="1" applyAlignment="1">
      <alignment horizontal="left" vertical="center"/>
    </xf>
    <xf numFmtId="0" fontId="153" fillId="0" borderId="20" xfId="0" applyFont="1" applyBorder="1" applyAlignment="1">
      <alignment horizontal="left"/>
    </xf>
    <xf numFmtId="0" fontId="156" fillId="0" borderId="0" xfId="0" applyFont="1" applyAlignment="1">
      <alignment horizontal="left"/>
    </xf>
    <xf numFmtId="0" fontId="34" fillId="0" borderId="0" xfId="0" applyFont="1" applyAlignment="1">
      <alignment horizontal="left" vertical="center"/>
    </xf>
    <xf numFmtId="0" fontId="157" fillId="0" borderId="0" xfId="0" applyFont="1" applyAlignment="1">
      <alignment horizontal="left" vertical="center" wrapText="1" indent="1"/>
    </xf>
    <xf numFmtId="0" fontId="145" fillId="0" borderId="0" xfId="0" applyFont="1" applyAlignment="1">
      <alignment horizontal="left" vertical="center" wrapText="1"/>
    </xf>
    <xf numFmtId="0" fontId="163" fillId="0" borderId="0" xfId="0" applyFont="1" applyAlignment="1">
      <alignment horizontal="left" vertical="center" wrapText="1"/>
    </xf>
    <xf numFmtId="0" fontId="72" fillId="0" borderId="0" xfId="10" applyAlignment="1">
      <alignment horizontal="left" vertical="center" wrapText="1"/>
    </xf>
    <xf numFmtId="0" fontId="66" fillId="0" borderId="0" xfId="10" applyFont="1" applyAlignment="1">
      <alignment horizontal="left" vertical="center"/>
    </xf>
    <xf numFmtId="0" fontId="72" fillId="0" borderId="0" xfId="10" applyAlignment="1">
      <alignment horizontal="left" vertical="top"/>
    </xf>
    <xf numFmtId="168" fontId="0" fillId="0" borderId="0" xfId="0" applyNumberFormat="1" applyAlignment="1">
      <alignment horizontal="left" vertical="top"/>
    </xf>
    <xf numFmtId="0" fontId="122" fillId="18" borderId="0" xfId="6" applyFont="1" applyFill="1" applyAlignment="1">
      <alignment horizontal="center" vertical="center" wrapText="1"/>
    </xf>
    <xf numFmtId="0" fontId="122" fillId="23" borderId="0" xfId="6" applyFont="1" applyFill="1" applyAlignment="1">
      <alignment horizontal="center" vertical="center" wrapText="1"/>
    </xf>
    <xf numFmtId="0" fontId="121" fillId="0" borderId="0" xfId="6" applyFont="1" applyAlignment="1">
      <alignment horizontal="center" vertical="center"/>
    </xf>
    <xf numFmtId="0" fontId="122" fillId="0" borderId="0" xfId="6" applyFont="1" applyAlignment="1">
      <alignment horizontal="center" vertical="center"/>
    </xf>
    <xf numFmtId="0" fontId="122" fillId="0" borderId="0" xfId="6" applyFont="1" applyAlignment="1">
      <alignment horizontal="center" vertical="center" wrapText="1"/>
    </xf>
    <xf numFmtId="0" fontId="59" fillId="0" borderId="0" xfId="0" applyFont="1" applyAlignment="1">
      <alignment horizontal="left" vertical="center"/>
    </xf>
    <xf numFmtId="0" fontId="59" fillId="0" borderId="0" xfId="0" applyFont="1" applyAlignment="1">
      <alignment horizontal="left" vertical="center" wrapText="1"/>
    </xf>
    <xf numFmtId="0" fontId="151" fillId="0" borderId="0" xfId="0" applyFont="1" applyAlignment="1">
      <alignment horizontal="left" vertical="center" wrapText="1" indent="3"/>
    </xf>
    <xf numFmtId="0" fontId="164" fillId="0" borderId="0" xfId="0" applyFont="1" applyAlignment="1">
      <alignment horizontal="left" vertical="center"/>
    </xf>
    <xf numFmtId="0" fontId="153" fillId="0" borderId="0" xfId="0" applyFont="1" applyAlignment="1">
      <alignment horizontal="left" vertical="center" wrapText="1"/>
    </xf>
    <xf numFmtId="0" fontId="153" fillId="0" borderId="0" xfId="0" applyFont="1" applyAlignment="1">
      <alignment vertical="center"/>
    </xf>
    <xf numFmtId="0" fontId="164" fillId="0" borderId="0" xfId="0" applyFont="1" applyAlignment="1">
      <alignment horizontal="left" vertical="center" indent="2"/>
    </xf>
    <xf numFmtId="0" fontId="59" fillId="0" borderId="0" xfId="0" applyFont="1" applyAlignment="1">
      <alignment vertical="center" wrapText="1"/>
    </xf>
    <xf numFmtId="0" fontId="165" fillId="0" borderId="0" xfId="0" applyFont="1" applyAlignment="1">
      <alignment horizontal="left" vertical="center" indent="5"/>
    </xf>
    <xf numFmtId="0" fontId="54" fillId="0" borderId="0" xfId="0" applyFont="1" applyAlignment="1">
      <alignment horizontal="center" vertical="top" wrapText="1"/>
    </xf>
    <xf numFmtId="0" fontId="167" fillId="0" borderId="0" xfId="0" applyFont="1" applyAlignment="1">
      <alignment horizontal="center" vertical="top" wrapText="1"/>
    </xf>
    <xf numFmtId="0" fontId="54" fillId="0" borderId="0" xfId="0" applyFont="1" applyAlignment="1">
      <alignment horizontal="center" vertical="center" wrapText="1"/>
    </xf>
    <xf numFmtId="0" fontId="168" fillId="0" borderId="0" xfId="0" applyFont="1" applyAlignment="1">
      <alignment horizontal="left"/>
    </xf>
    <xf numFmtId="0" fontId="84" fillId="0" borderId="0" xfId="0" applyFont="1" applyAlignment="1">
      <alignment horizontal="left"/>
    </xf>
    <xf numFmtId="0" fontId="84" fillId="0" borderId="0" xfId="0" applyFont="1"/>
    <xf numFmtId="0" fontId="34" fillId="0" borderId="0" xfId="0" applyFont="1" applyAlignment="1">
      <alignment horizontal="left" vertical="top" wrapText="1"/>
    </xf>
    <xf numFmtId="0" fontId="153" fillId="0" borderId="18" xfId="0" applyFont="1" applyBorder="1" applyAlignment="1">
      <alignment horizontal="center" vertical="center" wrapText="1"/>
    </xf>
    <xf numFmtId="0" fontId="84" fillId="0" borderId="0" xfId="0" applyFont="1" applyAlignment="1">
      <alignment horizontal="right" wrapText="1" indent="3"/>
    </xf>
    <xf numFmtId="0" fontId="57" fillId="0" borderId="0" xfId="0" applyFont="1" applyAlignment="1">
      <alignment horizontal="left" vertical="top" wrapText="1"/>
    </xf>
    <xf numFmtId="4" fontId="10" fillId="0" borderId="0" xfId="3" applyNumberFormat="1" applyFont="1"/>
    <xf numFmtId="3" fontId="0" fillId="0" borderId="0" xfId="0" applyNumberFormat="1"/>
    <xf numFmtId="49" fontId="170" fillId="0" borderId="0" xfId="0" applyNumberFormat="1" applyFont="1"/>
    <xf numFmtId="0" fontId="171" fillId="0" borderId="0" xfId="0" applyFont="1"/>
    <xf numFmtId="173" fontId="0" fillId="0" borderId="0" xfId="0" applyNumberFormat="1"/>
    <xf numFmtId="4" fontId="0" fillId="0" borderId="0" xfId="0" applyNumberFormat="1"/>
    <xf numFmtId="174" fontId="0" fillId="0" borderId="0" xfId="0" applyNumberFormat="1"/>
    <xf numFmtId="14" fontId="0" fillId="0" borderId="0" xfId="0" applyNumberFormat="1"/>
    <xf numFmtId="0" fontId="170" fillId="0" borderId="0" xfId="0" applyFont="1"/>
    <xf numFmtId="49" fontId="139" fillId="0" borderId="1" xfId="0" applyNumberFormat="1" applyFont="1" applyBorder="1" applyAlignment="1">
      <alignment wrapText="1"/>
    </xf>
    <xf numFmtId="49" fontId="172" fillId="0" borderId="1" xfId="0" applyNumberFormat="1" applyFont="1" applyBorder="1" applyAlignment="1">
      <alignment wrapText="1"/>
    </xf>
    <xf numFmtId="173" fontId="139" fillId="0" borderId="1" xfId="0" applyNumberFormat="1" applyFont="1" applyBorder="1" applyAlignment="1">
      <alignment wrapText="1"/>
    </xf>
    <xf numFmtId="174" fontId="139" fillId="0" borderId="1" xfId="0" applyNumberFormat="1" applyFont="1" applyBorder="1" applyAlignment="1">
      <alignment wrapText="1"/>
    </xf>
    <xf numFmtId="0" fontId="169" fillId="0" borderId="0" xfId="0" applyFont="1" applyAlignment="1">
      <alignment wrapText="1"/>
    </xf>
    <xf numFmtId="3" fontId="173" fillId="13" borderId="0" xfId="0" applyNumberFormat="1" applyFont="1" applyFill="1"/>
    <xf numFmtId="49" fontId="174" fillId="13" borderId="0" xfId="0" applyNumberFormat="1" applyFont="1" applyFill="1"/>
    <xf numFmtId="0" fontId="174" fillId="13" borderId="0" xfId="0" applyFont="1" applyFill="1"/>
    <xf numFmtId="0" fontId="173" fillId="13" borderId="0" xfId="0" applyFont="1" applyFill="1"/>
    <xf numFmtId="173" fontId="173" fillId="13" borderId="0" xfId="0" applyNumberFormat="1" applyFont="1" applyFill="1"/>
    <xf numFmtId="4" fontId="173" fillId="13" borderId="0" xfId="0" applyNumberFormat="1" applyFont="1" applyFill="1"/>
    <xf numFmtId="174" fontId="173" fillId="13" borderId="0" xfId="0" applyNumberFormat="1" applyFont="1" applyFill="1"/>
    <xf numFmtId="14" fontId="173" fillId="13" borderId="0" xfId="0" applyNumberFormat="1" applyFont="1" applyFill="1"/>
    <xf numFmtId="0" fontId="79" fillId="0" borderId="0" xfId="0" applyFont="1" applyAlignment="1">
      <alignment horizontal="left" indent="17"/>
    </xf>
    <xf numFmtId="0" fontId="79" fillId="0" borderId="0" xfId="0" applyFont="1" applyAlignment="1">
      <alignment horizontal="right" vertical="top"/>
    </xf>
    <xf numFmtId="0" fontId="151" fillId="0" borderId="0" xfId="0" applyFont="1" applyAlignment="1">
      <alignment horizontal="center" vertical="center" wrapText="1"/>
    </xf>
    <xf numFmtId="0" fontId="10" fillId="0" borderId="0" xfId="17" applyFont="1" applyAlignment="1">
      <alignment horizontal="center"/>
    </xf>
    <xf numFmtId="0" fontId="1" fillId="0" borderId="0" xfId="17" applyAlignment="1" applyProtection="1">
      <alignment horizontal="center"/>
      <protection locked="0"/>
    </xf>
    <xf numFmtId="0" fontId="8" fillId="0" borderId="0" xfId="6" applyAlignment="1">
      <alignment horizontal="center" vertical="top"/>
    </xf>
    <xf numFmtId="0" fontId="8" fillId="0" borderId="1" xfId="6" applyBorder="1" applyAlignment="1">
      <alignment horizontal="center" vertical="top"/>
    </xf>
    <xf numFmtId="164" fontId="1" fillId="0" borderId="0" xfId="17" applyNumberFormat="1" applyAlignment="1" applyProtection="1">
      <alignment horizontal="center"/>
      <protection locked="0"/>
    </xf>
    <xf numFmtId="0" fontId="1" fillId="0" borderId="0" xfId="17" applyAlignment="1">
      <alignment horizontal="center"/>
    </xf>
    <xf numFmtId="0" fontId="159" fillId="0" borderId="0" xfId="0" applyFont="1" applyAlignment="1">
      <alignment horizontal="left" vertical="center"/>
    </xf>
    <xf numFmtId="0" fontId="162" fillId="0" borderId="0" xfId="0" applyFont="1" applyAlignment="1">
      <alignment horizontal="left" vertical="center"/>
    </xf>
    <xf numFmtId="0" fontId="162" fillId="0" borderId="0" xfId="0" applyFont="1" applyAlignment="1">
      <alignment horizontal="right" vertical="center"/>
    </xf>
    <xf numFmtId="0" fontId="161" fillId="0" borderId="0" xfId="0" applyFont="1" applyAlignment="1">
      <alignment horizontal="right" vertical="top"/>
    </xf>
    <xf numFmtId="0" fontId="0" fillId="0" borderId="0" xfId="0" applyAlignment="1">
      <alignment horizontal="center" vertical="center"/>
    </xf>
    <xf numFmtId="0" fontId="68" fillId="0" borderId="1" xfId="0" applyFont="1" applyBorder="1" applyAlignment="1" applyProtection="1">
      <alignment horizontal="left"/>
      <protection locked="0"/>
    </xf>
    <xf numFmtId="164" fontId="68" fillId="0" borderId="14" xfId="0" applyNumberFormat="1" applyFont="1" applyBorder="1" applyAlignment="1" applyProtection="1">
      <alignment horizontal="left"/>
      <protection locked="0"/>
    </xf>
    <xf numFmtId="0" fontId="68" fillId="0" borderId="14" xfId="0" applyFont="1" applyBorder="1" applyAlignment="1" applyProtection="1">
      <alignment horizontal="left"/>
      <protection locked="0"/>
    </xf>
    <xf numFmtId="0" fontId="68" fillId="0" borderId="0" xfId="0" applyFont="1" applyAlignment="1">
      <alignment horizontal="center"/>
    </xf>
    <xf numFmtId="0" fontId="68" fillId="0" borderId="1" xfId="0" applyFont="1" applyBorder="1" applyAlignment="1">
      <alignment horizontal="center"/>
    </xf>
    <xf numFmtId="0" fontId="34" fillId="0" borderId="0" xfId="0" applyFont="1" applyAlignment="1">
      <alignment horizontal="left" vertical="center" wrapText="1" indent="1"/>
    </xf>
    <xf numFmtId="0" fontId="34" fillId="0" borderId="16" xfId="0" applyFont="1" applyBorder="1" applyAlignment="1">
      <alignment horizontal="left" vertical="center" wrapText="1"/>
    </xf>
    <xf numFmtId="0" fontId="34" fillId="0" borderId="0" xfId="0" applyFont="1" applyAlignment="1">
      <alignment horizontal="left" vertical="center" wrapText="1"/>
    </xf>
    <xf numFmtId="0" fontId="8" fillId="0" borderId="0" xfId="0" applyFont="1" applyAlignment="1">
      <alignment horizontal="left" vertical="center" wrapText="1"/>
    </xf>
    <xf numFmtId="0" fontId="8" fillId="0" borderId="15" xfId="0" applyFont="1" applyBorder="1" applyAlignment="1">
      <alignment horizontal="left" vertical="center" wrapText="1"/>
    </xf>
    <xf numFmtId="3" fontId="12" fillId="0" borderId="0" xfId="3" applyNumberFormat="1" applyFont="1" applyAlignment="1">
      <alignment horizontal="center"/>
    </xf>
    <xf numFmtId="0" fontId="132" fillId="0" borderId="0" xfId="0" applyFont="1" applyAlignment="1">
      <alignment horizontal="right"/>
    </xf>
    <xf numFmtId="0" fontId="13" fillId="0" borderId="0" xfId="0" applyFont="1" applyAlignment="1">
      <alignment horizontal="left" indent="1"/>
    </xf>
    <xf numFmtId="166" fontId="11" fillId="0" borderId="0" xfId="3" applyNumberFormat="1" applyFont="1" applyAlignment="1">
      <alignment horizontal="center" vertical="top"/>
    </xf>
    <xf numFmtId="4" fontId="12" fillId="0" borderId="0" xfId="3" applyNumberFormat="1" applyFont="1" applyAlignment="1">
      <alignment horizontal="center"/>
    </xf>
    <xf numFmtId="0" fontId="12" fillId="0" borderId="0" xfId="3" applyFont="1" applyAlignment="1">
      <alignment horizontal="center"/>
    </xf>
    <xf numFmtId="3" fontId="59" fillId="0" borderId="0" xfId="0" applyNumberFormat="1" applyFont="1" applyAlignment="1">
      <alignment horizontal="center"/>
    </xf>
    <xf numFmtId="0" fontId="132" fillId="0" borderId="0" xfId="0" applyFont="1" applyAlignment="1">
      <alignment horizontal="left" vertical="center"/>
    </xf>
    <xf numFmtId="0" fontId="57" fillId="0" borderId="0" xfId="0" applyFont="1" applyAlignment="1">
      <alignment horizontal="center" vertical="top"/>
    </xf>
    <xf numFmtId="169" fontId="17" fillId="0" borderId="0" xfId="0" applyNumberFormat="1" applyFont="1" applyAlignment="1">
      <alignment horizontal="center" vertical="top"/>
    </xf>
    <xf numFmtId="169" fontId="77" fillId="0" borderId="0" xfId="3" applyNumberFormat="1" applyFont="1" applyAlignment="1">
      <alignment horizontal="center"/>
    </xf>
    <xf numFmtId="169" fontId="12" fillId="0" borderId="0" xfId="3" applyNumberFormat="1" applyFont="1" applyAlignment="1">
      <alignment horizontal="center"/>
    </xf>
    <xf numFmtId="49" fontId="131" fillId="0" borderId="0" xfId="0" applyNumberFormat="1" applyFont="1" applyAlignment="1">
      <alignment horizontal="center" vertical="center" textRotation="135"/>
    </xf>
    <xf numFmtId="49" fontId="131" fillId="0" borderId="1" xfId="0" applyNumberFormat="1" applyFont="1" applyBorder="1" applyAlignment="1">
      <alignment horizontal="center" vertical="center" textRotation="135"/>
    </xf>
    <xf numFmtId="9" fontId="132" fillId="0" borderId="0" xfId="12" applyFont="1" applyAlignment="1">
      <alignment horizontal="center"/>
    </xf>
    <xf numFmtId="0" fontId="85" fillId="0" borderId="0" xfId="0" applyFont="1" applyAlignment="1">
      <alignment horizontal="center" vertical="center"/>
    </xf>
    <xf numFmtId="43" fontId="25" fillId="0" borderId="0" xfId="0" applyNumberFormat="1" applyFont="1" applyAlignment="1">
      <alignment horizontal="center"/>
    </xf>
    <xf numFmtId="0" fontId="25" fillId="0" borderId="0" xfId="0" applyFont="1" applyAlignment="1">
      <alignment horizontal="center"/>
    </xf>
    <xf numFmtId="0" fontId="13" fillId="0" borderId="0" xfId="0" applyFont="1" applyAlignment="1">
      <alignment horizontal="left" wrapText="1" indent="1"/>
    </xf>
    <xf numFmtId="0" fontId="14" fillId="0" borderId="0" xfId="0" applyFont="1" applyAlignment="1">
      <alignment horizontal="left" vertical="center" wrapText="1" indent="1"/>
    </xf>
    <xf numFmtId="0" fontId="14" fillId="0" borderId="0" xfId="0" applyFont="1" applyAlignment="1">
      <alignment horizontal="left" vertical="top" wrapText="1" indent="1"/>
    </xf>
    <xf numFmtId="0" fontId="13" fillId="0" borderId="0" xfId="0" applyFont="1" applyAlignment="1">
      <alignment horizontal="left" vertical="center" wrapText="1" indent="1"/>
    </xf>
    <xf numFmtId="0" fontId="13" fillId="0" borderId="0" xfId="0" applyFont="1" applyAlignment="1">
      <alignment horizontal="left" vertical="top" wrapText="1" indent="1"/>
    </xf>
    <xf numFmtId="0" fontId="13" fillId="0" borderId="0" xfId="0" applyFont="1" applyAlignment="1">
      <alignment horizontal="left" vertical="top" wrapText="1"/>
    </xf>
    <xf numFmtId="0" fontId="13" fillId="0" borderId="0" xfId="0" applyFont="1" applyAlignment="1">
      <alignment horizontal="center" vertical="top"/>
    </xf>
    <xf numFmtId="0" fontId="17" fillId="0" borderId="0" xfId="0" applyFont="1" applyAlignment="1">
      <alignment horizontal="center" vertical="top"/>
    </xf>
    <xf numFmtId="0" fontId="13" fillId="0" borderId="0" xfId="0" applyFont="1" applyAlignment="1">
      <alignment horizontal="center" vertical="center" wrapText="1"/>
    </xf>
    <xf numFmtId="0" fontId="113" fillId="0" borderId="0" xfId="0" applyFont="1" applyAlignment="1">
      <alignment horizontal="center"/>
    </xf>
    <xf numFmtId="43" fontId="112" fillId="0" borderId="0" xfId="0" applyNumberFormat="1" applyFont="1" applyAlignment="1">
      <alignment horizontal="center"/>
    </xf>
    <xf numFmtId="43" fontId="22" fillId="0" borderId="0" xfId="0" applyNumberFormat="1" applyFont="1" applyAlignment="1">
      <alignment horizontal="center"/>
    </xf>
    <xf numFmtId="0" fontId="22" fillId="0" borderId="0" xfId="0" applyFont="1" applyAlignment="1">
      <alignment horizontal="center"/>
    </xf>
    <xf numFmtId="43" fontId="21" fillId="0" borderId="0" xfId="0" applyNumberFormat="1" applyFont="1" applyAlignment="1">
      <alignment horizontal="center" vertical="center"/>
    </xf>
    <xf numFmtId="0" fontId="21" fillId="0" borderId="0" xfId="0" applyFont="1" applyAlignment="1">
      <alignment horizontal="center" vertical="center"/>
    </xf>
    <xf numFmtId="44" fontId="23" fillId="0" borderId="0" xfId="0" applyNumberFormat="1" applyFont="1" applyAlignment="1">
      <alignment horizontal="center" vertical="center"/>
    </xf>
    <xf numFmtId="43" fontId="111" fillId="0" borderId="0" xfId="0" applyNumberFormat="1" applyFont="1" applyAlignment="1">
      <alignment horizontal="left" vertical="center" wrapText="1"/>
    </xf>
    <xf numFmtId="44" fontId="78" fillId="0" borderId="0" xfId="0" applyNumberFormat="1" applyFont="1" applyAlignment="1">
      <alignment horizontal="center" vertical="center"/>
    </xf>
    <xf numFmtId="44" fontId="126" fillId="0" borderId="0" xfId="0" applyNumberFormat="1" applyFont="1" applyAlignment="1">
      <alignment horizontal="center" vertical="center"/>
    </xf>
    <xf numFmtId="0" fontId="79" fillId="16" borderId="0" xfId="0" applyFont="1" applyFill="1" applyAlignment="1">
      <alignment horizontal="center" vertical="top"/>
    </xf>
    <xf numFmtId="0" fontId="13" fillId="0" borderId="0" xfId="0" applyFont="1" applyAlignment="1">
      <alignment horizontal="center" vertical="top" wrapText="1"/>
    </xf>
    <xf numFmtId="43" fontId="22" fillId="0" borderId="0" xfId="0" applyNumberFormat="1" applyFont="1" applyAlignment="1">
      <alignment horizontal="center" vertical="center"/>
    </xf>
    <xf numFmtId="0" fontId="16" fillId="0" borderId="0" xfId="0" applyFont="1" applyAlignment="1">
      <alignment horizontal="center" vertical="center"/>
    </xf>
    <xf numFmtId="0" fontId="71" fillId="0" borderId="0" xfId="0" applyFont="1" applyAlignment="1">
      <alignment horizontal="center" vertical="center"/>
    </xf>
    <xf numFmtId="43" fontId="111" fillId="0" borderId="0" xfId="0" applyNumberFormat="1" applyFont="1" applyAlignment="1">
      <alignment horizontal="center" vertical="center" wrapText="1"/>
    </xf>
    <xf numFmtId="43" fontId="69" fillId="0" borderId="0" xfId="0" applyNumberFormat="1" applyFont="1" applyAlignment="1">
      <alignment horizontal="center"/>
    </xf>
    <xf numFmtId="43" fontId="25" fillId="0" borderId="0" xfId="0" applyNumberFormat="1" applyFont="1" applyAlignment="1">
      <alignment horizontal="center" vertical="center"/>
    </xf>
    <xf numFmtId="43" fontId="40" fillId="0" borderId="0" xfId="0" applyNumberFormat="1" applyFont="1" applyAlignment="1">
      <alignment horizontal="center"/>
    </xf>
    <xf numFmtId="0" fontId="70" fillId="0" borderId="0" xfId="0" applyFont="1" applyAlignment="1">
      <alignment horizontal="center"/>
    </xf>
    <xf numFmtId="0" fontId="114" fillId="0" borderId="0" xfId="0" applyFont="1" applyAlignment="1">
      <alignment horizontal="center"/>
    </xf>
    <xf numFmtId="0" fontId="27" fillId="0" borderId="0" xfId="0" applyFont="1" applyAlignment="1">
      <alignment horizontal="center"/>
    </xf>
    <xf numFmtId="0" fontId="115" fillId="0" borderId="0" xfId="0" applyFont="1" applyAlignment="1">
      <alignment horizontal="center" vertical="center"/>
    </xf>
    <xf numFmtId="0" fontId="26" fillId="0" borderId="0" xfId="0" applyFont="1" applyAlignment="1">
      <alignment horizontal="center"/>
    </xf>
    <xf numFmtId="0" fontId="54" fillId="0" borderId="0" xfId="0" applyFont="1" applyAlignment="1">
      <alignment horizontal="center" wrapText="1"/>
    </xf>
    <xf numFmtId="44" fontId="132" fillId="0" borderId="0" xfId="5" applyFont="1" applyAlignment="1">
      <alignment horizontal="center" vertical="center"/>
    </xf>
    <xf numFmtId="9" fontId="16" fillId="0" borderId="0" xfId="12" applyFont="1" applyAlignment="1">
      <alignment horizontal="center" vertical="center"/>
    </xf>
    <xf numFmtId="0" fontId="132" fillId="0" borderId="0" xfId="0" applyFont="1" applyAlignment="1">
      <alignment horizontal="left" vertical="center" indent="4"/>
    </xf>
    <xf numFmtId="0" fontId="109" fillId="0" borderId="0" xfId="0" applyFont="1" applyAlignment="1">
      <alignment horizontal="center" vertical="center"/>
    </xf>
    <xf numFmtId="9" fontId="132" fillId="0" borderId="0" xfId="12" applyFont="1" applyAlignment="1">
      <alignment horizontal="center" vertical="center"/>
    </xf>
    <xf numFmtId="44" fontId="132" fillId="0" borderId="0" xfId="0" applyNumberFormat="1" applyFont="1" applyAlignment="1">
      <alignment horizontal="right" vertical="center"/>
    </xf>
    <xf numFmtId="8" fontId="132" fillId="0" borderId="0" xfId="0" applyNumberFormat="1" applyFont="1" applyAlignment="1">
      <alignment horizontal="right" vertical="center"/>
    </xf>
    <xf numFmtId="8" fontId="132" fillId="0" borderId="0" xfId="0" applyNumberFormat="1" applyFont="1" applyAlignment="1">
      <alignment horizontal="right"/>
    </xf>
    <xf numFmtId="8" fontId="134" fillId="0" borderId="0" xfId="0" applyNumberFormat="1" applyFont="1" applyAlignment="1">
      <alignment horizontal="right" vertical="center"/>
    </xf>
    <xf numFmtId="0" fontId="132" fillId="0" borderId="0" xfId="0" applyFont="1" applyAlignment="1">
      <alignment horizontal="center" vertical="center"/>
    </xf>
    <xf numFmtId="0" fontId="34" fillId="0" borderId="0" xfId="0" applyFont="1" applyAlignment="1">
      <alignment horizontal="center"/>
    </xf>
    <xf numFmtId="0" fontId="17" fillId="0" borderId="0" xfId="0" applyFont="1" applyAlignment="1">
      <alignment horizontal="left" vertical="center" wrapText="1"/>
    </xf>
    <xf numFmtId="44" fontId="134" fillId="0" borderId="0" xfId="5" applyFont="1" applyAlignment="1">
      <alignment horizontal="right" vertical="center" indent="1"/>
    </xf>
    <xf numFmtId="44" fontId="136" fillId="0" borderId="0" xfId="5" applyFont="1" applyAlignment="1">
      <alignment horizontal="center" vertical="center" wrapText="1"/>
    </xf>
    <xf numFmtId="0" fontId="132" fillId="0" borderId="0" xfId="0" applyFont="1" applyAlignment="1">
      <alignment horizontal="center" vertical="center" wrapText="1"/>
    </xf>
    <xf numFmtId="0" fontId="134" fillId="0" borderId="0" xfId="0" applyFont="1" applyAlignment="1">
      <alignment horizontal="center" vertical="center" wrapText="1"/>
    </xf>
    <xf numFmtId="44" fontId="61" fillId="0" borderId="0" xfId="5" applyFont="1" applyAlignment="1">
      <alignment horizontal="center"/>
    </xf>
    <xf numFmtId="0" fontId="57" fillId="0" borderId="0" xfId="0" applyFont="1" applyAlignment="1">
      <alignment horizontal="center"/>
    </xf>
    <xf numFmtId="0" fontId="18" fillId="0" borderId="0" xfId="0" applyFont="1" applyAlignment="1">
      <alignment horizontal="left"/>
    </xf>
    <xf numFmtId="44" fontId="132" fillId="0" borderId="0" xfId="0" applyNumberFormat="1" applyFont="1" applyAlignment="1">
      <alignment horizontal="center" vertical="center" wrapText="1"/>
    </xf>
    <xf numFmtId="169" fontId="77" fillId="0" borderId="0" xfId="5" applyNumberFormat="1" applyFont="1" applyAlignment="1">
      <alignment horizontal="center"/>
    </xf>
    <xf numFmtId="49" fontId="77" fillId="0" borderId="0" xfId="11" applyNumberFormat="1" applyFont="1" applyAlignment="1">
      <alignment horizontal="center"/>
    </xf>
    <xf numFmtId="0" fontId="14" fillId="0" borderId="0" xfId="0" applyFont="1" applyAlignment="1">
      <alignment horizontal="center" vertical="top" wrapText="1"/>
    </xf>
    <xf numFmtId="0" fontId="85" fillId="0" borderId="0" xfId="0" applyFont="1" applyAlignment="1">
      <alignment horizontal="center"/>
    </xf>
    <xf numFmtId="0" fontId="135" fillId="0" borderId="0" xfId="0" applyFont="1" applyAlignment="1">
      <alignment horizontal="center" vertical="center"/>
    </xf>
    <xf numFmtId="0" fontId="92" fillId="0" borderId="17" xfId="0" applyFont="1" applyBorder="1" applyAlignment="1">
      <alignment horizontal="center" wrapText="1"/>
    </xf>
    <xf numFmtId="0" fontId="132" fillId="0" borderId="0" xfId="0" applyFont="1" applyAlignment="1">
      <alignment horizontal="left" vertical="center" wrapText="1"/>
    </xf>
    <xf numFmtId="172" fontId="138" fillId="0" borderId="0" xfId="0" applyNumberFormat="1" applyFont="1" applyAlignment="1">
      <alignment horizontal="center" vertical="center" wrapText="1"/>
    </xf>
    <xf numFmtId="0" fontId="16" fillId="0" borderId="0" xfId="0" applyFont="1" applyAlignment="1">
      <alignment horizontal="left"/>
    </xf>
    <xf numFmtId="0" fontId="116" fillId="0" borderId="0" xfId="0" applyFont="1" applyAlignment="1">
      <alignment horizontal="center" vertical="center"/>
    </xf>
    <xf numFmtId="0" fontId="122" fillId="23" borderId="0" xfId="6" applyFont="1" applyFill="1" applyAlignment="1">
      <alignment horizontal="center" vertical="center" wrapText="1"/>
    </xf>
    <xf numFmtId="0" fontId="63" fillId="0" borderId="17" xfId="0" applyFont="1" applyBorder="1" applyAlignment="1">
      <alignment horizontal="center" vertical="center" wrapText="1"/>
    </xf>
    <xf numFmtId="0" fontId="122" fillId="0" borderId="0" xfId="6" applyFont="1" applyAlignment="1">
      <alignment horizontal="center" vertical="center" wrapText="1"/>
    </xf>
    <xf numFmtId="0" fontId="122" fillId="18" borderId="0" xfId="6" applyFont="1" applyFill="1" applyAlignment="1">
      <alignment horizontal="center" vertical="center" wrapText="1"/>
    </xf>
    <xf numFmtId="0" fontId="121" fillId="23" borderId="0" xfId="6" applyFont="1" applyFill="1" applyAlignment="1">
      <alignment horizontal="center" vertical="center"/>
    </xf>
    <xf numFmtId="0" fontId="121" fillId="0" borderId="0" xfId="6" applyFont="1" applyAlignment="1">
      <alignment horizontal="center" vertical="center"/>
    </xf>
    <xf numFmtId="0" fontId="122" fillId="23" borderId="0" xfId="6" applyFont="1" applyFill="1" applyAlignment="1">
      <alignment horizontal="center" vertical="center"/>
    </xf>
    <xf numFmtId="0" fontId="122" fillId="0" borderId="0" xfId="6" applyFont="1" applyAlignment="1">
      <alignment horizontal="center" vertical="center"/>
    </xf>
    <xf numFmtId="0" fontId="12" fillId="14" borderId="0" xfId="2" applyFont="1" applyFill="1" applyAlignment="1">
      <alignment horizontal="center" vertical="center" textRotation="255"/>
    </xf>
    <xf numFmtId="0" fontId="12" fillId="14" borderId="12" xfId="2" applyFont="1" applyFill="1" applyBorder="1" applyAlignment="1">
      <alignment horizontal="center" vertical="center" textRotation="255"/>
    </xf>
    <xf numFmtId="0" fontId="38" fillId="5" borderId="0" xfId="2" applyFont="1" applyFill="1" applyAlignment="1">
      <alignment horizontal="center" vertical="center" textRotation="255" wrapText="1"/>
    </xf>
    <xf numFmtId="0" fontId="40" fillId="8" borderId="0" xfId="2" applyFont="1" applyFill="1" applyAlignment="1">
      <alignment horizontal="center" vertical="center" textRotation="255"/>
    </xf>
    <xf numFmtId="0" fontId="42" fillId="10" borderId="0" xfId="2" applyFont="1" applyFill="1" applyAlignment="1">
      <alignment horizontal="center" vertical="center" textRotation="255" wrapText="1"/>
    </xf>
    <xf numFmtId="0" fontId="98" fillId="16" borderId="0" xfId="0" applyFont="1" applyFill="1" applyAlignment="1">
      <alignment horizontal="center" vertical="center" textRotation="255" wrapText="1"/>
    </xf>
  </cellXfs>
  <cellStyles count="18">
    <cellStyle name="Comma" xfId="11" builtinId="3"/>
    <cellStyle name="Currency" xfId="5" builtinId="4"/>
    <cellStyle name="Hyperlink" xfId="10" builtinId="8"/>
    <cellStyle name="Hyperlink 2" xfId="4" xr:uid="{4589845B-B5BE-4735-A811-77213D8C14BE}"/>
    <cellStyle name="Hyperlink 2 2" xfId="16" xr:uid="{E241FD4A-CE22-4912-903B-C2EDAC053FCF}"/>
    <cellStyle name="Hyperlink 3" xfId="9" xr:uid="{D44F685E-2A69-4440-A9A0-86F4F56EF48D}"/>
    <cellStyle name="Normal" xfId="0" builtinId="0"/>
    <cellStyle name="Normal 2" xfId="1" xr:uid="{FA99A450-8D67-4752-A694-0A4DBF97ED1A}"/>
    <cellStyle name="Normal 2 2" xfId="7" xr:uid="{7EA62E95-EB49-449F-912F-4EF22DDF71BE}"/>
    <cellStyle name="Normal 3" xfId="2" xr:uid="{9F8EA87E-9F03-4EDF-A866-BE18D619345B}"/>
    <cellStyle name="Normal 3 2" xfId="8" xr:uid="{D8648FBB-75EB-41EB-9B20-5561616B7628}"/>
    <cellStyle name="Normal 4" xfId="3" xr:uid="{021A74F3-4E4B-47A0-9E93-F1B219B49C7A}"/>
    <cellStyle name="Normal 5" xfId="6" xr:uid="{80EB8489-A396-4554-A29C-B61243BFC402}"/>
    <cellStyle name="Normal 6" xfId="13" xr:uid="{50201C56-7C72-4F06-A326-CB932C1C53C1}"/>
    <cellStyle name="Normal 7" xfId="14" xr:uid="{0D8E62A9-3951-4918-AA1A-D0588BBE47EC}"/>
    <cellStyle name="Normal 8" xfId="15" xr:uid="{68326070-DDD7-4028-B117-8CC15A00DD6B}"/>
    <cellStyle name="Normal 9" xfId="17" xr:uid="{175F5524-21BA-40D1-B4B8-603B499EC6B0}"/>
    <cellStyle name="Percent" xfId="12"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gif"/><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3</xdr:col>
      <xdr:colOff>215080</xdr:colOff>
      <xdr:row>4</xdr:row>
      <xdr:rowOff>99060</xdr:rowOff>
    </xdr:to>
    <xdr:pic>
      <xdr:nvPicPr>
        <xdr:cNvPr id="2" name="Picture 1" descr="logo.png">
          <a:extLst>
            <a:ext uri="{FF2B5EF4-FFF2-40B4-BE49-F238E27FC236}">
              <a16:creationId xmlns:a16="http://schemas.microsoft.com/office/drawing/2014/main" id="{1FAA6620-06A8-449D-BA0B-0FA1F128C90E}"/>
            </a:ext>
          </a:extLst>
        </xdr:cNvPr>
        <xdr:cNvPicPr>
          <a:picLocks noChangeAspect="1"/>
        </xdr:cNvPicPr>
      </xdr:nvPicPr>
      <xdr:blipFill>
        <a:blip xmlns:r="http://schemas.openxmlformats.org/officeDocument/2006/relationships" r:embed="rId1"/>
        <a:stretch>
          <a:fillRect/>
        </a:stretch>
      </xdr:blipFill>
      <xdr:spPr>
        <a:xfrm>
          <a:off x="0" y="38100"/>
          <a:ext cx="3468820" cy="7315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3</xdr:col>
      <xdr:colOff>215080</xdr:colOff>
      <xdr:row>4</xdr:row>
      <xdr:rowOff>99060</xdr:rowOff>
    </xdr:to>
    <xdr:pic>
      <xdr:nvPicPr>
        <xdr:cNvPr id="3" name="Picture 2" descr="logo.png">
          <a:extLst>
            <a:ext uri="{FF2B5EF4-FFF2-40B4-BE49-F238E27FC236}">
              <a16:creationId xmlns:a16="http://schemas.microsoft.com/office/drawing/2014/main" id="{BE20EB8A-8A93-45DD-A3F2-ADA4478D5A25}"/>
            </a:ext>
          </a:extLst>
        </xdr:cNvPr>
        <xdr:cNvPicPr>
          <a:picLocks noChangeAspect="1"/>
        </xdr:cNvPicPr>
      </xdr:nvPicPr>
      <xdr:blipFill>
        <a:blip xmlns:r="http://schemas.openxmlformats.org/officeDocument/2006/relationships" r:embed="rId1"/>
        <a:stretch>
          <a:fillRect/>
        </a:stretch>
      </xdr:blipFill>
      <xdr:spPr>
        <a:xfrm>
          <a:off x="0" y="38100"/>
          <a:ext cx="3468820" cy="73152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106680</xdr:colOff>
      <xdr:row>4</xdr:row>
      <xdr:rowOff>182880</xdr:rowOff>
    </xdr:to>
    <xdr:pic>
      <xdr:nvPicPr>
        <xdr:cNvPr id="2" name="Picture 1" descr="logo.png">
          <a:extLst>
            <a:ext uri="{FF2B5EF4-FFF2-40B4-BE49-F238E27FC236}">
              <a16:creationId xmlns:a16="http://schemas.microsoft.com/office/drawing/2014/main" id="{F233FB0E-F058-F051-BFB7-B3127C440F0B}"/>
            </a:ext>
          </a:extLst>
        </xdr:cNvPr>
        <xdr:cNvPicPr>
          <a:picLocks noChangeAspect="1"/>
        </xdr:cNvPicPr>
      </xdr:nvPicPr>
      <xdr:blipFill>
        <a:blip xmlns:r="http://schemas.openxmlformats.org/officeDocument/2006/relationships" r:embed="rId1"/>
        <a:stretch>
          <a:fillRect/>
        </a:stretch>
      </xdr:blipFill>
      <xdr:spPr>
        <a:xfrm>
          <a:off x="0" y="0"/>
          <a:ext cx="2964180" cy="845820"/>
        </a:xfrm>
        <a:prstGeom prst="rect">
          <a:avLst/>
        </a:prstGeom>
      </xdr:spPr>
    </xdr:pic>
    <xdr:clientData/>
  </xdr:twoCellAnchor>
  <xdr:twoCellAnchor editAs="oneCell">
    <xdr:from>
      <xdr:col>0</xdr:col>
      <xdr:colOff>0</xdr:colOff>
      <xdr:row>20</xdr:row>
      <xdr:rowOff>0</xdr:rowOff>
    </xdr:from>
    <xdr:to>
      <xdr:col>0</xdr:col>
      <xdr:colOff>381000</xdr:colOff>
      <xdr:row>20</xdr:row>
      <xdr:rowOff>381000</xdr:rowOff>
    </xdr:to>
    <xdr:pic>
      <xdr:nvPicPr>
        <xdr:cNvPr id="3" name=":1j_13-e">
          <a:extLst>
            <a:ext uri="{FF2B5EF4-FFF2-40B4-BE49-F238E27FC236}">
              <a16:creationId xmlns:a16="http://schemas.microsoft.com/office/drawing/2014/main" id="{C88A0393-41CC-7D2C-E06D-B3AFE1834E0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793480"/>
          <a:ext cx="38100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7620</xdr:colOff>
      <xdr:row>21</xdr:row>
      <xdr:rowOff>7620</xdr:rowOff>
    </xdr:to>
    <xdr:pic>
      <xdr:nvPicPr>
        <xdr:cNvPr id="4" name="Picture 3">
          <a:extLst>
            <a:ext uri="{FF2B5EF4-FFF2-40B4-BE49-F238E27FC236}">
              <a16:creationId xmlns:a16="http://schemas.microsoft.com/office/drawing/2014/main" id="{89A23C54-9771-4AB3-5EB4-8FB1814A0EE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0" y="9212580"/>
          <a:ext cx="7620" cy="7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0</xdr:row>
      <xdr:rowOff>0</xdr:rowOff>
    </xdr:from>
    <xdr:to>
      <xdr:col>7</xdr:col>
      <xdr:colOff>6985</xdr:colOff>
      <xdr:row>0</xdr:row>
      <xdr:rowOff>0</xdr:rowOff>
    </xdr:to>
    <xdr:sp macro="" textlink="">
      <xdr:nvSpPr>
        <xdr:cNvPr id="2" name="Shape 36">
          <a:extLst>
            <a:ext uri="{FF2B5EF4-FFF2-40B4-BE49-F238E27FC236}">
              <a16:creationId xmlns:a16="http://schemas.microsoft.com/office/drawing/2014/main" id="{00000000-0008-0000-0200-000002000000}"/>
            </a:ext>
          </a:extLst>
        </xdr:cNvPr>
        <xdr:cNvSpPr/>
      </xdr:nvSpPr>
      <xdr:spPr>
        <a:xfrm>
          <a:off x="561213" y="73486900"/>
          <a:ext cx="1416685" cy="0"/>
        </a:xfrm>
        <a:custGeom>
          <a:avLst/>
          <a:gdLst/>
          <a:ahLst/>
          <a:cxnLst/>
          <a:rect l="0" t="0" r="0" b="0"/>
          <a:pathLst>
            <a:path w="1416685">
              <a:moveTo>
                <a:pt x="0" y="0"/>
              </a:moveTo>
              <a:lnTo>
                <a:pt x="1416177" y="0"/>
              </a:lnTo>
            </a:path>
          </a:pathLst>
        </a:custGeom>
        <a:ln w="7620">
          <a:solidFill>
            <a:srgbClr val="000000"/>
          </a:solidFill>
        </a:ln>
      </xdr:spPr>
      <xdr:txBody>
        <a:bodyPr/>
        <a:lstStyle/>
        <a:p>
          <a:endParaRPr lang="en-US"/>
        </a:p>
      </xdr:txBody>
    </xdr:sp>
    <xdr:clientData/>
  </xdr:twoCellAnchor>
  <xdr:twoCellAnchor editAs="oneCell">
    <xdr:from>
      <xdr:col>5</xdr:col>
      <xdr:colOff>0</xdr:colOff>
      <xdr:row>0</xdr:row>
      <xdr:rowOff>0</xdr:rowOff>
    </xdr:from>
    <xdr:to>
      <xdr:col>15</xdr:col>
      <xdr:colOff>386714</xdr:colOff>
      <xdr:row>0</xdr:row>
      <xdr:rowOff>27940</xdr:rowOff>
    </xdr:to>
    <xdr:sp macro="" textlink="">
      <xdr:nvSpPr>
        <xdr:cNvPr id="3" name="Shape 37">
          <a:extLst>
            <a:ext uri="{FF2B5EF4-FFF2-40B4-BE49-F238E27FC236}">
              <a16:creationId xmlns:a16="http://schemas.microsoft.com/office/drawing/2014/main" id="{00000000-0008-0000-0200-000003000000}"/>
            </a:ext>
          </a:extLst>
        </xdr:cNvPr>
        <xdr:cNvSpPr/>
      </xdr:nvSpPr>
      <xdr:spPr>
        <a:xfrm>
          <a:off x="561213" y="73537954"/>
          <a:ext cx="6833234" cy="27940"/>
        </a:xfrm>
        <a:custGeom>
          <a:avLst/>
          <a:gdLst/>
          <a:ahLst/>
          <a:cxnLst/>
          <a:rect l="0" t="0" r="0" b="0"/>
          <a:pathLst>
            <a:path w="6833234" h="27940">
              <a:moveTo>
                <a:pt x="0" y="0"/>
              </a:moveTo>
              <a:lnTo>
                <a:pt x="6832727" y="0"/>
              </a:lnTo>
            </a:path>
            <a:path w="6833234" h="27940">
              <a:moveTo>
                <a:pt x="0" y="27431"/>
              </a:moveTo>
              <a:lnTo>
                <a:pt x="6832727" y="27431"/>
              </a:lnTo>
            </a:path>
          </a:pathLst>
        </a:custGeom>
        <a:ln w="5486">
          <a:solidFill>
            <a:srgbClr val="000000"/>
          </a:solidFill>
        </a:ln>
      </xdr:spPr>
      <xdr:txBody>
        <a:bodyPr/>
        <a:lstStyle/>
        <a:p>
          <a:endParaRPr lang="en-US"/>
        </a:p>
      </xdr:txBody>
    </xdr:sp>
    <xdr:clientData/>
  </xdr:twoCellAnchor>
  <xdr:twoCellAnchor>
    <xdr:from>
      <xdr:col>7</xdr:col>
      <xdr:colOff>198120</xdr:colOff>
      <xdr:row>75</xdr:row>
      <xdr:rowOff>22860</xdr:rowOff>
    </xdr:from>
    <xdr:to>
      <xdr:col>11</xdr:col>
      <xdr:colOff>502920</xdr:colOff>
      <xdr:row>75</xdr:row>
      <xdr:rowOff>24130</xdr:rowOff>
    </xdr:to>
    <xdr:sp macro="" textlink="">
      <xdr:nvSpPr>
        <xdr:cNvPr id="4" name="Graphic 222">
          <a:extLst>
            <a:ext uri="{FF2B5EF4-FFF2-40B4-BE49-F238E27FC236}">
              <a16:creationId xmlns:a16="http://schemas.microsoft.com/office/drawing/2014/main" id="{4D24F6D0-27BF-6BA3-1787-9DDE5B9441FF}"/>
            </a:ext>
          </a:extLst>
        </xdr:cNvPr>
        <xdr:cNvSpPr>
          <a:spLocks/>
        </xdr:cNvSpPr>
      </xdr:nvSpPr>
      <xdr:spPr>
        <a:xfrm>
          <a:off x="2741295" y="3702050"/>
          <a:ext cx="2743200" cy="1270"/>
        </a:xfrm>
        <a:custGeom>
          <a:avLst/>
          <a:gdLst/>
          <a:ahLst/>
          <a:cxnLst/>
          <a:rect l="l" t="t" r="r" b="b"/>
          <a:pathLst>
            <a:path w="2743200">
              <a:moveTo>
                <a:pt x="0" y="0"/>
              </a:moveTo>
              <a:lnTo>
                <a:pt x="2743200" y="0"/>
              </a:lnTo>
            </a:path>
          </a:pathLst>
        </a:custGeom>
        <a:ln w="5486">
          <a:solidFill>
            <a:srgbClr val="000000"/>
          </a:solidFill>
          <a:prstDash val="solid"/>
        </a:ln>
      </xdr:spPr>
      <xdr:txBody>
        <a:bodyPr wrap="square" lIns="0" tIns="0" rIns="0" bIns="0" rtlCol="0">
          <a:prstTxWarp prst="textNoShape">
            <a:avLst/>
          </a:prstTxWarp>
          <a:noAutofit/>
        </a:bodyPr>
        <a:lstStyle/>
        <a:p>
          <a:endParaRPr lang="en-US"/>
        </a:p>
      </xdr:txBody>
    </xdr:sp>
    <xdr:clientData/>
  </xdr:twoCellAnchor>
  <xdr:twoCellAnchor>
    <xdr:from>
      <xdr:col>4</xdr:col>
      <xdr:colOff>0</xdr:colOff>
      <xdr:row>86</xdr:row>
      <xdr:rowOff>0</xdr:rowOff>
    </xdr:from>
    <xdr:to>
      <xdr:col>5</xdr:col>
      <xdr:colOff>289560</xdr:colOff>
      <xdr:row>86</xdr:row>
      <xdr:rowOff>11430</xdr:rowOff>
    </xdr:to>
    <xdr:grpSp>
      <xdr:nvGrpSpPr>
        <xdr:cNvPr id="7" name="Group 6">
          <a:extLst>
            <a:ext uri="{FF2B5EF4-FFF2-40B4-BE49-F238E27FC236}">
              <a16:creationId xmlns:a16="http://schemas.microsoft.com/office/drawing/2014/main" id="{2CB52463-098E-95B7-B43F-52D5732465DF}"/>
            </a:ext>
          </a:extLst>
        </xdr:cNvPr>
        <xdr:cNvGrpSpPr>
          <a:grpSpLocks/>
        </xdr:cNvGrpSpPr>
      </xdr:nvGrpSpPr>
      <xdr:grpSpPr>
        <a:xfrm>
          <a:off x="5829300" y="32194500"/>
          <a:ext cx="2718435" cy="11430"/>
          <a:chOff x="0" y="0"/>
          <a:chExt cx="3200400" cy="11430"/>
        </a:xfrm>
      </xdr:grpSpPr>
      <xdr:sp macro="" textlink="">
        <xdr:nvSpPr>
          <xdr:cNvPr id="8" name="Graphic 224">
            <a:extLst>
              <a:ext uri="{FF2B5EF4-FFF2-40B4-BE49-F238E27FC236}">
                <a16:creationId xmlns:a16="http://schemas.microsoft.com/office/drawing/2014/main" id="{911F918D-1BC0-F5D5-71A9-6F55DC2E1D7C}"/>
              </a:ext>
            </a:extLst>
          </xdr:cNvPr>
          <xdr:cNvSpPr/>
        </xdr:nvSpPr>
        <xdr:spPr>
          <a:xfrm>
            <a:off x="0" y="5714"/>
            <a:ext cx="3200400" cy="1270"/>
          </a:xfrm>
          <a:custGeom>
            <a:avLst/>
            <a:gdLst/>
            <a:ahLst/>
            <a:cxnLst/>
            <a:rect l="l" t="t" r="r" b="b"/>
            <a:pathLst>
              <a:path w="3200400">
                <a:moveTo>
                  <a:pt x="0" y="0"/>
                </a:moveTo>
                <a:lnTo>
                  <a:pt x="3200400" y="0"/>
                </a:lnTo>
              </a:path>
            </a:pathLst>
          </a:custGeom>
          <a:ln w="11430">
            <a:solidFill>
              <a:srgbClr val="000000"/>
            </a:solidFill>
            <a:prstDash val="solid"/>
          </a:ln>
        </xdr:spPr>
        <xdr:txBody>
          <a:bodyPr wrap="square" lIns="0" tIns="0" rIns="0" bIns="0" rtlCol="0">
            <a:prstTxWarp prst="textNoShape">
              <a:avLst/>
            </a:prstTxWarp>
            <a:noAutofit/>
          </a:bodyPr>
          <a:lstStyle/>
          <a:p>
            <a:endParaRPr lang="en-US"/>
          </a:p>
        </xdr:txBody>
      </xdr:sp>
    </xdr:grpSp>
    <xdr:clientData/>
  </xdr:twoCellAnchor>
  <xdr:twoCellAnchor>
    <xdr:from>
      <xdr:col>4</xdr:col>
      <xdr:colOff>0</xdr:colOff>
      <xdr:row>103</xdr:row>
      <xdr:rowOff>0</xdr:rowOff>
    </xdr:from>
    <xdr:to>
      <xdr:col>5</xdr:col>
      <xdr:colOff>289560</xdr:colOff>
      <xdr:row>103</xdr:row>
      <xdr:rowOff>11430</xdr:rowOff>
    </xdr:to>
    <xdr:grpSp>
      <xdr:nvGrpSpPr>
        <xdr:cNvPr id="9" name="Group 8">
          <a:extLst>
            <a:ext uri="{FF2B5EF4-FFF2-40B4-BE49-F238E27FC236}">
              <a16:creationId xmlns:a16="http://schemas.microsoft.com/office/drawing/2014/main" id="{C448B1C1-C561-9D84-8F8A-DADC4EE8CD60}"/>
            </a:ext>
          </a:extLst>
        </xdr:cNvPr>
        <xdr:cNvGrpSpPr>
          <a:grpSpLocks/>
        </xdr:cNvGrpSpPr>
      </xdr:nvGrpSpPr>
      <xdr:grpSpPr>
        <a:xfrm>
          <a:off x="5829300" y="36404550"/>
          <a:ext cx="2718435" cy="11430"/>
          <a:chOff x="0" y="0"/>
          <a:chExt cx="3200400" cy="11430"/>
        </a:xfrm>
      </xdr:grpSpPr>
      <xdr:sp macro="" textlink="">
        <xdr:nvSpPr>
          <xdr:cNvPr id="10" name="Graphic 226">
            <a:extLst>
              <a:ext uri="{FF2B5EF4-FFF2-40B4-BE49-F238E27FC236}">
                <a16:creationId xmlns:a16="http://schemas.microsoft.com/office/drawing/2014/main" id="{58C4D92D-FE79-2FEB-6630-3DAF86E1276D}"/>
              </a:ext>
            </a:extLst>
          </xdr:cNvPr>
          <xdr:cNvSpPr/>
        </xdr:nvSpPr>
        <xdr:spPr>
          <a:xfrm>
            <a:off x="0" y="5714"/>
            <a:ext cx="3200400" cy="1270"/>
          </a:xfrm>
          <a:custGeom>
            <a:avLst/>
            <a:gdLst/>
            <a:ahLst/>
            <a:cxnLst/>
            <a:rect l="l" t="t" r="r" b="b"/>
            <a:pathLst>
              <a:path w="3200400">
                <a:moveTo>
                  <a:pt x="0" y="0"/>
                </a:moveTo>
                <a:lnTo>
                  <a:pt x="3200400" y="0"/>
                </a:lnTo>
              </a:path>
            </a:pathLst>
          </a:custGeom>
          <a:ln w="11430">
            <a:solidFill>
              <a:srgbClr val="000000"/>
            </a:solidFill>
            <a:prstDash val="solid"/>
          </a:ln>
        </xdr:spPr>
        <xdr:txBody>
          <a:bodyPr wrap="square" lIns="0" tIns="0" rIns="0" bIns="0" rtlCol="0">
            <a:prstTxWarp prst="textNoShape">
              <a:avLst/>
            </a:prstTxWarp>
            <a:noAutofit/>
          </a:bodyPr>
          <a:lstStyle/>
          <a:p>
            <a:endParaRPr lang="en-US"/>
          </a:p>
        </xdr:txBody>
      </xdr:sp>
    </xdr:grpSp>
    <xdr:clientData/>
  </xdr:twoCellAnchor>
  <xdr:twoCellAnchor>
    <xdr:from>
      <xdr:col>4</xdr:col>
      <xdr:colOff>0</xdr:colOff>
      <xdr:row>104</xdr:row>
      <xdr:rowOff>0</xdr:rowOff>
    </xdr:from>
    <xdr:to>
      <xdr:col>5</xdr:col>
      <xdr:colOff>289560</xdr:colOff>
      <xdr:row>104</xdr:row>
      <xdr:rowOff>11430</xdr:rowOff>
    </xdr:to>
    <xdr:grpSp>
      <xdr:nvGrpSpPr>
        <xdr:cNvPr id="11" name="Group 10">
          <a:extLst>
            <a:ext uri="{FF2B5EF4-FFF2-40B4-BE49-F238E27FC236}">
              <a16:creationId xmlns:a16="http://schemas.microsoft.com/office/drawing/2014/main" id="{2673496A-CE9F-10D0-632E-2500AB6EFA3C}"/>
            </a:ext>
          </a:extLst>
        </xdr:cNvPr>
        <xdr:cNvGrpSpPr>
          <a:grpSpLocks/>
        </xdr:cNvGrpSpPr>
      </xdr:nvGrpSpPr>
      <xdr:grpSpPr>
        <a:xfrm>
          <a:off x="5829300" y="36614100"/>
          <a:ext cx="2718435" cy="11430"/>
          <a:chOff x="0" y="0"/>
          <a:chExt cx="3200400" cy="11430"/>
        </a:xfrm>
      </xdr:grpSpPr>
      <xdr:sp macro="" textlink="">
        <xdr:nvSpPr>
          <xdr:cNvPr id="12" name="Graphic 228">
            <a:extLst>
              <a:ext uri="{FF2B5EF4-FFF2-40B4-BE49-F238E27FC236}">
                <a16:creationId xmlns:a16="http://schemas.microsoft.com/office/drawing/2014/main" id="{A9457863-1A78-4A9A-FAB5-0DE42F131C7F}"/>
              </a:ext>
            </a:extLst>
          </xdr:cNvPr>
          <xdr:cNvSpPr/>
        </xdr:nvSpPr>
        <xdr:spPr>
          <a:xfrm>
            <a:off x="0" y="5714"/>
            <a:ext cx="3200400" cy="1270"/>
          </a:xfrm>
          <a:custGeom>
            <a:avLst/>
            <a:gdLst/>
            <a:ahLst/>
            <a:cxnLst/>
            <a:rect l="l" t="t" r="r" b="b"/>
            <a:pathLst>
              <a:path w="3200400">
                <a:moveTo>
                  <a:pt x="0" y="0"/>
                </a:moveTo>
                <a:lnTo>
                  <a:pt x="3200400" y="0"/>
                </a:lnTo>
              </a:path>
            </a:pathLst>
          </a:custGeom>
          <a:ln w="11430">
            <a:solidFill>
              <a:srgbClr val="000000"/>
            </a:solidFill>
            <a:prstDash val="solid"/>
          </a:ln>
        </xdr:spPr>
        <xdr:txBody>
          <a:bodyPr wrap="square" lIns="0" tIns="0" rIns="0" bIns="0" rtlCol="0">
            <a:prstTxWarp prst="textNoShape">
              <a:avLst/>
            </a:prstTxWarp>
            <a:noAutofit/>
          </a:bodyPr>
          <a:lstStyle/>
          <a:p>
            <a:endParaRPr lang="en-US"/>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1074421</xdr:colOff>
      <xdr:row>97</xdr:row>
      <xdr:rowOff>373379</xdr:rowOff>
    </xdr:from>
    <xdr:to>
      <xdr:col>2</xdr:col>
      <xdr:colOff>1432561</xdr:colOff>
      <xdr:row>98</xdr:row>
      <xdr:rowOff>144779</xdr:rowOff>
    </xdr:to>
    <xdr:sp macro="" textlink="">
      <xdr:nvSpPr>
        <xdr:cNvPr id="2" name="Arrow: Left 1">
          <a:extLst>
            <a:ext uri="{FF2B5EF4-FFF2-40B4-BE49-F238E27FC236}">
              <a16:creationId xmlns:a16="http://schemas.microsoft.com/office/drawing/2014/main" id="{BF5546F3-3DC9-44FE-9B33-87179622A45F}"/>
            </a:ext>
          </a:extLst>
        </xdr:cNvPr>
        <xdr:cNvSpPr/>
      </xdr:nvSpPr>
      <xdr:spPr>
        <a:xfrm rot="19686320">
          <a:off x="62826901" y="32110679"/>
          <a:ext cx="358140" cy="14478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gif"/></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mailto:jaulizia@servproteamdobson.com" TargetMode="External"/><Relationship Id="rId2" Type="http://schemas.openxmlformats.org/officeDocument/2006/relationships/hyperlink" Target="mailto:Jaulizia@serveproteamdobson.com" TargetMode="External"/><Relationship Id="rId1" Type="http://schemas.openxmlformats.org/officeDocument/2006/relationships/hyperlink" Target="mailto:Jaulizia@serveproteamdobson.com"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0CBFC-A820-4BDB-B631-26BE68A8AE52}">
  <sheetPr codeName="Sheet7"/>
  <dimension ref="A1:N44"/>
  <sheetViews>
    <sheetView topLeftCell="A13" zoomScaleNormal="100" workbookViewId="0">
      <selection activeCell="A20" sqref="A20:N25"/>
    </sheetView>
  </sheetViews>
  <sheetFormatPr defaultColWidth="8.83203125" defaultRowHeight="15"/>
  <cols>
    <col min="1" max="1" width="30" style="1" customWidth="1"/>
    <col min="2" max="2" width="7.33203125" style="1" customWidth="1"/>
    <col min="3" max="3" width="10.1640625" style="1" customWidth="1"/>
    <col min="4" max="4" width="8" style="1" customWidth="1"/>
    <col min="5" max="5" width="9.1640625" style="1" customWidth="1"/>
    <col min="6" max="6" width="10.33203125" style="1" customWidth="1"/>
    <col min="7" max="7" width="7.6640625" style="1" customWidth="1"/>
    <col min="8" max="8" width="6.6640625" style="1" customWidth="1"/>
    <col min="9" max="9" width="11" style="1" customWidth="1"/>
    <col min="10" max="10" width="11.6640625" style="1" customWidth="1"/>
    <col min="11" max="11" width="7.5" style="1" customWidth="1"/>
    <col min="12" max="12" width="7.33203125" style="1" customWidth="1"/>
    <col min="13" max="13" width="6.83203125" style="1" customWidth="1"/>
    <col min="14" max="14" width="7.83203125" style="1" customWidth="1"/>
    <col min="15" max="20" width="15.6640625" style="1" customWidth="1"/>
    <col min="21" max="16384" width="8.83203125" style="1"/>
  </cols>
  <sheetData>
    <row r="1" spans="1:14" ht="15" customHeight="1">
      <c r="A1" s="107"/>
      <c r="B1" s="107"/>
      <c r="C1" s="107"/>
      <c r="D1" s="502" t="s">
        <v>0</v>
      </c>
      <c r="E1" s="502"/>
      <c r="F1" s="502"/>
      <c r="G1" s="503" t="s">
        <v>1</v>
      </c>
      <c r="H1" s="503"/>
      <c r="I1" s="504" t="s">
        <v>2</v>
      </c>
      <c r="J1" s="504"/>
      <c r="K1" s="505"/>
      <c r="L1" s="505"/>
      <c r="M1" s="505"/>
      <c r="N1" s="505"/>
    </row>
    <row r="2" spans="1:14">
      <c r="A2" s="107"/>
      <c r="B2" s="107"/>
      <c r="C2" s="107"/>
      <c r="D2" s="502"/>
      <c r="E2" s="502"/>
      <c r="F2" s="502"/>
      <c r="G2" s="503" t="s">
        <v>3</v>
      </c>
      <c r="H2" s="503"/>
      <c r="I2" s="507">
        <v>45316</v>
      </c>
      <c r="J2" s="507"/>
      <c r="K2" s="505"/>
      <c r="L2" s="505"/>
      <c r="M2" s="505"/>
      <c r="N2" s="505"/>
    </row>
    <row r="3" spans="1:14">
      <c r="A3" s="107"/>
      <c r="B3" s="107"/>
      <c r="C3" s="107"/>
      <c r="D3" s="502"/>
      <c r="E3" s="502"/>
      <c r="F3" s="502"/>
      <c r="G3" s="423" t="s">
        <v>4</v>
      </c>
      <c r="I3" s="508" t="s">
        <v>5</v>
      </c>
      <c r="J3" s="508"/>
      <c r="K3" s="505"/>
      <c r="L3" s="505"/>
      <c r="M3" s="505"/>
      <c r="N3" s="505"/>
    </row>
    <row r="4" spans="1:14" ht="9" customHeight="1">
      <c r="K4" s="506"/>
      <c r="L4" s="506"/>
      <c r="M4" s="506"/>
      <c r="N4" s="506"/>
    </row>
    <row r="5" spans="1:14" s="106" customFormat="1" ht="48" customHeight="1">
      <c r="A5" s="108" t="s">
        <v>6</v>
      </c>
      <c r="B5" s="108" t="s">
        <v>7</v>
      </c>
      <c r="C5" s="108" t="s">
        <v>8</v>
      </c>
      <c r="D5" s="108" t="s">
        <v>9</v>
      </c>
      <c r="E5" s="108" t="s">
        <v>10</v>
      </c>
      <c r="F5" s="108" t="s">
        <v>11</v>
      </c>
      <c r="G5" s="108" t="s">
        <v>12</v>
      </c>
      <c r="H5" s="108" t="s">
        <v>13</v>
      </c>
      <c r="I5" s="108" t="s">
        <v>14</v>
      </c>
      <c r="J5" s="108" t="s">
        <v>15</v>
      </c>
      <c r="K5" s="108" t="s">
        <v>16</v>
      </c>
      <c r="L5" s="108" t="s">
        <v>17</v>
      </c>
      <c r="M5" s="108" t="s">
        <v>18</v>
      </c>
      <c r="N5" s="108" t="s">
        <v>19</v>
      </c>
    </row>
    <row r="6" spans="1:14" ht="21" customHeight="1">
      <c r="A6" s="425" t="s">
        <v>671</v>
      </c>
      <c r="B6" s="426">
        <v>1</v>
      </c>
      <c r="C6" s="426">
        <v>0</v>
      </c>
      <c r="D6" s="426">
        <v>0</v>
      </c>
      <c r="E6" s="426">
        <v>0</v>
      </c>
      <c r="F6" s="426">
        <v>1</v>
      </c>
      <c r="G6" s="426">
        <v>0</v>
      </c>
      <c r="H6" s="426">
        <v>0</v>
      </c>
      <c r="I6" s="426">
        <v>0</v>
      </c>
      <c r="J6" s="426">
        <v>0</v>
      </c>
      <c r="K6" s="426">
        <v>0</v>
      </c>
      <c r="L6" s="426">
        <v>0</v>
      </c>
      <c r="M6" s="426">
        <v>0</v>
      </c>
      <c r="N6" s="426">
        <f>SUM(B6:M6)</f>
        <v>2</v>
      </c>
    </row>
    <row r="7" spans="1:14" ht="21" customHeight="1">
      <c r="A7" s="425" t="s">
        <v>20</v>
      </c>
      <c r="B7" s="426">
        <v>0</v>
      </c>
      <c r="C7" s="426">
        <v>18</v>
      </c>
      <c r="D7" s="426">
        <v>1</v>
      </c>
      <c r="E7" s="426">
        <v>7</v>
      </c>
      <c r="F7" s="426">
        <v>3</v>
      </c>
      <c r="G7" s="426">
        <v>0</v>
      </c>
      <c r="H7" s="426">
        <v>0</v>
      </c>
      <c r="I7" s="426">
        <v>0</v>
      </c>
      <c r="J7" s="426">
        <v>0</v>
      </c>
      <c r="K7" s="426">
        <v>0</v>
      </c>
      <c r="L7" s="426">
        <v>0</v>
      </c>
      <c r="M7" s="426">
        <v>0</v>
      </c>
      <c r="N7" s="426">
        <f t="shared" ref="N7:N19" si="0">SUM(B7:M7)</f>
        <v>29</v>
      </c>
    </row>
    <row r="8" spans="1:14" ht="21" customHeight="1">
      <c r="A8" s="425" t="s">
        <v>21</v>
      </c>
      <c r="B8" s="426">
        <v>7</v>
      </c>
      <c r="C8" s="426">
        <v>4</v>
      </c>
      <c r="D8" s="426">
        <v>0</v>
      </c>
      <c r="E8" s="426">
        <v>4</v>
      </c>
      <c r="F8" s="426">
        <v>3</v>
      </c>
      <c r="G8" s="426">
        <v>0</v>
      </c>
      <c r="H8" s="426">
        <v>0</v>
      </c>
      <c r="I8" s="426">
        <v>0</v>
      </c>
      <c r="J8" s="426">
        <v>0</v>
      </c>
      <c r="K8" s="426">
        <v>1</v>
      </c>
      <c r="L8" s="426">
        <v>0</v>
      </c>
      <c r="M8" s="426">
        <v>0</v>
      </c>
      <c r="N8" s="426">
        <f t="shared" si="0"/>
        <v>19</v>
      </c>
    </row>
    <row r="9" spans="1:14" ht="21" customHeight="1">
      <c r="A9" s="425" t="s">
        <v>22</v>
      </c>
      <c r="B9" s="426">
        <v>14</v>
      </c>
      <c r="C9" s="426">
        <v>28</v>
      </c>
      <c r="D9" s="426">
        <v>0</v>
      </c>
      <c r="E9" s="426">
        <v>1</v>
      </c>
      <c r="F9" s="426">
        <v>0</v>
      </c>
      <c r="G9" s="426">
        <v>2</v>
      </c>
      <c r="H9" s="426">
        <v>1</v>
      </c>
      <c r="I9" s="426">
        <v>0</v>
      </c>
      <c r="J9" s="426">
        <v>0</v>
      </c>
      <c r="K9" s="426">
        <v>2</v>
      </c>
      <c r="L9" s="426">
        <v>3</v>
      </c>
      <c r="M9" s="426">
        <v>3</v>
      </c>
      <c r="N9" s="426">
        <f t="shared" si="0"/>
        <v>54</v>
      </c>
    </row>
    <row r="10" spans="1:14" ht="21" customHeight="1">
      <c r="A10" s="425" t="s">
        <v>25</v>
      </c>
      <c r="B10" s="426">
        <v>1</v>
      </c>
      <c r="C10" s="426">
        <v>3</v>
      </c>
      <c r="D10" s="426">
        <v>1</v>
      </c>
      <c r="E10" s="426">
        <v>1</v>
      </c>
      <c r="F10" s="426">
        <v>0</v>
      </c>
      <c r="G10" s="426">
        <v>0</v>
      </c>
      <c r="H10" s="426">
        <v>0</v>
      </c>
      <c r="I10" s="426">
        <v>0</v>
      </c>
      <c r="J10" s="426">
        <v>0</v>
      </c>
      <c r="K10" s="426">
        <v>1</v>
      </c>
      <c r="L10" s="426">
        <v>0</v>
      </c>
      <c r="M10" s="426">
        <v>0</v>
      </c>
      <c r="N10" s="426">
        <f t="shared" si="0"/>
        <v>7</v>
      </c>
    </row>
    <row r="11" spans="1:14" ht="21" customHeight="1">
      <c r="A11" s="425" t="s">
        <v>672</v>
      </c>
      <c r="B11" s="426">
        <v>7</v>
      </c>
      <c r="C11" s="426">
        <v>15</v>
      </c>
      <c r="D11" s="426">
        <v>0</v>
      </c>
      <c r="E11" s="426">
        <v>0</v>
      </c>
      <c r="F11" s="426">
        <v>0</v>
      </c>
      <c r="G11" s="426">
        <v>0</v>
      </c>
      <c r="H11" s="426">
        <v>0</v>
      </c>
      <c r="I11" s="426">
        <v>0</v>
      </c>
      <c r="J11" s="426">
        <v>0</v>
      </c>
      <c r="K11" s="426">
        <v>0</v>
      </c>
      <c r="L11" s="426">
        <v>0</v>
      </c>
      <c r="M11" s="426">
        <v>0</v>
      </c>
      <c r="N11" s="426">
        <f t="shared" si="0"/>
        <v>22</v>
      </c>
    </row>
    <row r="12" spans="1:14" ht="21" customHeight="1">
      <c r="A12" s="425" t="s">
        <v>673</v>
      </c>
      <c r="B12" s="426">
        <v>2</v>
      </c>
      <c r="C12" s="426">
        <v>8</v>
      </c>
      <c r="D12" s="426">
        <v>0</v>
      </c>
      <c r="E12" s="426">
        <v>7</v>
      </c>
      <c r="F12" s="426">
        <v>3</v>
      </c>
      <c r="G12" s="426">
        <v>0</v>
      </c>
      <c r="H12" s="426">
        <v>0</v>
      </c>
      <c r="I12" s="426">
        <v>0</v>
      </c>
      <c r="J12" s="426">
        <v>0</v>
      </c>
      <c r="K12" s="426">
        <v>0</v>
      </c>
      <c r="L12" s="426">
        <v>0</v>
      </c>
      <c r="M12" s="426">
        <v>0</v>
      </c>
      <c r="N12" s="426">
        <f t="shared" si="0"/>
        <v>20</v>
      </c>
    </row>
    <row r="13" spans="1:14" ht="21" customHeight="1">
      <c r="A13" s="425" t="s">
        <v>674</v>
      </c>
      <c r="B13" s="426">
        <v>0</v>
      </c>
      <c r="C13" s="426">
        <v>8</v>
      </c>
      <c r="D13" s="426">
        <v>1</v>
      </c>
      <c r="E13" s="426">
        <v>0</v>
      </c>
      <c r="F13" s="426">
        <v>0</v>
      </c>
      <c r="G13" s="426">
        <v>0</v>
      </c>
      <c r="H13" s="426">
        <v>0</v>
      </c>
      <c r="I13" s="426">
        <v>0</v>
      </c>
      <c r="J13" s="426">
        <v>0</v>
      </c>
      <c r="K13" s="426">
        <v>0</v>
      </c>
      <c r="L13" s="426">
        <v>0</v>
      </c>
      <c r="M13" s="426">
        <v>0</v>
      </c>
      <c r="N13" s="426">
        <f t="shared" si="0"/>
        <v>9</v>
      </c>
    </row>
    <row r="14" spans="1:14" ht="21" customHeight="1">
      <c r="A14" s="425" t="s">
        <v>675</v>
      </c>
      <c r="B14" s="426">
        <v>5</v>
      </c>
      <c r="C14" s="426">
        <v>16</v>
      </c>
      <c r="D14" s="426">
        <v>0</v>
      </c>
      <c r="E14" s="426">
        <v>1</v>
      </c>
      <c r="F14" s="426">
        <v>0</v>
      </c>
      <c r="G14" s="426">
        <v>0</v>
      </c>
      <c r="H14" s="426">
        <v>0</v>
      </c>
      <c r="I14" s="426">
        <v>0</v>
      </c>
      <c r="J14" s="426">
        <v>0</v>
      </c>
      <c r="K14" s="426">
        <v>0</v>
      </c>
      <c r="L14" s="426">
        <v>0</v>
      </c>
      <c r="M14" s="426">
        <v>0</v>
      </c>
      <c r="N14" s="426">
        <f t="shared" si="0"/>
        <v>22</v>
      </c>
    </row>
    <row r="15" spans="1:14" ht="21" customHeight="1">
      <c r="A15" s="425" t="s">
        <v>676</v>
      </c>
      <c r="B15" s="426">
        <v>0</v>
      </c>
      <c r="C15" s="426">
        <v>8</v>
      </c>
      <c r="D15" s="426">
        <v>0</v>
      </c>
      <c r="E15" s="426">
        <v>1</v>
      </c>
      <c r="F15" s="426">
        <v>0</v>
      </c>
      <c r="G15" s="426">
        <v>0</v>
      </c>
      <c r="H15" s="426">
        <v>0</v>
      </c>
      <c r="I15" s="426">
        <v>0</v>
      </c>
      <c r="J15" s="426">
        <v>0</v>
      </c>
      <c r="K15" s="426">
        <v>0</v>
      </c>
      <c r="L15" s="426">
        <v>0</v>
      </c>
      <c r="M15" s="426">
        <v>0</v>
      </c>
      <c r="N15" s="426">
        <f t="shared" si="0"/>
        <v>9</v>
      </c>
    </row>
    <row r="16" spans="1:14" ht="21" customHeight="1">
      <c r="A16" s="425" t="s">
        <v>677</v>
      </c>
      <c r="B16" s="426">
        <v>5</v>
      </c>
      <c r="C16" s="426">
        <v>18</v>
      </c>
      <c r="D16" s="426">
        <v>1</v>
      </c>
      <c r="E16" s="426">
        <v>2</v>
      </c>
      <c r="F16" s="426">
        <v>0</v>
      </c>
      <c r="G16" s="426">
        <v>0</v>
      </c>
      <c r="H16" s="426">
        <v>0</v>
      </c>
      <c r="I16" s="426">
        <v>0</v>
      </c>
      <c r="J16" s="426">
        <v>0</v>
      </c>
      <c r="K16" s="426">
        <v>0</v>
      </c>
      <c r="L16" s="426">
        <v>0</v>
      </c>
      <c r="M16" s="426">
        <v>0</v>
      </c>
      <c r="N16" s="426">
        <f t="shared" si="0"/>
        <v>26</v>
      </c>
    </row>
    <row r="17" spans="1:14" ht="21" customHeight="1">
      <c r="A17" s="425" t="s">
        <v>678</v>
      </c>
      <c r="B17" s="426">
        <v>5</v>
      </c>
      <c r="C17" s="426">
        <v>27</v>
      </c>
      <c r="D17" s="426">
        <v>5</v>
      </c>
      <c r="E17" s="426">
        <v>4</v>
      </c>
      <c r="F17" s="426">
        <v>1</v>
      </c>
      <c r="G17" s="426">
        <v>0</v>
      </c>
      <c r="H17" s="426">
        <v>0</v>
      </c>
      <c r="I17" s="426">
        <v>0</v>
      </c>
      <c r="J17" s="426">
        <v>1</v>
      </c>
      <c r="K17" s="426">
        <v>0</v>
      </c>
      <c r="L17" s="426">
        <v>0</v>
      </c>
      <c r="M17" s="426">
        <v>0</v>
      </c>
      <c r="N17" s="426">
        <f t="shared" si="0"/>
        <v>43</v>
      </c>
    </row>
    <row r="18" spans="1:14" ht="21" customHeight="1">
      <c r="A18" s="425" t="s">
        <v>679</v>
      </c>
      <c r="B18" s="426">
        <v>5</v>
      </c>
      <c r="C18" s="426">
        <v>15</v>
      </c>
      <c r="D18" s="426">
        <v>0</v>
      </c>
      <c r="E18" s="426">
        <v>1</v>
      </c>
      <c r="F18" s="426">
        <v>0</v>
      </c>
      <c r="G18" s="426">
        <v>0</v>
      </c>
      <c r="H18" s="426">
        <v>0</v>
      </c>
      <c r="I18" s="426">
        <v>0</v>
      </c>
      <c r="J18" s="426">
        <v>0</v>
      </c>
      <c r="K18" s="426">
        <v>0</v>
      </c>
      <c r="L18" s="426">
        <v>0</v>
      </c>
      <c r="M18" s="426">
        <v>0</v>
      </c>
      <c r="N18" s="426">
        <f t="shared" si="0"/>
        <v>21</v>
      </c>
    </row>
    <row r="19" spans="1:14" ht="21" customHeight="1">
      <c r="A19" s="425" t="s">
        <v>680</v>
      </c>
      <c r="B19" s="426">
        <v>0</v>
      </c>
      <c r="C19" s="426">
        <v>1</v>
      </c>
      <c r="D19" s="426">
        <v>0</v>
      </c>
      <c r="E19" s="426">
        <v>0</v>
      </c>
      <c r="F19" s="426">
        <v>0</v>
      </c>
      <c r="G19" s="426">
        <v>0</v>
      </c>
      <c r="H19" s="426">
        <v>0</v>
      </c>
      <c r="I19" s="426">
        <v>0</v>
      </c>
      <c r="J19" s="426">
        <v>0</v>
      </c>
      <c r="K19" s="426">
        <v>0</v>
      </c>
      <c r="L19" s="426">
        <v>0</v>
      </c>
      <c r="M19" s="426">
        <v>0</v>
      </c>
      <c r="N19" s="426">
        <f t="shared" si="0"/>
        <v>1</v>
      </c>
    </row>
    <row r="20" spans="1:14" ht="21" customHeight="1">
      <c r="A20" s="425"/>
      <c r="B20" s="426"/>
      <c r="C20" s="426"/>
      <c r="D20" s="426"/>
      <c r="E20" s="426"/>
      <c r="F20" s="426"/>
      <c r="G20" s="426"/>
      <c r="H20" s="426"/>
      <c r="I20" s="426"/>
      <c r="J20" s="426"/>
      <c r="K20" s="426"/>
      <c r="L20" s="426"/>
      <c r="M20" s="426"/>
      <c r="N20" s="427"/>
    </row>
    <row r="21" spans="1:14" ht="21" customHeight="1">
      <c r="A21" s="425"/>
      <c r="B21" s="426"/>
      <c r="C21" s="426"/>
      <c r="D21" s="426"/>
      <c r="E21" s="426"/>
      <c r="F21" s="426"/>
      <c r="G21" s="426"/>
      <c r="H21" s="426"/>
      <c r="I21" s="426"/>
      <c r="J21" s="426"/>
      <c r="K21" s="426"/>
      <c r="L21" s="426"/>
      <c r="M21" s="426"/>
      <c r="N21" s="427"/>
    </row>
    <row r="22" spans="1:14" ht="21" customHeight="1">
      <c r="A22" s="425"/>
      <c r="B22" s="426"/>
      <c r="C22" s="426"/>
      <c r="D22" s="426"/>
      <c r="E22" s="426"/>
      <c r="F22" s="426"/>
      <c r="G22" s="426"/>
      <c r="H22" s="426"/>
      <c r="I22" s="426"/>
      <c r="J22" s="426"/>
      <c r="K22" s="426"/>
      <c r="L22" s="426"/>
      <c r="M22" s="426"/>
      <c r="N22" s="427"/>
    </row>
    <row r="23" spans="1:14" ht="21" customHeight="1">
      <c r="A23" s="425"/>
      <c r="B23" s="426"/>
      <c r="C23" s="426"/>
      <c r="D23" s="426"/>
      <c r="E23" s="426"/>
      <c r="F23" s="426"/>
      <c r="G23" s="426"/>
      <c r="H23" s="426"/>
      <c r="I23" s="426"/>
      <c r="J23" s="426"/>
      <c r="K23" s="426"/>
      <c r="L23" s="426"/>
      <c r="M23" s="426"/>
      <c r="N23" s="427"/>
    </row>
    <row r="24" spans="1:14" ht="21" customHeight="1">
      <c r="A24" s="425"/>
      <c r="B24" s="426"/>
      <c r="C24" s="426"/>
      <c r="D24" s="426"/>
      <c r="E24" s="426"/>
      <c r="F24" s="426"/>
      <c r="G24" s="426"/>
      <c r="H24" s="426"/>
      <c r="I24" s="426"/>
      <c r="J24" s="426"/>
      <c r="K24" s="426"/>
      <c r="L24" s="426"/>
      <c r="M24" s="426"/>
      <c r="N24" s="427"/>
    </row>
    <row r="25" spans="1:14" ht="21" customHeight="1">
      <c r="A25" s="425"/>
      <c r="B25" s="426"/>
      <c r="C25" s="426"/>
      <c r="D25" s="426"/>
      <c r="E25" s="426"/>
      <c r="F25" s="426"/>
      <c r="G25" s="426"/>
      <c r="H25" s="426"/>
      <c r="I25" s="426"/>
      <c r="J25" s="426"/>
      <c r="K25" s="426"/>
      <c r="L25" s="426"/>
      <c r="M25" s="426"/>
      <c r="N25" s="427"/>
    </row>
    <row r="26" spans="1:14" ht="21" customHeight="1">
      <c r="A26" s="425"/>
      <c r="B26" s="426"/>
      <c r="C26" s="426"/>
      <c r="D26" s="426"/>
      <c r="E26" s="426"/>
      <c r="F26" s="426"/>
      <c r="G26" s="426"/>
      <c r="H26" s="426"/>
      <c r="I26" s="426"/>
      <c r="J26" s="426"/>
      <c r="K26" s="426"/>
      <c r="L26" s="426"/>
      <c r="M26" s="426"/>
      <c r="N26" s="427">
        <f t="shared" ref="N26:N27" si="1">SUM(B26:M26)</f>
        <v>0</v>
      </c>
    </row>
    <row r="27" spans="1:14" ht="21" customHeight="1">
      <c r="A27" s="425"/>
      <c r="B27" s="426"/>
      <c r="C27" s="426"/>
      <c r="D27" s="426"/>
      <c r="E27" s="426"/>
      <c r="F27" s="426"/>
      <c r="G27" s="426"/>
      <c r="H27" s="426"/>
      <c r="I27" s="426"/>
      <c r="J27" s="426"/>
      <c r="K27" s="426"/>
      <c r="L27" s="426"/>
      <c r="M27" s="426"/>
      <c r="N27" s="427">
        <f t="shared" si="1"/>
        <v>0</v>
      </c>
    </row>
    <row r="28" spans="1:14" ht="21" customHeight="1">
      <c r="A28" s="427" t="s">
        <v>19</v>
      </c>
      <c r="B28" s="427">
        <f>SUM(B6:B27)</f>
        <v>52</v>
      </c>
      <c r="C28" s="427">
        <f t="shared" ref="C28:M28" si="2">SUM(C6:C27)</f>
        <v>169</v>
      </c>
      <c r="D28" s="427">
        <f t="shared" si="2"/>
        <v>9</v>
      </c>
      <c r="E28" s="427">
        <f t="shared" si="2"/>
        <v>29</v>
      </c>
      <c r="F28" s="427">
        <f t="shared" si="2"/>
        <v>11</v>
      </c>
      <c r="G28" s="427">
        <f t="shared" si="2"/>
        <v>2</v>
      </c>
      <c r="H28" s="427">
        <f t="shared" si="2"/>
        <v>1</v>
      </c>
      <c r="I28" s="427">
        <f t="shared" si="2"/>
        <v>0</v>
      </c>
      <c r="J28" s="427">
        <f t="shared" si="2"/>
        <v>1</v>
      </c>
      <c r="K28" s="427">
        <f t="shared" si="2"/>
        <v>4</v>
      </c>
      <c r="L28" s="427">
        <f t="shared" si="2"/>
        <v>3</v>
      </c>
      <c r="M28" s="427">
        <f t="shared" si="2"/>
        <v>3</v>
      </c>
      <c r="N28" s="427">
        <f>SUM(N6:N27)</f>
        <v>284</v>
      </c>
    </row>
    <row r="29" spans="1:14" ht="33" customHeight="1">
      <c r="A29" s="424"/>
      <c r="B29" s="424"/>
      <c r="C29" s="424"/>
      <c r="D29" s="424"/>
      <c r="E29" s="424"/>
      <c r="F29" s="424"/>
      <c r="G29" s="424"/>
      <c r="H29" s="424"/>
      <c r="I29" s="424"/>
      <c r="J29" s="424"/>
      <c r="K29" s="424"/>
      <c r="L29" s="424"/>
      <c r="M29" s="424"/>
      <c r="N29" s="427">
        <f>SUM(N6:N27)</f>
        <v>284</v>
      </c>
    </row>
    <row r="30" spans="1:14" ht="33" customHeight="1"/>
    <row r="31" spans="1:14" ht="33" customHeight="1"/>
    <row r="32" spans="1:14" ht="33" customHeight="1"/>
    <row r="33" ht="33" customHeight="1"/>
    <row r="34" ht="33" customHeight="1"/>
    <row r="35" ht="33" customHeight="1"/>
    <row r="36" ht="33" customHeight="1"/>
    <row r="37" ht="33" customHeight="1"/>
    <row r="38" ht="33" customHeight="1"/>
    <row r="39" ht="33" customHeight="1"/>
    <row r="40" ht="33" customHeight="1"/>
    <row r="41" ht="33" customHeight="1"/>
    <row r="42" ht="33" customHeight="1"/>
    <row r="43" ht="33" customHeight="1"/>
    <row r="44" ht="33" customHeight="1"/>
  </sheetData>
  <mergeCells count="7">
    <mergeCell ref="D1:F3"/>
    <mergeCell ref="G1:H1"/>
    <mergeCell ref="I1:J1"/>
    <mergeCell ref="K1:N4"/>
    <mergeCell ref="G2:H2"/>
    <mergeCell ref="I2:J2"/>
    <mergeCell ref="I3:J3"/>
  </mergeCells>
  <printOptions gridLines="1"/>
  <pageMargins left="0.3" right="0.3" top="0.3" bottom="0.17" header="0.3" footer="0.17"/>
  <pageSetup orientation="landscape" cellComments="atEnd" r:id="rId1"/>
  <headerFooter>
    <oddFooter>&amp;CInsured Initials ________&amp;LPowered by Encircle&amp;RPage &amp;P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AF72C-08CF-4484-B155-F869C47A8A7D}">
  <sheetPr codeName="Sheet1"/>
  <dimension ref="A1:N50"/>
  <sheetViews>
    <sheetView zoomScaleNormal="100" workbookViewId="0">
      <selection activeCell="I1" sqref="I1:J1"/>
    </sheetView>
  </sheetViews>
  <sheetFormatPr defaultColWidth="8.83203125" defaultRowHeight="15"/>
  <cols>
    <col min="1" max="1" width="30" style="1" customWidth="1"/>
    <col min="2" max="2" width="7.33203125" style="1" customWidth="1"/>
    <col min="3" max="3" width="10.1640625" style="1" customWidth="1"/>
    <col min="4" max="4" width="8" style="1" customWidth="1"/>
    <col min="5" max="5" width="9.1640625" style="1" customWidth="1"/>
    <col min="6" max="6" width="10.33203125" style="1" customWidth="1"/>
    <col min="7" max="7" width="7.6640625" style="1" customWidth="1"/>
    <col min="8" max="8" width="6.6640625" style="1" customWidth="1"/>
    <col min="9" max="9" width="11" style="1" customWidth="1"/>
    <col min="10" max="10" width="11.6640625" style="1" customWidth="1"/>
    <col min="11" max="11" width="7.5" style="1" customWidth="1"/>
    <col min="12" max="12" width="7.33203125" style="1" customWidth="1"/>
    <col min="13" max="13" width="6.83203125" style="1" customWidth="1"/>
    <col min="14" max="14" width="11.5" style="1" customWidth="1"/>
    <col min="15" max="20" width="15.6640625" style="1" customWidth="1"/>
    <col min="21" max="16384" width="8.83203125" style="1"/>
  </cols>
  <sheetData>
    <row r="1" spans="1:14" ht="15" customHeight="1">
      <c r="A1" s="107"/>
      <c r="B1" s="107"/>
      <c r="C1" s="107"/>
      <c r="D1" s="502" t="s">
        <v>670</v>
      </c>
      <c r="E1" s="502"/>
      <c r="F1" s="502"/>
      <c r="G1" s="503" t="s">
        <v>1</v>
      </c>
      <c r="H1" s="503"/>
      <c r="I1" s="504" t="s">
        <v>669</v>
      </c>
      <c r="J1" s="504"/>
      <c r="K1" s="505"/>
      <c r="L1" s="505"/>
      <c r="M1" s="505"/>
      <c r="N1" s="505"/>
    </row>
    <row r="2" spans="1:14">
      <c r="A2" s="107"/>
      <c r="B2" s="107"/>
      <c r="C2" s="107"/>
      <c r="D2" s="502"/>
      <c r="E2" s="502"/>
      <c r="F2" s="502"/>
      <c r="G2" s="503" t="s">
        <v>3</v>
      </c>
      <c r="H2" s="503"/>
      <c r="I2" s="507">
        <v>45686</v>
      </c>
      <c r="J2" s="507"/>
      <c r="K2" s="505"/>
      <c r="L2" s="505"/>
      <c r="M2" s="505"/>
      <c r="N2" s="505"/>
    </row>
    <row r="3" spans="1:14">
      <c r="A3" s="107"/>
      <c r="B3" s="107"/>
      <c r="C3" s="107"/>
      <c r="D3" s="502"/>
      <c r="E3" s="502"/>
      <c r="F3" s="502"/>
      <c r="G3" s="423" t="s">
        <v>4</v>
      </c>
      <c r="I3" s="508" t="s">
        <v>668</v>
      </c>
      <c r="J3" s="508"/>
      <c r="K3" s="505"/>
      <c r="L3" s="505"/>
      <c r="M3" s="505"/>
      <c r="N3" s="505"/>
    </row>
    <row r="4" spans="1:14" ht="9" customHeight="1">
      <c r="K4" s="506"/>
      <c r="L4" s="506"/>
      <c r="M4" s="506"/>
      <c r="N4" s="506"/>
    </row>
    <row r="5" spans="1:14" s="106" customFormat="1" ht="48" customHeight="1">
      <c r="A5" s="108" t="s">
        <v>6</v>
      </c>
      <c r="B5" s="108" t="s">
        <v>7</v>
      </c>
      <c r="C5" s="108" t="s">
        <v>8</v>
      </c>
      <c r="D5" s="108" t="s">
        <v>9</v>
      </c>
      <c r="E5" s="108" t="s">
        <v>10</v>
      </c>
      <c r="F5" s="108" t="s">
        <v>11</v>
      </c>
      <c r="G5" s="108" t="s">
        <v>12</v>
      </c>
      <c r="H5" s="108" t="s">
        <v>13</v>
      </c>
      <c r="I5" s="108" t="s">
        <v>14</v>
      </c>
      <c r="J5" s="108" t="s">
        <v>15</v>
      </c>
      <c r="K5" s="108" t="s">
        <v>16</v>
      </c>
      <c r="L5" s="108" t="s">
        <v>17</v>
      </c>
      <c r="M5" s="108" t="s">
        <v>18</v>
      </c>
      <c r="N5" s="108" t="s">
        <v>19</v>
      </c>
    </row>
    <row r="6" spans="1:14" ht="16.899999999999999" customHeight="1">
      <c r="A6" s="425" t="s">
        <v>671</v>
      </c>
      <c r="B6" s="426">
        <v>1</v>
      </c>
      <c r="C6" s="426">
        <v>0</v>
      </c>
      <c r="D6" s="426">
        <v>0</v>
      </c>
      <c r="E6" s="426">
        <v>0</v>
      </c>
      <c r="F6" s="426">
        <v>1</v>
      </c>
      <c r="G6" s="426">
        <v>0</v>
      </c>
      <c r="H6" s="426">
        <v>0</v>
      </c>
      <c r="I6" s="426">
        <v>0</v>
      </c>
      <c r="J6" s="426">
        <v>0</v>
      </c>
      <c r="K6" s="426">
        <v>0</v>
      </c>
      <c r="L6" s="426">
        <v>0</v>
      </c>
      <c r="M6" s="426">
        <v>0</v>
      </c>
      <c r="N6" s="426">
        <f>SUM(B6:M6)</f>
        <v>2</v>
      </c>
    </row>
    <row r="7" spans="1:14" ht="16.899999999999999" customHeight="1">
      <c r="A7" s="425" t="s">
        <v>20</v>
      </c>
      <c r="B7" s="426">
        <v>0</v>
      </c>
      <c r="C7" s="426">
        <v>18</v>
      </c>
      <c r="D7" s="426">
        <v>1</v>
      </c>
      <c r="E7" s="426">
        <v>7</v>
      </c>
      <c r="F7" s="426">
        <v>3</v>
      </c>
      <c r="G7" s="426">
        <v>0</v>
      </c>
      <c r="H7" s="426">
        <v>0</v>
      </c>
      <c r="I7" s="426">
        <v>0</v>
      </c>
      <c r="J7" s="426">
        <v>0</v>
      </c>
      <c r="K7" s="426">
        <v>0</v>
      </c>
      <c r="L7" s="426">
        <v>0</v>
      </c>
      <c r="M7" s="426">
        <v>0</v>
      </c>
      <c r="N7" s="426">
        <f t="shared" ref="N7:N33" si="0">SUM(B7:M7)</f>
        <v>29</v>
      </c>
    </row>
    <row r="8" spans="1:14" ht="16.899999999999999" customHeight="1">
      <c r="A8" s="425" t="s">
        <v>21</v>
      </c>
      <c r="B8" s="426">
        <v>7</v>
      </c>
      <c r="C8" s="426">
        <v>4</v>
      </c>
      <c r="D8" s="426">
        <v>0</v>
      </c>
      <c r="E8" s="426">
        <v>4</v>
      </c>
      <c r="F8" s="426">
        <v>3</v>
      </c>
      <c r="G8" s="426">
        <v>0</v>
      </c>
      <c r="H8" s="426">
        <v>0</v>
      </c>
      <c r="I8" s="426">
        <v>0</v>
      </c>
      <c r="J8" s="426">
        <v>0</v>
      </c>
      <c r="K8" s="426">
        <v>1</v>
      </c>
      <c r="L8" s="426">
        <v>0</v>
      </c>
      <c r="M8" s="426">
        <v>0</v>
      </c>
      <c r="N8" s="426">
        <f t="shared" si="0"/>
        <v>19</v>
      </c>
    </row>
    <row r="9" spans="1:14" ht="16.899999999999999" customHeight="1">
      <c r="A9" s="425" t="s">
        <v>22</v>
      </c>
      <c r="B9" s="426">
        <v>14</v>
      </c>
      <c r="C9" s="426">
        <v>28</v>
      </c>
      <c r="D9" s="426">
        <v>0</v>
      </c>
      <c r="E9" s="426">
        <v>1</v>
      </c>
      <c r="F9" s="426">
        <v>0</v>
      </c>
      <c r="G9" s="426">
        <v>2</v>
      </c>
      <c r="H9" s="426">
        <v>1</v>
      </c>
      <c r="I9" s="426">
        <v>0</v>
      </c>
      <c r="J9" s="426">
        <v>0</v>
      </c>
      <c r="K9" s="426">
        <v>2</v>
      </c>
      <c r="L9" s="426">
        <v>3</v>
      </c>
      <c r="M9" s="426">
        <v>3</v>
      </c>
      <c r="N9" s="426">
        <f t="shared" si="0"/>
        <v>54</v>
      </c>
    </row>
    <row r="10" spans="1:14" ht="16.899999999999999" customHeight="1">
      <c r="A10" s="425" t="s">
        <v>25</v>
      </c>
      <c r="B10" s="426">
        <v>1</v>
      </c>
      <c r="C10" s="426">
        <v>3</v>
      </c>
      <c r="D10" s="426">
        <v>1</v>
      </c>
      <c r="E10" s="426">
        <v>1</v>
      </c>
      <c r="F10" s="426">
        <v>0</v>
      </c>
      <c r="G10" s="426">
        <v>0</v>
      </c>
      <c r="H10" s="426">
        <v>0</v>
      </c>
      <c r="I10" s="426">
        <v>0</v>
      </c>
      <c r="J10" s="426">
        <v>0</v>
      </c>
      <c r="K10" s="426">
        <v>1</v>
      </c>
      <c r="L10" s="426">
        <v>0</v>
      </c>
      <c r="M10" s="426">
        <v>0</v>
      </c>
      <c r="N10" s="426">
        <f t="shared" si="0"/>
        <v>7</v>
      </c>
    </row>
    <row r="11" spans="1:14" ht="16.899999999999999" customHeight="1">
      <c r="A11" s="425" t="s">
        <v>672</v>
      </c>
      <c r="B11" s="426">
        <v>7</v>
      </c>
      <c r="C11" s="426">
        <v>15</v>
      </c>
      <c r="D11" s="426">
        <v>0</v>
      </c>
      <c r="E11" s="426">
        <v>0</v>
      </c>
      <c r="F11" s="426">
        <v>0</v>
      </c>
      <c r="G11" s="426">
        <v>0</v>
      </c>
      <c r="H11" s="426">
        <v>0</v>
      </c>
      <c r="I11" s="426">
        <v>0</v>
      </c>
      <c r="J11" s="426">
        <v>0</v>
      </c>
      <c r="K11" s="426">
        <v>0</v>
      </c>
      <c r="L11" s="426">
        <v>0</v>
      </c>
      <c r="M11" s="426">
        <v>0</v>
      </c>
      <c r="N11" s="426">
        <f t="shared" si="0"/>
        <v>22</v>
      </c>
    </row>
    <row r="12" spans="1:14" ht="16.899999999999999" customHeight="1">
      <c r="A12" s="425" t="s">
        <v>673</v>
      </c>
      <c r="B12" s="426">
        <v>2</v>
      </c>
      <c r="C12" s="426">
        <v>8</v>
      </c>
      <c r="D12" s="426">
        <v>0</v>
      </c>
      <c r="E12" s="426">
        <v>7</v>
      </c>
      <c r="F12" s="426">
        <v>3</v>
      </c>
      <c r="G12" s="426">
        <v>0</v>
      </c>
      <c r="H12" s="426">
        <v>0</v>
      </c>
      <c r="I12" s="426">
        <v>0</v>
      </c>
      <c r="J12" s="426">
        <v>0</v>
      </c>
      <c r="K12" s="426">
        <v>0</v>
      </c>
      <c r="L12" s="426">
        <v>0</v>
      </c>
      <c r="M12" s="426">
        <v>0</v>
      </c>
      <c r="N12" s="426">
        <f t="shared" si="0"/>
        <v>20</v>
      </c>
    </row>
    <row r="13" spans="1:14" ht="16.899999999999999" customHeight="1">
      <c r="A13" s="425" t="s">
        <v>674</v>
      </c>
      <c r="B13" s="426">
        <v>0</v>
      </c>
      <c r="C13" s="426">
        <v>8</v>
      </c>
      <c r="D13" s="426">
        <v>1</v>
      </c>
      <c r="E13" s="426">
        <v>0</v>
      </c>
      <c r="F13" s="426">
        <v>0</v>
      </c>
      <c r="G13" s="426">
        <v>0</v>
      </c>
      <c r="H13" s="426">
        <v>0</v>
      </c>
      <c r="I13" s="426">
        <v>0</v>
      </c>
      <c r="J13" s="426">
        <v>0</v>
      </c>
      <c r="K13" s="426">
        <v>0</v>
      </c>
      <c r="L13" s="426">
        <v>0</v>
      </c>
      <c r="M13" s="426">
        <v>0</v>
      </c>
      <c r="N13" s="426">
        <f t="shared" si="0"/>
        <v>9</v>
      </c>
    </row>
    <row r="14" spans="1:14" ht="16.899999999999999" customHeight="1">
      <c r="A14" s="425" t="s">
        <v>675</v>
      </c>
      <c r="B14" s="426">
        <v>5</v>
      </c>
      <c r="C14" s="426">
        <v>16</v>
      </c>
      <c r="D14" s="426">
        <v>0</v>
      </c>
      <c r="E14" s="426">
        <v>1</v>
      </c>
      <c r="F14" s="426">
        <v>0</v>
      </c>
      <c r="G14" s="426">
        <v>0</v>
      </c>
      <c r="H14" s="426">
        <v>0</v>
      </c>
      <c r="I14" s="426">
        <v>0</v>
      </c>
      <c r="J14" s="426">
        <v>0</v>
      </c>
      <c r="K14" s="426">
        <v>0</v>
      </c>
      <c r="L14" s="426">
        <v>0</v>
      </c>
      <c r="M14" s="426">
        <v>0</v>
      </c>
      <c r="N14" s="426">
        <f t="shared" si="0"/>
        <v>22</v>
      </c>
    </row>
    <row r="15" spans="1:14" ht="16.899999999999999" customHeight="1">
      <c r="A15" s="425" t="s">
        <v>676</v>
      </c>
      <c r="B15" s="426">
        <v>0</v>
      </c>
      <c r="C15" s="426">
        <v>8</v>
      </c>
      <c r="D15" s="426">
        <v>0</v>
      </c>
      <c r="E15" s="426">
        <v>1</v>
      </c>
      <c r="F15" s="426">
        <v>0</v>
      </c>
      <c r="G15" s="426">
        <v>0</v>
      </c>
      <c r="H15" s="426">
        <v>0</v>
      </c>
      <c r="I15" s="426">
        <v>0</v>
      </c>
      <c r="J15" s="426">
        <v>0</v>
      </c>
      <c r="K15" s="426">
        <v>0</v>
      </c>
      <c r="L15" s="426">
        <v>0</v>
      </c>
      <c r="M15" s="426">
        <v>0</v>
      </c>
      <c r="N15" s="426">
        <f t="shared" si="0"/>
        <v>9</v>
      </c>
    </row>
    <row r="16" spans="1:14" ht="16.899999999999999" customHeight="1">
      <c r="A16" s="425" t="s">
        <v>677</v>
      </c>
      <c r="B16" s="426">
        <v>5</v>
      </c>
      <c r="C16" s="426">
        <v>18</v>
      </c>
      <c r="D16" s="426">
        <v>1</v>
      </c>
      <c r="E16" s="426">
        <v>2</v>
      </c>
      <c r="F16" s="426">
        <v>0</v>
      </c>
      <c r="G16" s="426">
        <v>0</v>
      </c>
      <c r="H16" s="426">
        <v>0</v>
      </c>
      <c r="I16" s="426">
        <v>0</v>
      </c>
      <c r="J16" s="426">
        <v>0</v>
      </c>
      <c r="K16" s="426">
        <v>0</v>
      </c>
      <c r="L16" s="426">
        <v>0</v>
      </c>
      <c r="M16" s="426">
        <v>0</v>
      </c>
      <c r="N16" s="426">
        <f t="shared" si="0"/>
        <v>26</v>
      </c>
    </row>
    <row r="17" spans="1:14" ht="16.899999999999999" customHeight="1">
      <c r="A17" s="425" t="s">
        <v>678</v>
      </c>
      <c r="B17" s="426">
        <v>5</v>
      </c>
      <c r="C17" s="426">
        <v>27</v>
      </c>
      <c r="D17" s="426">
        <v>5</v>
      </c>
      <c r="E17" s="426">
        <v>4</v>
      </c>
      <c r="F17" s="426">
        <v>1</v>
      </c>
      <c r="G17" s="426">
        <v>0</v>
      </c>
      <c r="H17" s="426">
        <v>0</v>
      </c>
      <c r="I17" s="426">
        <v>0</v>
      </c>
      <c r="J17" s="426">
        <v>1</v>
      </c>
      <c r="K17" s="426">
        <v>0</v>
      </c>
      <c r="L17" s="426">
        <v>0</v>
      </c>
      <c r="M17" s="426">
        <v>0</v>
      </c>
      <c r="N17" s="426">
        <f t="shared" si="0"/>
        <v>43</v>
      </c>
    </row>
    <row r="18" spans="1:14" ht="16.899999999999999" customHeight="1">
      <c r="A18" s="425" t="s">
        <v>679</v>
      </c>
      <c r="B18" s="426">
        <v>5</v>
      </c>
      <c r="C18" s="426">
        <v>15</v>
      </c>
      <c r="D18" s="426">
        <v>0</v>
      </c>
      <c r="E18" s="426">
        <v>1</v>
      </c>
      <c r="F18" s="426">
        <v>0</v>
      </c>
      <c r="G18" s="426">
        <v>0</v>
      </c>
      <c r="H18" s="426">
        <v>0</v>
      </c>
      <c r="I18" s="426">
        <v>0</v>
      </c>
      <c r="J18" s="426">
        <v>0</v>
      </c>
      <c r="K18" s="426">
        <v>0</v>
      </c>
      <c r="L18" s="426">
        <v>0</v>
      </c>
      <c r="M18" s="426">
        <v>0</v>
      </c>
      <c r="N18" s="426">
        <f t="shared" si="0"/>
        <v>21</v>
      </c>
    </row>
    <row r="19" spans="1:14" ht="16.899999999999999" customHeight="1">
      <c r="A19" s="425" t="s">
        <v>680</v>
      </c>
      <c r="B19" s="426">
        <v>0</v>
      </c>
      <c r="C19" s="426">
        <v>1</v>
      </c>
      <c r="D19" s="426">
        <v>0</v>
      </c>
      <c r="E19" s="426">
        <v>0</v>
      </c>
      <c r="F19" s="426">
        <v>0</v>
      </c>
      <c r="G19" s="426">
        <v>0</v>
      </c>
      <c r="H19" s="426">
        <v>0</v>
      </c>
      <c r="I19" s="426">
        <v>0</v>
      </c>
      <c r="J19" s="426">
        <v>0</v>
      </c>
      <c r="K19" s="426">
        <v>0</v>
      </c>
      <c r="L19" s="426">
        <v>0</v>
      </c>
      <c r="M19" s="426">
        <v>0</v>
      </c>
      <c r="N19" s="426">
        <f t="shared" si="0"/>
        <v>1</v>
      </c>
    </row>
    <row r="20" spans="1:14" ht="16.899999999999999" customHeight="1">
      <c r="A20" s="425"/>
      <c r="B20" s="426"/>
      <c r="C20" s="426"/>
      <c r="D20" s="426"/>
      <c r="E20" s="426"/>
      <c r="F20" s="426"/>
      <c r="G20" s="426"/>
      <c r="H20" s="426"/>
      <c r="I20" s="426"/>
      <c r="J20" s="426"/>
      <c r="K20" s="426"/>
      <c r="L20" s="426"/>
      <c r="M20" s="426"/>
      <c r="N20" s="426">
        <f t="shared" si="0"/>
        <v>0</v>
      </c>
    </row>
    <row r="21" spans="1:14" ht="16.899999999999999" customHeight="1">
      <c r="A21" s="425"/>
      <c r="B21" s="426"/>
      <c r="C21" s="426"/>
      <c r="D21" s="426"/>
      <c r="E21" s="426"/>
      <c r="F21" s="426"/>
      <c r="G21" s="426"/>
      <c r="H21" s="426"/>
      <c r="I21" s="426"/>
      <c r="J21" s="426"/>
      <c r="K21" s="426"/>
      <c r="L21" s="426"/>
      <c r="M21" s="426"/>
      <c r="N21" s="426">
        <f t="shared" si="0"/>
        <v>0</v>
      </c>
    </row>
    <row r="22" spans="1:14" ht="16.899999999999999" customHeight="1">
      <c r="A22" s="425"/>
      <c r="B22" s="426"/>
      <c r="C22" s="426"/>
      <c r="D22" s="426"/>
      <c r="E22" s="426"/>
      <c r="F22" s="426"/>
      <c r="G22" s="426"/>
      <c r="H22" s="426"/>
      <c r="I22" s="426"/>
      <c r="J22" s="426"/>
      <c r="K22" s="426"/>
      <c r="L22" s="426"/>
      <c r="M22" s="426"/>
      <c r="N22" s="426">
        <f t="shared" si="0"/>
        <v>0</v>
      </c>
    </row>
    <row r="23" spans="1:14" ht="16.899999999999999" customHeight="1">
      <c r="A23" s="425"/>
      <c r="B23" s="426"/>
      <c r="C23" s="426"/>
      <c r="D23" s="426"/>
      <c r="E23" s="426"/>
      <c r="F23" s="426"/>
      <c r="G23" s="426"/>
      <c r="H23" s="426"/>
      <c r="I23" s="426"/>
      <c r="J23" s="426"/>
      <c r="K23" s="426"/>
      <c r="L23" s="426"/>
      <c r="M23" s="426"/>
      <c r="N23" s="426">
        <f t="shared" si="0"/>
        <v>0</v>
      </c>
    </row>
    <row r="24" spans="1:14" ht="16.899999999999999" customHeight="1">
      <c r="A24" s="425"/>
      <c r="B24" s="426"/>
      <c r="C24" s="426"/>
      <c r="D24" s="426"/>
      <c r="E24" s="426"/>
      <c r="F24" s="426"/>
      <c r="G24" s="426"/>
      <c r="H24" s="426"/>
      <c r="I24" s="426"/>
      <c r="J24" s="426"/>
      <c r="K24" s="426"/>
      <c r="L24" s="426"/>
      <c r="M24" s="426"/>
      <c r="N24" s="426">
        <f t="shared" si="0"/>
        <v>0</v>
      </c>
    </row>
    <row r="25" spans="1:14" ht="16.899999999999999" customHeight="1">
      <c r="A25" s="425"/>
      <c r="B25" s="426"/>
      <c r="C25" s="426"/>
      <c r="D25" s="426"/>
      <c r="E25" s="426"/>
      <c r="F25" s="426"/>
      <c r="G25" s="426"/>
      <c r="H25" s="426"/>
      <c r="I25" s="426"/>
      <c r="J25" s="426"/>
      <c r="K25" s="426"/>
      <c r="L25" s="426"/>
      <c r="M25" s="426"/>
      <c r="N25" s="426">
        <f t="shared" si="0"/>
        <v>0</v>
      </c>
    </row>
    <row r="26" spans="1:14" ht="16.899999999999999" customHeight="1">
      <c r="A26" s="425"/>
      <c r="B26" s="426"/>
      <c r="C26" s="426"/>
      <c r="D26" s="426"/>
      <c r="E26" s="426"/>
      <c r="F26" s="426"/>
      <c r="G26" s="426"/>
      <c r="H26" s="426"/>
      <c r="I26" s="426"/>
      <c r="J26" s="426"/>
      <c r="K26" s="426"/>
      <c r="L26" s="426"/>
      <c r="M26" s="426"/>
      <c r="N26" s="426">
        <f t="shared" si="0"/>
        <v>0</v>
      </c>
    </row>
    <row r="27" spans="1:14" ht="16.899999999999999" customHeight="1">
      <c r="A27" s="425"/>
      <c r="B27" s="426"/>
      <c r="C27" s="426"/>
      <c r="D27" s="426"/>
      <c r="E27" s="426"/>
      <c r="F27" s="426"/>
      <c r="G27" s="426"/>
      <c r="H27" s="426"/>
      <c r="I27" s="426"/>
      <c r="J27" s="426"/>
      <c r="K27" s="426"/>
      <c r="L27" s="426"/>
      <c r="M27" s="426"/>
      <c r="N27" s="426">
        <f t="shared" si="0"/>
        <v>0</v>
      </c>
    </row>
    <row r="28" spans="1:14" ht="16.899999999999999" customHeight="1">
      <c r="A28" s="425"/>
      <c r="B28" s="426"/>
      <c r="C28" s="426"/>
      <c r="D28" s="426"/>
      <c r="E28" s="426"/>
      <c r="F28" s="426"/>
      <c r="G28" s="426"/>
      <c r="H28" s="426"/>
      <c r="I28" s="426"/>
      <c r="J28" s="426"/>
      <c r="K28" s="426"/>
      <c r="L28" s="426"/>
      <c r="M28" s="426"/>
      <c r="N28" s="426">
        <f t="shared" si="0"/>
        <v>0</v>
      </c>
    </row>
    <row r="29" spans="1:14" ht="16.899999999999999" customHeight="1">
      <c r="A29" s="425"/>
      <c r="B29" s="426"/>
      <c r="C29" s="426"/>
      <c r="D29" s="426"/>
      <c r="E29" s="426"/>
      <c r="F29" s="426"/>
      <c r="G29" s="426"/>
      <c r="H29" s="426"/>
      <c r="I29" s="426"/>
      <c r="J29" s="426"/>
      <c r="K29" s="426"/>
      <c r="L29" s="426"/>
      <c r="M29" s="426"/>
      <c r="N29" s="426">
        <f t="shared" si="0"/>
        <v>0</v>
      </c>
    </row>
    <row r="30" spans="1:14" ht="16.899999999999999" customHeight="1">
      <c r="A30" s="425"/>
      <c r="B30" s="426"/>
      <c r="C30" s="426"/>
      <c r="D30" s="426"/>
      <c r="E30" s="426"/>
      <c r="F30" s="426"/>
      <c r="G30" s="426"/>
      <c r="H30" s="426"/>
      <c r="I30" s="426"/>
      <c r="J30" s="426"/>
      <c r="K30" s="426"/>
      <c r="L30" s="426"/>
      <c r="M30" s="426"/>
      <c r="N30" s="426">
        <f t="shared" si="0"/>
        <v>0</v>
      </c>
    </row>
    <row r="31" spans="1:14" ht="16.899999999999999" customHeight="1">
      <c r="A31" s="425"/>
      <c r="B31" s="426"/>
      <c r="C31" s="426"/>
      <c r="D31" s="426"/>
      <c r="E31" s="426"/>
      <c r="F31" s="426"/>
      <c r="G31" s="426"/>
      <c r="H31" s="426"/>
      <c r="I31" s="426"/>
      <c r="J31" s="426"/>
      <c r="K31" s="426"/>
      <c r="L31" s="426"/>
      <c r="M31" s="426"/>
      <c r="N31" s="426">
        <f t="shared" si="0"/>
        <v>0</v>
      </c>
    </row>
    <row r="32" spans="1:14" ht="16.899999999999999" customHeight="1">
      <c r="A32" s="425"/>
      <c r="B32" s="426"/>
      <c r="C32" s="426"/>
      <c r="D32" s="426"/>
      <c r="E32" s="426"/>
      <c r="F32" s="426"/>
      <c r="G32" s="426"/>
      <c r="H32" s="426"/>
      <c r="I32" s="426"/>
      <c r="J32" s="426"/>
      <c r="K32" s="426"/>
      <c r="L32" s="426"/>
      <c r="M32" s="426"/>
      <c r="N32" s="426">
        <f t="shared" si="0"/>
        <v>0</v>
      </c>
    </row>
    <row r="33" spans="1:14" ht="16.899999999999999" customHeight="1">
      <c r="A33" s="425"/>
      <c r="B33" s="426"/>
      <c r="C33" s="426"/>
      <c r="D33" s="426"/>
      <c r="E33" s="426"/>
      <c r="F33" s="426"/>
      <c r="G33" s="426"/>
      <c r="H33" s="426"/>
      <c r="I33" s="426"/>
      <c r="J33" s="426"/>
      <c r="K33" s="426"/>
      <c r="L33" s="426"/>
      <c r="M33" s="426"/>
      <c r="N33" s="426">
        <f t="shared" si="0"/>
        <v>0</v>
      </c>
    </row>
    <row r="34" spans="1:14" ht="15.6" customHeight="1">
      <c r="A34" s="427" t="s">
        <v>19</v>
      </c>
      <c r="B34" s="427">
        <f>SUM(B6:B33)</f>
        <v>52</v>
      </c>
      <c r="C34" s="427">
        <f t="shared" ref="C34:N34" si="1">SUM(C6:C33)</f>
        <v>169</v>
      </c>
      <c r="D34" s="427">
        <f t="shared" si="1"/>
        <v>9</v>
      </c>
      <c r="E34" s="427">
        <f t="shared" si="1"/>
        <v>29</v>
      </c>
      <c r="F34" s="427">
        <f t="shared" si="1"/>
        <v>11</v>
      </c>
      <c r="G34" s="427">
        <f t="shared" si="1"/>
        <v>2</v>
      </c>
      <c r="H34" s="427">
        <f t="shared" si="1"/>
        <v>1</v>
      </c>
      <c r="I34" s="427">
        <f t="shared" si="1"/>
        <v>0</v>
      </c>
      <c r="J34" s="427">
        <f t="shared" si="1"/>
        <v>1</v>
      </c>
      <c r="K34" s="427">
        <f t="shared" si="1"/>
        <v>4</v>
      </c>
      <c r="L34" s="427">
        <f t="shared" si="1"/>
        <v>3</v>
      </c>
      <c r="M34" s="427">
        <f t="shared" si="1"/>
        <v>3</v>
      </c>
      <c r="N34" s="427">
        <f t="shared" si="1"/>
        <v>284</v>
      </c>
    </row>
    <row r="35" spans="1:14" ht="15.6" customHeight="1">
      <c r="A35" s="424"/>
      <c r="B35" s="424"/>
      <c r="C35" s="424"/>
      <c r="D35" s="424"/>
      <c r="E35" s="424"/>
      <c r="F35" s="424"/>
      <c r="G35" s="424"/>
      <c r="H35" s="424"/>
      <c r="I35" s="424"/>
      <c r="J35" s="424"/>
      <c r="K35" s="424"/>
      <c r="L35" s="424"/>
      <c r="M35" s="424"/>
      <c r="N35" s="427">
        <f>SUM(N6:N33)</f>
        <v>284</v>
      </c>
    </row>
    <row r="36" spans="1:14" ht="15.6" customHeight="1"/>
    <row r="37" spans="1:14" ht="33" customHeight="1"/>
    <row r="38" spans="1:14" ht="33" customHeight="1"/>
    <row r="39" spans="1:14" ht="33" customHeight="1"/>
    <row r="40" spans="1:14" ht="33" customHeight="1"/>
    <row r="41" spans="1:14" ht="33" customHeight="1"/>
    <row r="42" spans="1:14" ht="33" customHeight="1"/>
    <row r="43" spans="1:14" ht="33" customHeight="1"/>
    <row r="44" spans="1:14" ht="33" customHeight="1"/>
    <row r="45" spans="1:14" ht="33" customHeight="1"/>
    <row r="46" spans="1:14" ht="33" customHeight="1"/>
    <row r="47" spans="1:14" ht="33" customHeight="1"/>
    <row r="48" spans="1:14" ht="33" customHeight="1"/>
    <row r="49" ht="33" customHeight="1"/>
    <row r="50" ht="33" customHeight="1"/>
  </sheetData>
  <mergeCells count="7">
    <mergeCell ref="D1:F3"/>
    <mergeCell ref="K1:N4"/>
    <mergeCell ref="I2:J2"/>
    <mergeCell ref="I1:J1"/>
    <mergeCell ref="I3:J3"/>
    <mergeCell ref="G1:H1"/>
    <mergeCell ref="G2:H2"/>
  </mergeCells>
  <printOptions gridLines="1"/>
  <pageMargins left="0.3" right="0.3" top="0.17" bottom="0.17" header="0.3" footer="0.17"/>
  <pageSetup orientation="landscape" cellComments="atEnd" r:id="rId1"/>
  <headerFooter>
    <oddFooter>&amp;CInsured Initials ________&amp;LPowered by Encircle&amp;RPage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E7AA8-174F-493E-B476-AB30C8A8BCEB}">
  <sheetPr codeName="Sheet9">
    <pageSetUpPr fitToPage="1"/>
  </sheetPr>
  <dimension ref="A1:R36"/>
  <sheetViews>
    <sheetView topLeftCell="A27" workbookViewId="0">
      <selection activeCell="E31" sqref="E31"/>
    </sheetView>
  </sheetViews>
  <sheetFormatPr defaultRowHeight="12.75"/>
  <cols>
    <col min="1" max="1" width="25.5" customWidth="1"/>
    <col min="2" max="2" width="6.83203125" customWidth="1"/>
    <col min="3" max="3" width="9.33203125" customWidth="1"/>
    <col min="4" max="4" width="6.83203125" customWidth="1"/>
    <col min="5" max="5" width="15.5" customWidth="1"/>
    <col min="6" max="6" width="5.33203125" customWidth="1"/>
    <col min="7" max="7" width="14.83203125" customWidth="1"/>
    <col min="8" max="8" width="10.83203125" customWidth="1"/>
    <col min="9" max="9" width="11.6640625" customWidth="1"/>
    <col min="10" max="10" width="10.83203125" customWidth="1"/>
    <col min="11" max="11" width="7" customWidth="1"/>
    <col min="12" max="12" width="8.5" customWidth="1"/>
    <col min="13" max="13" width="6.83203125" customWidth="1"/>
    <col min="14" max="15" width="0.33203125" customWidth="1"/>
  </cols>
  <sheetData>
    <row r="1" spans="1:18" ht="15">
      <c r="A1" s="404"/>
      <c r="B1" s="404"/>
      <c r="C1" s="404"/>
      <c r="D1" s="502" t="s">
        <v>0</v>
      </c>
      <c r="E1" s="502"/>
      <c r="F1" s="502"/>
      <c r="G1" s="414" t="s">
        <v>1</v>
      </c>
      <c r="H1" s="514" t="s">
        <v>26</v>
      </c>
      <c r="I1" s="514"/>
      <c r="J1" s="517"/>
      <c r="K1" s="517"/>
      <c r="L1" s="517"/>
      <c r="M1" s="517"/>
      <c r="N1" s="517"/>
      <c r="O1" s="517"/>
      <c r="P1" s="517"/>
      <c r="Q1" s="404"/>
      <c r="R1" s="404"/>
    </row>
    <row r="2" spans="1:18" ht="15">
      <c r="A2" s="404"/>
      <c r="B2" s="404"/>
      <c r="C2" s="404"/>
      <c r="D2" s="502"/>
      <c r="E2" s="502"/>
      <c r="F2" s="502"/>
      <c r="G2" s="414" t="s">
        <v>3</v>
      </c>
      <c r="H2" s="515">
        <v>45139</v>
      </c>
      <c r="I2" s="515"/>
      <c r="J2" s="517"/>
      <c r="K2" s="517"/>
      <c r="L2" s="517"/>
      <c r="M2" s="517"/>
      <c r="N2" s="517"/>
      <c r="O2" s="517"/>
      <c r="P2" s="517"/>
      <c r="Q2" s="404"/>
      <c r="R2" s="404"/>
    </row>
    <row r="3" spans="1:18" ht="15">
      <c r="A3" s="404"/>
      <c r="B3" s="404"/>
      <c r="C3" s="404"/>
      <c r="D3" s="502"/>
      <c r="E3" s="502"/>
      <c r="F3" s="502"/>
      <c r="G3" s="414" t="s">
        <v>4</v>
      </c>
      <c r="H3" s="516" t="s">
        <v>27</v>
      </c>
      <c r="I3" s="516"/>
      <c r="J3" s="517"/>
      <c r="K3" s="517"/>
      <c r="L3" s="517"/>
      <c r="M3" s="517"/>
      <c r="N3" s="517"/>
      <c r="O3" s="517"/>
      <c r="P3" s="517"/>
      <c r="Q3" s="404"/>
      <c r="R3" s="404"/>
    </row>
    <row r="4" spans="1:18" ht="9" customHeight="1">
      <c r="A4" s="404"/>
      <c r="B4" s="404"/>
      <c r="C4" s="404"/>
      <c r="D4" s="404"/>
      <c r="E4" s="404"/>
      <c r="F4" s="404"/>
      <c r="G4" s="404"/>
      <c r="H4" s="404"/>
      <c r="I4" s="404"/>
      <c r="J4" s="518"/>
      <c r="K4" s="518"/>
      <c r="L4" s="518"/>
      <c r="M4" s="518"/>
      <c r="N4" s="518"/>
      <c r="O4" s="518"/>
      <c r="P4" s="518"/>
      <c r="Q4" s="404"/>
      <c r="R4" s="404"/>
    </row>
    <row r="5" spans="1:18" s="422" customFormat="1" ht="48" customHeight="1">
      <c r="A5" s="419" t="s">
        <v>6</v>
      </c>
      <c r="B5" s="420" t="s">
        <v>7</v>
      </c>
      <c r="C5" s="420" t="s">
        <v>8</v>
      </c>
      <c r="D5" s="420" t="s">
        <v>9</v>
      </c>
      <c r="E5" s="420" t="s">
        <v>10</v>
      </c>
      <c r="F5" s="420" t="s">
        <v>13</v>
      </c>
      <c r="G5" s="420" t="s">
        <v>12</v>
      </c>
      <c r="H5" s="420" t="s">
        <v>11</v>
      </c>
      <c r="I5" s="420" t="s">
        <v>14</v>
      </c>
      <c r="J5" s="420" t="s">
        <v>15</v>
      </c>
      <c r="K5" s="420" t="s">
        <v>16</v>
      </c>
      <c r="L5" s="420" t="s">
        <v>17</v>
      </c>
      <c r="M5" s="420" t="s">
        <v>18</v>
      </c>
      <c r="N5" s="420" t="s">
        <v>28</v>
      </c>
      <c r="O5" s="420" t="s">
        <v>29</v>
      </c>
      <c r="P5" s="420" t="s">
        <v>19</v>
      </c>
      <c r="Q5" s="421"/>
      <c r="R5" s="421"/>
    </row>
    <row r="6" spans="1:18" ht="43.9" customHeight="1">
      <c r="A6" s="417" t="s">
        <v>30</v>
      </c>
      <c r="B6" s="418">
        <v>2</v>
      </c>
      <c r="C6" s="418">
        <v>8</v>
      </c>
      <c r="D6" s="418">
        <v>8</v>
      </c>
      <c r="E6" s="418">
        <v>1</v>
      </c>
      <c r="F6" s="418">
        <v>0</v>
      </c>
      <c r="G6" s="418">
        <v>0</v>
      </c>
      <c r="H6" s="418">
        <v>4</v>
      </c>
      <c r="I6" s="418">
        <v>0</v>
      </c>
      <c r="J6" s="418">
        <v>0</v>
      </c>
      <c r="K6" s="418">
        <v>0</v>
      </c>
      <c r="L6" s="418">
        <v>0</v>
      </c>
      <c r="M6" s="418">
        <v>0</v>
      </c>
      <c r="N6" s="418">
        <v>0</v>
      </c>
      <c r="O6" s="418">
        <v>0</v>
      </c>
      <c r="P6" s="418">
        <v>23</v>
      </c>
      <c r="Q6" s="404"/>
      <c r="R6" s="404"/>
    </row>
    <row r="7" spans="1:18" ht="43.9" customHeight="1">
      <c r="A7" s="417" t="s">
        <v>31</v>
      </c>
      <c r="B7" s="418">
        <v>0</v>
      </c>
      <c r="C7" s="418">
        <v>8</v>
      </c>
      <c r="D7" s="418">
        <v>2</v>
      </c>
      <c r="E7" s="418">
        <v>0</v>
      </c>
      <c r="F7" s="418">
        <v>0</v>
      </c>
      <c r="G7" s="418">
        <v>0</v>
      </c>
      <c r="H7" s="418">
        <v>0</v>
      </c>
      <c r="I7" s="418">
        <v>3</v>
      </c>
      <c r="J7" s="418">
        <v>0</v>
      </c>
      <c r="K7" s="418">
        <v>0</v>
      </c>
      <c r="L7" s="418">
        <v>0</v>
      </c>
      <c r="M7" s="418">
        <v>0</v>
      </c>
      <c r="N7" s="418">
        <v>0</v>
      </c>
      <c r="O7" s="418">
        <v>0</v>
      </c>
      <c r="P7" s="418">
        <v>13</v>
      </c>
      <c r="Q7" s="404"/>
      <c r="R7" s="404"/>
    </row>
    <row r="8" spans="1:18" ht="43.9" customHeight="1">
      <c r="A8" s="417" t="s">
        <v>32</v>
      </c>
      <c r="B8" s="418">
        <v>4</v>
      </c>
      <c r="C8" s="418">
        <v>1</v>
      </c>
      <c r="D8" s="418">
        <v>0</v>
      </c>
      <c r="E8" s="418">
        <v>0</v>
      </c>
      <c r="F8" s="418">
        <v>0</v>
      </c>
      <c r="G8" s="418">
        <v>0</v>
      </c>
      <c r="H8" s="418">
        <v>0</v>
      </c>
      <c r="I8" s="418">
        <v>0</v>
      </c>
      <c r="J8" s="418">
        <v>0</v>
      </c>
      <c r="K8" s="418">
        <v>0</v>
      </c>
      <c r="L8" s="418">
        <v>0</v>
      </c>
      <c r="M8" s="418">
        <v>0</v>
      </c>
      <c r="N8" s="418">
        <v>0</v>
      </c>
      <c r="O8" s="418">
        <v>0</v>
      </c>
      <c r="P8" s="418">
        <v>5</v>
      </c>
      <c r="Q8" s="404"/>
      <c r="R8" s="404"/>
    </row>
    <row r="9" spans="1:18" ht="43.9" customHeight="1">
      <c r="A9" s="417" t="s">
        <v>33</v>
      </c>
      <c r="B9" s="418">
        <v>3</v>
      </c>
      <c r="C9" s="418">
        <v>23</v>
      </c>
      <c r="D9" s="418">
        <v>13</v>
      </c>
      <c r="E9" s="418">
        <v>11</v>
      </c>
      <c r="F9" s="418">
        <v>2</v>
      </c>
      <c r="G9" s="418">
        <v>0</v>
      </c>
      <c r="H9" s="418">
        <v>2</v>
      </c>
      <c r="I9" s="418">
        <v>0</v>
      </c>
      <c r="J9" s="418">
        <v>0</v>
      </c>
      <c r="K9" s="418">
        <v>0</v>
      </c>
      <c r="L9" s="418">
        <v>2</v>
      </c>
      <c r="M9" s="418">
        <v>0</v>
      </c>
      <c r="N9" s="418">
        <v>0</v>
      </c>
      <c r="O9" s="418">
        <v>0</v>
      </c>
      <c r="P9" s="418">
        <v>56</v>
      </c>
      <c r="Q9" s="404"/>
      <c r="R9" s="404"/>
    </row>
    <row r="10" spans="1:18" ht="43.9" customHeight="1">
      <c r="A10" s="417" t="s">
        <v>34</v>
      </c>
      <c r="B10" s="418">
        <v>0</v>
      </c>
      <c r="C10" s="418">
        <v>0</v>
      </c>
      <c r="D10" s="418">
        <v>0</v>
      </c>
      <c r="E10" s="418">
        <v>8</v>
      </c>
      <c r="F10" s="418">
        <v>0</v>
      </c>
      <c r="G10" s="418">
        <v>4</v>
      </c>
      <c r="H10" s="418">
        <v>0</v>
      </c>
      <c r="I10" s="418">
        <v>0</v>
      </c>
      <c r="J10" s="418">
        <v>0</v>
      </c>
      <c r="K10" s="418">
        <v>0</v>
      </c>
      <c r="L10" s="418">
        <v>0</v>
      </c>
      <c r="M10" s="418">
        <v>0</v>
      </c>
      <c r="N10" s="418">
        <v>0</v>
      </c>
      <c r="O10" s="418">
        <v>0</v>
      </c>
      <c r="P10" s="418">
        <v>12</v>
      </c>
      <c r="Q10" s="404"/>
      <c r="R10" s="404"/>
    </row>
    <row r="11" spans="1:18" ht="43.9" customHeight="1">
      <c r="A11" s="417" t="s">
        <v>35</v>
      </c>
      <c r="B11" s="418">
        <v>3</v>
      </c>
      <c r="C11" s="418">
        <v>15</v>
      </c>
      <c r="D11" s="418">
        <v>7</v>
      </c>
      <c r="E11" s="418">
        <v>2</v>
      </c>
      <c r="F11" s="418">
        <v>0</v>
      </c>
      <c r="G11" s="418">
        <v>0</v>
      </c>
      <c r="H11" s="418">
        <v>1</v>
      </c>
      <c r="I11" s="418">
        <v>0</v>
      </c>
      <c r="J11" s="418">
        <v>0</v>
      </c>
      <c r="K11" s="418">
        <v>13</v>
      </c>
      <c r="L11" s="418">
        <v>14</v>
      </c>
      <c r="M11" s="418">
        <v>2</v>
      </c>
      <c r="N11" s="418">
        <v>0</v>
      </c>
      <c r="O11" s="418">
        <v>0</v>
      </c>
      <c r="P11" s="418">
        <v>57</v>
      </c>
      <c r="Q11" s="404"/>
      <c r="R11" s="404"/>
    </row>
    <row r="12" spans="1:18" ht="43.9" customHeight="1">
      <c r="A12" s="417" t="s">
        <v>36</v>
      </c>
      <c r="B12" s="418">
        <v>0</v>
      </c>
      <c r="C12" s="418">
        <v>13</v>
      </c>
      <c r="D12" s="418">
        <v>3</v>
      </c>
      <c r="E12" s="418">
        <v>0</v>
      </c>
      <c r="F12" s="418">
        <v>0</v>
      </c>
      <c r="G12" s="418">
        <v>0</v>
      </c>
      <c r="H12" s="418">
        <v>0</v>
      </c>
      <c r="I12" s="418">
        <v>1</v>
      </c>
      <c r="J12" s="418">
        <v>0</v>
      </c>
      <c r="K12" s="418">
        <v>0</v>
      </c>
      <c r="L12" s="418">
        <v>0</v>
      </c>
      <c r="M12" s="418">
        <v>0</v>
      </c>
      <c r="N12" s="418">
        <v>0</v>
      </c>
      <c r="O12" s="418">
        <v>0</v>
      </c>
      <c r="P12" s="418">
        <v>17</v>
      </c>
      <c r="Q12" s="404"/>
      <c r="R12" s="404"/>
    </row>
    <row r="13" spans="1:18" ht="43.9" customHeight="1">
      <c r="A13" s="417" t="s">
        <v>37</v>
      </c>
      <c r="B13" s="418">
        <v>0</v>
      </c>
      <c r="C13" s="418">
        <v>0</v>
      </c>
      <c r="D13" s="418">
        <v>0</v>
      </c>
      <c r="E13" s="418">
        <v>1</v>
      </c>
      <c r="F13" s="418">
        <v>0</v>
      </c>
      <c r="G13" s="418">
        <v>0</v>
      </c>
      <c r="H13" s="418">
        <v>1</v>
      </c>
      <c r="I13" s="418">
        <v>0</v>
      </c>
      <c r="J13" s="418">
        <v>0</v>
      </c>
      <c r="K13" s="418">
        <v>0</v>
      </c>
      <c r="L13" s="418">
        <v>0</v>
      </c>
      <c r="M13" s="418">
        <v>1</v>
      </c>
      <c r="N13" s="418">
        <v>0</v>
      </c>
      <c r="O13" s="418">
        <v>0</v>
      </c>
      <c r="P13" s="418">
        <v>3</v>
      </c>
      <c r="Q13" s="404"/>
      <c r="R13" s="404"/>
    </row>
    <row r="14" spans="1:18" ht="43.9" customHeight="1">
      <c r="A14" s="417" t="s">
        <v>38</v>
      </c>
      <c r="B14" s="418">
        <v>0</v>
      </c>
      <c r="C14" s="418">
        <v>1</v>
      </c>
      <c r="D14" s="418">
        <v>1</v>
      </c>
      <c r="E14" s="418">
        <v>0</v>
      </c>
      <c r="F14" s="418">
        <v>0</v>
      </c>
      <c r="G14" s="418">
        <v>0</v>
      </c>
      <c r="H14" s="418">
        <v>0</v>
      </c>
      <c r="I14" s="418">
        <v>0</v>
      </c>
      <c r="J14" s="418">
        <v>0</v>
      </c>
      <c r="K14" s="418">
        <v>0</v>
      </c>
      <c r="L14" s="418">
        <v>0</v>
      </c>
      <c r="M14" s="418">
        <v>0</v>
      </c>
      <c r="N14" s="418">
        <v>0</v>
      </c>
      <c r="O14" s="418">
        <v>0</v>
      </c>
      <c r="P14" s="418">
        <v>2</v>
      </c>
      <c r="Q14" s="404"/>
      <c r="R14" s="404"/>
    </row>
    <row r="15" spans="1:18" ht="33" customHeight="1">
      <c r="A15" s="415" t="s">
        <v>19</v>
      </c>
      <c r="B15" s="416">
        <v>12</v>
      </c>
      <c r="C15" s="416">
        <v>69</v>
      </c>
      <c r="D15" s="416">
        <v>34</v>
      </c>
      <c r="E15" s="416">
        <v>23</v>
      </c>
      <c r="F15" s="416">
        <v>2</v>
      </c>
      <c r="G15" s="416">
        <v>4</v>
      </c>
      <c r="H15" s="416">
        <v>8</v>
      </c>
      <c r="I15" s="416">
        <v>4</v>
      </c>
      <c r="J15" s="416">
        <v>0</v>
      </c>
      <c r="K15" s="416">
        <v>13</v>
      </c>
      <c r="L15" s="416">
        <v>16</v>
      </c>
      <c r="M15" s="416">
        <v>3</v>
      </c>
      <c r="N15" s="416">
        <v>0</v>
      </c>
      <c r="O15" s="416">
        <v>0</v>
      </c>
      <c r="P15" s="416">
        <v>188</v>
      </c>
      <c r="Q15" s="404"/>
      <c r="R15" s="404"/>
    </row>
    <row r="16" spans="1:18" ht="33" customHeight="1">
      <c r="A16" s="404"/>
      <c r="B16" s="404"/>
      <c r="C16" s="404"/>
      <c r="D16" s="404"/>
      <c r="E16" s="404"/>
      <c r="F16" s="404"/>
      <c r="G16" s="404"/>
      <c r="H16" s="404"/>
      <c r="I16" s="404"/>
      <c r="J16" s="404"/>
      <c r="K16" s="404"/>
      <c r="L16" s="404"/>
      <c r="M16" s="404"/>
      <c r="N16" s="404"/>
      <c r="O16" s="404"/>
      <c r="P16" s="404"/>
      <c r="Q16" s="404"/>
      <c r="R16" s="404"/>
    </row>
    <row r="17" spans="1:5" ht="33" customHeight="1"/>
    <row r="18" spans="1:5" ht="33" customHeight="1"/>
    <row r="19" spans="1:5" ht="33" customHeight="1"/>
    <row r="20" spans="1:5" ht="33" customHeight="1"/>
    <row r="21" spans="1:5" ht="33" customHeight="1">
      <c r="A21" s="447"/>
    </row>
    <row r="22" spans="1:5" ht="33" customHeight="1">
      <c r="A22" s="509" t="s">
        <v>39</v>
      </c>
      <c r="B22" s="511" t="s">
        <v>40</v>
      </c>
      <c r="C22" s="512"/>
      <c r="D22" s="513" t="e" vm="1">
        <v>#VALUE!</v>
      </c>
    </row>
    <row r="23" spans="1:5" ht="33" customHeight="1">
      <c r="A23" s="509"/>
      <c r="B23" s="511"/>
      <c r="C23" s="512"/>
      <c r="D23" s="513"/>
    </row>
    <row r="24" spans="1:5" ht="33" customHeight="1">
      <c r="A24" s="510" t="e" vm="1">
        <v>#VALUE!</v>
      </c>
      <c r="D24" s="513"/>
    </row>
    <row r="25" spans="1:5" ht="33" customHeight="1">
      <c r="A25" s="510"/>
      <c r="D25" s="513"/>
    </row>
    <row r="26" spans="1:5" ht="33" customHeight="1">
      <c r="A26" s="448" t="s">
        <v>41</v>
      </c>
    </row>
    <row r="27" spans="1:5" ht="33" customHeight="1">
      <c r="A27" s="438"/>
    </row>
    <row r="28" spans="1:5" ht="33" customHeight="1">
      <c r="A28" s="449" t="s">
        <v>42</v>
      </c>
    </row>
    <row r="29" spans="1:5" ht="33" customHeight="1">
      <c r="A29" s="438"/>
    </row>
    <row r="30" spans="1:5" ht="33" customHeight="1">
      <c r="A30" s="449" t="s">
        <v>43</v>
      </c>
      <c r="E30" s="453">
        <v>2169324498</v>
      </c>
    </row>
    <row r="31" spans="1:5" ht="36">
      <c r="A31" s="438" t="s">
        <v>44</v>
      </c>
      <c r="E31" s="452" t="s">
        <v>45</v>
      </c>
    </row>
    <row r="32" spans="1:5" ht="51">
      <c r="A32" s="450" t="s">
        <v>46</v>
      </c>
      <c r="C32" s="451" t="s">
        <v>46</v>
      </c>
    </row>
    <row r="33" spans="1:3">
      <c r="A33" s="438"/>
      <c r="C33" s="258"/>
    </row>
    <row r="34" spans="1:3" ht="93">
      <c r="A34" s="449" t="s">
        <v>47</v>
      </c>
    </row>
    <row r="35" spans="1:3">
      <c r="A35" s="438"/>
    </row>
    <row r="36" spans="1:3" ht="46.5">
      <c r="A36" s="449" t="s">
        <v>48</v>
      </c>
    </row>
  </sheetData>
  <mergeCells count="10">
    <mergeCell ref="D1:F3"/>
    <mergeCell ref="H1:I1"/>
    <mergeCell ref="H2:I2"/>
    <mergeCell ref="H3:I3"/>
    <mergeCell ref="J1:P4"/>
    <mergeCell ref="A22:A23"/>
    <mergeCell ref="A24:A25"/>
    <mergeCell ref="B22:B23"/>
    <mergeCell ref="C22:C23"/>
    <mergeCell ref="D22:D25"/>
  </mergeCells>
  <hyperlinks>
    <hyperlink ref="A32" r:id="rId1" display="mailto:Jaulizia@serveproteamdobson.com" xr:uid="{CD6387FB-D233-4FB5-8B1E-72477A085913}"/>
    <hyperlink ref="C32" r:id="rId2" display="mailto:Jaulizia@serveproteamdobson.com" xr:uid="{3CF131CF-ACA3-4906-A42B-3F1C9D28574E}"/>
    <hyperlink ref="E31" r:id="rId3" xr:uid="{D471D9CE-68B1-4DFB-9FF0-9367F9DF2105}"/>
  </hyperlinks>
  <printOptions gridLines="1"/>
  <pageMargins left="0.3" right="0.3" top="0.3" bottom="0.3" header="0.3" footer="0.3"/>
  <pageSetup scale="46" orientation="landscape" cellComments="atEnd" r:id="rId4"/>
  <headerFooter>
    <oddFooter>&amp;CInsured Initials ________&amp;LPowered by Encircle&amp;RPage &amp;P of &amp;N</oddFooter>
  </headerFooter>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B1CA3-BAC8-4E8B-B9DA-A91217DC3279}">
  <sheetPr codeName="Sheet3"/>
  <dimension ref="C2:K167"/>
  <sheetViews>
    <sheetView view="pageBreakPreview" topLeftCell="C37" zoomScaleNormal="100" zoomScaleSheetLayoutView="100" workbookViewId="0">
      <selection activeCell="C50" sqref="C50"/>
    </sheetView>
  </sheetViews>
  <sheetFormatPr defaultRowHeight="12.75"/>
  <cols>
    <col min="3" max="3" width="78.83203125" customWidth="1"/>
    <col min="4" max="4" width="4.5" customWidth="1"/>
    <col min="5" max="5" width="42.5" bestFit="1" customWidth="1"/>
    <col min="6" max="6" width="10.5" bestFit="1" customWidth="1"/>
    <col min="7" max="7" width="9.83203125" bestFit="1" customWidth="1"/>
    <col min="9" max="9" width="11.1640625" bestFit="1" customWidth="1"/>
  </cols>
  <sheetData>
    <row r="2" spans="3:5">
      <c r="C2" t="s">
        <v>49</v>
      </c>
    </row>
    <row r="3" spans="3:5" ht="43.9" customHeight="1">
      <c r="C3" s="81" t="s">
        <v>50</v>
      </c>
      <c r="D3" s="81"/>
      <c r="E3" s="81"/>
    </row>
    <row r="4" spans="3:5" ht="43.9" customHeight="1">
      <c r="C4" s="81" t="s">
        <v>51</v>
      </c>
      <c r="D4" s="81"/>
      <c r="E4" s="81"/>
    </row>
    <row r="5" spans="3:5" ht="43.9" customHeight="1">
      <c r="C5" s="81" t="s">
        <v>52</v>
      </c>
      <c r="D5" s="81"/>
      <c r="E5" s="81"/>
    </row>
    <row r="6" spans="3:5" ht="43.9" customHeight="1">
      <c r="C6" s="81" t="s">
        <v>53</v>
      </c>
      <c r="D6" s="81"/>
      <c r="E6" s="81"/>
    </row>
    <row r="7" spans="3:5" ht="43.9" customHeight="1">
      <c r="C7" s="96" t="s">
        <v>54</v>
      </c>
      <c r="D7" s="96"/>
      <c r="E7" s="96"/>
    </row>
    <row r="8" spans="3:5" ht="43.9" customHeight="1">
      <c r="C8" s="96" t="s">
        <v>55</v>
      </c>
      <c r="D8" s="96"/>
      <c r="E8" s="96"/>
    </row>
    <row r="9" spans="3:5" ht="43.9" customHeight="1">
      <c r="C9" s="96" t="s">
        <v>56</v>
      </c>
      <c r="D9" s="96"/>
      <c r="E9" s="96"/>
    </row>
    <row r="10" spans="3:5" ht="43.9" customHeight="1">
      <c r="C10" s="81" t="s">
        <v>57</v>
      </c>
      <c r="D10" s="81"/>
      <c r="E10" s="81"/>
    </row>
    <row r="11" spans="3:5" ht="43.9" customHeight="1">
      <c r="C11" s="81" t="s">
        <v>58</v>
      </c>
      <c r="D11" s="81"/>
      <c r="E11" s="81"/>
    </row>
    <row r="12" spans="3:5" ht="15.75">
      <c r="C12" s="143"/>
      <c r="D12" s="143"/>
      <c r="E12" s="143"/>
    </row>
    <row r="13" spans="3:5" ht="15.75">
      <c r="C13" s="143"/>
      <c r="D13" s="143"/>
      <c r="E13" s="143"/>
    </row>
    <row r="14" spans="3:5" ht="15.75">
      <c r="C14" s="143" t="s">
        <v>59</v>
      </c>
      <c r="D14" s="143"/>
      <c r="E14" s="143"/>
    </row>
    <row r="15" spans="3:5" ht="15.75">
      <c r="C15" s="94" t="s">
        <v>60</v>
      </c>
      <c r="D15" s="94"/>
      <c r="E15" s="94"/>
    </row>
    <row r="16" spans="3:5" ht="15.75">
      <c r="C16" s="170" t="s">
        <v>61</v>
      </c>
      <c r="D16" s="94"/>
      <c r="E16" s="94"/>
    </row>
    <row r="17" spans="3:5" ht="15.75">
      <c r="C17" s="170" t="s">
        <v>62</v>
      </c>
      <c r="D17" s="94"/>
      <c r="E17" s="94"/>
    </row>
    <row r="18" spans="3:5" ht="15.75">
      <c r="C18" s="170" t="s">
        <v>63</v>
      </c>
      <c r="D18" s="94"/>
      <c r="E18" s="94"/>
    </row>
    <row r="19" spans="3:5" ht="33" customHeight="1">
      <c r="C19" s="171" t="s">
        <v>51</v>
      </c>
      <c r="D19" s="73"/>
      <c r="E19" s="73"/>
    </row>
    <row r="20" spans="3:5" ht="18.75">
      <c r="C20" s="170" t="s">
        <v>64</v>
      </c>
      <c r="D20" s="73"/>
      <c r="E20" s="73"/>
    </row>
    <row r="21" spans="3:5" ht="18.75">
      <c r="C21" s="170" t="s">
        <v>65</v>
      </c>
      <c r="D21" s="73"/>
      <c r="E21" s="73"/>
    </row>
    <row r="22" spans="3:5" ht="18.75">
      <c r="C22" s="170" t="s">
        <v>66</v>
      </c>
      <c r="D22" s="73"/>
      <c r="E22" s="73"/>
    </row>
    <row r="23" spans="3:5" ht="33" customHeight="1">
      <c r="C23" s="171" t="s">
        <v>67</v>
      </c>
      <c r="D23" s="73"/>
      <c r="E23" s="73"/>
    </row>
    <row r="24" spans="3:5" ht="94.5">
      <c r="C24" s="172" t="s">
        <v>68</v>
      </c>
      <c r="D24" s="142"/>
      <c r="E24" s="142"/>
    </row>
    <row r="25" spans="3:5" ht="33" customHeight="1">
      <c r="C25" s="171" t="s">
        <v>69</v>
      </c>
      <c r="D25" s="73"/>
      <c r="E25" s="73"/>
    </row>
    <row r="26" spans="3:5" ht="33" customHeight="1">
      <c r="C26" s="171" t="s">
        <v>70</v>
      </c>
      <c r="D26" s="73"/>
      <c r="E26" s="73"/>
    </row>
    <row r="27" spans="3:5" ht="94.5">
      <c r="C27" s="172" t="s">
        <v>71</v>
      </c>
      <c r="D27" s="142"/>
      <c r="E27" s="142"/>
    </row>
    <row r="28" spans="3:5" ht="33" customHeight="1">
      <c r="C28" s="174" t="s">
        <v>72</v>
      </c>
      <c r="D28" s="138"/>
      <c r="E28" s="138"/>
    </row>
    <row r="29" spans="3:5" ht="63">
      <c r="C29" s="172" t="s">
        <v>73</v>
      </c>
      <c r="D29" s="142"/>
      <c r="E29" s="142"/>
    </row>
    <row r="30" spans="3:5" ht="33" customHeight="1">
      <c r="C30" s="174" t="s">
        <v>74</v>
      </c>
      <c r="D30" s="138"/>
      <c r="E30" s="138"/>
    </row>
    <row r="31" spans="3:5" ht="47.25">
      <c r="C31" s="173" t="s">
        <v>75</v>
      </c>
      <c r="D31" s="141"/>
      <c r="E31" s="141"/>
    </row>
    <row r="32" spans="3:5" ht="18.75">
      <c r="C32" s="139"/>
      <c r="D32" s="139"/>
      <c r="E32" s="139"/>
    </row>
    <row r="33" spans="3:5" ht="18.75">
      <c r="C33" s="139" t="s">
        <v>57</v>
      </c>
      <c r="D33" s="139"/>
      <c r="E33" s="139"/>
    </row>
    <row r="34" spans="3:5" ht="187.9" customHeight="1">
      <c r="C34" s="172" t="s">
        <v>76</v>
      </c>
      <c r="D34" s="142"/>
      <c r="E34" s="142"/>
    </row>
    <row r="35" spans="3:5" ht="22.15" customHeight="1">
      <c r="C35" s="175" t="s">
        <v>77</v>
      </c>
      <c r="D35" s="142"/>
      <c r="E35" s="142"/>
    </row>
    <row r="36" spans="3:5" ht="88.15" customHeight="1">
      <c r="C36" s="172" t="s">
        <v>78</v>
      </c>
      <c r="D36" s="142"/>
      <c r="E36" s="142"/>
    </row>
    <row r="37" spans="3:5" ht="22.15" customHeight="1">
      <c r="C37" s="142" t="s">
        <v>79</v>
      </c>
      <c r="D37" s="142"/>
      <c r="E37" s="142"/>
    </row>
    <row r="38" spans="3:5" ht="55.15" customHeight="1">
      <c r="C38" s="172" t="s">
        <v>80</v>
      </c>
      <c r="D38" s="142"/>
      <c r="E38" s="142"/>
    </row>
    <row r="39" spans="3:5" ht="18.75">
      <c r="C39" s="140"/>
      <c r="D39" s="140"/>
      <c r="E39" s="140"/>
    </row>
    <row r="40" spans="3:5" ht="18.75">
      <c r="C40" s="138" t="s">
        <v>58</v>
      </c>
      <c r="D40" s="138"/>
      <c r="E40" s="138"/>
    </row>
    <row r="41" spans="3:5" ht="88.15" customHeight="1">
      <c r="C41" s="176" t="s">
        <v>81</v>
      </c>
      <c r="D41" s="140"/>
      <c r="E41" s="140"/>
    </row>
    <row r="42" spans="3:5" ht="66" customHeight="1">
      <c r="C42" s="177" t="s">
        <v>82</v>
      </c>
    </row>
    <row r="43" spans="3:5">
      <c r="C43" s="134"/>
    </row>
    <row r="44" spans="3:5">
      <c r="C44" s="134"/>
    </row>
    <row r="45" spans="3:5">
      <c r="C45" s="134"/>
    </row>
    <row r="46" spans="3:5">
      <c r="C46" s="134"/>
    </row>
    <row r="47" spans="3:5">
      <c r="C47" s="134"/>
    </row>
    <row r="48" spans="3:5">
      <c r="C48" s="134"/>
    </row>
    <row r="49" spans="3:11">
      <c r="C49" s="134"/>
    </row>
    <row r="50" spans="3:11">
      <c r="C50" s="134"/>
    </row>
    <row r="52" spans="3:11" ht="33" customHeight="1">
      <c r="C52" s="79"/>
      <c r="D52" s="169">
        <v>1</v>
      </c>
      <c r="E52" s="312" t="str">
        <f>'APC INVOICE2'!D258</f>
        <v>SMALL BOX</v>
      </c>
      <c r="I52" s="312">
        <f>'APC INVOICE2'!H258</f>
        <v>10372.321500000002</v>
      </c>
      <c r="J52">
        <v>202</v>
      </c>
    </row>
    <row r="53" spans="3:11" ht="33" customHeight="1">
      <c r="C53" s="80"/>
      <c r="D53" s="169">
        <f>1+D52</f>
        <v>2</v>
      </c>
      <c r="E53" s="312" t="str">
        <f>'APC INVOICE2'!D285</f>
        <v xml:space="preserve">MEDIUM BOX </v>
      </c>
      <c r="I53" s="312">
        <f>'APC INVOICE2'!H285</f>
        <v>30404.508333333339</v>
      </c>
      <c r="J53">
        <v>229</v>
      </c>
      <c r="K53">
        <f>J53-J52</f>
        <v>27</v>
      </c>
    </row>
    <row r="54" spans="3:11" ht="33" customHeight="1">
      <c r="C54" s="79"/>
      <c r="D54" s="169">
        <f t="shared" ref="D54:D63" si="0">1+D53</f>
        <v>3</v>
      </c>
      <c r="E54" s="312" t="str">
        <f>'APC INVOICE2'!D312</f>
        <v>LARGE BOX</v>
      </c>
      <c r="I54" s="312">
        <f>'APC INVOICE2'!H312</f>
        <v>1819.5614999999998</v>
      </c>
      <c r="J54">
        <f>K53+J53</f>
        <v>256</v>
      </c>
      <c r="K54">
        <f>J54-J53</f>
        <v>27</v>
      </c>
    </row>
    <row r="55" spans="3:11" ht="33" customHeight="1">
      <c r="C55" s="77"/>
      <c r="D55" s="169">
        <f t="shared" si="0"/>
        <v>4</v>
      </c>
      <c r="E55" s="312" t="str">
        <f>'APC INVOICE2'!D341</f>
        <v>XL TOTAL BOX</v>
      </c>
      <c r="I55" s="312">
        <f>'APC INVOICE2'!H341</f>
        <v>11340.652999999998</v>
      </c>
      <c r="J55">
        <f t="shared" ref="J55:J63" si="1">K54+J54</f>
        <v>283</v>
      </c>
      <c r="K55">
        <f t="shared" ref="K55:K63" si="2">J55-J54</f>
        <v>27</v>
      </c>
    </row>
    <row r="56" spans="3:11" ht="33" customHeight="1">
      <c r="C56" s="81"/>
      <c r="D56" s="169">
        <f t="shared" si="0"/>
        <v>5</v>
      </c>
      <c r="E56" s="312" t="str">
        <f>'APC INVOICE2'!E368</f>
        <v>Totals:</v>
      </c>
      <c r="I56" s="312">
        <f>'APC INVOICE2'!H368</f>
        <v>2077.1116666666662</v>
      </c>
      <c r="J56">
        <f t="shared" si="1"/>
        <v>310</v>
      </c>
      <c r="K56">
        <f t="shared" si="2"/>
        <v>27</v>
      </c>
    </row>
    <row r="57" spans="3:11" ht="33" customHeight="1">
      <c r="C57" s="81"/>
      <c r="D57" s="169">
        <f t="shared" si="0"/>
        <v>6</v>
      </c>
      <c r="E57" s="312" t="str">
        <f>'APC INVOICE2'!D396</f>
        <v>TV BOX</v>
      </c>
      <c r="I57" s="312">
        <f>'APC INVOICE2'!H395</f>
        <v>299.19666666666666</v>
      </c>
      <c r="J57">
        <f t="shared" si="1"/>
        <v>337</v>
      </c>
      <c r="K57">
        <f t="shared" si="2"/>
        <v>27</v>
      </c>
    </row>
    <row r="58" spans="3:11" ht="33" customHeight="1">
      <c r="C58" s="81"/>
      <c r="D58" s="169">
        <f t="shared" si="0"/>
        <v>7</v>
      </c>
      <c r="E58" s="312" t="str">
        <f>'APC INVOICE2'!D344</f>
        <v>Provide mirror/picture box, packing paper &amp; tape</v>
      </c>
      <c r="I58" s="312">
        <f>'APC INVOICE2'!H344</f>
        <v>110.88</v>
      </c>
      <c r="J58">
        <f t="shared" si="1"/>
        <v>364</v>
      </c>
      <c r="K58">
        <f t="shared" si="2"/>
        <v>27</v>
      </c>
    </row>
    <row r="59" spans="3:11" ht="33" customHeight="1">
      <c r="C59" s="81"/>
      <c r="D59" s="169">
        <f t="shared" si="0"/>
        <v>8</v>
      </c>
      <c r="E59" s="144" t="s">
        <v>14</v>
      </c>
      <c r="J59">
        <f t="shared" si="1"/>
        <v>391</v>
      </c>
      <c r="K59">
        <f t="shared" si="2"/>
        <v>27</v>
      </c>
    </row>
    <row r="60" spans="3:11" ht="33" customHeight="1">
      <c r="C60" s="81"/>
      <c r="D60" s="169">
        <f t="shared" si="0"/>
        <v>9</v>
      </c>
      <c r="E60" s="144" t="s">
        <v>15</v>
      </c>
      <c r="J60">
        <f t="shared" si="1"/>
        <v>418</v>
      </c>
      <c r="K60">
        <f t="shared" si="2"/>
        <v>27</v>
      </c>
    </row>
    <row r="61" spans="3:11" ht="33" customHeight="1">
      <c r="C61" s="81"/>
      <c r="D61" s="169">
        <f t="shared" si="0"/>
        <v>10</v>
      </c>
      <c r="E61" s="144" t="s">
        <v>16</v>
      </c>
      <c r="J61">
        <f t="shared" si="1"/>
        <v>445</v>
      </c>
      <c r="K61">
        <f t="shared" si="2"/>
        <v>27</v>
      </c>
    </row>
    <row r="62" spans="3:11" ht="33" customHeight="1">
      <c r="C62" s="81"/>
      <c r="D62" s="169">
        <f t="shared" si="0"/>
        <v>11</v>
      </c>
      <c r="E62" s="144" t="s">
        <v>17</v>
      </c>
      <c r="J62">
        <f t="shared" si="1"/>
        <v>472</v>
      </c>
      <c r="K62">
        <f t="shared" si="2"/>
        <v>27</v>
      </c>
    </row>
    <row r="63" spans="3:11" ht="33" customHeight="1">
      <c r="C63" s="81"/>
      <c r="D63" s="169">
        <f t="shared" si="0"/>
        <v>12</v>
      </c>
      <c r="E63" s="144" t="s">
        <v>18</v>
      </c>
      <c r="J63">
        <f t="shared" si="1"/>
        <v>499</v>
      </c>
      <c r="K63">
        <f t="shared" si="2"/>
        <v>27</v>
      </c>
    </row>
    <row r="64" spans="3:11" ht="15.75">
      <c r="C64" s="81"/>
      <c r="D64" s="81"/>
      <c r="E64" s="81"/>
    </row>
    <row r="65" spans="3:6" ht="15.75">
      <c r="C65" s="81"/>
      <c r="D65" s="81"/>
      <c r="E65" s="81"/>
    </row>
    <row r="66" spans="3:6" ht="17.25">
      <c r="C66" s="81"/>
      <c r="D66" s="81"/>
      <c r="E66" s="146"/>
    </row>
    <row r="67" spans="3:6" ht="15.75">
      <c r="C67" s="81"/>
      <c r="D67" s="81"/>
      <c r="E67" s="152" t="s">
        <v>83</v>
      </c>
    </row>
    <row r="68" spans="3:6" ht="15.75">
      <c r="C68" s="81"/>
      <c r="D68" s="81"/>
      <c r="E68" s="145" t="s">
        <v>84</v>
      </c>
      <c r="F68" s="148">
        <v>39266.620000000003</v>
      </c>
    </row>
    <row r="69" spans="3:6">
      <c r="E69" s="145" t="s">
        <v>85</v>
      </c>
      <c r="F69" s="148">
        <v>3141.21</v>
      </c>
    </row>
    <row r="70" spans="3:6">
      <c r="E70" s="150" t="s">
        <v>86</v>
      </c>
      <c r="F70" s="149">
        <v>42407.83</v>
      </c>
    </row>
    <row r="71" spans="3:6">
      <c r="E71" s="150" t="s">
        <v>87</v>
      </c>
      <c r="F71" s="149">
        <v>42407.83</v>
      </c>
    </row>
    <row r="72" spans="3:6">
      <c r="E72" s="150"/>
    </row>
    <row r="73" spans="3:6">
      <c r="E73" s="150"/>
    </row>
    <row r="74" spans="3:6">
      <c r="E74" s="150"/>
    </row>
    <row r="77" spans="3:6">
      <c r="E77" s="151" t="s">
        <v>88</v>
      </c>
    </row>
    <row r="81" spans="4:9" ht="15.75">
      <c r="E81" s="147" t="s">
        <v>89</v>
      </c>
    </row>
    <row r="82" spans="4:9">
      <c r="E82" s="150"/>
    </row>
    <row r="83" spans="4:9" ht="15.75">
      <c r="D83" s="143"/>
      <c r="E83" s="152" t="s">
        <v>90</v>
      </c>
      <c r="F83" s="143"/>
      <c r="G83" s="143"/>
    </row>
    <row r="84" spans="4:9" ht="15.75">
      <c r="D84" s="143"/>
      <c r="E84" s="152"/>
      <c r="F84" s="143"/>
      <c r="G84" s="143"/>
    </row>
    <row r="85" spans="4:9" ht="15.75">
      <c r="D85" s="143"/>
      <c r="E85" s="152" t="s">
        <v>91</v>
      </c>
      <c r="F85" s="143"/>
      <c r="G85" s="143"/>
    </row>
    <row r="86" spans="4:9" ht="32.25" thickBot="1">
      <c r="D86" s="143"/>
      <c r="E86" s="430" t="s">
        <v>92</v>
      </c>
      <c r="F86" s="431"/>
      <c r="G86" s="164">
        <v>188.85</v>
      </c>
      <c r="H86" s="154"/>
      <c r="I86" s="155">
        <v>4.7999999999999996E-3</v>
      </c>
    </row>
    <row r="87" spans="4:9" ht="47.25">
      <c r="D87" s="143"/>
      <c r="E87" s="430" t="s">
        <v>93</v>
      </c>
      <c r="F87" s="431"/>
      <c r="G87" s="432">
        <v>188.85</v>
      </c>
      <c r="H87" s="13"/>
      <c r="I87" s="157">
        <v>4.7999999999999996E-3</v>
      </c>
    </row>
    <row r="88" spans="4:9" ht="15.75">
      <c r="D88" s="143"/>
      <c r="E88" s="430" t="s">
        <v>94</v>
      </c>
      <c r="F88" s="431" t="s">
        <v>95</v>
      </c>
      <c r="G88" s="433">
        <v>5837.29</v>
      </c>
      <c r="H88" s="158"/>
      <c r="I88" s="157">
        <v>0.1487</v>
      </c>
    </row>
    <row r="89" spans="4:9" ht="15.75">
      <c r="D89" s="169">
        <v>1</v>
      </c>
      <c r="E89" s="430" t="s">
        <v>96</v>
      </c>
      <c r="F89" s="431">
        <v>98</v>
      </c>
      <c r="G89" s="433">
        <v>4822.8599999999997</v>
      </c>
      <c r="H89" s="158"/>
      <c r="I89" s="157">
        <v>0.12280000000000001</v>
      </c>
    </row>
    <row r="90" spans="4:9" ht="15.75">
      <c r="D90" s="169">
        <f>1+D89</f>
        <v>2</v>
      </c>
      <c r="E90" s="430" t="s">
        <v>97</v>
      </c>
      <c r="F90" s="431">
        <f>+F89+1</f>
        <v>99</v>
      </c>
      <c r="G90" s="433">
        <v>5405.72</v>
      </c>
      <c r="H90" s="158"/>
      <c r="I90" s="157">
        <v>0.13769999999999999</v>
      </c>
    </row>
    <row r="91" spans="4:9" ht="15.75">
      <c r="D91" s="169">
        <f t="shared" ref="D91:D100" si="3">1+D90</f>
        <v>3</v>
      </c>
      <c r="E91" s="430" t="s">
        <v>98</v>
      </c>
      <c r="F91" s="431">
        <f t="shared" ref="F91:F103" si="4">+F90+1</f>
        <v>100</v>
      </c>
      <c r="G91" s="433">
        <v>3232.44</v>
      </c>
      <c r="H91" s="158"/>
      <c r="I91" s="157">
        <v>8.2299999999999998E-2</v>
      </c>
    </row>
    <row r="92" spans="4:9" ht="15.75">
      <c r="D92" s="169">
        <f t="shared" si="3"/>
        <v>4</v>
      </c>
      <c r="E92" s="430" t="s">
        <v>99</v>
      </c>
      <c r="F92" s="431">
        <f t="shared" si="4"/>
        <v>101</v>
      </c>
      <c r="G92" s="433">
        <v>12527.12</v>
      </c>
      <c r="H92" s="158"/>
      <c r="I92" s="157">
        <v>0.31900000000000001</v>
      </c>
    </row>
    <row r="93" spans="4:9" ht="15.75">
      <c r="D93" s="169">
        <f t="shared" si="3"/>
        <v>5</v>
      </c>
      <c r="E93" s="430" t="s">
        <v>100</v>
      </c>
      <c r="F93" s="431">
        <f t="shared" si="4"/>
        <v>102</v>
      </c>
      <c r="G93" s="432">
        <v>699.15</v>
      </c>
      <c r="H93" s="158"/>
      <c r="I93" s="157">
        <v>1.78E-2</v>
      </c>
    </row>
    <row r="94" spans="4:9" ht="15.75">
      <c r="D94" s="169">
        <f t="shared" si="3"/>
        <v>6</v>
      </c>
      <c r="E94" s="430" t="s">
        <v>101</v>
      </c>
      <c r="F94" s="431">
        <f t="shared" si="4"/>
        <v>103</v>
      </c>
      <c r="G94" s="432">
        <v>393.7</v>
      </c>
      <c r="H94" s="158"/>
      <c r="I94" s="157">
        <v>0.01</v>
      </c>
    </row>
    <row r="95" spans="4:9" ht="15.75">
      <c r="D95" s="169">
        <f t="shared" si="3"/>
        <v>7</v>
      </c>
      <c r="E95" s="430" t="s">
        <v>13</v>
      </c>
      <c r="F95" s="431">
        <f t="shared" si="4"/>
        <v>104</v>
      </c>
      <c r="G95" s="432">
        <v>229.79</v>
      </c>
      <c r="H95" s="158"/>
      <c r="I95" s="157">
        <v>5.8999999999999999E-3</v>
      </c>
    </row>
    <row r="96" spans="4:9" ht="31.5">
      <c r="D96" s="169">
        <f t="shared" si="3"/>
        <v>8</v>
      </c>
      <c r="E96" s="430" t="s">
        <v>102</v>
      </c>
      <c r="F96" s="431">
        <f t="shared" si="4"/>
        <v>105</v>
      </c>
      <c r="G96" s="433">
        <v>1401.07</v>
      </c>
      <c r="H96" s="158"/>
      <c r="I96" s="157">
        <v>3.5700000000000003E-2</v>
      </c>
    </row>
    <row r="97" spans="4:9" ht="15.75">
      <c r="D97" s="169">
        <f t="shared" si="3"/>
        <v>9</v>
      </c>
      <c r="E97" s="430" t="s">
        <v>103</v>
      </c>
      <c r="F97" s="431">
        <f t="shared" si="4"/>
        <v>106</v>
      </c>
      <c r="G97" s="433">
        <v>1545.16</v>
      </c>
      <c r="H97" s="158"/>
      <c r="I97" s="157">
        <v>3.9399999999999998E-2</v>
      </c>
    </row>
    <row r="98" spans="4:9" ht="15.75">
      <c r="D98" s="169">
        <f t="shared" si="3"/>
        <v>10</v>
      </c>
      <c r="E98" s="430" t="s">
        <v>104</v>
      </c>
      <c r="F98" s="431">
        <f t="shared" si="4"/>
        <v>107</v>
      </c>
      <c r="G98" s="433">
        <v>1188.5</v>
      </c>
      <c r="H98" s="158"/>
      <c r="I98" s="157">
        <v>3.0300000000000001E-2</v>
      </c>
    </row>
    <row r="99" spans="4:9" ht="15.75">
      <c r="D99" s="169">
        <f t="shared" si="3"/>
        <v>11</v>
      </c>
      <c r="E99" s="430" t="s">
        <v>105</v>
      </c>
      <c r="F99" s="431">
        <f t="shared" si="4"/>
        <v>108</v>
      </c>
      <c r="G99" s="432">
        <v>365.2</v>
      </c>
      <c r="H99" s="158"/>
      <c r="I99" s="157">
        <v>9.2999999999999992E-3</v>
      </c>
    </row>
    <row r="100" spans="4:9" ht="15.75">
      <c r="D100" s="169">
        <f t="shared" si="3"/>
        <v>12</v>
      </c>
      <c r="E100" s="430" t="s">
        <v>106</v>
      </c>
      <c r="F100" s="431">
        <f t="shared" si="4"/>
        <v>109</v>
      </c>
      <c r="G100" s="432">
        <v>254.36</v>
      </c>
      <c r="H100" s="158"/>
      <c r="I100" s="157">
        <v>6.4999999999999997E-3</v>
      </c>
    </row>
    <row r="101" spans="4:9" ht="15.75">
      <c r="D101" s="143"/>
      <c r="E101" s="430"/>
      <c r="F101" s="431">
        <f t="shared" si="4"/>
        <v>110</v>
      </c>
      <c r="G101" s="432">
        <v>423.82</v>
      </c>
      <c r="H101" s="158"/>
      <c r="I101" s="157">
        <v>1.0800000000000001E-2</v>
      </c>
    </row>
    <row r="102" spans="4:9" ht="31.5">
      <c r="D102" s="143"/>
      <c r="E102" s="430" t="s">
        <v>107</v>
      </c>
      <c r="F102" s="431">
        <f t="shared" si="4"/>
        <v>111</v>
      </c>
      <c r="G102" s="432">
        <v>651.05999999999995</v>
      </c>
      <c r="H102" s="158"/>
      <c r="I102" s="157">
        <v>1.66E-2</v>
      </c>
    </row>
    <row r="103" spans="4:9" ht="16.5" thickBot="1">
      <c r="D103" s="143"/>
      <c r="E103" s="430" t="s">
        <v>108</v>
      </c>
      <c r="F103" s="431">
        <f t="shared" si="4"/>
        <v>112</v>
      </c>
      <c r="G103" s="164">
        <v>100.53</v>
      </c>
      <c r="H103" s="154"/>
      <c r="I103" s="155">
        <v>2.5999999999999999E-3</v>
      </c>
    </row>
    <row r="104" spans="4:9" ht="16.5" thickBot="1">
      <c r="D104" s="143"/>
      <c r="E104" s="162" t="s">
        <v>109</v>
      </c>
      <c r="F104" s="434"/>
      <c r="G104" s="435">
        <v>39266.620000000003</v>
      </c>
      <c r="H104" s="13"/>
      <c r="I104" s="155">
        <v>1</v>
      </c>
    </row>
    <row r="105" spans="4:9" ht="15.75">
      <c r="D105" s="143"/>
      <c r="E105" s="162"/>
      <c r="F105" s="520"/>
      <c r="G105" s="162"/>
      <c r="H105" s="522"/>
      <c r="I105" s="162"/>
    </row>
    <row r="106" spans="4:9" ht="15.75">
      <c r="D106" s="143"/>
      <c r="E106" s="162" t="s">
        <v>19</v>
      </c>
      <c r="F106" s="521"/>
      <c r="G106" s="433">
        <v>39266.620000000003</v>
      </c>
      <c r="H106" s="522"/>
      <c r="I106" s="157">
        <v>1</v>
      </c>
    </row>
    <row r="107" spans="4:9" ht="15.75">
      <c r="D107" s="143"/>
      <c r="E107" s="143"/>
      <c r="F107" s="143"/>
      <c r="G107" s="143"/>
    </row>
    <row r="110" spans="4:9" ht="15.75">
      <c r="E110" s="168" t="s">
        <v>110</v>
      </c>
    </row>
    <row r="111" spans="4:9">
      <c r="E111" s="13"/>
      <c r="F111" s="522"/>
      <c r="G111" s="13"/>
      <c r="H111" s="522"/>
      <c r="I111" s="13"/>
    </row>
    <row r="112" spans="4:9" ht="16.5" thickBot="1">
      <c r="E112" s="163" t="s">
        <v>111</v>
      </c>
      <c r="F112" s="523"/>
      <c r="G112" s="164" t="s">
        <v>19</v>
      </c>
      <c r="H112" s="523"/>
      <c r="I112" s="164" t="s">
        <v>112</v>
      </c>
    </row>
    <row r="113" spans="5:9">
      <c r="E113" s="160" t="s">
        <v>113</v>
      </c>
      <c r="F113" s="13"/>
      <c r="G113" s="156">
        <v>862.71</v>
      </c>
      <c r="H113" s="13"/>
      <c r="I113" s="157">
        <v>2.0299999999999999E-2</v>
      </c>
    </row>
    <row r="114" spans="5:9">
      <c r="E114" s="160" t="s">
        <v>114</v>
      </c>
      <c r="F114" s="13"/>
      <c r="G114" s="159">
        <v>10286.82</v>
      </c>
      <c r="H114" s="13"/>
      <c r="I114" s="157">
        <v>0.24260000000000001</v>
      </c>
    </row>
    <row r="115" spans="5:9">
      <c r="E115" s="160" t="s">
        <v>115</v>
      </c>
      <c r="F115" s="13"/>
      <c r="G115" s="156">
        <v>24.42</v>
      </c>
      <c r="H115" s="13"/>
      <c r="I115" s="157">
        <v>5.9999999999999995E-4</v>
      </c>
    </row>
    <row r="116" spans="5:9">
      <c r="E116" s="160" t="s">
        <v>116</v>
      </c>
      <c r="F116" s="13"/>
      <c r="G116" s="159">
        <v>17003.099999999999</v>
      </c>
      <c r="H116" s="13"/>
      <c r="I116" s="157">
        <v>0.40089999999999998</v>
      </c>
    </row>
    <row r="117" spans="5:9">
      <c r="E117" s="160" t="s">
        <v>117</v>
      </c>
      <c r="F117" s="13"/>
      <c r="G117" s="159">
        <v>8592.7099999999991</v>
      </c>
      <c r="H117" s="13"/>
      <c r="I117" s="157">
        <v>0.2026</v>
      </c>
    </row>
    <row r="118" spans="5:9">
      <c r="E118" s="160" t="s">
        <v>118</v>
      </c>
      <c r="F118" s="13"/>
      <c r="G118" s="156">
        <v>260.56</v>
      </c>
      <c r="H118" s="13"/>
      <c r="I118" s="157">
        <v>6.1000000000000004E-3</v>
      </c>
    </row>
    <row r="119" spans="5:9">
      <c r="E119" s="160" t="s">
        <v>119</v>
      </c>
      <c r="F119" s="13"/>
      <c r="G119" s="156">
        <v>482.33</v>
      </c>
      <c r="H119" s="13"/>
      <c r="I119" s="157">
        <v>1.14E-2</v>
      </c>
    </row>
    <row r="120" spans="5:9">
      <c r="E120" s="160" t="s">
        <v>120</v>
      </c>
      <c r="F120" s="13"/>
      <c r="G120" s="159">
        <v>1653.44</v>
      </c>
      <c r="H120" s="13"/>
      <c r="I120" s="157">
        <v>3.9E-2</v>
      </c>
    </row>
    <row r="121" spans="5:9" ht="13.5" thickBot="1">
      <c r="E121" s="165" t="s">
        <v>121</v>
      </c>
      <c r="F121" s="13"/>
      <c r="G121" s="153">
        <v>100.53</v>
      </c>
      <c r="H121" s="13"/>
      <c r="I121" s="155">
        <v>2.3999999999999998E-3</v>
      </c>
    </row>
    <row r="122" spans="5:9">
      <c r="E122" s="160" t="s">
        <v>122</v>
      </c>
      <c r="F122" s="13"/>
      <c r="G122" s="159">
        <v>39266.620000000003</v>
      </c>
      <c r="H122" s="13"/>
      <c r="I122" s="157">
        <v>0.92589999999999995</v>
      </c>
    </row>
    <row r="123" spans="5:9" ht="13.5" thickBot="1">
      <c r="E123" s="165" t="s">
        <v>85</v>
      </c>
      <c r="F123" s="13"/>
      <c r="G123" s="161">
        <v>3141.21</v>
      </c>
      <c r="H123" s="13"/>
      <c r="I123" s="155">
        <v>7.4099999999999999E-2</v>
      </c>
    </row>
    <row r="124" spans="5:9">
      <c r="E124" s="160" t="s">
        <v>19</v>
      </c>
      <c r="F124" s="13"/>
      <c r="G124" s="159">
        <v>42407.83</v>
      </c>
      <c r="H124" s="13"/>
      <c r="I124" s="157">
        <v>1</v>
      </c>
    </row>
    <row r="125" spans="5:9">
      <c r="E125" s="145"/>
    </row>
    <row r="126" spans="5:9">
      <c r="E126" s="145"/>
    </row>
    <row r="127" spans="5:9">
      <c r="E127" s="166"/>
    </row>
    <row r="128" spans="5:9">
      <c r="E128" s="167" t="s">
        <v>123</v>
      </c>
    </row>
    <row r="130" spans="4:8">
      <c r="E130" s="86" t="s">
        <v>124</v>
      </c>
    </row>
    <row r="131" spans="4:8" ht="18">
      <c r="E131" s="443" t="s">
        <v>125</v>
      </c>
    </row>
    <row r="133" spans="4:8" ht="18">
      <c r="E133" s="443" t="s">
        <v>126</v>
      </c>
    </row>
    <row r="134" spans="4:8" ht="18">
      <c r="E134" s="443" t="s">
        <v>127</v>
      </c>
    </row>
    <row r="135" spans="4:8" ht="15.75">
      <c r="D135" s="439">
        <v>1</v>
      </c>
      <c r="E135" s="419" t="s">
        <v>7</v>
      </c>
      <c r="G135" s="439">
        <v>7</v>
      </c>
      <c r="H135" s="444" t="s">
        <v>13</v>
      </c>
    </row>
    <row r="136" spans="4:8" ht="15.75">
      <c r="D136" s="439">
        <v>2</v>
      </c>
      <c r="E136" s="440" t="s">
        <v>8</v>
      </c>
      <c r="G136" s="439">
        <v>8</v>
      </c>
      <c r="H136" s="444" t="s">
        <v>14</v>
      </c>
    </row>
    <row r="137" spans="4:8" ht="15.75">
      <c r="D137" s="439">
        <v>3</v>
      </c>
      <c r="E137" s="440" t="s">
        <v>9</v>
      </c>
      <c r="G137" s="439">
        <v>9</v>
      </c>
      <c r="H137" s="444" t="s">
        <v>15</v>
      </c>
    </row>
    <row r="138" spans="4:8" ht="15.75">
      <c r="D138" s="439">
        <v>4</v>
      </c>
      <c r="E138" s="440" t="s">
        <v>128</v>
      </c>
      <c r="G138" s="439">
        <v>10</v>
      </c>
      <c r="H138" s="444" t="s">
        <v>16</v>
      </c>
    </row>
    <row r="139" spans="4:8" ht="15.75">
      <c r="D139" s="439">
        <v>5</v>
      </c>
      <c r="E139" s="440" t="s">
        <v>129</v>
      </c>
      <c r="G139" s="439">
        <v>11</v>
      </c>
      <c r="H139" s="444" t="s">
        <v>17</v>
      </c>
    </row>
    <row r="140" spans="4:8" ht="15.75">
      <c r="D140" s="439">
        <v>6</v>
      </c>
      <c r="E140" s="440" t="s">
        <v>12</v>
      </c>
      <c r="G140" s="439">
        <v>12</v>
      </c>
      <c r="H140" s="444" t="s">
        <v>18</v>
      </c>
    </row>
    <row r="142" spans="4:8" ht="33" customHeight="1">
      <c r="E142" s="445" t="s">
        <v>130</v>
      </c>
    </row>
    <row r="143" spans="4:8" ht="33" customHeight="1">
      <c r="E143" s="445"/>
    </row>
    <row r="144" spans="4:8" ht="31.5">
      <c r="E144" s="441" t="s">
        <v>131</v>
      </c>
    </row>
    <row r="145" spans="5:5" ht="31.5">
      <c r="E145" s="441" t="s">
        <v>132</v>
      </c>
    </row>
    <row r="146" spans="5:5" ht="31.5">
      <c r="E146" s="441" t="s">
        <v>133</v>
      </c>
    </row>
    <row r="147" spans="5:5" ht="31.5">
      <c r="E147" s="441" t="s">
        <v>134</v>
      </c>
    </row>
    <row r="148" spans="5:5" ht="31.5">
      <c r="E148" s="441" t="s">
        <v>54</v>
      </c>
    </row>
    <row r="149" spans="5:5" ht="31.5">
      <c r="E149" s="441" t="s">
        <v>55</v>
      </c>
    </row>
    <row r="150" spans="5:5" ht="31.5">
      <c r="E150" s="441" t="s">
        <v>56</v>
      </c>
    </row>
    <row r="151" spans="5:5" ht="31.5">
      <c r="E151" s="441" t="s">
        <v>135</v>
      </c>
    </row>
    <row r="152" spans="5:5" ht="15.75">
      <c r="E152" s="441" t="s">
        <v>136</v>
      </c>
    </row>
    <row r="153" spans="5:5">
      <c r="E153" s="438"/>
    </row>
    <row r="154" spans="5:5" ht="15.75">
      <c r="E154" s="441" t="s">
        <v>137</v>
      </c>
    </row>
    <row r="155" spans="5:5">
      <c r="E155" s="519" t="s">
        <v>138</v>
      </c>
    </row>
    <row r="156" spans="5:5">
      <c r="E156" s="519"/>
    </row>
    <row r="157" spans="5:5" ht="18" customHeight="1">
      <c r="E157" s="519" t="s">
        <v>139</v>
      </c>
    </row>
    <row r="158" spans="5:5">
      <c r="E158" s="519"/>
    </row>
    <row r="159" spans="5:5" ht="15.75">
      <c r="E159" s="442" t="s">
        <v>140</v>
      </c>
    </row>
    <row r="160" spans="5:5">
      <c r="E160" s="134"/>
    </row>
    <row r="161" spans="5:5">
      <c r="E161" s="134"/>
    </row>
    <row r="162" spans="5:5" ht="31.5">
      <c r="E162" s="431" t="s">
        <v>141</v>
      </c>
    </row>
    <row r="163" spans="5:5" ht="15.75">
      <c r="E163" s="431" t="s">
        <v>142</v>
      </c>
    </row>
    <row r="164" spans="5:5">
      <c r="E164" s="134"/>
    </row>
    <row r="165" spans="5:5" ht="15.75">
      <c r="E165" s="446" t="s">
        <v>143</v>
      </c>
    </row>
    <row r="166" spans="5:5">
      <c r="E166" s="134"/>
    </row>
    <row r="167" spans="5:5" ht="15.75">
      <c r="E167" s="431" t="s">
        <v>144</v>
      </c>
    </row>
  </sheetData>
  <mergeCells count="6">
    <mergeCell ref="E157:E158"/>
    <mergeCell ref="F105:F106"/>
    <mergeCell ref="H105:H106"/>
    <mergeCell ref="F111:F112"/>
    <mergeCell ref="H111:H112"/>
    <mergeCell ref="E155:E156"/>
  </mergeCells>
  <pageMargins left="0.38" right="0.3" top="0.34" bottom="0.27" header="0.3" footer="0.3"/>
  <pageSetup orientation="portrait" r:id="rId1"/>
  <headerFooter>
    <oddFooter>&amp;L&amp;D   &amp;T&amp;C&amp;A&amp;R&amp;F</oddFooter>
  </headerFooter>
  <rowBreaks count="2" manualBreakCount="2">
    <brk id="12" max="16383" man="1"/>
    <brk id="31" min="2" max="2"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06CD6-0EA5-4E1D-B194-365E00A17758}">
  <sheetPr codeName="Sheet4"/>
  <dimension ref="A1:Q608"/>
  <sheetViews>
    <sheetView tabSelected="1" view="pageBreakPreview" topLeftCell="A154" zoomScaleNormal="100" zoomScaleSheetLayoutView="100" workbookViewId="0">
      <selection activeCell="H177" sqref="H177"/>
    </sheetView>
  </sheetViews>
  <sheetFormatPr defaultRowHeight="25.15" customHeight="1"/>
  <cols>
    <col min="1" max="1" width="5" style="74" customWidth="1"/>
    <col min="2" max="2" width="6.1640625" style="74" customWidth="1"/>
    <col min="3" max="3" width="10" style="74" customWidth="1"/>
    <col min="4" max="4" width="53.5" style="74" customWidth="1"/>
    <col min="5" max="5" width="8.6640625" style="74" customWidth="1"/>
    <col min="6" max="6" width="8.83203125" style="74" customWidth="1"/>
    <col min="7" max="7" width="12.1640625" style="74" customWidth="1"/>
    <col min="8" max="8" width="15" style="74" customWidth="1"/>
    <col min="9" max="9" width="0.1640625" style="74" customWidth="1"/>
    <col min="10" max="10" width="7.1640625" style="75" customWidth="1"/>
    <col min="11" max="11" width="8.83203125" style="75" customWidth="1"/>
    <col min="12" max="12" width="8.83203125" style="74"/>
  </cols>
  <sheetData>
    <row r="1" spans="1:13" ht="33" customHeight="1">
      <c r="A1" s="561" t="s">
        <v>145</v>
      </c>
      <c r="B1" s="561"/>
      <c r="C1" s="561"/>
      <c r="D1" s="561"/>
      <c r="E1" s="561"/>
      <c r="F1" s="561"/>
      <c r="G1" s="561"/>
      <c r="H1" s="561"/>
    </row>
    <row r="2" spans="1:13" ht="33" customHeight="1">
      <c r="A2" s="555" t="str">
        <f>+'jobinfo(2)'!$C$100</f>
        <v>All Phase Consulting, LLC</v>
      </c>
      <c r="B2" s="555"/>
      <c r="C2" s="555"/>
      <c r="D2" s="555"/>
      <c r="E2" s="555"/>
      <c r="F2" s="555"/>
      <c r="G2" s="555"/>
      <c r="H2" s="555"/>
      <c r="I2" s="555"/>
      <c r="J2" s="555"/>
      <c r="K2" s="556"/>
      <c r="L2" s="556"/>
      <c r="M2" s="556"/>
    </row>
    <row r="3" spans="1:13" ht="10.9" customHeight="1">
      <c r="A3" s="553"/>
      <c r="B3" s="553"/>
      <c r="C3" s="553"/>
      <c r="D3" s="553"/>
      <c r="E3" s="553"/>
      <c r="F3" s="553"/>
      <c r="G3" s="553"/>
      <c r="H3" s="553"/>
      <c r="I3" s="553"/>
      <c r="J3" s="553"/>
      <c r="K3" s="553"/>
      <c r="L3" s="553"/>
      <c r="M3" s="553"/>
    </row>
    <row r="4" spans="1:13" ht="33" customHeight="1">
      <c r="A4" s="123" t="str">
        <f>+'jobinfo(2)'!$C$101</f>
        <v>WWW.MYAPCLLC.COM</v>
      </c>
      <c r="E4" s="559" t="str">
        <f>'jobinfo(2)'!C102</f>
        <v>Insured  &amp; GA Registered #09073201</v>
      </c>
      <c r="F4" s="559"/>
      <c r="G4" s="559"/>
      <c r="H4" s="559"/>
      <c r="I4" s="103"/>
      <c r="J4" s="557"/>
      <c r="K4" s="557"/>
      <c r="L4" s="557"/>
      <c r="M4" s="557"/>
    </row>
    <row r="5" spans="1:13" ht="33" customHeight="1">
      <c r="A5" s="274" t="str">
        <f>+'jobinfo(2)'!$C$107</f>
        <v>20810 Aurora Rd</v>
      </c>
      <c r="D5" s="119" t="str">
        <f>+'jobinfo(2)'!$C$103</f>
        <v>375 Rockbridge Road, Suite 172-343</v>
      </c>
      <c r="E5" s="560" t="str">
        <f>'jobinfo(2)'!C105</f>
        <v>ECI 531 FIFTH AVE,</v>
      </c>
      <c r="F5" s="560"/>
      <c r="G5" s="560"/>
      <c r="H5" s="560"/>
      <c r="I5" s="101"/>
      <c r="J5" s="14"/>
      <c r="K5" s="553"/>
      <c r="L5" s="554"/>
      <c r="M5" s="14"/>
    </row>
    <row r="6" spans="1:13" ht="33" customHeight="1">
      <c r="A6" s="274" t="str">
        <f>+'jobinfo(2)'!$C$108</f>
        <v>Bedford, OH 44146 </v>
      </c>
      <c r="D6" s="119" t="str">
        <f>+'jobinfo(2)'!$C$104</f>
        <v>Lilburn, GA, 30047</v>
      </c>
      <c r="E6" s="560" t="str">
        <f>'jobinfo(2)'!C106</f>
        <v>PELHAM, NY 10803</v>
      </c>
      <c r="F6" s="560"/>
      <c r="G6" s="560"/>
      <c r="H6" s="560"/>
      <c r="I6" s="101"/>
      <c r="J6" s="14"/>
      <c r="K6" s="553"/>
      <c r="L6" s="554"/>
      <c r="M6" s="14"/>
    </row>
    <row r="7" spans="1:13" ht="29.1" customHeight="1">
      <c r="A7" s="564" t="s">
        <v>146</v>
      </c>
      <c r="B7" s="564"/>
      <c r="C7" s="564"/>
      <c r="D7" s="563" t="str">
        <f>'jobinfo(2)'!C116</f>
        <v>TIN 83-226 0563</v>
      </c>
      <c r="E7" s="563"/>
      <c r="F7" s="563"/>
      <c r="G7" s="563"/>
      <c r="H7" s="563"/>
      <c r="I7" s="101"/>
      <c r="J7" s="14"/>
      <c r="K7" s="103"/>
      <c r="L7" s="120"/>
      <c r="M7" s="14"/>
    </row>
    <row r="8" spans="1:13" ht="55.15" customHeight="1">
      <c r="A8" s="566" t="str">
        <f>+'jobinfo(2)'!$C$110</f>
        <v>Five Generations of Great Work</v>
      </c>
      <c r="B8" s="566"/>
      <c r="C8" s="566"/>
      <c r="D8" s="253"/>
      <c r="E8" s="558" t="str">
        <f>'jobinfo(2)'!C111</f>
        <v>Five Generations of Pride &amp; Skills</v>
      </c>
      <c r="F8" s="558"/>
      <c r="G8" s="558"/>
      <c r="H8" s="558"/>
      <c r="I8" s="558"/>
      <c r="J8" s="540"/>
      <c r="K8" s="541"/>
      <c r="L8" s="540"/>
      <c r="M8" s="541"/>
    </row>
    <row r="9" spans="1:13" ht="33" customHeight="1">
      <c r="A9" s="574" t="s">
        <v>147</v>
      </c>
      <c r="B9" s="574"/>
      <c r="C9" s="574"/>
      <c r="D9" s="16" t="str">
        <f>+'jobinfo(2)'!$C$112</f>
        <v>Joe Jones, PM  216.450.7228</v>
      </c>
      <c r="E9" s="16" t="str">
        <f>+'jobinfo(2)'!$C$113</f>
        <v>wsbjoe9@gmail.com</v>
      </c>
      <c r="G9" s="114"/>
      <c r="J9" s="15"/>
      <c r="K9" s="16"/>
      <c r="L9" s="540"/>
      <c r="M9" s="541"/>
    </row>
    <row r="10" spans="1:13" ht="33" customHeight="1">
      <c r="A10" s="574" t="s">
        <v>148</v>
      </c>
      <c r="B10" s="574"/>
      <c r="C10" s="574"/>
      <c r="D10" s="118" t="str">
        <f>'jobinfo(2)'!C114</f>
        <v>404-446-9060</v>
      </c>
      <c r="F10" s="16" t="str">
        <f>'jobinfo(2)'!C115</f>
        <v>info@myapcllc.com</v>
      </c>
      <c r="G10" s="16"/>
      <c r="I10" s="16"/>
      <c r="J10" s="15"/>
      <c r="K10" s="16"/>
      <c r="L10" s="540"/>
      <c r="M10" s="541"/>
    </row>
    <row r="11" spans="1:13" ht="22.15" customHeight="1">
      <c r="A11" s="574"/>
      <c r="B11" s="574"/>
      <c r="C11" s="574"/>
      <c r="D11" s="574"/>
      <c r="E11" s="574"/>
      <c r="F11" s="574"/>
      <c r="G11" s="574"/>
      <c r="H11" s="574"/>
      <c r="I11" s="16"/>
      <c r="J11" s="15"/>
      <c r="K11" s="16"/>
      <c r="L11" s="109"/>
      <c r="M11" s="111"/>
    </row>
    <row r="12" spans="1:13" ht="33" customHeight="1">
      <c r="A12" s="567" t="str">
        <f>'jobinfo(2)'!B27</f>
        <v xml:space="preserve">Claim # </v>
      </c>
      <c r="B12" s="567"/>
      <c r="C12" s="567"/>
      <c r="D12" s="252" t="str">
        <f>'jobinfo(2)'!C27</f>
        <v>#0743341489</v>
      </c>
      <c r="E12" s="569" t="str">
        <f>'jobinfo(2)'!B28</f>
        <v>policy #</v>
      </c>
      <c r="F12" s="569"/>
      <c r="G12" s="540" t="str">
        <f>'jobinfo(2)'!C28</f>
        <v>#000826481282</v>
      </c>
      <c r="H12" s="540"/>
      <c r="I12" s="101"/>
      <c r="J12" s="100"/>
      <c r="K12" s="100"/>
      <c r="L12" s="100"/>
      <c r="M12" s="100"/>
    </row>
    <row r="13" spans="1:13" ht="33" customHeight="1">
      <c r="A13" s="567" t="str">
        <f>'jobinfo(2)'!B11</f>
        <v>Cause of Loss</v>
      </c>
      <c r="B13" s="567"/>
      <c r="C13" s="567"/>
      <c r="D13" s="16" t="str">
        <f>'jobinfo(2)'!C11</f>
        <v>Water</v>
      </c>
      <c r="E13" s="567" t="str">
        <f>'jobinfo(2)'!B29</f>
        <v>Email INS. co.</v>
      </c>
      <c r="F13" s="567"/>
      <c r="G13" s="567"/>
      <c r="H13" s="567"/>
      <c r="I13" s="101"/>
      <c r="J13" s="100"/>
      <c r="K13" s="100"/>
      <c r="L13" s="100"/>
      <c r="M13" s="100"/>
    </row>
    <row r="14" spans="1:13" ht="34.15" customHeight="1">
      <c r="A14" s="551" t="s">
        <v>149</v>
      </c>
      <c r="B14" s="551"/>
      <c r="C14" s="551"/>
      <c r="D14" s="16" t="str">
        <f>'jobinfo(2)'!C26</f>
        <v>Allstate Insurance Company</v>
      </c>
      <c r="F14" s="137" t="str">
        <f>'jobinfo(2)'!C29</f>
        <v>claims@claims.allstate.com</v>
      </c>
      <c r="G14" s="137"/>
      <c r="I14" s="101"/>
      <c r="J14" s="100"/>
      <c r="K14" s="100"/>
      <c r="L14" s="100"/>
      <c r="M14" s="100"/>
    </row>
    <row r="15" spans="1:13" ht="34.15" customHeight="1">
      <c r="A15" s="552" t="str">
        <f>'jobinfo(2)'!B30</f>
        <v>DESK Adjuster DA</v>
      </c>
      <c r="B15" s="552"/>
      <c r="C15" s="552"/>
      <c r="D15" s="16" t="str">
        <f>'jobinfo(2)'!C30</f>
        <v>LESLIE</v>
      </c>
      <c r="E15" s="121" t="str">
        <f>'jobinfo(2)'!B31</f>
        <v>DA Phone</v>
      </c>
      <c r="F15" s="16"/>
      <c r="G15" s="540" t="str">
        <f>'jobinfo(2)'!C31</f>
        <v>888 656.8005</v>
      </c>
      <c r="H15" s="540"/>
      <c r="I15" s="101"/>
      <c r="J15" s="100"/>
      <c r="K15" s="100"/>
      <c r="L15" s="100"/>
      <c r="M15" s="100"/>
    </row>
    <row r="16" spans="1:13" ht="34.15" customHeight="1">
      <c r="A16" s="567" t="str">
        <f>'jobinfo(2)'!B32</f>
        <v>DA Ph. Ext. #</v>
      </c>
      <c r="B16" s="567"/>
      <c r="C16" s="567"/>
      <c r="D16" s="16">
        <f>'jobinfo(2)'!C32</f>
        <v>0</v>
      </c>
      <c r="E16" s="567" t="str">
        <f>'jobinfo(2)'!B33</f>
        <v xml:space="preserve">DA Email </v>
      </c>
      <c r="F16" s="567"/>
      <c r="G16" s="567"/>
      <c r="H16" s="567"/>
      <c r="I16" s="101"/>
      <c r="J16" s="100"/>
      <c r="K16" s="100"/>
      <c r="L16" s="100"/>
      <c r="M16" s="100"/>
    </row>
    <row r="17" spans="1:13" ht="34.15" customHeight="1">
      <c r="A17" s="552" t="str">
        <f>'jobinfo(2)'!B34</f>
        <v>Field Adjuster Name</v>
      </c>
      <c r="B17" s="552"/>
      <c r="C17" s="552"/>
      <c r="D17" s="16" t="str">
        <f>'jobinfo(2)'!C34</f>
        <v> Drew over at Paul Davis.</v>
      </c>
      <c r="F17" s="16" t="str">
        <f>'jobinfo(2)'!C33</f>
        <v>claims@claims.allstate.com</v>
      </c>
      <c r="H17" s="101"/>
      <c r="I17" s="101"/>
      <c r="J17" s="100"/>
      <c r="K17" s="100"/>
      <c r="L17" s="100"/>
      <c r="M17" s="100"/>
    </row>
    <row r="18" spans="1:13" ht="34.15" customHeight="1">
      <c r="A18" s="567" t="str">
        <f>'jobinfo(2)'!B36</f>
        <v>Field adj email</v>
      </c>
      <c r="B18" s="567"/>
      <c r="C18" s="567"/>
      <c r="D18" s="16" t="str">
        <f>'jobinfo(2)'!C36</f>
        <v>claims@claims.allstate.com</v>
      </c>
      <c r="E18" s="257" t="str">
        <f>'jobinfo(2)'!B35</f>
        <v>Phone # field adj</v>
      </c>
      <c r="F18" s="16"/>
      <c r="G18" s="540" t="str">
        <f>'jobinfo(2)'!C35</f>
        <v>(216) 379-9943</v>
      </c>
      <c r="H18" s="540"/>
      <c r="I18" s="101"/>
      <c r="J18" s="100"/>
      <c r="K18" s="100"/>
      <c r="L18" s="100"/>
      <c r="M18" s="100"/>
    </row>
    <row r="19" spans="1:13" ht="34.15" customHeight="1">
      <c r="A19" s="570" t="str">
        <f>'jobinfo(2)'!B37</f>
        <v>adj contents</v>
      </c>
      <c r="B19" s="570"/>
      <c r="C19" s="570"/>
      <c r="D19" s="16" t="str">
        <f>'jobinfo(2)'!C37</f>
        <v>Victoria Lindsay</v>
      </c>
      <c r="E19" s="570" t="str">
        <f>'jobinfo(2)'!B39</f>
        <v>adj CPS email</v>
      </c>
      <c r="F19" s="570"/>
      <c r="G19" s="570"/>
      <c r="H19" s="570"/>
      <c r="I19" s="101"/>
      <c r="J19" s="100"/>
      <c r="K19" s="100"/>
      <c r="L19" s="100"/>
      <c r="M19" s="100"/>
    </row>
    <row r="20" spans="1:13" ht="34.15" customHeight="1">
      <c r="A20" s="570" t="str">
        <f>'jobinfo(2)'!B38</f>
        <v>adj CPS phone #</v>
      </c>
      <c r="B20" s="570"/>
      <c r="C20" s="570"/>
      <c r="D20" s="16" t="str">
        <f>'jobinfo(2)'!C38</f>
        <v>812-235-7239 </v>
      </c>
      <c r="E20" s="540" t="str">
        <f>'jobinfo(2)'!C39</f>
        <v>victoria.lindsay@infraware.com</v>
      </c>
      <c r="F20" s="540"/>
      <c r="G20" s="540"/>
      <c r="H20" s="540"/>
      <c r="I20" s="101"/>
      <c r="J20" s="100"/>
      <c r="K20" s="100"/>
      <c r="L20" s="100"/>
      <c r="M20" s="100"/>
    </row>
    <row r="21" spans="1:13" ht="34.15" customHeight="1">
      <c r="A21" s="571" t="s">
        <v>150</v>
      </c>
      <c r="B21" s="571"/>
      <c r="C21" s="571"/>
      <c r="D21" s="16" t="str">
        <f>'jobinfo(2)'!C1</f>
        <v>Williams, Bridgett</v>
      </c>
      <c r="E21" s="567" t="s">
        <v>151</v>
      </c>
      <c r="F21" s="567"/>
      <c r="G21" s="567"/>
      <c r="H21" s="567"/>
      <c r="I21" s="101"/>
      <c r="J21" s="100"/>
      <c r="K21" s="100"/>
      <c r="L21" s="100"/>
      <c r="M21" s="100"/>
    </row>
    <row r="22" spans="1:13" ht="34.15" customHeight="1">
      <c r="A22" s="572" t="s">
        <v>152</v>
      </c>
      <c r="B22" s="572"/>
      <c r="C22" s="572"/>
      <c r="D22" s="16" t="str">
        <f>'jobinfo(2)'!C2</f>
        <v>4514 Wellington Avenue</v>
      </c>
      <c r="E22" s="569" t="str">
        <f>'jobinfo(2)'!C4</f>
        <v>blw8958@gmail.com</v>
      </c>
      <c r="F22" s="569"/>
      <c r="G22" s="569"/>
      <c r="H22" s="569"/>
      <c r="I22" s="101"/>
      <c r="J22" s="100"/>
      <c r="K22" s="100"/>
      <c r="L22" s="100"/>
      <c r="M22" s="100"/>
    </row>
    <row r="23" spans="1:13" s="258" customFormat="1" ht="43.9" customHeight="1">
      <c r="A23" s="573" t="str">
        <f>'jobinfo(2)'!B3</f>
        <v>Property city, state, zip</v>
      </c>
      <c r="B23" s="573"/>
      <c r="C23" s="573"/>
      <c r="D23" s="407" t="str">
        <f>'jobinfo(2)'!C3</f>
        <v>Parma, OH, 44134</v>
      </c>
      <c r="E23" s="408" t="s">
        <v>153</v>
      </c>
      <c r="F23" s="104"/>
      <c r="G23" s="568" t="str">
        <f>'jobinfo(2)'!C5</f>
        <v>(216) 512-4318</v>
      </c>
      <c r="H23" s="568"/>
      <c r="I23" s="409"/>
      <c r="J23" s="410"/>
      <c r="K23" s="410"/>
      <c r="L23" s="410"/>
      <c r="M23" s="410"/>
    </row>
    <row r="24" spans="1:13" ht="33" customHeight="1">
      <c r="A24" s="565" t="s">
        <v>154</v>
      </c>
      <c r="B24" s="565"/>
      <c r="C24" s="565"/>
      <c r="D24" s="565"/>
      <c r="E24" s="565"/>
      <c r="F24" s="565"/>
      <c r="G24" s="565"/>
      <c r="H24" s="565"/>
      <c r="I24" s="565"/>
      <c r="J24" s="86"/>
      <c r="K24" s="100"/>
      <c r="L24" s="100"/>
      <c r="M24" s="100"/>
    </row>
    <row r="25" spans="1:13" ht="99" customHeight="1">
      <c r="A25" s="543" t="s">
        <v>155</v>
      </c>
      <c r="B25" s="543"/>
      <c r="C25" s="543"/>
      <c r="D25" s="543"/>
      <c r="E25" s="543"/>
      <c r="F25" s="543"/>
      <c r="G25" s="543"/>
      <c r="H25" s="543"/>
      <c r="I25" s="543"/>
      <c r="J25" s="122"/>
      <c r="K25" s="100"/>
      <c r="L25" s="100"/>
      <c r="M25" s="100"/>
    </row>
    <row r="26" spans="1:13" ht="1.1499999999999999" customHeight="1">
      <c r="A26" s="544"/>
      <c r="B26" s="544"/>
      <c r="C26" s="544"/>
      <c r="D26" s="544"/>
      <c r="E26" s="544"/>
      <c r="F26" s="544"/>
      <c r="G26" s="544"/>
      <c r="H26" s="544"/>
      <c r="I26" s="544"/>
      <c r="J26" s="86" t="s">
        <v>156</v>
      </c>
      <c r="K26" s="100"/>
      <c r="L26" s="100"/>
      <c r="M26" s="100"/>
    </row>
    <row r="27" spans="1:13" ht="33" customHeight="1">
      <c r="A27" s="549"/>
      <c r="B27" s="549"/>
      <c r="C27" s="549"/>
      <c r="D27" s="549"/>
      <c r="E27" s="549"/>
      <c r="F27" s="549"/>
      <c r="G27" s="549"/>
      <c r="H27" s="549"/>
      <c r="I27" s="549"/>
      <c r="J27" s="86"/>
      <c r="K27" s="100"/>
      <c r="L27" s="100"/>
      <c r="M27" s="100"/>
    </row>
    <row r="28" spans="1:13" ht="55.15" customHeight="1">
      <c r="A28" s="544" t="s">
        <v>157</v>
      </c>
      <c r="B28" s="544"/>
      <c r="C28" s="544"/>
      <c r="D28" s="544"/>
      <c r="E28" s="544"/>
      <c r="F28" s="544"/>
      <c r="G28" s="544"/>
      <c r="H28" s="544"/>
      <c r="I28" s="544"/>
      <c r="J28" s="86"/>
      <c r="K28" s="100"/>
      <c r="L28" s="100"/>
      <c r="M28" s="100"/>
    </row>
    <row r="29" spans="1:13" ht="55.15" customHeight="1">
      <c r="A29" s="544" t="s">
        <v>158</v>
      </c>
      <c r="B29" s="544"/>
      <c r="C29" s="544"/>
      <c r="D29" s="544"/>
      <c r="E29" s="544"/>
      <c r="F29" s="544"/>
      <c r="G29" s="544"/>
      <c r="H29" s="544"/>
      <c r="I29" s="544"/>
      <c r="J29" s="86"/>
      <c r="K29" s="100"/>
      <c r="L29" s="100"/>
      <c r="M29" s="100"/>
    </row>
    <row r="30" spans="1:13" ht="33" customHeight="1">
      <c r="A30" s="544"/>
      <c r="B30" s="544"/>
      <c r="C30" s="544"/>
      <c r="D30" s="544"/>
      <c r="E30" s="544"/>
      <c r="F30" s="544"/>
      <c r="G30" s="544"/>
      <c r="H30" s="544"/>
      <c r="I30" s="544"/>
      <c r="J30" s="86"/>
      <c r="K30" s="100"/>
      <c r="L30" s="100"/>
      <c r="M30" s="100"/>
    </row>
    <row r="31" spans="1:13" ht="43.9" customHeight="1">
      <c r="A31" s="545" t="s">
        <v>159</v>
      </c>
      <c r="B31" s="545"/>
      <c r="C31" s="545"/>
      <c r="D31" s="545"/>
      <c r="E31" s="545"/>
      <c r="F31" s="545"/>
      <c r="G31" s="545"/>
      <c r="H31" s="545"/>
      <c r="I31" s="545"/>
      <c r="J31" s="2"/>
      <c r="K31" s="100"/>
      <c r="L31" s="100"/>
      <c r="M31" s="100"/>
    </row>
    <row r="32" spans="1:13" ht="33" customHeight="1">
      <c r="A32" s="545"/>
      <c r="B32" s="545"/>
      <c r="C32" s="545"/>
      <c r="D32" s="545"/>
      <c r="E32" s="545"/>
      <c r="F32" s="545"/>
      <c r="G32" s="545"/>
      <c r="H32" s="545"/>
      <c r="I32" s="545"/>
      <c r="K32" s="100"/>
      <c r="L32" s="100"/>
      <c r="M32" s="100"/>
    </row>
    <row r="33" spans="1:17" ht="133.15" customHeight="1">
      <c r="A33" s="543" t="s">
        <v>160</v>
      </c>
      <c r="B33" s="545"/>
      <c r="C33" s="545"/>
      <c r="D33" s="545"/>
      <c r="E33" s="545"/>
      <c r="F33" s="545"/>
      <c r="G33" s="545"/>
      <c r="H33" s="545"/>
      <c r="I33" s="545"/>
      <c r="J33" s="2"/>
      <c r="K33" s="100"/>
      <c r="L33" s="100"/>
      <c r="M33" s="100"/>
    </row>
    <row r="34" spans="1:17" ht="1.1499999999999999" customHeight="1">
      <c r="A34" s="544"/>
      <c r="B34" s="546"/>
      <c r="C34" s="546"/>
      <c r="D34" s="546"/>
      <c r="E34" s="546"/>
      <c r="F34" s="546"/>
      <c r="G34" s="546"/>
      <c r="H34" s="546"/>
      <c r="I34" s="546"/>
      <c r="K34" s="100"/>
      <c r="L34" s="100"/>
      <c r="M34" s="100"/>
    </row>
    <row r="35" spans="1:17" ht="1.1499999999999999" customHeight="1">
      <c r="A35" s="546"/>
      <c r="B35" s="546"/>
      <c r="C35" s="546"/>
      <c r="D35" s="546"/>
      <c r="E35" s="546"/>
      <c r="F35" s="546"/>
      <c r="G35" s="546"/>
      <c r="H35" s="546"/>
      <c r="I35" s="546"/>
      <c r="K35" s="100"/>
      <c r="L35" s="100"/>
      <c r="M35" s="100"/>
    </row>
    <row r="36" spans="1:17" ht="36" customHeight="1">
      <c r="A36" s="526" t="s">
        <v>161</v>
      </c>
      <c r="B36" s="526"/>
      <c r="C36" s="526"/>
      <c r="D36" s="526"/>
      <c r="E36" s="526"/>
      <c r="F36" s="526"/>
      <c r="G36" s="526"/>
      <c r="H36" s="526"/>
      <c r="I36" s="11"/>
      <c r="K36" s="100"/>
      <c r="L36" s="100"/>
      <c r="M36" s="100"/>
    </row>
    <row r="37" spans="1:17" ht="33" customHeight="1">
      <c r="A37" s="255" t="s">
        <v>162</v>
      </c>
      <c r="B37" s="256"/>
      <c r="C37" s="256"/>
      <c r="D37" s="256"/>
      <c r="E37" s="256"/>
      <c r="F37" s="256"/>
      <c r="G37" s="256"/>
      <c r="H37" s="256"/>
      <c r="I37" s="256"/>
      <c r="K37" s="100"/>
      <c r="L37" s="100"/>
      <c r="M37" s="100"/>
    </row>
    <row r="38" spans="1:17" ht="33" customHeight="1">
      <c r="A38" s="254" t="s">
        <v>163</v>
      </c>
      <c r="B38" s="256"/>
      <c r="C38" s="256"/>
      <c r="D38" s="256"/>
      <c r="E38" s="256"/>
      <c r="F38" s="256"/>
      <c r="G38" s="256"/>
      <c r="H38" s="256"/>
      <c r="I38" s="256"/>
      <c r="K38" s="102"/>
      <c r="L38" s="102"/>
      <c r="M38" s="102"/>
      <c r="N38" s="102"/>
      <c r="O38" s="102"/>
      <c r="P38" s="102"/>
      <c r="Q38" s="102"/>
    </row>
    <row r="39" spans="1:17" ht="43.9" customHeight="1">
      <c r="A39" s="546" t="s">
        <v>164</v>
      </c>
      <c r="B39" s="546"/>
      <c r="C39" s="546"/>
      <c r="D39" s="546"/>
      <c r="E39" s="546"/>
      <c r="F39" s="546"/>
      <c r="G39" s="546"/>
      <c r="H39" s="546"/>
      <c r="I39" s="546"/>
      <c r="J39" s="2"/>
      <c r="K39" s="102"/>
      <c r="L39" s="102"/>
      <c r="M39" s="102"/>
      <c r="N39" s="102"/>
      <c r="O39" s="102"/>
      <c r="P39" s="102"/>
      <c r="Q39" s="102"/>
    </row>
    <row r="40" spans="1:17" ht="43.9" customHeight="1">
      <c r="A40" s="546"/>
      <c r="B40" s="546"/>
      <c r="C40" s="546"/>
      <c r="D40" s="546"/>
      <c r="E40" s="546"/>
      <c r="F40" s="546"/>
      <c r="G40" s="546"/>
      <c r="H40" s="546"/>
      <c r="I40" s="546"/>
      <c r="J40" s="2"/>
      <c r="K40" s="102"/>
      <c r="L40" s="102"/>
      <c r="M40" s="102"/>
      <c r="N40" s="102"/>
      <c r="O40" s="102"/>
      <c r="P40" s="102"/>
      <c r="Q40" s="102"/>
    </row>
    <row r="41" spans="1:17" ht="22.15" customHeight="1">
      <c r="A41" s="562"/>
      <c r="B41" s="562"/>
      <c r="C41" s="562"/>
      <c r="D41" s="562"/>
      <c r="E41" s="562"/>
      <c r="F41" s="562"/>
      <c r="G41" s="562"/>
      <c r="H41" s="562"/>
      <c r="I41" s="3"/>
      <c r="J41" s="2"/>
      <c r="K41" s="102"/>
      <c r="L41" s="102"/>
      <c r="M41" s="102"/>
      <c r="N41" s="102"/>
      <c r="O41" s="102"/>
      <c r="P41" s="102"/>
      <c r="Q41" s="102"/>
    </row>
    <row r="42" spans="1:17" ht="22.15" customHeight="1">
      <c r="A42" s="562"/>
      <c r="B42" s="562"/>
      <c r="C42" s="562"/>
      <c r="D42" s="562"/>
      <c r="E42" s="562"/>
      <c r="F42" s="562"/>
      <c r="G42" s="562"/>
      <c r="H42" s="562"/>
      <c r="I42" s="3"/>
      <c r="J42" s="2"/>
      <c r="K42" s="102"/>
      <c r="L42" s="102"/>
      <c r="M42" s="102"/>
      <c r="N42" s="102"/>
      <c r="O42" s="102"/>
      <c r="P42" s="102"/>
      <c r="Q42" s="102"/>
    </row>
    <row r="43" spans="1:17" ht="9" customHeight="1">
      <c r="A43" s="562"/>
      <c r="B43" s="562"/>
      <c r="C43" s="562"/>
      <c r="D43" s="562"/>
      <c r="E43" s="562"/>
      <c r="F43" s="562"/>
      <c r="G43" s="562"/>
      <c r="H43" s="562"/>
      <c r="I43" s="3"/>
      <c r="J43" s="2"/>
      <c r="K43" s="102"/>
      <c r="L43" s="102"/>
      <c r="M43" s="102"/>
      <c r="N43" s="102"/>
      <c r="O43" s="102"/>
      <c r="P43" s="102"/>
      <c r="Q43" s="102"/>
    </row>
    <row r="44" spans="1:17" ht="43.9" customHeight="1">
      <c r="A44" s="542" t="s">
        <v>165</v>
      </c>
      <c r="B44" s="542"/>
      <c r="C44" s="542"/>
      <c r="D44" s="542"/>
      <c r="E44" s="542"/>
      <c r="F44" s="542"/>
      <c r="G44" s="542"/>
      <c r="H44" s="542"/>
      <c r="I44" s="542"/>
      <c r="J44" s="2"/>
      <c r="K44" s="102"/>
      <c r="L44" s="102"/>
      <c r="M44" s="102"/>
      <c r="N44" s="102"/>
      <c r="O44" s="102"/>
      <c r="P44" s="102"/>
      <c r="Q44" s="102"/>
    </row>
    <row r="45" spans="1:17" ht="33" customHeight="1">
      <c r="A45" s="526" t="s">
        <v>166</v>
      </c>
      <c r="B45" s="526"/>
      <c r="C45" s="526"/>
      <c r="D45" s="526"/>
      <c r="E45" s="526"/>
      <c r="F45" s="526"/>
      <c r="G45" s="526"/>
      <c r="H45" s="526"/>
      <c r="I45"/>
      <c r="J45"/>
      <c r="K45"/>
      <c r="L45" s="102"/>
      <c r="M45" s="102"/>
      <c r="N45" s="102"/>
      <c r="O45" s="102"/>
      <c r="P45" s="102"/>
      <c r="Q45" s="102"/>
    </row>
    <row r="46" spans="1:17" ht="28.15" customHeight="1">
      <c r="A46" s="9" t="s">
        <v>167</v>
      </c>
      <c r="B46" s="102"/>
      <c r="C46" s="102"/>
      <c r="D46" s="102"/>
      <c r="E46" s="549"/>
      <c r="F46" s="549"/>
      <c r="G46" s="549"/>
      <c r="H46" s="549"/>
      <c r="I46" s="549"/>
      <c r="J46"/>
      <c r="K46"/>
      <c r="L46" s="102"/>
      <c r="M46" s="102"/>
      <c r="N46" s="102"/>
      <c r="O46" s="102"/>
      <c r="P46" s="102"/>
      <c r="Q46" s="102"/>
    </row>
    <row r="47" spans="1:17" s="258" customFormat="1" ht="28.15" customHeight="1">
      <c r="A47" s="9" t="s">
        <v>168</v>
      </c>
      <c r="B47" s="102"/>
      <c r="C47" s="102"/>
      <c r="D47" s="102"/>
      <c r="E47" s="549"/>
      <c r="F47" s="549"/>
      <c r="G47" s="549"/>
      <c r="H47" s="549"/>
      <c r="I47" s="549"/>
      <c r="L47" s="102"/>
      <c r="M47" s="102"/>
      <c r="N47" s="102"/>
      <c r="O47" s="102"/>
      <c r="P47" s="102"/>
      <c r="Q47" s="102"/>
    </row>
    <row r="48" spans="1:17" s="258" customFormat="1" ht="28.15" customHeight="1">
      <c r="A48" s="9" t="s">
        <v>169</v>
      </c>
      <c r="B48" s="102"/>
      <c r="C48" s="102"/>
      <c r="D48" s="102"/>
      <c r="E48" s="549"/>
      <c r="F48" s="549"/>
      <c r="G48" s="549"/>
      <c r="H48" s="549"/>
      <c r="I48" s="549"/>
      <c r="L48" s="102"/>
      <c r="M48" s="102"/>
      <c r="N48" s="102"/>
      <c r="O48" s="102"/>
      <c r="P48" s="102"/>
      <c r="Q48" s="102"/>
    </row>
    <row r="49" spans="1:17" s="258" customFormat="1" ht="28.15" customHeight="1">
      <c r="A49" s="9" t="s">
        <v>170</v>
      </c>
      <c r="B49" s="102"/>
      <c r="C49" s="102"/>
      <c r="D49" s="102"/>
      <c r="E49" s="549"/>
      <c r="F49" s="549"/>
      <c r="G49" s="549"/>
      <c r="H49" s="549"/>
      <c r="I49" s="549"/>
      <c r="L49" s="102"/>
      <c r="M49" s="102"/>
      <c r="N49" s="102"/>
      <c r="O49" s="102"/>
      <c r="P49" s="102"/>
      <c r="Q49" s="102"/>
    </row>
    <row r="50" spans="1:17" ht="28.15" customHeight="1">
      <c r="A50" s="2" t="s">
        <v>171</v>
      </c>
      <c r="B50" s="4"/>
      <c r="C50" s="12"/>
      <c r="D50" s="12"/>
      <c r="E50" s="549"/>
      <c r="F50" s="549"/>
      <c r="G50" s="549"/>
      <c r="H50" s="549"/>
      <c r="I50" s="549"/>
      <c r="J50"/>
      <c r="K50"/>
      <c r="L50" s="102"/>
      <c r="M50" s="102"/>
      <c r="N50" s="102"/>
      <c r="O50" s="102"/>
      <c r="P50" s="102"/>
      <c r="Q50" s="102"/>
    </row>
    <row r="51" spans="1:17" ht="28.15" customHeight="1">
      <c r="A51" s="255"/>
      <c r="B51" s="5" t="s">
        <v>172</v>
      </c>
      <c r="C51" s="5"/>
      <c r="D51" s="5"/>
      <c r="E51" s="549"/>
      <c r="F51" s="549"/>
      <c r="G51" s="549"/>
      <c r="H51" s="549"/>
      <c r="I51" s="549"/>
      <c r="J51"/>
      <c r="K51"/>
      <c r="L51" s="102"/>
      <c r="M51" s="102"/>
      <c r="N51" s="102"/>
      <c r="O51" s="102"/>
      <c r="P51" s="102"/>
      <c r="Q51" s="102"/>
    </row>
    <row r="52" spans="1:17" ht="28.15" customHeight="1">
      <c r="A52" s="255"/>
      <c r="B52" s="9" t="s">
        <v>173</v>
      </c>
      <c r="C52" s="12"/>
      <c r="D52" s="12"/>
      <c r="E52" s="549"/>
      <c r="F52" s="549"/>
      <c r="G52" s="549"/>
      <c r="H52" s="549"/>
      <c r="I52" s="549"/>
      <c r="J52"/>
      <c r="K52"/>
      <c r="L52" s="102"/>
      <c r="M52" s="102"/>
      <c r="N52" s="102"/>
      <c r="O52" s="102"/>
      <c r="P52" s="102"/>
      <c r="Q52" s="102"/>
    </row>
    <row r="53" spans="1:17" ht="28.15" customHeight="1">
      <c r="A53" s="255"/>
      <c r="B53" s="9" t="s">
        <v>174</v>
      </c>
      <c r="C53" s="12"/>
      <c r="D53" s="12"/>
      <c r="E53" s="549"/>
      <c r="F53" s="549"/>
      <c r="G53" s="549"/>
      <c r="H53" s="549"/>
      <c r="I53" s="549"/>
      <c r="J53"/>
      <c r="K53"/>
      <c r="L53" s="102"/>
      <c r="M53" s="102"/>
      <c r="N53" s="102"/>
      <c r="O53" s="102"/>
      <c r="P53" s="102"/>
      <c r="Q53" s="102"/>
    </row>
    <row r="54" spans="1:17" ht="28.15" customHeight="1">
      <c r="A54" s="255"/>
      <c r="B54" s="9" t="s">
        <v>175</v>
      </c>
      <c r="C54" s="12"/>
      <c r="D54" s="12"/>
      <c r="E54" s="549"/>
      <c r="F54" s="549"/>
      <c r="G54" s="549"/>
      <c r="H54" s="549"/>
      <c r="I54" s="549"/>
      <c r="J54"/>
      <c r="K54"/>
      <c r="L54" s="102"/>
      <c r="M54" s="102"/>
      <c r="N54" s="102"/>
      <c r="O54" s="102"/>
      <c r="P54" s="102"/>
      <c r="Q54" s="102"/>
    </row>
    <row r="55" spans="1:17" ht="33" customHeight="1">
      <c r="A55" s="526" t="s">
        <v>176</v>
      </c>
      <c r="B55" s="526"/>
      <c r="C55" s="526"/>
      <c r="D55" s="526"/>
      <c r="E55" s="526"/>
      <c r="F55" s="526"/>
      <c r="G55" s="526"/>
      <c r="H55" s="526"/>
      <c r="I55" s="526"/>
    </row>
    <row r="56" spans="1:17" ht="43.9" customHeight="1">
      <c r="A56" s="549"/>
      <c r="B56" s="547" t="s">
        <v>177</v>
      </c>
      <c r="C56" s="547"/>
      <c r="D56" s="547"/>
      <c r="E56" s="547"/>
      <c r="F56" s="547"/>
      <c r="G56" s="547"/>
      <c r="H56" s="548"/>
      <c r="I56" s="12"/>
    </row>
    <row r="57" spans="1:17" ht="43.9" customHeight="1">
      <c r="A57" s="549"/>
      <c r="B57" s="547" t="s">
        <v>178</v>
      </c>
      <c r="C57" s="547"/>
      <c r="D57" s="547"/>
      <c r="E57" s="547"/>
      <c r="F57" s="547"/>
      <c r="G57" s="547"/>
      <c r="H57" s="548"/>
      <c r="I57" s="12"/>
    </row>
    <row r="58" spans="1:17" ht="33" customHeight="1">
      <c r="A58" s="544" t="s">
        <v>179</v>
      </c>
      <c r="B58" s="544"/>
      <c r="C58" s="544"/>
      <c r="D58" s="544"/>
      <c r="E58" s="544"/>
      <c r="F58" s="544"/>
      <c r="G58" s="544"/>
      <c r="H58" s="544"/>
      <c r="I58" s="544"/>
    </row>
    <row r="59" spans="1:17" ht="33" customHeight="1">
      <c r="A59" s="544"/>
      <c r="B59" s="544"/>
      <c r="C59" s="544"/>
      <c r="D59" s="544"/>
      <c r="E59" s="544"/>
      <c r="F59" s="544"/>
      <c r="G59" s="544"/>
      <c r="H59" s="544"/>
      <c r="I59" s="544"/>
    </row>
    <row r="60" spans="1:17" ht="9" customHeight="1">
      <c r="A60" s="546"/>
      <c r="B60" s="546"/>
      <c r="C60" s="546"/>
      <c r="D60" s="546"/>
      <c r="E60" s="546"/>
      <c r="F60" s="546"/>
      <c r="G60" s="546"/>
      <c r="H60" s="546"/>
      <c r="I60" s="546"/>
    </row>
    <row r="61" spans="1:17" ht="1.9" customHeight="1">
      <c r="A61" s="255"/>
      <c r="B61" s="10"/>
      <c r="C61" s="10"/>
      <c r="D61" s="10"/>
      <c r="E61" s="544"/>
      <c r="F61" s="544"/>
      <c r="G61" s="544"/>
      <c r="H61" s="544"/>
      <c r="I61" s="544"/>
      <c r="K61" s="102"/>
      <c r="L61" s="102"/>
      <c r="M61" s="102"/>
      <c r="N61" s="102"/>
      <c r="O61" s="102"/>
      <c r="P61" s="102"/>
      <c r="Q61" s="102"/>
    </row>
    <row r="62" spans="1:17" ht="55.15" customHeight="1">
      <c r="A62" s="550" t="s">
        <v>180</v>
      </c>
      <c r="B62" s="550"/>
      <c r="C62" s="550"/>
      <c r="D62" s="550"/>
      <c r="E62" s="550"/>
      <c r="F62" s="550"/>
      <c r="G62" s="550"/>
      <c r="H62" s="550"/>
      <c r="I62" s="10"/>
      <c r="K62" s="102"/>
      <c r="L62" s="102"/>
      <c r="M62" s="102"/>
      <c r="N62" s="102"/>
      <c r="O62" s="102"/>
      <c r="P62" s="102"/>
      <c r="Q62" s="102"/>
    </row>
    <row r="63" spans="1:17" ht="1.1499999999999999" customHeight="1">
      <c r="A63" s="5"/>
      <c r="B63" s="5"/>
      <c r="C63" s="5"/>
      <c r="D63" s="5"/>
      <c r="E63" s="5"/>
      <c r="F63" s="5"/>
      <c r="G63" s="5"/>
      <c r="H63" s="5"/>
      <c r="I63" s="7"/>
      <c r="K63" s="102"/>
      <c r="L63" s="102"/>
      <c r="M63" s="102"/>
      <c r="N63" s="102"/>
      <c r="O63" s="102"/>
      <c r="P63" s="102"/>
      <c r="Q63" s="102"/>
    </row>
    <row r="64" spans="1:17" ht="33" customHeight="1">
      <c r="A64" s="5" t="s">
        <v>181</v>
      </c>
      <c r="B64" s="5"/>
      <c r="C64" s="5"/>
      <c r="D64" s="5"/>
      <c r="E64" s="5"/>
      <c r="F64" s="5"/>
      <c r="G64" s="7"/>
      <c r="H64" s="7"/>
      <c r="I64" s="7"/>
      <c r="K64" s="102"/>
      <c r="L64" s="102"/>
      <c r="M64" s="102"/>
      <c r="N64" s="102"/>
      <c r="O64" s="102"/>
      <c r="P64" s="102"/>
      <c r="Q64" s="102"/>
    </row>
    <row r="65" spans="1:17" ht="33" customHeight="1">
      <c r="A65" s="539" t="s">
        <v>182</v>
      </c>
      <c r="B65" s="539"/>
      <c r="C65" s="539"/>
      <c r="D65" s="539"/>
      <c r="E65" s="539"/>
      <c r="F65" s="539"/>
      <c r="G65" s="539"/>
      <c r="H65" s="539"/>
      <c r="I65" s="7"/>
      <c r="J65" s="102"/>
      <c r="K65" s="102"/>
      <c r="L65" s="102"/>
      <c r="M65" s="102"/>
      <c r="N65" s="102"/>
      <c r="O65" s="102"/>
      <c r="P65" s="102"/>
      <c r="Q65" s="102"/>
    </row>
    <row r="66" spans="1:17" ht="33" customHeight="1">
      <c r="A66" s="178"/>
      <c r="B66" s="250" t="s">
        <v>183</v>
      </c>
      <c r="C66" s="178"/>
      <c r="E66" s="539"/>
      <c r="F66" s="539"/>
      <c r="G66" s="539"/>
      <c r="H66" s="539"/>
      <c r="I66" s="539"/>
      <c r="J66" s="102"/>
      <c r="K66" s="102"/>
      <c r="L66" s="102"/>
      <c r="M66" s="102"/>
      <c r="N66" s="102"/>
      <c r="O66" s="102"/>
      <c r="P66" s="102"/>
      <c r="Q66" s="102"/>
    </row>
    <row r="67" spans="1:17" ht="21.95" customHeight="1">
      <c r="A67" s="178"/>
      <c r="B67" s="412" t="s">
        <v>50</v>
      </c>
      <c r="C67" s="178"/>
      <c r="E67" s="539"/>
      <c r="F67" s="539"/>
      <c r="G67" s="539"/>
      <c r="H67" s="539"/>
      <c r="I67" s="539"/>
      <c r="J67" s="102"/>
      <c r="K67" s="102"/>
      <c r="L67" s="102"/>
      <c r="M67" s="102"/>
      <c r="N67" s="102"/>
      <c r="O67" s="102"/>
      <c r="P67" s="102"/>
      <c r="Q67" s="102"/>
    </row>
    <row r="68" spans="1:17" ht="21.95" customHeight="1">
      <c r="A68" s="178"/>
      <c r="B68" s="412" t="s">
        <v>51</v>
      </c>
      <c r="C68" s="178"/>
      <c r="E68" s="539"/>
      <c r="F68" s="539"/>
      <c r="G68" s="539"/>
      <c r="H68" s="539"/>
      <c r="I68" s="539"/>
      <c r="J68" s="102"/>
      <c r="K68" s="102"/>
      <c r="L68" s="102"/>
      <c r="M68" s="102"/>
      <c r="N68" s="102"/>
      <c r="O68" s="102"/>
      <c r="P68" s="102"/>
      <c r="Q68" s="102"/>
    </row>
    <row r="69" spans="1:17" ht="21.95" customHeight="1">
      <c r="A69" s="178"/>
      <c r="B69" s="412" t="s">
        <v>52</v>
      </c>
      <c r="C69" s="178"/>
      <c r="E69" s="539"/>
      <c r="F69" s="539"/>
      <c r="G69" s="539"/>
      <c r="H69" s="539"/>
      <c r="I69" s="539"/>
      <c r="J69" s="102"/>
      <c r="K69" s="102"/>
      <c r="L69" s="102"/>
      <c r="M69" s="102"/>
      <c r="N69" s="102"/>
      <c r="O69" s="102"/>
      <c r="P69" s="102"/>
      <c r="Q69" s="102"/>
    </row>
    <row r="70" spans="1:17" ht="21.95" customHeight="1">
      <c r="A70" s="178"/>
      <c r="B70" s="412" t="s">
        <v>53</v>
      </c>
      <c r="C70" s="178"/>
      <c r="E70" s="539"/>
      <c r="F70" s="539"/>
      <c r="G70" s="539"/>
      <c r="H70" s="539"/>
      <c r="I70" s="539"/>
      <c r="J70" s="102"/>
      <c r="K70" s="102"/>
      <c r="L70" s="102"/>
      <c r="M70" s="102"/>
      <c r="N70" s="102"/>
      <c r="O70" s="102"/>
      <c r="P70" s="102"/>
      <c r="Q70" s="102"/>
    </row>
    <row r="71" spans="1:17" ht="21.95" customHeight="1">
      <c r="A71" s="178"/>
      <c r="B71" s="413" t="s">
        <v>54</v>
      </c>
      <c r="C71" s="178"/>
      <c r="E71" s="539"/>
      <c r="F71" s="539"/>
      <c r="G71" s="539"/>
      <c r="H71" s="539"/>
      <c r="I71" s="539"/>
      <c r="J71" s="102"/>
      <c r="K71" s="102"/>
      <c r="L71" s="102"/>
      <c r="M71" s="102"/>
      <c r="N71" s="102"/>
      <c r="O71" s="102"/>
      <c r="P71" s="102"/>
      <c r="Q71" s="102"/>
    </row>
    <row r="72" spans="1:17" ht="21.95" customHeight="1">
      <c r="A72" s="178"/>
      <c r="B72" s="413" t="s">
        <v>55</v>
      </c>
      <c r="C72" s="178"/>
      <c r="E72" s="539"/>
      <c r="F72" s="539"/>
      <c r="G72" s="539"/>
      <c r="H72" s="539"/>
      <c r="I72" s="539"/>
      <c r="J72" s="102"/>
      <c r="K72" s="102"/>
      <c r="L72" s="102"/>
      <c r="M72" s="102"/>
      <c r="N72" s="102"/>
      <c r="O72" s="102"/>
      <c r="P72" s="102"/>
      <c r="Q72" s="102"/>
    </row>
    <row r="73" spans="1:17" ht="21.95" customHeight="1">
      <c r="A73" s="178"/>
      <c r="B73" s="413" t="s">
        <v>56</v>
      </c>
      <c r="C73" s="178"/>
      <c r="E73" s="539"/>
      <c r="F73" s="539"/>
      <c r="G73" s="539"/>
      <c r="H73" s="539"/>
      <c r="I73" s="539"/>
      <c r="J73" s="102"/>
      <c r="K73" s="102"/>
      <c r="L73" s="102"/>
      <c r="M73" s="102"/>
      <c r="N73" s="102"/>
      <c r="O73" s="102"/>
      <c r="P73" s="102"/>
      <c r="Q73" s="102"/>
    </row>
    <row r="74" spans="1:17" ht="21.95" customHeight="1">
      <c r="A74" s="178"/>
      <c r="B74" s="412" t="s">
        <v>57</v>
      </c>
      <c r="C74" s="178"/>
      <c r="E74" s="539"/>
      <c r="F74" s="539"/>
      <c r="G74" s="539"/>
      <c r="H74" s="539"/>
      <c r="I74" s="539"/>
      <c r="J74" s="102"/>
      <c r="K74" s="102"/>
      <c r="L74" s="102"/>
      <c r="M74" s="102"/>
      <c r="N74" s="102"/>
      <c r="O74" s="102"/>
      <c r="P74" s="102"/>
      <c r="Q74" s="102"/>
    </row>
    <row r="75" spans="1:17" ht="21.95" customHeight="1">
      <c r="A75" s="178"/>
      <c r="B75" s="412" t="s">
        <v>58</v>
      </c>
      <c r="C75" s="178"/>
      <c r="E75" s="539"/>
      <c r="F75" s="539"/>
      <c r="G75" s="539"/>
      <c r="H75" s="539"/>
      <c r="I75" s="539"/>
      <c r="J75" s="102"/>
      <c r="K75" s="102"/>
      <c r="L75" s="102"/>
      <c r="M75" s="102"/>
      <c r="N75" s="102"/>
      <c r="O75" s="102"/>
      <c r="P75" s="102"/>
      <c r="Q75" s="102"/>
    </row>
    <row r="76" spans="1:17" ht="27.95" customHeight="1">
      <c r="A76" s="178"/>
      <c r="B76" s="368" t="s">
        <v>184</v>
      </c>
      <c r="C76" s="368"/>
      <c r="D76" s="368"/>
      <c r="E76" s="368"/>
      <c r="F76" s="368"/>
      <c r="G76" s="7"/>
      <c r="J76" s="102"/>
      <c r="K76" s="102"/>
      <c r="L76" s="102"/>
      <c r="M76" s="102"/>
      <c r="N76" s="102"/>
      <c r="O76" s="102"/>
      <c r="P76" s="102"/>
      <c r="Q76" s="102"/>
    </row>
    <row r="77" spans="1:17" ht="19.149999999999999" customHeight="1">
      <c r="A77" s="178"/>
      <c r="B77" s="171" t="s">
        <v>50</v>
      </c>
      <c r="C77" s="178"/>
      <c r="D77" s="178"/>
      <c r="E77" s="178"/>
      <c r="F77" s="178"/>
      <c r="G77" s="178"/>
      <c r="J77" s="102"/>
      <c r="K77" s="102"/>
      <c r="L77" s="102"/>
      <c r="M77" s="102"/>
      <c r="N77" s="102"/>
      <c r="O77" s="102"/>
      <c r="P77" s="102"/>
      <c r="Q77" s="102"/>
    </row>
    <row r="78" spans="1:17" ht="16.899999999999999" customHeight="1">
      <c r="A78" s="178"/>
      <c r="B78" s="170" t="s">
        <v>61</v>
      </c>
      <c r="C78" s="178"/>
      <c r="D78" s="178"/>
      <c r="E78" s="178"/>
      <c r="F78" s="178"/>
      <c r="G78" s="178"/>
      <c r="J78" s="102"/>
      <c r="K78" s="102"/>
      <c r="L78" s="102"/>
      <c r="M78" s="102"/>
      <c r="N78" s="102"/>
      <c r="O78" s="102"/>
      <c r="P78" s="102"/>
      <c r="Q78" s="102"/>
    </row>
    <row r="79" spans="1:17" ht="25.9" customHeight="1">
      <c r="A79" s="178"/>
      <c r="B79" s="171" t="s">
        <v>51</v>
      </c>
      <c r="C79" s="178"/>
      <c r="D79" s="178"/>
      <c r="E79" s="178"/>
      <c r="F79" s="178"/>
      <c r="G79" s="178"/>
      <c r="J79" s="102"/>
      <c r="K79" s="102"/>
      <c r="L79" s="102"/>
      <c r="M79" s="102"/>
      <c r="N79" s="102"/>
      <c r="O79" s="102"/>
      <c r="P79" s="102"/>
      <c r="Q79" s="102"/>
    </row>
    <row r="80" spans="1:17" ht="16.899999999999999" customHeight="1">
      <c r="A80" s="178"/>
      <c r="B80" s="170" t="s">
        <v>64</v>
      </c>
      <c r="C80" s="170"/>
      <c r="D80" s="170"/>
      <c r="E80" s="170"/>
      <c r="F80" s="170"/>
      <c r="G80" s="261"/>
      <c r="J80" s="102"/>
      <c r="K80" s="102"/>
      <c r="L80" s="102"/>
      <c r="M80" s="102"/>
      <c r="N80" s="102"/>
      <c r="O80" s="102"/>
      <c r="P80" s="102"/>
      <c r="Q80" s="102"/>
    </row>
    <row r="81" spans="1:17" ht="33" customHeight="1">
      <c r="A81" s="178"/>
      <c r="B81" s="171" t="s">
        <v>67</v>
      </c>
      <c r="C81" s="178"/>
      <c r="E81" s="539"/>
      <c r="F81" s="539"/>
      <c r="G81" s="539"/>
      <c r="H81" s="539"/>
      <c r="I81" s="539"/>
      <c r="J81" s="102"/>
      <c r="K81" s="102"/>
      <c r="L81" s="102"/>
      <c r="M81" s="102"/>
      <c r="N81" s="102"/>
      <c r="O81" s="102"/>
      <c r="P81" s="102"/>
      <c r="Q81" s="102"/>
    </row>
    <row r="82" spans="1:17" ht="15.95" customHeight="1">
      <c r="A82" s="178"/>
      <c r="B82" s="171"/>
      <c r="C82" s="74" t="s">
        <v>185</v>
      </c>
      <c r="E82" s="539"/>
      <c r="F82" s="539"/>
      <c r="G82" s="539"/>
      <c r="H82" s="539"/>
      <c r="I82" s="539"/>
      <c r="J82" s="102"/>
      <c r="K82" s="102"/>
      <c r="L82" s="102"/>
      <c r="M82" s="102"/>
      <c r="N82" s="102"/>
      <c r="O82" s="102"/>
      <c r="P82" s="102"/>
      <c r="Q82" s="102"/>
    </row>
    <row r="83" spans="1:17" ht="15.95" customHeight="1">
      <c r="A83" s="178"/>
      <c r="B83" s="171"/>
      <c r="C83" s="74" t="s">
        <v>186</v>
      </c>
      <c r="E83" s="539"/>
      <c r="F83" s="539"/>
      <c r="G83" s="539"/>
      <c r="H83" s="539"/>
      <c r="I83" s="539"/>
      <c r="J83" s="102"/>
      <c r="K83" s="102"/>
      <c r="L83" s="102"/>
      <c r="M83" s="102"/>
      <c r="N83" s="102"/>
      <c r="O83" s="102"/>
      <c r="P83" s="102"/>
      <c r="Q83" s="102"/>
    </row>
    <row r="84" spans="1:17" ht="15.95" customHeight="1">
      <c r="A84" s="178"/>
      <c r="B84" s="171"/>
      <c r="C84" s="74" t="s">
        <v>187</v>
      </c>
      <c r="E84" s="539"/>
      <c r="F84" s="539"/>
      <c r="G84" s="539"/>
      <c r="H84" s="539"/>
      <c r="I84" s="539"/>
      <c r="J84" s="102"/>
      <c r="K84" s="102"/>
      <c r="L84" s="102"/>
      <c r="M84" s="102"/>
      <c r="N84" s="102"/>
      <c r="O84" s="102"/>
      <c r="P84" s="102"/>
      <c r="Q84" s="102"/>
    </row>
    <row r="85" spans="1:17" ht="15.95" customHeight="1">
      <c r="A85" s="178"/>
      <c r="B85" s="171"/>
      <c r="C85" s="74" t="s">
        <v>188</v>
      </c>
      <c r="E85" s="539"/>
      <c r="F85" s="539"/>
      <c r="G85" s="539"/>
      <c r="H85" s="539"/>
      <c r="I85" s="539"/>
      <c r="J85" s="102"/>
      <c r="K85" s="102"/>
      <c r="L85" s="102"/>
      <c r="M85" s="102"/>
      <c r="N85" s="102"/>
      <c r="O85" s="102"/>
      <c r="P85" s="102"/>
      <c r="Q85" s="102"/>
    </row>
    <row r="86" spans="1:17" ht="15.95" customHeight="1">
      <c r="A86" s="178"/>
      <c r="B86" s="171"/>
      <c r="C86" s="74" t="s">
        <v>189</v>
      </c>
      <c r="E86" s="539"/>
      <c r="F86" s="539"/>
      <c r="G86" s="539"/>
      <c r="H86" s="539"/>
      <c r="I86" s="539"/>
      <c r="J86" s="102"/>
      <c r="K86" s="102"/>
      <c r="L86" s="102"/>
      <c r="M86" s="102"/>
      <c r="N86" s="102"/>
      <c r="O86" s="102"/>
      <c r="P86" s="102"/>
      <c r="Q86" s="102"/>
    </row>
    <row r="87" spans="1:17" ht="15.95" customHeight="1">
      <c r="A87" s="178"/>
      <c r="B87" s="171"/>
      <c r="C87" s="74" t="s">
        <v>190</v>
      </c>
      <c r="E87" s="539"/>
      <c r="F87" s="539"/>
      <c r="G87" s="539"/>
      <c r="H87" s="539"/>
      <c r="I87" s="539"/>
      <c r="J87" s="102"/>
      <c r="K87" s="102"/>
      <c r="L87" s="102"/>
      <c r="M87" s="102"/>
      <c r="N87" s="102"/>
      <c r="O87" s="102"/>
      <c r="P87" s="102"/>
      <c r="Q87" s="102"/>
    </row>
    <row r="88" spans="1:17" ht="21.95" customHeight="1">
      <c r="A88" s="178"/>
      <c r="B88" s="171" t="s">
        <v>69</v>
      </c>
      <c r="C88" s="178"/>
      <c r="E88" s="539"/>
      <c r="F88" s="539"/>
      <c r="G88" s="539"/>
      <c r="H88" s="539"/>
      <c r="I88" s="539"/>
      <c r="J88" s="102"/>
      <c r="K88" s="102"/>
      <c r="L88" s="102"/>
      <c r="M88" s="102"/>
      <c r="N88" s="102"/>
      <c r="O88" s="102"/>
      <c r="P88" s="102"/>
      <c r="Q88" s="102"/>
    </row>
    <row r="89" spans="1:17" ht="27" customHeight="1">
      <c r="A89" s="178"/>
      <c r="B89" s="369" t="s">
        <v>191</v>
      </c>
      <c r="C89" s="369"/>
      <c r="D89" s="369"/>
      <c r="E89" s="369"/>
      <c r="F89" s="369"/>
      <c r="G89" s="369"/>
      <c r="J89" s="102"/>
      <c r="K89" s="102"/>
      <c r="L89" s="102"/>
      <c r="M89" s="102"/>
      <c r="N89" s="102"/>
      <c r="O89" s="102"/>
      <c r="P89" s="102"/>
      <c r="Q89" s="102"/>
    </row>
    <row r="90" spans="1:17" ht="99" customHeight="1">
      <c r="A90" s="178"/>
      <c r="B90" s="178"/>
      <c r="C90" s="178"/>
      <c r="D90" s="172" t="s">
        <v>71</v>
      </c>
      <c r="E90" s="539"/>
      <c r="F90" s="539"/>
      <c r="G90" s="539"/>
      <c r="H90" s="539"/>
      <c r="I90" s="261"/>
      <c r="J90" s="102"/>
      <c r="K90" s="102"/>
      <c r="L90" s="102"/>
      <c r="M90" s="102"/>
      <c r="N90" s="102"/>
      <c r="O90" s="102"/>
      <c r="P90" s="102"/>
      <c r="Q90" s="102"/>
    </row>
    <row r="91" spans="1:17" ht="25.9" customHeight="1">
      <c r="A91" s="178"/>
      <c r="B91" s="411" t="s">
        <v>72</v>
      </c>
      <c r="C91" s="411"/>
      <c r="F91" s="575"/>
      <c r="G91" s="575"/>
      <c r="H91" s="575"/>
      <c r="I91" s="261"/>
      <c r="J91" s="102"/>
      <c r="K91" s="102"/>
      <c r="L91" s="102"/>
      <c r="M91" s="102"/>
      <c r="N91" s="102"/>
      <c r="O91" s="102"/>
      <c r="P91" s="102"/>
      <c r="Q91" s="102"/>
    </row>
    <row r="92" spans="1:17" ht="17.100000000000001" customHeight="1">
      <c r="A92" s="178"/>
      <c r="B92" s="184" t="s">
        <v>192</v>
      </c>
      <c r="C92" s="411"/>
      <c r="F92" s="575"/>
      <c r="G92" s="575"/>
      <c r="H92" s="575"/>
      <c r="I92" s="261"/>
      <c r="J92" s="102"/>
      <c r="K92" s="102"/>
      <c r="L92" s="102"/>
      <c r="M92" s="102"/>
      <c r="N92" s="102"/>
      <c r="O92" s="102"/>
      <c r="P92" s="102"/>
      <c r="Q92" s="102"/>
    </row>
    <row r="93" spans="1:17" ht="17.100000000000001" customHeight="1">
      <c r="A93" s="178"/>
      <c r="B93" s="184" t="s">
        <v>193</v>
      </c>
      <c r="C93" s="411"/>
      <c r="F93" s="575"/>
      <c r="G93" s="575"/>
      <c r="H93" s="575"/>
      <c r="I93" s="261"/>
      <c r="J93" s="102"/>
      <c r="K93" s="102"/>
      <c r="L93" s="102"/>
      <c r="M93" s="102"/>
      <c r="N93" s="102"/>
      <c r="O93" s="102"/>
      <c r="P93" s="102"/>
      <c r="Q93" s="102"/>
    </row>
    <row r="94" spans="1:17" ht="17.100000000000001" customHeight="1">
      <c r="A94" s="178"/>
      <c r="B94" s="184" t="s">
        <v>194</v>
      </c>
      <c r="C94" s="411"/>
      <c r="F94" s="575"/>
      <c r="G94" s="575"/>
      <c r="H94" s="575"/>
      <c r="I94" s="261"/>
      <c r="J94" s="102"/>
      <c r="K94" s="102"/>
      <c r="L94" s="102"/>
      <c r="M94" s="102"/>
      <c r="N94" s="102"/>
      <c r="O94" s="102"/>
      <c r="P94" s="102"/>
      <c r="Q94" s="102"/>
    </row>
    <row r="95" spans="1:17" ht="17.100000000000001" customHeight="1">
      <c r="A95" s="178"/>
      <c r="B95" s="184" t="s">
        <v>195</v>
      </c>
      <c r="C95" s="178"/>
      <c r="E95" s="261"/>
      <c r="F95" s="575"/>
      <c r="G95" s="575"/>
      <c r="H95" s="575"/>
      <c r="I95" s="261"/>
      <c r="J95" s="102"/>
      <c r="K95" s="102"/>
      <c r="L95" s="102"/>
      <c r="M95" s="102"/>
      <c r="N95" s="102"/>
      <c r="O95" s="102"/>
      <c r="P95" s="102"/>
      <c r="Q95" s="102"/>
    </row>
    <row r="96" spans="1:17" ht="1.1499999999999999" customHeight="1">
      <c r="A96" s="178"/>
      <c r="B96" s="178"/>
      <c r="C96" s="178"/>
      <c r="D96" s="172"/>
      <c r="E96" s="261"/>
      <c r="F96" s="261"/>
      <c r="G96" s="261"/>
      <c r="H96" s="261"/>
      <c r="I96" s="261"/>
      <c r="J96" s="102"/>
      <c r="K96" s="102"/>
      <c r="L96" s="102"/>
      <c r="M96" s="102"/>
      <c r="N96" s="102"/>
      <c r="O96" s="102"/>
      <c r="P96" s="102"/>
      <c r="Q96" s="102"/>
    </row>
    <row r="97" spans="1:17" ht="28.5" customHeight="1">
      <c r="A97" s="178"/>
      <c r="B97" s="178"/>
      <c r="C97" s="180" t="s">
        <v>184</v>
      </c>
      <c r="E97" s="178"/>
      <c r="F97" s="539"/>
      <c r="G97" s="539"/>
      <c r="H97" s="539"/>
      <c r="I97" s="539"/>
      <c r="J97" s="102"/>
      <c r="K97" s="102"/>
      <c r="L97" s="102"/>
      <c r="M97" s="102"/>
      <c r="N97" s="102"/>
      <c r="O97" s="102"/>
      <c r="P97" s="102"/>
      <c r="Q97" s="102"/>
    </row>
    <row r="98" spans="1:17" ht="21.95" customHeight="1">
      <c r="A98" s="178"/>
      <c r="B98" s="411" t="s">
        <v>74</v>
      </c>
      <c r="C98" s="411"/>
      <c r="E98" s="539"/>
      <c r="F98" s="539"/>
      <c r="G98" s="539"/>
      <c r="H98" s="539"/>
      <c r="I98" s="539"/>
      <c r="J98" s="102"/>
      <c r="K98" s="102"/>
      <c r="L98" s="102"/>
      <c r="M98" s="102"/>
      <c r="N98" s="102"/>
      <c r="O98" s="102"/>
      <c r="P98" s="102"/>
      <c r="Q98" s="102"/>
    </row>
    <row r="99" spans="1:17" ht="22.15" customHeight="1">
      <c r="A99" s="178"/>
      <c r="B99" s="178"/>
      <c r="C99" s="170" t="s">
        <v>196</v>
      </c>
      <c r="E99" s="539"/>
      <c r="F99" s="539"/>
      <c r="G99" s="539"/>
      <c r="H99" s="539"/>
      <c r="I99" s="539"/>
      <c r="J99" s="102"/>
      <c r="K99" s="102"/>
      <c r="L99" s="102"/>
      <c r="M99" s="102"/>
      <c r="N99" s="102"/>
      <c r="O99" s="102"/>
      <c r="P99" s="102"/>
      <c r="Q99" s="102"/>
    </row>
    <row r="100" spans="1:17" ht="22.15" customHeight="1">
      <c r="A100" s="178"/>
      <c r="B100" s="178"/>
      <c r="C100" s="179" t="s">
        <v>197</v>
      </c>
      <c r="E100" s="539"/>
      <c r="F100" s="539"/>
      <c r="G100" s="539"/>
      <c r="H100" s="539"/>
      <c r="I100" s="539"/>
      <c r="J100" s="102"/>
      <c r="K100" s="102"/>
      <c r="L100" s="102"/>
      <c r="M100" s="102"/>
      <c r="N100" s="102"/>
      <c r="O100" s="102"/>
      <c r="P100" s="102"/>
      <c r="Q100" s="102"/>
    </row>
    <row r="101" spans="1:17" ht="22.15" customHeight="1">
      <c r="A101" s="178"/>
      <c r="B101" s="178"/>
      <c r="C101" s="179" t="s">
        <v>198</v>
      </c>
      <c r="E101" s="539"/>
      <c r="F101" s="539"/>
      <c r="G101" s="539"/>
      <c r="H101" s="539"/>
      <c r="I101" s="539"/>
      <c r="J101" s="102"/>
      <c r="K101" s="102"/>
      <c r="L101" s="102"/>
      <c r="M101" s="102"/>
      <c r="N101" s="102"/>
      <c r="O101" s="102"/>
      <c r="P101" s="102"/>
      <c r="Q101" s="102"/>
    </row>
    <row r="102" spans="1:17" ht="22.15" customHeight="1">
      <c r="A102" s="178"/>
      <c r="B102" s="178"/>
      <c r="C102" s="179" t="s">
        <v>199</v>
      </c>
      <c r="E102" s="539"/>
      <c r="F102" s="539"/>
      <c r="G102" s="539"/>
      <c r="H102" s="539"/>
      <c r="I102" s="539"/>
      <c r="J102" s="102"/>
      <c r="K102" s="102"/>
      <c r="L102" s="102"/>
      <c r="M102" s="102"/>
      <c r="N102" s="102"/>
      <c r="O102" s="102"/>
      <c r="P102" s="102"/>
      <c r="Q102" s="102"/>
    </row>
    <row r="103" spans="1:17" ht="33" customHeight="1">
      <c r="A103" s="178"/>
      <c r="B103" s="178"/>
      <c r="C103" s="178"/>
      <c r="D103" s="174" t="s">
        <v>57</v>
      </c>
      <c r="E103" s="539"/>
      <c r="F103" s="539"/>
      <c r="G103" s="539"/>
      <c r="H103" s="539"/>
      <c r="I103" s="539"/>
      <c r="J103" s="102"/>
      <c r="K103" s="102"/>
      <c r="L103" s="102"/>
      <c r="M103" s="102"/>
      <c r="N103" s="102"/>
      <c r="O103" s="102"/>
      <c r="P103" s="102"/>
      <c r="Q103" s="102"/>
    </row>
    <row r="104" spans="1:17" ht="16.899999999999999" customHeight="1">
      <c r="A104" s="178"/>
      <c r="B104" s="178"/>
      <c r="C104" s="178"/>
      <c r="D104" s="186" t="s">
        <v>200</v>
      </c>
      <c r="E104" s="539"/>
      <c r="F104" s="539"/>
      <c r="G104" s="539"/>
      <c r="H104" s="539"/>
      <c r="I104" s="539"/>
      <c r="J104" s="102"/>
      <c r="K104" s="102"/>
      <c r="L104" s="102"/>
      <c r="M104" s="102"/>
      <c r="N104" s="102"/>
      <c r="O104" s="102"/>
      <c r="P104" s="102"/>
      <c r="Q104" s="102"/>
    </row>
    <row r="105" spans="1:17" ht="22.15" customHeight="1">
      <c r="A105" s="178"/>
      <c r="B105" s="178"/>
      <c r="C105" s="178"/>
      <c r="D105" s="172" t="s">
        <v>201</v>
      </c>
      <c r="E105" s="539"/>
      <c r="F105" s="539"/>
      <c r="G105" s="539"/>
      <c r="H105" s="539"/>
      <c r="I105" s="539"/>
      <c r="J105" s="102"/>
      <c r="K105" s="102"/>
      <c r="L105" s="102"/>
      <c r="M105" s="102"/>
      <c r="N105" s="102"/>
      <c r="O105" s="102"/>
      <c r="P105" s="102"/>
      <c r="Q105" s="102"/>
    </row>
    <row r="106" spans="1:17" ht="22.15" customHeight="1">
      <c r="A106" s="178"/>
      <c r="B106" s="178"/>
      <c r="C106" s="178"/>
      <c r="D106" s="172" t="s">
        <v>202</v>
      </c>
      <c r="E106" s="539"/>
      <c r="F106" s="539"/>
      <c r="G106" s="539"/>
      <c r="H106" s="539"/>
      <c r="I106" s="539"/>
      <c r="J106" s="102"/>
      <c r="K106" s="102"/>
      <c r="L106" s="102"/>
      <c r="M106" s="102"/>
      <c r="N106" s="102"/>
      <c r="O106" s="102"/>
      <c r="P106" s="102"/>
      <c r="Q106" s="102"/>
    </row>
    <row r="107" spans="1:17" ht="22.15" customHeight="1">
      <c r="A107" s="178"/>
      <c r="B107" s="178"/>
      <c r="C107" s="178"/>
      <c r="D107" s="172" t="s">
        <v>203</v>
      </c>
      <c r="E107" s="539"/>
      <c r="F107" s="539"/>
      <c r="G107" s="539"/>
      <c r="H107" s="539"/>
      <c r="I107" s="539"/>
      <c r="J107" s="102"/>
      <c r="K107" s="102"/>
      <c r="L107" s="102"/>
      <c r="M107" s="102"/>
      <c r="N107" s="102"/>
      <c r="O107" s="102"/>
      <c r="P107" s="102"/>
      <c r="Q107" s="102"/>
    </row>
    <row r="108" spans="1:17" ht="22.15" customHeight="1">
      <c r="A108" s="178"/>
      <c r="B108" s="178"/>
      <c r="C108" s="178"/>
      <c r="D108" s="172" t="s">
        <v>204</v>
      </c>
      <c r="E108" s="539"/>
      <c r="F108" s="539"/>
      <c r="G108" s="539"/>
      <c r="H108" s="539"/>
      <c r="I108" s="539"/>
      <c r="J108" s="102"/>
      <c r="K108" s="102"/>
      <c r="L108" s="102"/>
      <c r="M108" s="102"/>
      <c r="N108" s="102"/>
      <c r="O108" s="102"/>
      <c r="P108" s="102"/>
      <c r="Q108" s="102"/>
    </row>
    <row r="109" spans="1:17" ht="22.15" customHeight="1">
      <c r="A109" s="178"/>
      <c r="B109" s="178"/>
      <c r="C109" s="178"/>
      <c r="D109" s="172" t="s">
        <v>205</v>
      </c>
      <c r="E109" s="539"/>
      <c r="F109" s="539"/>
      <c r="G109" s="539"/>
      <c r="H109" s="539"/>
      <c r="I109" s="539"/>
      <c r="J109" s="102"/>
      <c r="K109" s="102"/>
      <c r="L109" s="102"/>
      <c r="M109" s="102"/>
      <c r="N109" s="102"/>
      <c r="O109" s="102"/>
      <c r="P109" s="102"/>
      <c r="Q109" s="102"/>
    </row>
    <row r="110" spans="1:17" ht="22.15" customHeight="1">
      <c r="A110" s="178"/>
      <c r="B110" s="178"/>
      <c r="C110" s="178"/>
      <c r="D110" s="172" t="s">
        <v>206</v>
      </c>
      <c r="E110" s="539"/>
      <c r="F110" s="539"/>
      <c r="G110" s="539"/>
      <c r="H110" s="539"/>
      <c r="I110" s="539"/>
      <c r="J110" s="102"/>
      <c r="K110" s="102"/>
      <c r="L110" s="102"/>
      <c r="M110" s="102"/>
      <c r="N110" s="102"/>
      <c r="O110" s="102"/>
      <c r="P110" s="102"/>
      <c r="Q110" s="102"/>
    </row>
    <row r="111" spans="1:17" ht="22.15" customHeight="1">
      <c r="A111" s="178"/>
      <c r="B111" s="178"/>
      <c r="C111" s="178"/>
      <c r="D111" s="172" t="s">
        <v>207</v>
      </c>
      <c r="E111" s="539"/>
      <c r="F111" s="539"/>
      <c r="G111" s="539"/>
      <c r="H111" s="539"/>
      <c r="I111" s="539"/>
      <c r="J111" s="102"/>
      <c r="K111" s="102"/>
      <c r="L111" s="102"/>
      <c r="M111" s="102"/>
      <c r="N111" s="102"/>
      <c r="O111" s="102"/>
      <c r="P111" s="102"/>
      <c r="Q111" s="102"/>
    </row>
    <row r="112" spans="1:17" ht="22.15" customHeight="1">
      <c r="A112" s="178"/>
      <c r="B112" s="178"/>
      <c r="C112" s="178"/>
      <c r="D112" s="172" t="s">
        <v>208</v>
      </c>
      <c r="E112" s="539"/>
      <c r="F112" s="539"/>
      <c r="G112" s="539"/>
      <c r="H112" s="539"/>
      <c r="I112" s="539"/>
      <c r="J112" s="102"/>
      <c r="K112" s="102"/>
      <c r="L112" s="102"/>
      <c r="M112" s="102"/>
      <c r="N112" s="102"/>
      <c r="O112" s="102"/>
      <c r="P112" s="102"/>
      <c r="Q112" s="102"/>
    </row>
    <row r="113" spans="1:17" ht="22.15" customHeight="1">
      <c r="A113" s="178"/>
      <c r="B113" s="178"/>
      <c r="C113" s="178"/>
      <c r="D113" s="183" t="s">
        <v>209</v>
      </c>
      <c r="E113" s="539"/>
      <c r="F113" s="539"/>
      <c r="G113" s="539"/>
      <c r="H113" s="539"/>
      <c r="I113" s="539"/>
      <c r="J113" s="102"/>
      <c r="K113" s="102"/>
      <c r="L113" s="102"/>
      <c r="M113" s="102"/>
      <c r="N113" s="102"/>
      <c r="O113" s="102"/>
      <c r="P113" s="102"/>
      <c r="Q113" s="102"/>
    </row>
    <row r="114" spans="1:17" ht="22.15" customHeight="1">
      <c r="A114" s="178"/>
      <c r="B114" s="178"/>
      <c r="C114" s="178"/>
      <c r="D114" s="183" t="s">
        <v>210</v>
      </c>
      <c r="E114" s="539"/>
      <c r="F114" s="539"/>
      <c r="G114" s="539"/>
      <c r="H114" s="539"/>
      <c r="I114" s="539"/>
      <c r="J114" s="102"/>
      <c r="K114" s="102"/>
      <c r="L114" s="102"/>
      <c r="M114" s="102"/>
      <c r="N114" s="102"/>
      <c r="O114" s="102"/>
      <c r="P114" s="102"/>
      <c r="Q114" s="102"/>
    </row>
    <row r="115" spans="1:17" ht="33" customHeight="1">
      <c r="A115" s="178"/>
      <c r="B115" s="178"/>
      <c r="C115" s="178"/>
      <c r="D115" s="182" t="s">
        <v>211</v>
      </c>
      <c r="E115" s="539"/>
      <c r="F115" s="539"/>
      <c r="G115" s="539"/>
      <c r="H115" s="539"/>
      <c r="I115" s="539"/>
      <c r="J115" s="102"/>
      <c r="K115" s="102"/>
      <c r="L115" s="102"/>
      <c r="M115" s="102"/>
      <c r="N115" s="102"/>
      <c r="O115" s="102"/>
      <c r="P115" s="102"/>
      <c r="Q115" s="102"/>
    </row>
    <row r="116" spans="1:17" ht="22.15" customHeight="1">
      <c r="A116" s="178"/>
      <c r="B116" s="178"/>
      <c r="C116" s="178"/>
      <c r="D116" s="184" t="s">
        <v>212</v>
      </c>
      <c r="E116" s="539"/>
      <c r="F116" s="539"/>
      <c r="G116" s="539"/>
      <c r="H116" s="539"/>
      <c r="I116" s="539"/>
      <c r="J116" s="102"/>
      <c r="K116" s="102"/>
      <c r="L116" s="102"/>
      <c r="M116" s="102"/>
      <c r="N116" s="102"/>
      <c r="O116" s="102"/>
      <c r="P116" s="102"/>
      <c r="Q116" s="102"/>
    </row>
    <row r="117" spans="1:17" ht="22.15" customHeight="1">
      <c r="A117" s="178"/>
      <c r="B117" s="178"/>
      <c r="C117" s="178"/>
      <c r="D117" s="172" t="s">
        <v>213</v>
      </c>
      <c r="E117" s="539"/>
      <c r="F117" s="539"/>
      <c r="G117" s="539"/>
      <c r="H117" s="539"/>
      <c r="I117" s="539"/>
      <c r="J117" s="102"/>
      <c r="K117" s="102"/>
      <c r="L117" s="102"/>
      <c r="M117" s="102"/>
      <c r="N117" s="102"/>
      <c r="O117" s="102"/>
      <c r="P117" s="102"/>
      <c r="Q117" s="102"/>
    </row>
    <row r="118" spans="1:17" ht="22.15" customHeight="1">
      <c r="A118" s="178"/>
      <c r="B118" s="178"/>
      <c r="C118" s="178"/>
      <c r="D118" s="185" t="s">
        <v>214</v>
      </c>
      <c r="E118" s="178"/>
      <c r="F118" s="178"/>
      <c r="G118" s="539"/>
      <c r="H118" s="539"/>
      <c r="I118" s="539"/>
      <c r="J118" s="102"/>
      <c r="K118" s="102"/>
      <c r="L118" s="102"/>
      <c r="M118" s="102"/>
      <c r="N118" s="102"/>
      <c r="O118" s="102"/>
      <c r="P118" s="102"/>
      <c r="Q118" s="102"/>
    </row>
    <row r="119" spans="1:17" ht="22.15" customHeight="1">
      <c r="A119" s="178"/>
      <c r="B119" s="178"/>
      <c r="C119" s="178"/>
      <c r="D119" s="185" t="s">
        <v>215</v>
      </c>
      <c r="E119" s="178"/>
      <c r="F119" s="178"/>
      <c r="G119" s="539"/>
      <c r="H119" s="539"/>
      <c r="I119" s="539"/>
      <c r="J119" s="102"/>
      <c r="K119" s="102"/>
      <c r="L119" s="102"/>
      <c r="M119" s="102"/>
      <c r="N119" s="102"/>
      <c r="O119" s="102"/>
      <c r="P119" s="102"/>
      <c r="Q119" s="102"/>
    </row>
    <row r="120" spans="1:17" ht="22.15" customHeight="1">
      <c r="A120" s="178"/>
      <c r="B120" s="178"/>
      <c r="C120" s="178"/>
      <c r="D120" s="185" t="s">
        <v>216</v>
      </c>
      <c r="E120" s="539"/>
      <c r="F120" s="539"/>
      <c r="G120" s="539"/>
      <c r="H120" s="539"/>
      <c r="I120" s="539"/>
      <c r="J120" s="102"/>
      <c r="K120" s="102"/>
      <c r="L120" s="102"/>
      <c r="M120" s="102"/>
      <c r="N120" s="102"/>
      <c r="O120" s="102"/>
      <c r="P120" s="102"/>
      <c r="Q120" s="102"/>
    </row>
    <row r="121" spans="1:17" ht="16.899999999999999" customHeight="1">
      <c r="A121" s="178"/>
      <c r="B121" s="178"/>
      <c r="C121" s="178"/>
      <c r="D121" s="185"/>
      <c r="E121" s="539"/>
      <c r="F121" s="539"/>
      <c r="G121" s="539"/>
      <c r="H121" s="539"/>
      <c r="I121" s="539"/>
      <c r="J121" s="102"/>
      <c r="K121" s="102"/>
      <c r="L121" s="102"/>
      <c r="M121" s="102"/>
      <c r="N121" s="102"/>
      <c r="O121" s="102"/>
      <c r="P121" s="102"/>
      <c r="Q121" s="102"/>
    </row>
    <row r="122" spans="1:17" ht="28.15" customHeight="1">
      <c r="A122" s="178"/>
      <c r="B122" s="178"/>
      <c r="C122" s="178"/>
      <c r="D122" s="174" t="s">
        <v>58</v>
      </c>
      <c r="E122" s="539"/>
      <c r="F122" s="539"/>
      <c r="G122" s="539"/>
      <c r="H122" s="539"/>
      <c r="I122" s="539"/>
      <c r="J122" s="102"/>
      <c r="K122" s="102"/>
      <c r="L122" s="102"/>
      <c r="M122" s="102"/>
      <c r="N122" s="102"/>
      <c r="O122" s="102"/>
      <c r="P122" s="102"/>
      <c r="Q122" s="102"/>
    </row>
    <row r="123" spans="1:17" ht="22.15" customHeight="1">
      <c r="A123" s="178"/>
      <c r="B123" s="178"/>
      <c r="C123" s="178"/>
      <c r="D123" s="181" t="s">
        <v>217</v>
      </c>
      <c r="E123" s="178"/>
      <c r="F123" s="178"/>
      <c r="G123" s="178"/>
      <c r="H123" s="178"/>
      <c r="I123" s="7"/>
      <c r="J123" s="176"/>
      <c r="K123" s="102"/>
      <c r="L123" s="102"/>
      <c r="M123" s="102"/>
      <c r="N123" s="102"/>
      <c r="O123" s="102"/>
      <c r="P123" s="102"/>
      <c r="Q123" s="102"/>
    </row>
    <row r="124" spans="1:17" ht="22.15" customHeight="1">
      <c r="A124" s="178"/>
      <c r="B124" s="178"/>
      <c r="C124" s="178"/>
      <c r="D124" s="181" t="s">
        <v>218</v>
      </c>
      <c r="E124" s="178"/>
      <c r="F124" s="178"/>
      <c r="G124" s="178"/>
      <c r="H124" s="178"/>
      <c r="I124" s="7"/>
      <c r="J124" s="176"/>
      <c r="K124" s="102"/>
      <c r="L124" s="102"/>
      <c r="M124" s="102"/>
      <c r="N124" s="102"/>
      <c r="O124" s="102"/>
      <c r="P124" s="102"/>
      <c r="Q124" s="102"/>
    </row>
    <row r="125" spans="1:17" ht="22.15" customHeight="1">
      <c r="A125" s="178"/>
      <c r="B125" s="178"/>
      <c r="C125" s="178"/>
      <c r="D125" s="181" t="s">
        <v>219</v>
      </c>
      <c r="E125" s="178"/>
      <c r="F125" s="178"/>
      <c r="G125" s="178"/>
      <c r="H125" s="178"/>
      <c r="I125" s="7"/>
      <c r="J125" s="176"/>
      <c r="K125" s="102"/>
      <c r="L125" s="102"/>
      <c r="M125" s="102"/>
      <c r="N125" s="102"/>
      <c r="O125" s="102"/>
      <c r="P125" s="102"/>
      <c r="Q125" s="102"/>
    </row>
    <row r="126" spans="1:17" ht="22.15" customHeight="1">
      <c r="A126" s="178"/>
      <c r="B126" s="178"/>
      <c r="C126" s="178"/>
      <c r="D126" s="181" t="s">
        <v>220</v>
      </c>
      <c r="E126" s="178"/>
      <c r="F126" s="178"/>
      <c r="G126" s="178"/>
      <c r="H126" s="178"/>
      <c r="I126" s="7"/>
      <c r="J126" s="176"/>
      <c r="K126" s="102"/>
      <c r="L126" s="102"/>
      <c r="M126" s="102"/>
      <c r="N126" s="102"/>
      <c r="O126" s="102"/>
      <c r="P126" s="102"/>
      <c r="Q126" s="102"/>
    </row>
    <row r="127" spans="1:17" ht="76.900000000000006" customHeight="1">
      <c r="A127" s="178"/>
      <c r="B127" s="178"/>
      <c r="C127" s="178"/>
      <c r="D127" s="587" t="s">
        <v>82</v>
      </c>
      <c r="E127" s="587"/>
      <c r="F127" s="587"/>
      <c r="G127" s="587"/>
      <c r="H127" s="178"/>
      <c r="I127" s="7"/>
      <c r="J127" s="176"/>
      <c r="K127" s="102"/>
      <c r="L127" s="102"/>
      <c r="M127" s="102"/>
      <c r="N127" s="102"/>
      <c r="O127" s="102"/>
      <c r="P127" s="102"/>
      <c r="Q127" s="102"/>
    </row>
    <row r="128" spans="1:17" ht="99" customHeight="1">
      <c r="A128" s="579" t="s">
        <v>83</v>
      </c>
      <c r="B128" s="579"/>
      <c r="C128" s="579"/>
      <c r="D128" s="579"/>
      <c r="E128" s="579"/>
      <c r="F128" s="579"/>
      <c r="G128" s="579"/>
      <c r="H128" s="579"/>
      <c r="L128" s="102"/>
      <c r="M128" s="102"/>
      <c r="N128" s="102"/>
      <c r="O128" s="102"/>
      <c r="P128" s="102"/>
      <c r="Q128" s="102"/>
    </row>
    <row r="129" spans="1:17" ht="37.9" customHeight="1">
      <c r="A129" s="578" t="s">
        <v>84</v>
      </c>
      <c r="B129" s="578"/>
      <c r="C129" s="578"/>
      <c r="D129" s="578"/>
      <c r="E129" s="578"/>
      <c r="F129" s="578"/>
      <c r="G129" s="576">
        <f>H177</f>
        <v>55362.26706666666</v>
      </c>
      <c r="H129" s="576"/>
      <c r="I129" s="325"/>
      <c r="L129" s="102"/>
      <c r="M129" s="102"/>
      <c r="N129" s="102"/>
      <c r="O129" s="102"/>
      <c r="P129" s="102"/>
      <c r="Q129" s="102"/>
    </row>
    <row r="130" spans="1:17" ht="37.9" customHeight="1">
      <c r="A130" s="585">
        <v>1</v>
      </c>
      <c r="B130" s="531" t="s">
        <v>221</v>
      </c>
      <c r="C130" s="531"/>
      <c r="D130" s="531"/>
      <c r="E130" s="577">
        <v>0.08</v>
      </c>
      <c r="F130" s="577"/>
      <c r="G130" s="588">
        <f>G129*E130</f>
        <v>4428.9813653333331</v>
      </c>
      <c r="H130" s="588"/>
      <c r="I130" s="325"/>
      <c r="L130" s="102"/>
      <c r="M130" s="102"/>
      <c r="N130" s="102"/>
      <c r="O130" s="102"/>
      <c r="P130" s="102"/>
      <c r="Q130" s="102"/>
    </row>
    <row r="131" spans="1:17" ht="54" customHeight="1">
      <c r="A131" s="585"/>
      <c r="B131" s="531" t="s">
        <v>222</v>
      </c>
      <c r="C131" s="531"/>
      <c r="D131" s="531"/>
      <c r="E131" s="531"/>
      <c r="F131" s="531"/>
      <c r="G131" s="581">
        <f>G130+G129</f>
        <v>59791.248431999993</v>
      </c>
      <c r="H131" s="582"/>
      <c r="I131" s="325"/>
      <c r="L131" s="102"/>
      <c r="M131" s="102"/>
      <c r="N131" s="102"/>
      <c r="O131" s="102"/>
      <c r="P131" s="102"/>
      <c r="Q131" s="102"/>
    </row>
    <row r="132" spans="1:17" ht="88.15" customHeight="1">
      <c r="A132" s="585"/>
      <c r="B132" s="406" t="s">
        <v>223</v>
      </c>
      <c r="E132" s="538">
        <v>0.1</v>
      </c>
      <c r="F132" s="538"/>
      <c r="G132" s="583">
        <f>G131*E132</f>
        <v>5979.1248431999993</v>
      </c>
      <c r="H132" s="583"/>
      <c r="I132" s="325"/>
      <c r="L132" s="102"/>
      <c r="M132" s="102"/>
      <c r="N132" s="102"/>
      <c r="O132" s="102"/>
      <c r="P132" s="102"/>
      <c r="Q132" s="102"/>
    </row>
    <row r="133" spans="1:17" ht="66" customHeight="1">
      <c r="A133" s="585"/>
      <c r="B133" s="324" t="s">
        <v>224</v>
      </c>
      <c r="E133" s="580">
        <v>0.1</v>
      </c>
      <c r="F133" s="580"/>
      <c r="G133" s="584">
        <f>G131*E133</f>
        <v>5979.1248431999993</v>
      </c>
      <c r="H133" s="584"/>
      <c r="I133" s="325"/>
      <c r="L133" s="102"/>
      <c r="M133" s="102"/>
      <c r="N133" s="102"/>
      <c r="O133" s="102"/>
      <c r="P133" s="102"/>
      <c r="Q133" s="102"/>
    </row>
    <row r="134" spans="1:17" ht="43.9" customHeight="1">
      <c r="A134" s="585"/>
      <c r="B134" s="525" t="s">
        <v>87</v>
      </c>
      <c r="C134" s="525"/>
      <c r="D134" s="525"/>
      <c r="E134" s="525"/>
      <c r="F134" s="525"/>
      <c r="G134" s="583">
        <f>SUM(G131:H132)</f>
        <v>65770.373275199992</v>
      </c>
      <c r="H134" s="583"/>
      <c r="I134" s="325"/>
      <c r="L134" s="102"/>
      <c r="M134" s="102"/>
      <c r="N134" s="102"/>
      <c r="O134" s="102"/>
      <c r="P134" s="102"/>
      <c r="Q134" s="102"/>
    </row>
    <row r="135" spans="1:17" ht="111" customHeight="1">
      <c r="A135" s="585"/>
      <c r="B135" s="585"/>
      <c r="C135" s="585"/>
      <c r="D135" s="585"/>
      <c r="E135" s="585"/>
      <c r="F135" s="585"/>
      <c r="G135" s="585"/>
      <c r="H135" s="585"/>
      <c r="I135" s="325"/>
      <c r="L135" s="102"/>
      <c r="M135" s="102"/>
      <c r="N135" s="102"/>
      <c r="O135" s="102"/>
      <c r="P135" s="102"/>
      <c r="Q135" s="102"/>
    </row>
    <row r="136" spans="1:17" ht="22.15" customHeight="1">
      <c r="A136" s="585"/>
      <c r="B136" s="323" t="str">
        <f>'jobinfo(2)'!B112</f>
        <v>Co. REP. / PH</v>
      </c>
      <c r="D136" s="323" t="str">
        <f>'jobinfo(2)'!C112</f>
        <v>Joe Jones, PM  216.450.7228</v>
      </c>
      <c r="E136" s="586"/>
      <c r="F136" s="586"/>
      <c r="G136" s="586"/>
      <c r="H136" s="586"/>
      <c r="J136" s="74"/>
      <c r="K136" s="74"/>
      <c r="L136" s="102"/>
      <c r="M136" s="102"/>
      <c r="N136" s="102"/>
      <c r="O136" s="102"/>
      <c r="P136" s="102"/>
      <c r="Q136" s="102"/>
    </row>
    <row r="137" spans="1:17" ht="37.9" customHeight="1">
      <c r="A137" s="585"/>
      <c r="B137" s="323" t="str">
        <f>'jobinfo(2)'!B113</f>
        <v>CO.REP.
email</v>
      </c>
      <c r="D137" s="323" t="str">
        <f>'jobinfo(2)'!C113</f>
        <v>wsbjoe9@gmail.com</v>
      </c>
      <c r="E137" s="586"/>
      <c r="F137" s="586"/>
      <c r="G137" s="586"/>
      <c r="H137" s="586"/>
      <c r="J137" s="74"/>
      <c r="K137" s="74"/>
      <c r="L137" s="102"/>
      <c r="M137" s="102"/>
      <c r="N137" s="102"/>
      <c r="O137" s="102"/>
      <c r="P137" s="102"/>
      <c r="Q137" s="102"/>
    </row>
    <row r="138" spans="1:17" ht="66" customHeight="1">
      <c r="A138" s="585"/>
      <c r="B138" s="323" t="str">
        <f>'jobinfo(2)'!B114</f>
        <v>Co PH # 2</v>
      </c>
      <c r="D138" s="323" t="str">
        <f>'jobinfo(2)'!C114</f>
        <v>404-446-9060</v>
      </c>
      <c r="E138" s="586"/>
      <c r="F138" s="586"/>
      <c r="G138" s="586"/>
      <c r="H138" s="586"/>
      <c r="I138" s="7"/>
      <c r="J138" s="176"/>
      <c r="K138" s="102"/>
      <c r="L138" s="102"/>
      <c r="M138" s="102"/>
      <c r="N138" s="102"/>
      <c r="O138" s="102"/>
      <c r="P138" s="102"/>
      <c r="Q138" s="102"/>
    </row>
    <row r="139" spans="1:17" ht="33" customHeight="1">
      <c r="A139" s="585"/>
      <c r="B139" s="323" t="str">
        <f>'jobinfo(2)'!B115</f>
        <v>CO.REP. email 2</v>
      </c>
      <c r="D139" s="323" t="str">
        <f>'jobinfo(2)'!C115</f>
        <v>info@myapcllc.com</v>
      </c>
      <c r="E139" s="586"/>
      <c r="F139" s="586"/>
      <c r="G139" s="586"/>
      <c r="H139" s="586"/>
      <c r="I139" s="7"/>
      <c r="J139" s="176"/>
      <c r="K139" s="102"/>
      <c r="L139" s="102"/>
      <c r="M139" s="102"/>
      <c r="N139" s="102"/>
      <c r="O139" s="102"/>
      <c r="P139" s="102"/>
      <c r="Q139" s="102"/>
    </row>
    <row r="140" spans="1:17" ht="43.9" customHeight="1">
      <c r="A140" s="585"/>
      <c r="B140" s="585"/>
      <c r="C140" s="585"/>
      <c r="D140" s="594" t="str">
        <f>'jobinfo(2)'!$C$51</f>
        <v>OH24H WILLIAMS</v>
      </c>
      <c r="E140" s="594"/>
      <c r="F140" s="594"/>
      <c r="G140" s="594"/>
      <c r="H140" s="594"/>
      <c r="I140" s="7"/>
      <c r="J140" s="176"/>
      <c r="K140" s="102"/>
      <c r="L140" s="102"/>
      <c r="M140" s="102"/>
      <c r="N140" s="102"/>
      <c r="O140" s="102"/>
      <c r="P140" s="102"/>
      <c r="Q140" s="102"/>
    </row>
    <row r="141" spans="1:17" ht="43.9" customHeight="1">
      <c r="A141" s="579" t="s">
        <v>225</v>
      </c>
      <c r="B141" s="579"/>
      <c r="C141" s="579"/>
      <c r="D141" s="579"/>
      <c r="E141" s="579"/>
      <c r="F141" s="579"/>
      <c r="G141" s="579"/>
      <c r="H141" s="579"/>
      <c r="J141" s="84"/>
      <c r="K141" s="102"/>
      <c r="L141" s="102"/>
      <c r="M141" s="102"/>
      <c r="N141" s="102"/>
      <c r="O141" s="102"/>
      <c r="P141" s="102"/>
      <c r="Q141" s="102"/>
    </row>
    <row r="142" spans="1:17" ht="33" customHeight="1" thickBot="1">
      <c r="A142" s="317"/>
      <c r="B142" s="531" t="s">
        <v>92</v>
      </c>
      <c r="C142" s="531"/>
      <c r="D142" s="531"/>
      <c r="E142" s="531"/>
      <c r="F142" s="531"/>
      <c r="G142" s="2"/>
      <c r="H142" s="327"/>
      <c r="J142" s="84"/>
      <c r="K142" s="102"/>
      <c r="L142" s="102"/>
      <c r="M142" s="102"/>
      <c r="N142" s="102"/>
      <c r="O142" s="102"/>
      <c r="P142" s="102"/>
      <c r="Q142" s="102"/>
    </row>
    <row r="143" spans="1:17" ht="33" customHeight="1">
      <c r="A143" s="328"/>
      <c r="B143" s="602" t="str">
        <f>D232</f>
        <v>SMALL BOX</v>
      </c>
      <c r="C143" s="602"/>
      <c r="D143" s="602"/>
      <c r="E143" s="602"/>
      <c r="F143" s="602"/>
      <c r="G143" s="595">
        <f>H258</f>
        <v>10372.321500000002</v>
      </c>
      <c r="H143" s="595"/>
      <c r="J143" s="84"/>
      <c r="K143" s="102">
        <v>222</v>
      </c>
      <c r="L143" s="102">
        <v>248</v>
      </c>
      <c r="M143" s="102"/>
      <c r="N143" s="102"/>
      <c r="O143" s="102"/>
      <c r="P143" s="102"/>
      <c r="Q143" s="102"/>
    </row>
    <row r="144" spans="1:17" ht="33" customHeight="1">
      <c r="A144" s="328"/>
      <c r="B144" s="602" t="str">
        <f>D259</f>
        <v xml:space="preserve">MEDIUM BOX </v>
      </c>
      <c r="C144" s="602"/>
      <c r="D144" s="602"/>
      <c r="E144" s="602"/>
      <c r="F144" s="602"/>
      <c r="G144" s="595">
        <f>H285</f>
        <v>30404.508333333339</v>
      </c>
      <c r="H144" s="595"/>
      <c r="J144" s="84"/>
      <c r="K144" s="102">
        <v>249</v>
      </c>
      <c r="L144" s="102">
        <f>L143+$M$144</f>
        <v>275</v>
      </c>
      <c r="M144" s="102">
        <f>K144-K143</f>
        <v>27</v>
      </c>
      <c r="N144" s="102"/>
      <c r="O144" s="102"/>
      <c r="P144" s="102"/>
      <c r="Q144" s="102"/>
    </row>
    <row r="145" spans="1:17" ht="33" customHeight="1">
      <c r="A145" s="328"/>
      <c r="B145" s="602" t="str">
        <f>D286</f>
        <v>LARGE BOX</v>
      </c>
      <c r="C145" s="602"/>
      <c r="D145" s="602"/>
      <c r="E145" s="602"/>
      <c r="F145" s="602"/>
      <c r="G145" s="595">
        <f>H312</f>
        <v>1819.5614999999998</v>
      </c>
      <c r="H145" s="595"/>
      <c r="J145" s="84"/>
      <c r="K145" s="102">
        <f>K144+$M$144</f>
        <v>276</v>
      </c>
      <c r="L145" s="102">
        <f>L144+$M$144</f>
        <v>302</v>
      </c>
      <c r="M145" s="102"/>
      <c r="N145" s="102"/>
      <c r="O145" s="102"/>
      <c r="P145" s="102"/>
      <c r="Q145" s="102"/>
    </row>
    <row r="146" spans="1:17" ht="33" customHeight="1">
      <c r="A146" s="328"/>
      <c r="B146" s="602" t="str">
        <f>D313</f>
        <v>XL TOTAL BOX</v>
      </c>
      <c r="C146" s="602"/>
      <c r="D146" s="602"/>
      <c r="E146" s="602"/>
      <c r="F146" s="602"/>
      <c r="G146" s="595">
        <f>329</f>
        <v>329</v>
      </c>
      <c r="H146" s="595"/>
      <c r="J146" s="84"/>
      <c r="K146" s="102">
        <f>K145+$M$144</f>
        <v>303</v>
      </c>
      <c r="L146" s="102">
        <f t="shared" ref="L146:L156" si="0">L145+$M$144</f>
        <v>329</v>
      </c>
      <c r="M146" s="102"/>
      <c r="N146" s="102"/>
      <c r="O146" s="102"/>
      <c r="P146" s="102"/>
      <c r="Q146" s="102"/>
    </row>
    <row r="147" spans="1:17" ht="33" customHeight="1">
      <c r="A147" s="328"/>
      <c r="B147" s="602" t="str">
        <f>D342</f>
        <v>MIRROR / PICTURE BOX</v>
      </c>
      <c r="C147" s="602"/>
      <c r="D147" s="602"/>
      <c r="E147" s="602"/>
      <c r="F147" s="602"/>
      <c r="G147" s="595">
        <f>H368</f>
        <v>2077.1116666666662</v>
      </c>
      <c r="H147" s="595"/>
      <c r="J147" s="84"/>
      <c r="K147" s="102">
        <f>K146+$M$144</f>
        <v>330</v>
      </c>
      <c r="L147" s="102">
        <f t="shared" si="0"/>
        <v>356</v>
      </c>
      <c r="M147" s="102"/>
      <c r="N147" s="102"/>
      <c r="O147" s="102"/>
      <c r="P147" s="102"/>
      <c r="Q147" s="102"/>
    </row>
    <row r="148" spans="1:17" ht="33" customHeight="1">
      <c r="A148" s="328"/>
      <c r="B148" s="602" t="str">
        <f>D369</f>
        <v>Lamp / PLANT / VASE BOX</v>
      </c>
      <c r="C148" s="602"/>
      <c r="D148" s="602"/>
      <c r="E148" s="602"/>
      <c r="F148" s="602"/>
      <c r="G148" s="595">
        <f>H395</f>
        <v>299.19666666666666</v>
      </c>
      <c r="H148" s="595"/>
      <c r="J148" s="84"/>
      <c r="K148" s="102">
        <v>359</v>
      </c>
      <c r="L148" s="102">
        <f t="shared" si="0"/>
        <v>383</v>
      </c>
      <c r="M148" s="102"/>
      <c r="N148" s="102"/>
      <c r="O148" s="102"/>
      <c r="P148" s="102"/>
      <c r="Q148" s="102"/>
    </row>
    <row r="149" spans="1:17" ht="33" customHeight="1">
      <c r="A149" s="328"/>
      <c r="B149" s="602" t="str">
        <f>D396</f>
        <v>TV BOX</v>
      </c>
      <c r="C149" s="602"/>
      <c r="D149" s="602"/>
      <c r="E149" s="602"/>
      <c r="F149" s="602"/>
      <c r="G149" s="595">
        <f>H422</f>
        <v>206.08833333333331</v>
      </c>
      <c r="H149" s="595"/>
      <c r="J149" s="84"/>
      <c r="K149" s="102">
        <f t="shared" ref="K149:K155" si="1">K148+$M$144</f>
        <v>386</v>
      </c>
      <c r="L149" s="102">
        <v>412</v>
      </c>
      <c r="M149" s="102"/>
      <c r="N149" s="102"/>
      <c r="O149" s="102"/>
      <c r="P149" s="102"/>
      <c r="Q149" s="102"/>
    </row>
    <row r="150" spans="1:17" ht="33" customHeight="1">
      <c r="A150" s="328"/>
      <c r="B150" s="602" t="str">
        <f>D423</f>
        <v>WARDROBE BOX COUNT</v>
      </c>
      <c r="C150" s="602"/>
      <c r="D150" s="602"/>
      <c r="E150" s="602"/>
      <c r="F150" s="602"/>
      <c r="G150" s="595">
        <f>H449</f>
        <v>0</v>
      </c>
      <c r="H150" s="595"/>
      <c r="J150" s="84"/>
      <c r="K150" s="102">
        <f t="shared" si="1"/>
        <v>413</v>
      </c>
      <c r="L150" s="102">
        <f t="shared" si="0"/>
        <v>439</v>
      </c>
      <c r="M150" s="102"/>
      <c r="N150" s="102"/>
      <c r="O150" s="102"/>
      <c r="P150" s="102"/>
      <c r="Q150" s="102"/>
    </row>
    <row r="151" spans="1:17" ht="33" customHeight="1">
      <c r="A151" s="328"/>
      <c r="B151" s="602" t="str">
        <f>D450</f>
        <v>MATTRESS BOX COUNT</v>
      </c>
      <c r="C151" s="602"/>
      <c r="D151" s="602"/>
      <c r="E151" s="602"/>
      <c r="F151" s="602"/>
      <c r="G151" s="595">
        <f>H476</f>
        <v>524.69240000000002</v>
      </c>
      <c r="H151" s="595"/>
      <c r="J151" s="84"/>
      <c r="K151" s="102">
        <f t="shared" si="1"/>
        <v>440</v>
      </c>
      <c r="L151" s="102">
        <f t="shared" si="0"/>
        <v>466</v>
      </c>
      <c r="M151" s="102"/>
      <c r="N151" s="102"/>
      <c r="O151" s="102"/>
      <c r="P151" s="102"/>
      <c r="Q151" s="102"/>
    </row>
    <row r="152" spans="1:17" ht="33" customHeight="1">
      <c r="A152" s="328"/>
      <c r="B152" s="602" t="str">
        <f>D477</f>
        <v>DISH PACK BOX</v>
      </c>
      <c r="C152" s="602"/>
      <c r="D152" s="602"/>
      <c r="E152" s="602"/>
      <c r="F152" s="602"/>
      <c r="G152" s="595">
        <f>H503</f>
        <v>685.83333333333337</v>
      </c>
      <c r="H152" s="595"/>
      <c r="J152" s="84"/>
      <c r="K152" s="102">
        <f t="shared" si="1"/>
        <v>467</v>
      </c>
      <c r="L152" s="102">
        <f t="shared" si="0"/>
        <v>493</v>
      </c>
      <c r="M152" s="102"/>
      <c r="N152" s="102"/>
      <c r="O152" s="102"/>
      <c r="P152" s="102"/>
      <c r="Q152" s="102"/>
    </row>
    <row r="153" spans="1:17" ht="33" customHeight="1">
      <c r="A153" s="328"/>
      <c r="B153" s="602" t="str">
        <f>D504</f>
        <v>GLASSPACK BOX COUNT</v>
      </c>
      <c r="C153" s="602"/>
      <c r="D153" s="602"/>
      <c r="E153" s="602"/>
      <c r="F153" s="602"/>
      <c r="G153" s="595">
        <f>H530</f>
        <v>370.31500000000005</v>
      </c>
      <c r="H153" s="595"/>
      <c r="J153" s="84"/>
      <c r="K153" s="102">
        <f t="shared" si="1"/>
        <v>494</v>
      </c>
      <c r="L153" s="102">
        <f t="shared" si="0"/>
        <v>520</v>
      </c>
      <c r="M153" s="102"/>
      <c r="N153" s="102"/>
      <c r="O153" s="102"/>
      <c r="P153" s="102"/>
      <c r="Q153" s="102"/>
    </row>
    <row r="154" spans="1:17" ht="33" customHeight="1">
      <c r="A154" s="328"/>
      <c r="B154" s="602" t="str">
        <f>D531</f>
        <v>POTS &amp; PANS BOX</v>
      </c>
      <c r="C154" s="602"/>
      <c r="D154" s="602"/>
      <c r="E154" s="602"/>
      <c r="F154" s="602"/>
      <c r="G154" s="595">
        <f>H557</f>
        <v>416.21500000000003</v>
      </c>
      <c r="H154" s="595"/>
      <c r="J154" s="84"/>
      <c r="K154" s="102">
        <f t="shared" si="1"/>
        <v>521</v>
      </c>
      <c r="L154" s="102">
        <f t="shared" si="0"/>
        <v>547</v>
      </c>
      <c r="M154" s="102"/>
      <c r="N154" s="102"/>
      <c r="O154" s="102"/>
      <c r="P154" s="102"/>
      <c r="Q154" s="102"/>
    </row>
    <row r="155" spans="1:17" ht="33" customHeight="1">
      <c r="A155" s="317"/>
      <c r="B155" s="602"/>
      <c r="C155" s="602"/>
      <c r="D155" s="602"/>
      <c r="E155" s="602"/>
      <c r="F155" s="602"/>
      <c r="G155" s="595">
        <f>H584</f>
        <v>0</v>
      </c>
      <c r="H155" s="595"/>
      <c r="J155" s="84"/>
      <c r="K155" s="102">
        <f t="shared" si="1"/>
        <v>548</v>
      </c>
      <c r="L155" s="102">
        <f t="shared" si="0"/>
        <v>574</v>
      </c>
      <c r="M155" s="102"/>
      <c r="N155" s="102"/>
      <c r="O155" s="102"/>
      <c r="P155" s="102"/>
      <c r="Q155" s="102"/>
    </row>
    <row r="156" spans="1:17" ht="33" customHeight="1">
      <c r="A156" s="317"/>
      <c r="B156" s="602" t="s">
        <v>107</v>
      </c>
      <c r="C156" s="602"/>
      <c r="D156" s="602"/>
      <c r="E156" s="602"/>
      <c r="F156" s="602"/>
      <c r="G156" s="595">
        <f>H611</f>
        <v>0</v>
      </c>
      <c r="H156" s="595"/>
      <c r="J156" s="84"/>
      <c r="K156" s="102"/>
      <c r="L156" s="102">
        <f t="shared" si="0"/>
        <v>601</v>
      </c>
      <c r="M156" s="102"/>
      <c r="N156" s="102"/>
      <c r="O156" s="102"/>
      <c r="P156" s="102"/>
      <c r="Q156" s="102"/>
    </row>
    <row r="157" spans="1:17" ht="33" customHeight="1">
      <c r="A157" s="317"/>
      <c r="B157" s="590"/>
      <c r="C157" s="590"/>
      <c r="D157" s="590"/>
      <c r="E157" s="590"/>
      <c r="F157" s="590"/>
      <c r="G157" s="329"/>
      <c r="H157" s="329"/>
      <c r="J157" s="84"/>
      <c r="K157" s="102"/>
      <c r="L157" s="102"/>
      <c r="M157" s="102"/>
      <c r="N157" s="102"/>
      <c r="O157" s="102"/>
      <c r="P157" s="102"/>
      <c r="Q157" s="102"/>
    </row>
    <row r="158" spans="1:17" ht="33" customHeight="1">
      <c r="A158" s="317"/>
      <c r="B158" s="590"/>
      <c r="C158" s="590"/>
      <c r="D158" s="590"/>
      <c r="E158" s="590"/>
      <c r="F158" s="590"/>
      <c r="G158" s="329"/>
      <c r="H158" s="329"/>
      <c r="J158" s="84"/>
      <c r="K158" s="102"/>
      <c r="L158" s="102"/>
      <c r="M158" s="102"/>
      <c r="N158" s="102"/>
      <c r="O158" s="102"/>
      <c r="P158" s="102"/>
      <c r="Q158" s="102"/>
    </row>
    <row r="159" spans="1:17" ht="33" customHeight="1">
      <c r="A159" s="317"/>
      <c r="B159" s="591"/>
      <c r="C159" s="591"/>
      <c r="D159" s="591"/>
      <c r="E159" s="591"/>
      <c r="F159" s="591"/>
      <c r="G159" s="603">
        <v>0.01</v>
      </c>
      <c r="H159" s="603"/>
      <c r="J159" s="84"/>
      <c r="K159" s="102"/>
      <c r="L159" s="102">
        <f>L156+$M$144</f>
        <v>628</v>
      </c>
      <c r="M159" s="102"/>
      <c r="N159" s="102"/>
      <c r="O159" s="102"/>
      <c r="P159" s="102"/>
      <c r="Q159" s="102"/>
    </row>
    <row r="160" spans="1:17" ht="33" customHeight="1">
      <c r="A160" s="317"/>
      <c r="B160" s="2"/>
      <c r="C160" s="2"/>
      <c r="D160" s="330"/>
      <c r="E160" s="326"/>
      <c r="F160" s="2"/>
      <c r="G160" s="331"/>
      <c r="H160" s="331"/>
      <c r="J160" s="84"/>
      <c r="K160" s="102"/>
      <c r="L160" s="102"/>
      <c r="M160" s="102"/>
      <c r="N160" s="102"/>
      <c r="O160" s="102"/>
      <c r="P160" s="102"/>
      <c r="Q160" s="102"/>
    </row>
    <row r="161" spans="1:17" ht="3" customHeight="1">
      <c r="A161" s="317"/>
      <c r="B161" s="2"/>
      <c r="C161" s="2"/>
      <c r="D161" s="330"/>
      <c r="E161" s="326"/>
      <c r="F161" s="2"/>
      <c r="G161" s="331"/>
      <c r="H161" s="331"/>
      <c r="J161" s="84"/>
      <c r="K161" s="102"/>
      <c r="L161" s="102"/>
      <c r="M161" s="102"/>
      <c r="N161" s="102"/>
      <c r="O161" s="102"/>
      <c r="P161" s="102"/>
      <c r="Q161" s="102"/>
    </row>
    <row r="162" spans="1:17" ht="33" customHeight="1">
      <c r="A162" s="317"/>
      <c r="B162" s="2"/>
      <c r="C162" s="2"/>
      <c r="D162" s="330"/>
      <c r="E162" s="326"/>
      <c r="F162" s="2"/>
      <c r="G162" s="331"/>
      <c r="H162" s="331"/>
      <c r="J162" s="84"/>
      <c r="K162" s="102"/>
      <c r="L162" s="102"/>
      <c r="M162" s="102"/>
      <c r="N162" s="102"/>
      <c r="O162" s="102"/>
      <c r="P162" s="102"/>
      <c r="Q162" s="102"/>
    </row>
    <row r="163" spans="1:17" ht="33" customHeight="1">
      <c r="A163" s="317"/>
      <c r="B163" s="2"/>
      <c r="C163" s="2"/>
      <c r="D163" s="332" t="s">
        <v>19</v>
      </c>
      <c r="E163" s="326"/>
      <c r="F163" s="2"/>
      <c r="G163" s="589">
        <f>SUM(G142:H161)</f>
        <v>47504.85373333333</v>
      </c>
      <c r="H163" s="589"/>
      <c r="J163" s="84"/>
      <c r="K163" s="102"/>
      <c r="L163" s="102"/>
      <c r="M163" s="102"/>
      <c r="N163" s="102"/>
      <c r="O163" s="102"/>
      <c r="P163" s="102"/>
      <c r="Q163" s="102"/>
    </row>
    <row r="164" spans="1:17" ht="33" customHeight="1">
      <c r="A164" s="600" t="s">
        <v>110</v>
      </c>
      <c r="B164" s="600"/>
      <c r="C164" s="600"/>
      <c r="D164" s="600"/>
      <c r="E164" s="600"/>
      <c r="F164" s="600"/>
      <c r="G164" s="600"/>
      <c r="H164" s="600"/>
      <c r="J164" s="84"/>
      <c r="K164" s="102"/>
      <c r="L164" s="102"/>
      <c r="M164" s="102"/>
      <c r="N164" s="102"/>
      <c r="O164" s="102"/>
      <c r="P164" s="102"/>
      <c r="Q164" s="102"/>
    </row>
    <row r="165" spans="1:17" ht="33" customHeight="1" thickBot="1">
      <c r="A165" s="317"/>
      <c r="B165" s="531" t="s">
        <v>111</v>
      </c>
      <c r="C165" s="531"/>
      <c r="D165" s="531"/>
      <c r="E165" s="531"/>
      <c r="F165" s="531"/>
      <c r="G165" s="531"/>
      <c r="H165" s="327" t="s">
        <v>19</v>
      </c>
      <c r="J165" s="84"/>
      <c r="K165" s="102"/>
      <c r="L165" s="102"/>
      <c r="M165" s="102"/>
      <c r="N165" s="102"/>
      <c r="O165" s="102"/>
      <c r="P165" s="102"/>
      <c r="Q165" s="102"/>
    </row>
    <row r="166" spans="1:17" ht="33" customHeight="1">
      <c r="A166" s="317"/>
      <c r="B166" s="316" t="s">
        <v>751</v>
      </c>
      <c r="C166" s="326"/>
      <c r="D166" s="2"/>
      <c r="E166" s="5"/>
      <c r="F166" s="5"/>
      <c r="G166" s="5"/>
      <c r="H166" s="334">
        <f>SUMIFS(H183:H553, D184:D554, "*A]*") + SUMIFS(H183:H553, D184:D554, "*B)*")</f>
        <v>6641.3500000000022</v>
      </c>
      <c r="J166" s="84"/>
      <c r="K166" s="102"/>
      <c r="L166" s="102"/>
      <c r="M166" s="102"/>
      <c r="N166" s="102"/>
      <c r="O166" s="102"/>
      <c r="P166" s="102"/>
      <c r="Q166" s="102"/>
    </row>
    <row r="167" spans="1:17" ht="33" customHeight="1">
      <c r="B167" s="316" t="s">
        <v>750</v>
      </c>
      <c r="H167" s="334">
        <f>SUMIFS(H183:H553, D184:D554, "*C)*") + SUMIFS(H183:H553, D184:D554, "*D)*")</f>
        <v>24997.156333333329</v>
      </c>
      <c r="J167" s="84"/>
      <c r="K167" s="102"/>
      <c r="L167" s="102"/>
      <c r="M167" s="102"/>
      <c r="N167" s="102"/>
      <c r="O167" s="102"/>
      <c r="P167" s="102"/>
      <c r="Q167" s="102"/>
    </row>
    <row r="168" spans="1:17" ht="33" customHeight="1">
      <c r="A168" s="317"/>
      <c r="B168" s="316" t="s">
        <v>116</v>
      </c>
      <c r="C168" s="326"/>
      <c r="D168" s="2"/>
      <c r="E168" s="5"/>
      <c r="F168" s="5"/>
      <c r="G168" s="5"/>
      <c r="H168" s="334">
        <f>SUMIFS(H183:H553, D184:D554, "*E)*") + SUMIFS(H183:H553, D184:D554, "*F)*")</f>
        <v>11812.018066666664</v>
      </c>
      <c r="J168" s="84"/>
      <c r="K168" s="102"/>
      <c r="L168" s="102"/>
      <c r="M168" s="102"/>
      <c r="N168" s="102"/>
      <c r="O168" s="102"/>
      <c r="P168" s="102"/>
      <c r="Q168" s="102"/>
    </row>
    <row r="169" spans="1:17" ht="33" customHeight="1">
      <c r="A169" s="317"/>
      <c r="B169" s="316" t="s">
        <v>749</v>
      </c>
      <c r="C169" s="326"/>
      <c r="D169" s="2"/>
      <c r="E169" s="5"/>
      <c r="F169" s="5"/>
      <c r="G169" s="5"/>
      <c r="H169" s="333">
        <f>SUMIFS(H183:H553, D184:D554, "*G)*")</f>
        <v>5200.3541666666661</v>
      </c>
      <c r="J169" s="84"/>
      <c r="K169" s="102"/>
      <c r="L169" s="102"/>
      <c r="M169" s="102"/>
      <c r="N169" s="102"/>
      <c r="O169" s="102"/>
      <c r="P169" s="102"/>
      <c r="Q169" s="102"/>
    </row>
    <row r="170" spans="1:17" ht="33" customHeight="1">
      <c r="A170" s="317"/>
      <c r="B170" s="316" t="s">
        <v>120</v>
      </c>
      <c r="C170" s="326"/>
      <c r="D170" s="2"/>
      <c r="E170" s="5"/>
      <c r="F170" s="5"/>
      <c r="G170" s="5"/>
      <c r="H170" s="334">
        <f>SUMIFS(H183:H553, D184:D554, "*H)*") + SUMIFS(H183:H553, D184:D554, "*I)*")</f>
        <v>6711.3885</v>
      </c>
      <c r="J170" s="84"/>
      <c r="K170" s="102"/>
      <c r="L170" s="102"/>
      <c r="M170" s="102"/>
      <c r="N170" s="102"/>
      <c r="O170" s="102"/>
      <c r="P170" s="102"/>
      <c r="Q170" s="102"/>
    </row>
    <row r="171" spans="1:17" ht="33" customHeight="1">
      <c r="J171" s="84"/>
      <c r="K171" s="102"/>
      <c r="L171" s="102"/>
      <c r="M171" s="102"/>
      <c r="N171" s="102"/>
      <c r="O171" s="102"/>
      <c r="P171" s="102"/>
      <c r="Q171" s="102"/>
    </row>
    <row r="172" spans="1:17" ht="33" customHeight="1">
      <c r="J172" s="84"/>
      <c r="K172" s="102"/>
      <c r="L172" s="102"/>
      <c r="M172" s="102"/>
      <c r="N172" s="102"/>
      <c r="O172" s="102"/>
      <c r="P172" s="102"/>
      <c r="Q172" s="102"/>
    </row>
    <row r="173" spans="1:17" ht="33" customHeight="1">
      <c r="J173" s="84"/>
      <c r="K173" s="102"/>
      <c r="L173" s="102"/>
      <c r="M173" s="102"/>
      <c r="N173" s="102"/>
      <c r="O173" s="102"/>
      <c r="P173" s="102"/>
      <c r="Q173" s="102"/>
    </row>
    <row r="174" spans="1:17" ht="33" customHeight="1">
      <c r="A174" s="317"/>
      <c r="B174" s="316"/>
      <c r="C174" s="326"/>
      <c r="D174" s="2"/>
      <c r="E174" s="5"/>
      <c r="F174" s="5"/>
      <c r="G174" s="5"/>
      <c r="H174" s="334"/>
      <c r="J174" s="84"/>
      <c r="K174" s="102"/>
      <c r="L174" s="102"/>
      <c r="M174" s="102"/>
      <c r="N174" s="102"/>
      <c r="O174" s="102"/>
      <c r="P174" s="102"/>
      <c r="Q174" s="102"/>
    </row>
    <row r="175" spans="1:17" ht="33" customHeight="1">
      <c r="A175" s="317"/>
      <c r="B175" s="316"/>
      <c r="C175" s="326"/>
      <c r="D175" s="2"/>
      <c r="E175" s="5"/>
      <c r="F175" s="5"/>
      <c r="G175" s="5"/>
      <c r="H175" s="334"/>
      <c r="J175" s="84"/>
      <c r="K175" s="102"/>
      <c r="L175" s="102"/>
      <c r="M175" s="102"/>
      <c r="N175" s="102"/>
      <c r="O175" s="102"/>
      <c r="P175" s="102"/>
      <c r="Q175" s="102"/>
    </row>
    <row r="176" spans="1:17" ht="33" customHeight="1" thickBot="1">
      <c r="A176" s="317"/>
      <c r="B176" s="336"/>
      <c r="C176" s="326"/>
      <c r="D176" s="2"/>
      <c r="E176" s="5"/>
      <c r="F176" s="5"/>
      <c r="G176" s="5"/>
      <c r="H176" s="327"/>
      <c r="J176" s="84"/>
      <c r="K176" s="102"/>
      <c r="L176" s="102"/>
      <c r="M176" s="102"/>
      <c r="N176" s="102"/>
      <c r="O176" s="102"/>
      <c r="P176" s="102"/>
      <c r="Q176" s="102"/>
    </row>
    <row r="177" spans="1:17" ht="33" customHeight="1">
      <c r="A177" s="317"/>
      <c r="B177" s="316" t="s">
        <v>122</v>
      </c>
      <c r="C177" s="326"/>
      <c r="D177" s="2"/>
      <c r="E177" s="5"/>
      <c r="F177" s="5"/>
      <c r="G177" s="5"/>
      <c r="H177" s="334">
        <f>SUM(H166:H176)</f>
        <v>55362.26706666666</v>
      </c>
      <c r="J177" s="84"/>
      <c r="K177" s="102"/>
      <c r="L177" s="102"/>
      <c r="M177" s="102"/>
      <c r="N177" s="102"/>
      <c r="O177" s="102"/>
      <c r="P177" s="102"/>
      <c r="Q177" s="102"/>
    </row>
    <row r="178" spans="1:17" ht="33" customHeight="1" thickBot="1">
      <c r="A178" s="317"/>
      <c r="B178" s="336" t="s">
        <v>85</v>
      </c>
      <c r="C178" s="326"/>
      <c r="D178" s="318">
        <v>0.08</v>
      </c>
      <c r="E178" s="5"/>
      <c r="F178" s="5"/>
      <c r="G178" s="5"/>
      <c r="H178" s="335">
        <f>D178*H177</f>
        <v>4428.9813653333331</v>
      </c>
      <c r="J178" s="84"/>
      <c r="K178" s="102"/>
      <c r="L178" s="102"/>
      <c r="M178" s="102"/>
      <c r="N178" s="102"/>
      <c r="O178" s="102"/>
      <c r="P178" s="102"/>
      <c r="Q178" s="102"/>
    </row>
    <row r="179" spans="1:17" s="280" customFormat="1" ht="43.9" customHeight="1">
      <c r="A179" s="322"/>
      <c r="B179" s="320" t="s">
        <v>19</v>
      </c>
      <c r="C179" s="337"/>
      <c r="D179" s="321"/>
      <c r="E179" s="5"/>
      <c r="F179" s="5"/>
      <c r="G179" s="5"/>
      <c r="H179" s="338">
        <f>H178+H177</f>
        <v>59791.248431999993</v>
      </c>
      <c r="I179" s="267"/>
      <c r="J179" s="84"/>
      <c r="K179" s="277"/>
      <c r="L179" s="277"/>
      <c r="M179" s="277"/>
      <c r="N179" s="277"/>
      <c r="O179" s="277"/>
      <c r="P179" s="277"/>
      <c r="Q179" s="277"/>
    </row>
    <row r="180" spans="1:17" ht="33" customHeight="1">
      <c r="A180" s="317"/>
      <c r="B180" s="2"/>
      <c r="C180" s="317"/>
      <c r="D180" s="319"/>
      <c r="E180" s="5"/>
      <c r="F180" s="5"/>
      <c r="G180" s="5"/>
      <c r="H180" s="2"/>
      <c r="J180" s="84"/>
      <c r="K180" s="102"/>
      <c r="L180" s="102"/>
      <c r="M180" s="102"/>
      <c r="N180" s="102"/>
      <c r="O180" s="102"/>
      <c r="P180" s="102"/>
      <c r="Q180" s="102"/>
    </row>
    <row r="181" spans="1:17" ht="33" customHeight="1">
      <c r="A181" s="261"/>
      <c r="B181" s="261"/>
      <c r="C181" s="261"/>
      <c r="D181" s="604" t="str">
        <f>'jobinfo(2)'!$C$51</f>
        <v>OH24H WILLIAMS</v>
      </c>
      <c r="E181" s="604"/>
      <c r="F181" s="604"/>
      <c r="G181" s="604"/>
      <c r="H181" s="604"/>
      <c r="I181" s="7"/>
      <c r="J181" s="176"/>
      <c r="K181" s="102"/>
      <c r="L181" s="102"/>
      <c r="M181" s="102"/>
      <c r="N181" s="102"/>
      <c r="O181" s="102"/>
      <c r="P181" s="102"/>
      <c r="Q181" s="102"/>
    </row>
    <row r="182" spans="1:17" ht="33" customHeight="1">
      <c r="B182" s="536" t="s">
        <v>226</v>
      </c>
      <c r="D182" s="250" t="s">
        <v>227</v>
      </c>
      <c r="E182" s="250"/>
      <c r="F182" s="250"/>
      <c r="G182" s="250"/>
      <c r="H182" s="250"/>
      <c r="I182" s="250"/>
      <c r="J182" s="176"/>
      <c r="K182" s="102"/>
      <c r="L182" s="102"/>
      <c r="M182" s="102"/>
      <c r="N182" s="102"/>
      <c r="O182" s="102"/>
      <c r="P182" s="102"/>
      <c r="Q182" s="102"/>
    </row>
    <row r="183" spans="1:17" ht="33" customHeight="1">
      <c r="A183" s="264" t="s">
        <v>228</v>
      </c>
      <c r="B183" s="537"/>
      <c r="C183" s="83" t="s">
        <v>229</v>
      </c>
      <c r="D183" s="83" t="s">
        <v>230</v>
      </c>
      <c r="E183" s="126" t="s">
        <v>231</v>
      </c>
      <c r="F183" s="126" t="s">
        <v>232</v>
      </c>
      <c r="G183" s="126" t="s">
        <v>233</v>
      </c>
      <c r="H183" s="126" t="s">
        <v>234</v>
      </c>
      <c r="I183" s="7"/>
      <c r="J183" s="102"/>
      <c r="K183" s="102"/>
      <c r="L183" s="102"/>
      <c r="M183" s="102"/>
      <c r="N183" s="102"/>
      <c r="O183" s="102"/>
      <c r="P183" s="102"/>
      <c r="Q183" s="102"/>
    </row>
    <row r="184" spans="1:17" ht="33" customHeight="1">
      <c r="A184" s="263"/>
      <c r="B184" s="77" t="str">
        <f>'PRICES XACT IN'!C2</f>
        <v>CPS</v>
      </c>
      <c r="C184" s="77" t="str">
        <f>'PRICES XACT IN'!D2</f>
        <v>BIDITM</v>
      </c>
      <c r="D184" s="282" t="str">
        <f>'PRICES XACT IN'!E2</f>
        <v>Packaging, Handling, Storage (Bid Item)</v>
      </c>
      <c r="E184" s="125" t="str">
        <f>'PRICES XACT IN'!G2</f>
        <v>EA</v>
      </c>
      <c r="F184" s="188"/>
      <c r="G184" s="125">
        <f>'PRICES XACT IN'!H2</f>
        <v>0</v>
      </c>
      <c r="H184" s="125"/>
      <c r="I184" s="7"/>
      <c r="J184" s="277">
        <v>1</v>
      </c>
      <c r="K184" s="305">
        <v>1</v>
      </c>
      <c r="L184" s="102"/>
      <c r="M184" s="102"/>
      <c r="N184" s="102"/>
      <c r="O184" s="102"/>
      <c r="P184" s="102"/>
      <c r="Q184" s="102"/>
    </row>
    <row r="185" spans="1:17" ht="33" customHeight="1">
      <c r="A185" s="263"/>
      <c r="B185" s="77" t="str">
        <f>'PRICES XACT IN'!C3</f>
        <v>CPS</v>
      </c>
      <c r="C185" s="77" t="str">
        <f>'PRICES XACT IN'!D3</f>
        <v>BIDITM</v>
      </c>
      <c r="D185" s="282" t="str">
        <f>'PRICES XACT IN'!E3</f>
        <v>Packaging, Handling, Storage (Bid Item)</v>
      </c>
      <c r="E185" s="125" t="str">
        <f>'PRICES XACT IN'!G3</f>
        <v>EA</v>
      </c>
      <c r="F185" s="188"/>
      <c r="G185" s="125">
        <f>'PRICES XACT IN'!H3</f>
        <v>0</v>
      </c>
      <c r="H185" s="125"/>
      <c r="I185" s="7"/>
      <c r="J185" s="277">
        <f>1+J184</f>
        <v>2</v>
      </c>
      <c r="K185" s="305">
        <v>2</v>
      </c>
      <c r="L185" s="102"/>
      <c r="M185" s="102"/>
      <c r="N185" s="102"/>
      <c r="O185" s="102"/>
      <c r="P185" s="102"/>
      <c r="Q185" s="102"/>
    </row>
    <row r="186" spans="1:17" ht="33" customHeight="1">
      <c r="A186" s="263"/>
      <c r="B186" s="77" t="str">
        <f>'PRICES XACT IN'!C4</f>
        <v>CPS</v>
      </c>
      <c r="C186" s="77" t="str">
        <f>'PRICES XACT IN'!D4</f>
        <v>BIDITM</v>
      </c>
      <c r="D186" s="282" t="str">
        <f>'PRICES XACT IN'!E4</f>
        <v>Packaging, Handling, Storage (Bid Item)</v>
      </c>
      <c r="E186" s="125" t="str">
        <f>'PRICES XACT IN'!G4</f>
        <v>EA</v>
      </c>
      <c r="F186" s="188"/>
      <c r="G186" s="125">
        <f>'PRICES XACT IN'!H4</f>
        <v>0</v>
      </c>
      <c r="H186" s="125"/>
      <c r="I186" s="7"/>
      <c r="J186" s="277">
        <f t="shared" ref="J186:J188" si="2">1+J185</f>
        <v>3</v>
      </c>
      <c r="K186" s="305">
        <v>3</v>
      </c>
      <c r="L186" s="102"/>
      <c r="M186" s="102"/>
      <c r="N186" s="102"/>
      <c r="O186" s="102"/>
      <c r="P186" s="102"/>
      <c r="Q186" s="102"/>
    </row>
    <row r="187" spans="1:17" ht="33" customHeight="1">
      <c r="A187" s="263"/>
      <c r="B187" s="77" t="str">
        <f>'PRICES XACT IN'!C5</f>
        <v>CPS</v>
      </c>
      <c r="C187" s="77" t="str">
        <f>'PRICES XACT IN'!D5</f>
        <v>BIDITM</v>
      </c>
      <c r="D187" s="125" t="str">
        <f>'PRICES XACT IN'!E5</f>
        <v>Packaging, Handling, Storage (Bid Item)</v>
      </c>
      <c r="E187" s="125" t="str">
        <f>'PRICES XACT IN'!G5</f>
        <v>EA</v>
      </c>
      <c r="F187" s="188"/>
      <c r="G187" s="125">
        <f>'PRICES XACT IN'!H5</f>
        <v>0</v>
      </c>
      <c r="H187" s="125"/>
      <c r="I187" s="7"/>
      <c r="J187" s="277">
        <f t="shared" si="2"/>
        <v>4</v>
      </c>
      <c r="K187" s="305">
        <v>4</v>
      </c>
      <c r="L187" s="102"/>
      <c r="M187" s="102"/>
      <c r="N187" s="102"/>
      <c r="O187" s="102"/>
      <c r="P187" s="102"/>
      <c r="Q187" s="102"/>
    </row>
    <row r="188" spans="1:17" ht="33" customHeight="1">
      <c r="A188" s="263"/>
      <c r="B188" s="77" t="str">
        <f>'PRICES XACT IN'!C6</f>
        <v>CUP</v>
      </c>
      <c r="C188" s="77" t="str">
        <f>'PRICES XACT IN'!D6</f>
        <v>BIDITM</v>
      </c>
      <c r="D188" s="125" t="str">
        <f>'PRICES XACT IN'!E6</f>
        <v>Upholstery and Soft Goods Cleaning (Bid Item)</v>
      </c>
      <c r="E188" s="125" t="str">
        <f>'PRICES XACT IN'!G6</f>
        <v>EA</v>
      </c>
      <c r="F188" s="188"/>
      <c r="G188" s="125">
        <f>'PRICES XACT IN'!H6</f>
        <v>0</v>
      </c>
      <c r="H188" s="125"/>
      <c r="I188" s="7"/>
      <c r="J188" s="277">
        <f t="shared" si="2"/>
        <v>5</v>
      </c>
      <c r="K188" s="305">
        <v>5</v>
      </c>
      <c r="L188" s="102"/>
      <c r="M188" s="102"/>
      <c r="N188" s="102"/>
      <c r="O188" s="102"/>
      <c r="P188" s="102"/>
      <c r="Q188" s="102"/>
    </row>
    <row r="189" spans="1:17" ht="33" customHeight="1">
      <c r="A189" s="605"/>
      <c r="B189" s="605"/>
      <c r="C189" s="605"/>
      <c r="D189" s="189" t="s">
        <v>235</v>
      </c>
      <c r="E189" s="187"/>
      <c r="F189" s="188"/>
      <c r="G189" s="125"/>
      <c r="H189" s="125"/>
      <c r="I189" s="7"/>
      <c r="J189" s="277"/>
      <c r="K189" s="305"/>
      <c r="L189" s="102"/>
      <c r="M189" s="102"/>
      <c r="N189" s="102"/>
      <c r="O189" s="102"/>
      <c r="P189" s="102"/>
      <c r="Q189" s="102"/>
    </row>
    <row r="190" spans="1:17" ht="33" customHeight="1">
      <c r="A190" s="263">
        <v>1</v>
      </c>
      <c r="B190" s="77" t="str">
        <f>'PRICES XACT IN'!C7</f>
        <v>DMO</v>
      </c>
      <c r="C190" s="77" t="str">
        <f>'PRICES XACT IN'!D7</f>
        <v>PU</v>
      </c>
      <c r="D190" s="78" t="str">
        <f>'PRICES XACT IN'!E7</f>
        <v>Haul debris - per pickup truck load - including dump fees</v>
      </c>
      <c r="E190" s="125" t="str">
        <f>'PRICES XACT IN'!G7</f>
        <v>EA</v>
      </c>
      <c r="F190" s="260">
        <f>'PRICES XACT IN'!F7</f>
        <v>1</v>
      </c>
      <c r="G190" s="125">
        <f>'PRICES XACT IN'!H7</f>
        <v>196.77</v>
      </c>
      <c r="H190" s="125">
        <f>G190*F190</f>
        <v>196.77</v>
      </c>
      <c r="I190" s="7"/>
      <c r="J190" s="277">
        <f>1+J188</f>
        <v>6</v>
      </c>
      <c r="K190" s="305">
        <v>6</v>
      </c>
      <c r="L190" s="102"/>
      <c r="M190" s="102"/>
      <c r="N190" s="102"/>
      <c r="O190" s="102"/>
      <c r="P190" s="102"/>
      <c r="Q190" s="102"/>
    </row>
    <row r="191" spans="1:17" ht="39" customHeight="1">
      <c r="A191" s="605"/>
      <c r="B191" s="605"/>
      <c r="C191" s="605"/>
      <c r="D191" s="195" t="s">
        <v>236</v>
      </c>
      <c r="E191" s="187"/>
      <c r="F191" s="188"/>
      <c r="G191" s="125"/>
      <c r="H191" s="125"/>
      <c r="I191" s="7"/>
      <c r="J191" s="84"/>
      <c r="K191" s="85"/>
    </row>
    <row r="192" spans="1:17" ht="33" customHeight="1">
      <c r="A192" s="263">
        <v>2</v>
      </c>
      <c r="B192" s="77" t="str">
        <f>'PRICES XACT IN'!C8</f>
        <v>CPS</v>
      </c>
      <c r="C192" s="77" t="str">
        <f>'PRICES XACT IN'!D8</f>
        <v>LABS</v>
      </c>
      <c r="D192" s="78" t="str">
        <f>'PRICES XACT IN'!E8</f>
        <v>Contents Evaluation and/or Supervisor/Admin - per hour</v>
      </c>
      <c r="E192" s="77" t="str">
        <f>'PRICES XACT IN'!G8</f>
        <v>HR</v>
      </c>
      <c r="F192" s="260">
        <f>NEWFILE!K13*NEWFILE!N15*NEWFILE!K14</f>
        <v>20.6096775</v>
      </c>
      <c r="G192" s="125">
        <f>'PRICES XACT IN'!H8</f>
        <v>66.27</v>
      </c>
      <c r="H192" s="125">
        <f>G192*F192</f>
        <v>1365.8033279249998</v>
      </c>
      <c r="I192" s="7"/>
      <c r="J192" s="277">
        <f>1+J190</f>
        <v>7</v>
      </c>
      <c r="K192" s="305">
        <v>7</v>
      </c>
    </row>
    <row r="193" spans="1:11" ht="33" customHeight="1">
      <c r="A193" s="549"/>
      <c r="B193" s="549"/>
      <c r="C193" s="549"/>
      <c r="D193" s="275" t="s">
        <v>237</v>
      </c>
      <c r="E193" s="596"/>
      <c r="F193" s="596"/>
      <c r="G193" s="596"/>
      <c r="H193" s="596"/>
      <c r="I193" s="7"/>
      <c r="J193" s="84"/>
      <c r="K193" s="85"/>
    </row>
    <row r="194" spans="1:11" ht="22.15" customHeight="1">
      <c r="A194" s="549"/>
      <c r="B194" s="549"/>
      <c r="C194" s="549"/>
      <c r="D194" s="275" t="s">
        <v>238</v>
      </c>
      <c r="E194" s="596"/>
      <c r="F194" s="596"/>
      <c r="G194" s="596"/>
      <c r="H194" s="596"/>
      <c r="I194" s="7"/>
      <c r="J194" s="102" t="s">
        <v>239</v>
      </c>
      <c r="K194" s="306" t="s">
        <v>239</v>
      </c>
    </row>
    <row r="195" spans="1:11" ht="22.15" customHeight="1">
      <c r="A195" s="549"/>
      <c r="B195" s="549"/>
      <c r="C195" s="549"/>
      <c r="D195" s="194" t="s">
        <v>240</v>
      </c>
      <c r="E195" s="596"/>
      <c r="F195" s="596"/>
      <c r="G195" s="596"/>
      <c r="H195" s="596"/>
      <c r="I195" s="7"/>
      <c r="J195" s="84"/>
      <c r="K195" s="85"/>
    </row>
    <row r="196" spans="1:11" ht="22.15" customHeight="1">
      <c r="A196" s="549"/>
      <c r="B196" s="549"/>
      <c r="C196" s="549"/>
      <c r="D196" s="194" t="s">
        <v>241</v>
      </c>
      <c r="E196" s="596"/>
      <c r="F196" s="596"/>
      <c r="G196" s="596"/>
      <c r="H196" s="596"/>
      <c r="I196" s="7"/>
      <c r="J196" s="84"/>
      <c r="K196" s="85"/>
    </row>
    <row r="197" spans="1:11" ht="22.15" customHeight="1">
      <c r="A197" s="263">
        <v>3</v>
      </c>
      <c r="B197" s="77" t="str">
        <f>'PRICES XACT IN'!C9</f>
        <v>CPS</v>
      </c>
      <c r="C197" s="77" t="str">
        <f>'PRICES XACT IN'!D9</f>
        <v>LAB</v>
      </c>
      <c r="D197" s="78" t="str">
        <f>'PRICES XACT IN'!E9</f>
        <v>Inventory, Packing, Boxing, and Moving charge - per hour</v>
      </c>
      <c r="E197" s="77" t="str">
        <f>'PRICES XACT IN'!G9</f>
        <v>HR</v>
      </c>
      <c r="F197" s="260">
        <f>NEWFILE!K16</f>
        <v>0</v>
      </c>
      <c r="G197" s="125">
        <f>'PRICES XACT IN'!H9</f>
        <v>53.83</v>
      </c>
      <c r="H197" s="125">
        <f>G197*F197</f>
        <v>0</v>
      </c>
      <c r="I197" s="7"/>
      <c r="J197" s="84">
        <f>1+J192</f>
        <v>8</v>
      </c>
      <c r="K197" s="85">
        <v>8</v>
      </c>
    </row>
    <row r="198" spans="1:11" ht="33" customHeight="1">
      <c r="A198" s="549"/>
      <c r="B198" s="549"/>
      <c r="C198" s="549"/>
      <c r="D198" s="189" t="s">
        <v>242</v>
      </c>
      <c r="E198" s="597"/>
      <c r="F198" s="597"/>
      <c r="G198" s="597"/>
      <c r="H198" s="597"/>
      <c r="I198" s="7"/>
      <c r="J198" s="84"/>
      <c r="K198" s="85"/>
    </row>
    <row r="199" spans="1:11" ht="33" customHeight="1">
      <c r="A199" s="549"/>
      <c r="B199" s="549"/>
      <c r="C199" s="549"/>
      <c r="D199" s="190" t="s">
        <v>243</v>
      </c>
      <c r="E199" s="187"/>
      <c r="F199" s="188"/>
      <c r="G199" s="125"/>
      <c r="H199" s="125"/>
      <c r="I199" s="7"/>
      <c r="J199" s="84"/>
      <c r="K199" s="85"/>
    </row>
    <row r="200" spans="1:11" ht="33" customHeight="1">
      <c r="A200" s="263">
        <v>4</v>
      </c>
      <c r="B200" s="77" t="str">
        <f>'PRICES XACT IN'!C10</f>
        <v>CPS</v>
      </c>
      <c r="C200" s="77" t="str">
        <f>'PRICES XACT IN'!D10</f>
        <v>BWRAP</v>
      </c>
      <c r="D200" s="78" t="str">
        <f>'PRICES XACT IN'!E10</f>
        <v>Bubble Wrap - Add-on cost for fragile items</v>
      </c>
      <c r="E200" s="77" t="str">
        <f>'PRICES XACT IN'!G10</f>
        <v>LF</v>
      </c>
      <c r="F200" s="260">
        <f>NEWFILE!K19</f>
        <v>1096.4285714285716</v>
      </c>
      <c r="G200" s="125">
        <f>'PRICES XACT IN'!H10</f>
        <v>0.22</v>
      </c>
      <c r="H200" s="125">
        <f>G200*F200</f>
        <v>241.21428571428575</v>
      </c>
      <c r="I200" s="7"/>
      <c r="J200" s="84">
        <f>1+J197</f>
        <v>9</v>
      </c>
      <c r="K200" s="85">
        <v>9</v>
      </c>
    </row>
    <row r="201" spans="1:11" ht="33" customHeight="1">
      <c r="A201" s="263">
        <v>5</v>
      </c>
      <c r="B201" s="77" t="str">
        <f>'PRICES XACT IN'!C11</f>
        <v>CPS</v>
      </c>
      <c r="C201" s="77" t="str">
        <f>'PRICES XACT IN'!D11</f>
        <v>WRAP</v>
      </c>
      <c r="D201" s="125" t="str">
        <f>'PRICES XACT IN'!E11</f>
        <v>Provide stretch film/wrap</v>
      </c>
      <c r="E201" s="339" t="str">
        <f>'PRICES XACT IN'!G11</f>
        <v>RL</v>
      </c>
      <c r="F201" s="260">
        <f>NEWFILE!K20</f>
        <v>7.6749999999999998</v>
      </c>
      <c r="G201" s="125">
        <f>'PRICES XACT IN'!H11</f>
        <v>32.770000000000003</v>
      </c>
      <c r="H201" s="125">
        <f t="shared" ref="H201:H202" si="3">G201*F201</f>
        <v>251.50975000000003</v>
      </c>
      <c r="I201" s="7"/>
      <c r="J201" s="84">
        <f t="shared" ref="J201:J202" si="4">1+J200</f>
        <v>10</v>
      </c>
      <c r="K201" s="85">
        <v>10</v>
      </c>
    </row>
    <row r="202" spans="1:11" ht="33" customHeight="1">
      <c r="A202" s="263">
        <v>6</v>
      </c>
      <c r="B202" s="77" t="str">
        <f>'PRICES XACT IN'!C12</f>
        <v>CPS</v>
      </c>
      <c r="C202" s="77" t="str">
        <f>'PRICES XACT IN'!D12</f>
        <v>PEANUT</v>
      </c>
      <c r="D202" s="125" t="str">
        <f>'PRICES XACT IN'!E12</f>
        <v>Loose fill peanuts - Add-on cost for fragile items</v>
      </c>
      <c r="E202" s="339" t="str">
        <f>'PRICES XACT IN'!G12</f>
        <v>CF</v>
      </c>
      <c r="F202" s="260">
        <f>NEWFILE!K21</f>
        <v>30.7</v>
      </c>
      <c r="G202" s="125">
        <f>'PRICES XACT IN'!H12</f>
        <v>2.91</v>
      </c>
      <c r="H202" s="125">
        <f t="shared" si="3"/>
        <v>89.337000000000003</v>
      </c>
      <c r="I202" s="7"/>
      <c r="J202" s="84">
        <f t="shared" si="4"/>
        <v>11</v>
      </c>
      <c r="K202" s="85">
        <v>11</v>
      </c>
    </row>
    <row r="203" spans="1:11" ht="33" customHeight="1">
      <c r="B203" s="371"/>
      <c r="C203" s="371"/>
      <c r="D203" s="372" t="s">
        <v>244</v>
      </c>
      <c r="E203" s="371"/>
      <c r="F203" s="371"/>
      <c r="G203" s="261"/>
      <c r="H203" s="373">
        <f>SUM(H190:H202)</f>
        <v>2144.6343636392858</v>
      </c>
      <c r="I203" s="7"/>
      <c r="J203" s="277"/>
      <c r="K203" s="305"/>
    </row>
    <row r="204" spans="1:11" ht="33" customHeight="1">
      <c r="A204" s="539"/>
      <c r="B204" s="539"/>
      <c r="C204" s="539"/>
      <c r="D204" s="377" t="s">
        <v>245</v>
      </c>
      <c r="E204" s="597"/>
      <c r="F204" s="597"/>
      <c r="G204" s="597"/>
      <c r="H204" s="597"/>
      <c r="I204" s="7"/>
      <c r="J204" s="277"/>
      <c r="K204" s="305"/>
    </row>
    <row r="205" spans="1:11" ht="28.5" customHeight="1">
      <c r="A205" s="539"/>
      <c r="B205" s="539"/>
      <c r="C205" s="539"/>
      <c r="D205" s="193" t="s">
        <v>246</v>
      </c>
      <c r="E205" s="597"/>
      <c r="F205" s="597"/>
      <c r="G205" s="597"/>
      <c r="H205" s="597"/>
      <c r="I205" s="7"/>
      <c r="J205" s="277"/>
      <c r="K205" s="305"/>
    </row>
    <row r="206" spans="1:11" ht="22.15" customHeight="1">
      <c r="A206" s="539"/>
      <c r="B206" s="539"/>
      <c r="C206" s="539"/>
      <c r="D206" s="193" t="s">
        <v>247</v>
      </c>
      <c r="E206" s="597"/>
      <c r="F206" s="597"/>
      <c r="G206" s="597"/>
      <c r="H206" s="597"/>
      <c r="I206" s="7"/>
      <c r="J206" s="277"/>
      <c r="K206" s="305"/>
    </row>
    <row r="207" spans="1:11" ht="22.15" customHeight="1">
      <c r="A207" s="539"/>
      <c r="B207" s="539"/>
      <c r="C207" s="539"/>
      <c r="D207" s="192" t="s">
        <v>248</v>
      </c>
      <c r="E207" s="262"/>
      <c r="F207" s="262"/>
      <c r="G207" s="597"/>
      <c r="H207" s="597"/>
      <c r="I207" s="7"/>
      <c r="J207" s="277"/>
      <c r="K207" s="305"/>
    </row>
    <row r="208" spans="1:11" ht="22.15" customHeight="1">
      <c r="A208" s="539"/>
      <c r="B208" s="539"/>
      <c r="C208" s="539"/>
      <c r="D208" s="192" t="s">
        <v>249</v>
      </c>
      <c r="E208" s="187"/>
      <c r="F208" s="188"/>
      <c r="G208" s="597"/>
      <c r="H208" s="597"/>
      <c r="I208" s="7"/>
      <c r="J208" s="277"/>
      <c r="K208" s="305"/>
    </row>
    <row r="209" spans="1:11" ht="22.15" customHeight="1">
      <c r="B209" s="536" t="s">
        <v>226</v>
      </c>
      <c r="C209" s="314"/>
      <c r="D209" s="192" t="s">
        <v>250</v>
      </c>
      <c r="E209" s="597"/>
      <c r="F209" s="597"/>
      <c r="G209" s="597"/>
      <c r="H209" s="597"/>
      <c r="I209" s="7"/>
      <c r="J209" s="277"/>
      <c r="K209" s="305"/>
    </row>
    <row r="210" spans="1:11" ht="33" customHeight="1">
      <c r="A210" s="264" t="s">
        <v>228</v>
      </c>
      <c r="B210" s="537"/>
      <c r="C210" s="83" t="s">
        <v>229</v>
      </c>
      <c r="D210" s="83" t="s">
        <v>230</v>
      </c>
      <c r="E210" s="126" t="s">
        <v>231</v>
      </c>
      <c r="F210" s="126" t="s">
        <v>232</v>
      </c>
      <c r="G210" s="126" t="s">
        <v>233</v>
      </c>
      <c r="H210" s="126" t="s">
        <v>234</v>
      </c>
      <c r="I210" s="7"/>
      <c r="J210" s="277"/>
      <c r="K210" s="305"/>
    </row>
    <row r="211" spans="1:11" ht="33" customHeight="1">
      <c r="A211" s="374"/>
      <c r="B211" s="367"/>
      <c r="C211" s="375"/>
      <c r="D211" s="601" t="s">
        <v>251</v>
      </c>
      <c r="E211" s="601"/>
      <c r="F211" s="376"/>
      <c r="G211" s="376"/>
      <c r="H211" s="376"/>
      <c r="I211" s="7"/>
      <c r="J211" s="277"/>
      <c r="K211" s="305"/>
    </row>
    <row r="212" spans="1:11" ht="22.15" customHeight="1">
      <c r="A212" s="265">
        <v>7</v>
      </c>
      <c r="B212" s="77" t="str">
        <f>'PRICES XACT IN'!C13</f>
        <v>CPS</v>
      </c>
      <c r="C212" s="77" t="str">
        <f>'PRICES XACT IN'!D13</f>
        <v>STOPM</v>
      </c>
      <c r="D212" s="125" t="str">
        <f>'PRICES XACT IN'!E13</f>
        <v>Job-site moving/storage container - 20' long - per month</v>
      </c>
      <c r="E212" s="339" t="str">
        <f>'PRICES XACT IN'!G13</f>
        <v>MO</v>
      </c>
      <c r="F212" s="260">
        <f>'PRICES XACT IN'!I12</f>
        <v>233.93</v>
      </c>
      <c r="G212" s="125">
        <f>'PRICES XACT IN'!H13</f>
        <v>229</v>
      </c>
      <c r="H212" s="125">
        <f t="shared" ref="H212:H215" si="5">G212*F212</f>
        <v>53569.97</v>
      </c>
      <c r="I212" s="7"/>
      <c r="J212" s="277">
        <f>1+J202</f>
        <v>12</v>
      </c>
      <c r="K212" s="305">
        <v>12</v>
      </c>
    </row>
    <row r="213" spans="1:11" ht="22.15" customHeight="1">
      <c r="A213" s="599"/>
      <c r="B213" s="599"/>
      <c r="C213" s="599"/>
      <c r="D213" s="125" t="s">
        <v>252</v>
      </c>
      <c r="E213" s="262"/>
      <c r="F213" s="276"/>
      <c r="G213" s="262"/>
      <c r="H213" s="262"/>
      <c r="I213" s="7"/>
      <c r="J213" s="277"/>
      <c r="K213" s="305"/>
    </row>
    <row r="214" spans="1:11" ht="33" customHeight="1">
      <c r="A214" s="263">
        <v>8</v>
      </c>
      <c r="B214" s="77" t="str">
        <f>'PRICES XACT IN'!C14</f>
        <v>CPS</v>
      </c>
      <c r="C214" s="77" t="str">
        <f>'PRICES XACT IN'!D14</f>
        <v>STOPCD</v>
      </c>
      <c r="D214" s="125" t="str">
        <f>'PRICES XACT IN'!E14</f>
        <v>Job-site cargo container - pick up/del. (each way) 16'-40'</v>
      </c>
      <c r="E214" s="339" t="str">
        <f>'PRICES XACT IN'!G14</f>
        <v>EA</v>
      </c>
      <c r="F214" s="260">
        <f>'PRICES XACT IN'!I13</f>
        <v>916</v>
      </c>
      <c r="G214" s="125">
        <f>'PRICES XACT IN'!H14</f>
        <v>220</v>
      </c>
      <c r="H214" s="125">
        <f t="shared" si="5"/>
        <v>201520</v>
      </c>
      <c r="I214" s="7"/>
      <c r="J214" s="277">
        <f>J212+1</f>
        <v>13</v>
      </c>
      <c r="K214" s="305">
        <v>13</v>
      </c>
    </row>
    <row r="215" spans="1:11" ht="33" customHeight="1">
      <c r="A215" s="263">
        <v>9</v>
      </c>
      <c r="B215" s="77" t="str">
        <f>'PRICES XACT IN'!C15</f>
        <v>CPS</v>
      </c>
      <c r="C215" s="77" t="str">
        <f>'PRICES XACT IN'!D15</f>
        <v>STOPP</v>
      </c>
      <c r="D215" s="125" t="str">
        <f>'PRICES XACT IN'!E15</f>
        <v>Padlock/disc lock</v>
      </c>
      <c r="E215" s="339" t="str">
        <f>'PRICES XACT IN'!G15</f>
        <v>EA</v>
      </c>
      <c r="F215" s="260">
        <f>'PRICES XACT IN'!I14</f>
        <v>440</v>
      </c>
      <c r="G215" s="125">
        <f>'PRICES XACT IN'!H15</f>
        <v>16.05</v>
      </c>
      <c r="H215" s="125">
        <f t="shared" si="5"/>
        <v>7062</v>
      </c>
      <c r="I215" s="7"/>
      <c r="J215" s="277">
        <f>J214+1</f>
        <v>14</v>
      </c>
      <c r="K215" s="305">
        <v>14</v>
      </c>
    </row>
    <row r="216" spans="1:11" ht="43.9" customHeight="1">
      <c r="A216" s="549"/>
      <c r="B216" s="549"/>
      <c r="C216" s="549"/>
      <c r="D216" s="189" t="s">
        <v>253</v>
      </c>
      <c r="E216" s="597"/>
      <c r="F216" s="597"/>
      <c r="G216" s="597"/>
      <c r="H216" s="597"/>
      <c r="I216" s="7"/>
      <c r="J216" s="278"/>
      <c r="K216" s="278"/>
    </row>
    <row r="217" spans="1:11" ht="22.15" customHeight="1">
      <c r="A217" s="549"/>
      <c r="B217" s="549"/>
      <c r="C217" s="549"/>
      <c r="D217" s="189" t="s">
        <v>254</v>
      </c>
      <c r="E217" s="597"/>
      <c r="F217" s="597"/>
      <c r="G217" s="597"/>
      <c r="H217" s="597"/>
      <c r="I217" s="7"/>
      <c r="J217" s="278"/>
      <c r="K217" s="278"/>
    </row>
    <row r="218" spans="1:11" ht="22.15" customHeight="1">
      <c r="A218" s="263">
        <v>10</v>
      </c>
      <c r="B218" s="77" t="str">
        <f>'PRICES XACT IN'!C16</f>
        <v>CPS</v>
      </c>
      <c r="C218" s="77" t="str">
        <f>'PRICES XACT IN'!D16</f>
        <v>STOR</v>
      </c>
      <c r="D218" s="125" t="str">
        <f>'PRICES XACT IN'!E16</f>
        <v>Off-site storage &amp; insurance - per month</v>
      </c>
      <c r="E218" s="339" t="str">
        <f>'PRICES XACT IN'!G16</f>
        <v>SF</v>
      </c>
      <c r="F218" s="260">
        <f>'PRICES XACT IN'!I15</f>
        <v>32.1</v>
      </c>
      <c r="G218" s="125">
        <f>'PRICES XACT IN'!H16</f>
        <v>1.07</v>
      </c>
      <c r="H218" s="125">
        <f t="shared" ref="H218:H225" si="6">G218*F218</f>
        <v>34.347000000000001</v>
      </c>
      <c r="I218" s="136"/>
      <c r="J218" s="278">
        <f>1+J215</f>
        <v>15</v>
      </c>
      <c r="K218" s="278">
        <v>15</v>
      </c>
    </row>
    <row r="219" spans="1:11" ht="22.15" customHeight="1">
      <c r="A219" s="598"/>
      <c r="B219" s="598"/>
      <c r="C219" s="598"/>
      <c r="D219" s="189" t="s">
        <v>255</v>
      </c>
      <c r="E219" s="187"/>
      <c r="F219" s="188"/>
      <c r="G219" s="125"/>
      <c r="H219" s="125"/>
      <c r="I219" s="136"/>
      <c r="J219" s="278"/>
      <c r="K219" s="278"/>
    </row>
    <row r="220" spans="1:11" ht="22.15" customHeight="1">
      <c r="A220" s="263">
        <v>11</v>
      </c>
      <c r="B220" s="77" t="str">
        <f>'PRICES XACT IN'!C17</f>
        <v>CPS</v>
      </c>
      <c r="C220" s="77" t="str">
        <f>'PRICES XACT IN'!D17</f>
        <v>STOR</v>
      </c>
      <c r="D220" s="125" t="str">
        <f>'PRICES XACT IN'!E17</f>
        <v>Off-site storage &amp; insurance - per month</v>
      </c>
      <c r="E220" s="339" t="str">
        <f>'PRICES XACT IN'!G17</f>
        <v>SF</v>
      </c>
      <c r="F220" s="260">
        <f>'PRICES XACT IN'!I16</f>
        <v>491.53</v>
      </c>
      <c r="G220" s="125">
        <f>'PRICES XACT IN'!H17</f>
        <v>1.07</v>
      </c>
      <c r="H220" s="125">
        <f t="shared" si="6"/>
        <v>525.93709999999999</v>
      </c>
      <c r="I220" s="136"/>
      <c r="J220" s="278">
        <f>1+J218</f>
        <v>16</v>
      </c>
      <c r="K220" s="278">
        <v>16</v>
      </c>
    </row>
    <row r="221" spans="1:11" ht="22.15" customHeight="1">
      <c r="A221" s="598"/>
      <c r="B221" s="598"/>
      <c r="C221" s="598"/>
      <c r="D221" s="189" t="s">
        <v>256</v>
      </c>
      <c r="E221" s="187"/>
      <c r="F221" s="260"/>
      <c r="G221" s="125"/>
      <c r="H221" s="125"/>
      <c r="I221" s="136"/>
      <c r="J221" s="278"/>
      <c r="K221" s="278"/>
    </row>
    <row r="222" spans="1:11" ht="22.15" customHeight="1">
      <c r="A222" s="263">
        <v>12</v>
      </c>
      <c r="B222" s="77" t="str">
        <f>'PRICES XACT IN'!C18</f>
        <v>CPS</v>
      </c>
      <c r="C222" s="77" t="str">
        <f>'PRICES XACT IN'!D18</f>
        <v>STOR</v>
      </c>
      <c r="D222" s="125" t="str">
        <f>'PRICES XACT IN'!E18</f>
        <v>Off-site storage &amp; insurance - per month</v>
      </c>
      <c r="E222" s="339" t="str">
        <f>'PRICES XACT IN'!G18</f>
        <v>SF</v>
      </c>
      <c r="F222" s="260">
        <f>'PRICES XACT IN'!I17</f>
        <v>491.53</v>
      </c>
      <c r="G222" s="125">
        <f>'PRICES XACT IN'!H18</f>
        <v>1.07</v>
      </c>
      <c r="H222" s="125">
        <f t="shared" si="6"/>
        <v>525.93709999999999</v>
      </c>
      <c r="I222" s="78"/>
      <c r="J222" s="278">
        <f>1+J220</f>
        <v>17</v>
      </c>
      <c r="K222" s="278">
        <v>17</v>
      </c>
    </row>
    <row r="223" spans="1:11" ht="39" customHeight="1">
      <c r="A223" s="524"/>
      <c r="B223" s="524"/>
      <c r="C223" s="524"/>
      <c r="D223" s="189" t="s">
        <v>257</v>
      </c>
      <c r="E223" s="187"/>
      <c r="F223" s="188"/>
      <c r="G223" s="125"/>
      <c r="H223" s="125"/>
      <c r="I223" s="78"/>
      <c r="J223" s="6"/>
      <c r="K223" s="307"/>
    </row>
    <row r="224" spans="1:11" ht="25.15" customHeight="1">
      <c r="A224" s="263">
        <v>18</v>
      </c>
      <c r="B224" s="77" t="str">
        <f>'PRICES XACT IN'!C19</f>
        <v>CPS</v>
      </c>
      <c r="C224" s="77" t="str">
        <f>'PRICES XACT IN'!D19</f>
        <v>TR&gt;</v>
      </c>
      <c r="D224" s="125" t="str">
        <f>'PRICES XACT IN'!E19</f>
        <v>Moving van (21'-27') and equipment - per day</v>
      </c>
      <c r="E224" s="339" t="str">
        <f>'PRICES XACT IN'!G19</f>
        <v>EA</v>
      </c>
      <c r="F224" s="260">
        <f>'PRICES XACT IN'!I18</f>
        <v>491.53</v>
      </c>
      <c r="G224" s="125">
        <f>'PRICES XACT IN'!H19</f>
        <v>215.4</v>
      </c>
      <c r="H224" s="125">
        <f t="shared" si="6"/>
        <v>105875.56199999999</v>
      </c>
      <c r="I224" s="78"/>
      <c r="J224" s="279">
        <f>1+J222</f>
        <v>18</v>
      </c>
      <c r="K224" s="308">
        <v>18</v>
      </c>
    </row>
    <row r="225" spans="1:12" ht="25.15" customHeight="1">
      <c r="A225" s="263">
        <v>13</v>
      </c>
      <c r="B225" s="77" t="str">
        <f>'PRICES XACT IN'!C20</f>
        <v>CPS</v>
      </c>
      <c r="C225" s="77" t="str">
        <f>'PRICES XACT IN'!D20</f>
        <v>TRCV</v>
      </c>
      <c r="D225" s="125" t="str">
        <f>'PRICES XACT IN'!E20</f>
        <v>Cargo van and equipment - per day</v>
      </c>
      <c r="E225" s="339" t="str">
        <f>'PRICES XACT IN'!G20</f>
        <v>EA</v>
      </c>
      <c r="F225" s="260">
        <f>'PRICES XACT IN'!I19</f>
        <v>861.6</v>
      </c>
      <c r="G225" s="125">
        <f>'PRICES XACT IN'!H20</f>
        <v>140</v>
      </c>
      <c r="H225" s="125">
        <f t="shared" si="6"/>
        <v>120624</v>
      </c>
      <c r="I225" s="78"/>
      <c r="J225" s="279">
        <f>1+J224</f>
        <v>19</v>
      </c>
      <c r="K225" s="308">
        <v>19</v>
      </c>
    </row>
    <row r="226" spans="1:12" ht="25.15" customHeight="1">
      <c r="A226" s="524"/>
      <c r="B226" s="524"/>
      <c r="C226" s="524"/>
      <c r="D226" s="125" t="s">
        <v>258</v>
      </c>
      <c r="E226" s="187"/>
      <c r="F226" s="188"/>
      <c r="G226" s="125"/>
      <c r="H226" s="125"/>
      <c r="I226" s="78"/>
      <c r="J226" s="84"/>
      <c r="K226" s="85"/>
    </row>
    <row r="227" spans="1:12" ht="25.15" customHeight="1">
      <c r="A227" s="596" t="s">
        <v>259</v>
      </c>
      <c r="B227" s="596"/>
      <c r="C227" s="596"/>
      <c r="D227" s="596"/>
      <c r="E227" s="596"/>
      <c r="F227" s="596"/>
      <c r="G227" s="596"/>
      <c r="H227" s="596"/>
      <c r="I227" s="78"/>
      <c r="J227" s="6"/>
      <c r="K227" s="307"/>
    </row>
    <row r="228" spans="1:12" ht="39" customHeight="1">
      <c r="A228" s="76"/>
      <c r="B228" s="191" t="s">
        <v>260</v>
      </c>
      <c r="E228" s="187"/>
      <c r="F228" s="188"/>
      <c r="G228" s="125"/>
      <c r="H228" s="125"/>
      <c r="I228" s="78"/>
      <c r="J228" s="6"/>
      <c r="K228" s="307"/>
    </row>
    <row r="229" spans="1:12" ht="25.15" customHeight="1">
      <c r="A229" s="263">
        <v>14</v>
      </c>
      <c r="B229" s="77" t="str">
        <f>'PRICES XACT IN'!C21</f>
        <v>LAB</v>
      </c>
      <c r="C229" s="77" t="str">
        <f>'PRICES XACT IN'!D21</f>
        <v>LBR</v>
      </c>
      <c r="D229" s="125" t="str">
        <f>'PRICES XACT IN'!E21</f>
        <v>General Laborer - per hour</v>
      </c>
      <c r="E229" s="339" t="str">
        <f>'PRICES XACT IN'!G21</f>
        <v>HR</v>
      </c>
      <c r="F229" s="260">
        <f>'PRICES XACT IN'!I20</f>
        <v>280</v>
      </c>
      <c r="G229" s="125">
        <f>'PRICES XACT IN'!H21</f>
        <v>53.11</v>
      </c>
      <c r="H229" s="125">
        <f>F229*G229</f>
        <v>14870.8</v>
      </c>
      <c r="I229" s="78"/>
      <c r="J229" s="279">
        <f>1+J225</f>
        <v>20</v>
      </c>
      <c r="K229" s="308">
        <v>20</v>
      </c>
    </row>
    <row r="230" spans="1:12" ht="25.15" customHeight="1">
      <c r="A230" s="76"/>
      <c r="B230" s="77"/>
      <c r="C230" s="77"/>
      <c r="E230" s="77"/>
      <c r="F230" s="78"/>
      <c r="G230" s="78"/>
      <c r="H230" s="78"/>
      <c r="I230" s="78"/>
      <c r="J230" s="84"/>
      <c r="K230" s="85"/>
    </row>
    <row r="231" spans="1:12" ht="25.15" customHeight="1">
      <c r="A231" s="76"/>
      <c r="B231" s="77"/>
      <c r="C231" s="77"/>
      <c r="D231" s="370" t="s">
        <v>261</v>
      </c>
      <c r="E231" s="77"/>
      <c r="F231" s="78"/>
      <c r="G231" s="78"/>
      <c r="H231" s="78">
        <f>SUM(H212:H229)</f>
        <v>504608.55319999991</v>
      </c>
      <c r="I231" s="78"/>
      <c r="J231" s="84"/>
      <c r="K231" s="85"/>
    </row>
    <row r="232" spans="1:12" ht="25.15" customHeight="1">
      <c r="A232" s="76"/>
      <c r="B232" s="536" t="s">
        <v>226</v>
      </c>
      <c r="C232" s="77"/>
      <c r="D232" s="281" t="s">
        <v>96</v>
      </c>
      <c r="E232" s="77"/>
      <c r="F232" s="78"/>
      <c r="G232" s="78"/>
      <c r="H232" s="78"/>
      <c r="I232" s="78"/>
      <c r="J232" s="84"/>
      <c r="K232" s="85"/>
    </row>
    <row r="233" spans="1:12" ht="25.15" customHeight="1">
      <c r="A233" s="264" t="s">
        <v>228</v>
      </c>
      <c r="B233" s="537"/>
      <c r="C233" s="83" t="s">
        <v>229</v>
      </c>
      <c r="D233" s="83" t="s">
        <v>230</v>
      </c>
      <c r="E233" s="273" t="s">
        <v>231</v>
      </c>
      <c r="F233" s="126" t="s">
        <v>232</v>
      </c>
      <c r="G233" s="126" t="s">
        <v>233</v>
      </c>
      <c r="H233" s="126" t="s">
        <v>234</v>
      </c>
      <c r="I233" s="78"/>
      <c r="J233" s="84"/>
      <c r="K233" s="85"/>
    </row>
    <row r="234" spans="1:12" ht="25.15" customHeight="1">
      <c r="A234" s="266">
        <v>15</v>
      </c>
      <c r="B234" s="275" t="str">
        <f>'PRICES XACT IN'!C23</f>
        <v>CPS</v>
      </c>
      <c r="C234" s="275" t="str">
        <f>'PRICES XACT IN'!D23</f>
        <v>BX&lt;</v>
      </c>
      <c r="D234" s="275" t="str">
        <f>'PRICES XACT IN'!E23</f>
        <v>Provide box, packing paper &amp; tape - small size</v>
      </c>
      <c r="E234" s="275" t="str">
        <f>'PRICES XACT IN'!G23</f>
        <v>EA</v>
      </c>
      <c r="F234" s="276">
        <f>INDEX('Box Summary'!B:B, MATCH("*Total*", 'Box Summary'!A:A, 0))</f>
        <v>52</v>
      </c>
      <c r="G234" s="275">
        <f>'PRICES XACT IN'!H23</f>
        <v>2.93</v>
      </c>
      <c r="H234" s="248">
        <f>G234*F234</f>
        <v>152.36000000000001</v>
      </c>
      <c r="I234" s="78"/>
      <c r="J234" s="84">
        <f>1+J229</f>
        <v>21</v>
      </c>
      <c r="K234" s="85">
        <v>21</v>
      </c>
      <c r="L234" s="276" t="str">
        <f>'Box Summary'!B5</f>
        <v>Small Box</v>
      </c>
    </row>
    <row r="235" spans="1:12" ht="25.15" customHeight="1">
      <c r="A235" s="76"/>
      <c r="B235" s="77"/>
      <c r="D235" s="79" t="s">
        <v>262</v>
      </c>
      <c r="E235" s="77"/>
      <c r="F235" s="78"/>
      <c r="G235" s="78"/>
      <c r="H235" s="78"/>
      <c r="I235" s="78"/>
      <c r="J235" s="84"/>
      <c r="K235" s="85"/>
    </row>
    <row r="236" spans="1:12" ht="25.15" customHeight="1">
      <c r="A236" s="266">
        <v>16</v>
      </c>
      <c r="B236" s="275" t="str">
        <f>'PRICES XACT IN'!C24</f>
        <v>CPS</v>
      </c>
      <c r="C236" s="275" t="str">
        <f>'PRICES XACT IN'!D24</f>
        <v>BXMSE</v>
      </c>
      <c r="D236" s="275" t="str">
        <f>'PRICES XACT IN'!E24</f>
        <v>Evaluate pack &amp; inventory misc items - per Sml box</v>
      </c>
      <c r="E236" s="275" t="str">
        <f>'PRICES XACT IN'!G24</f>
        <v>EA</v>
      </c>
      <c r="F236" s="276">
        <f>F234</f>
        <v>52</v>
      </c>
      <c r="G236" s="275">
        <f>'PRICES XACT IN'!H24</f>
        <v>13.57</v>
      </c>
      <c r="H236" s="248">
        <f>G236*F236</f>
        <v>705.64</v>
      </c>
      <c r="I236" s="78"/>
      <c r="J236" s="270">
        <f>1+J234</f>
        <v>22</v>
      </c>
      <c r="K236" s="309">
        <v>22</v>
      </c>
    </row>
    <row r="237" spans="1:12" ht="25.15" customHeight="1">
      <c r="A237" s="76"/>
      <c r="B237" s="77"/>
      <c r="D237" s="91" t="s">
        <v>263</v>
      </c>
      <c r="E237" s="77"/>
      <c r="F237" s="78"/>
      <c r="G237" s="78"/>
      <c r="H237" s="78"/>
      <c r="I237" s="78"/>
      <c r="J237" s="84"/>
      <c r="K237" s="85"/>
    </row>
    <row r="238" spans="1:12" ht="27" customHeight="1">
      <c r="A238" s="266">
        <v>17</v>
      </c>
      <c r="B238" s="77" t="str">
        <f>'PRICES XACT IN'!C25</f>
        <v>CGN</v>
      </c>
      <c r="C238" s="77" t="str">
        <f>'PRICES XACT IN'!D25</f>
        <v>BXMS</v>
      </c>
      <c r="D238" s="125" t="str">
        <f>'PRICES XACT IN'!E25</f>
        <v>Clean misc items - per Sml box</v>
      </c>
      <c r="E238" s="125" t="str">
        <f>'PRICES XACT IN'!G25</f>
        <v>EA</v>
      </c>
      <c r="F238" s="129">
        <f>F236</f>
        <v>52</v>
      </c>
      <c r="G238" s="125">
        <f>'PRICES XACT IN'!H25</f>
        <v>51.73</v>
      </c>
      <c r="H238" s="248">
        <f>G238*F238</f>
        <v>2689.96</v>
      </c>
      <c r="I238" s="592"/>
      <c r="J238" s="270">
        <f>1+J236</f>
        <v>23</v>
      </c>
      <c r="K238" s="309">
        <v>23</v>
      </c>
    </row>
    <row r="239" spans="1:12" ht="27" customHeight="1">
      <c r="B239" s="362"/>
      <c r="C239" s="362"/>
      <c r="D239" s="81" t="s">
        <v>270</v>
      </c>
      <c r="E239" s="362"/>
      <c r="F239" s="362"/>
      <c r="G239" s="362"/>
      <c r="H239" s="362"/>
      <c r="I239" s="592"/>
      <c r="J239" s="270"/>
      <c r="K239" s="309"/>
    </row>
    <row r="240" spans="1:12" ht="27" customHeight="1">
      <c r="A240" s="266">
        <v>18</v>
      </c>
      <c r="B240" s="77" t="str">
        <f>'PRICES XACT IN'!C26</f>
        <v>CON</v>
      </c>
      <c r="C240" s="77" t="str">
        <f>'PRICES XACT IN'!D26</f>
        <v>LAB</v>
      </c>
      <c r="D240" s="125" t="str">
        <f>'PRICES XACT IN'!E26</f>
        <v>Content Manipulation charge - per hour</v>
      </c>
      <c r="E240" s="125" t="str">
        <f>'PRICES XACT IN'!G26</f>
        <v>HR</v>
      </c>
      <c r="F240" s="129">
        <f>$F$261*C242/60</f>
        <v>33.799999999999997</v>
      </c>
      <c r="G240" s="125">
        <f>'PRICES XACT IN'!H26</f>
        <v>53.11</v>
      </c>
      <c r="H240" s="125">
        <f>F240*G240</f>
        <v>1795.1179999999999</v>
      </c>
      <c r="I240" s="592"/>
      <c r="J240" s="270">
        <f>+J238+1</f>
        <v>24</v>
      </c>
      <c r="K240" s="309">
        <v>24</v>
      </c>
    </row>
    <row r="241" spans="1:11" ht="27" customHeight="1">
      <c r="A241" s="267"/>
      <c r="B241" s="77"/>
      <c r="C241" s="77"/>
      <c r="D241" s="96" t="s">
        <v>264</v>
      </c>
      <c r="E241" s="535"/>
      <c r="F241" s="535"/>
      <c r="G241" s="535"/>
      <c r="H241" s="535"/>
      <c r="I241" s="592"/>
      <c r="J241" s="270"/>
      <c r="K241" s="309"/>
    </row>
    <row r="242" spans="1:11" ht="27" customHeight="1">
      <c r="A242" s="593"/>
      <c r="B242" s="593"/>
      <c r="C242" s="133">
        <f>'Time Calc'!C7</f>
        <v>12</v>
      </c>
      <c r="D242" s="81" t="s">
        <v>265</v>
      </c>
      <c r="E242" s="535"/>
      <c r="F242" s="535"/>
      <c r="G242" s="535"/>
      <c r="H242" s="535"/>
      <c r="I242" s="592"/>
      <c r="J242" s="270"/>
      <c r="K242" s="309"/>
    </row>
    <row r="243" spans="1:11" ht="27" customHeight="1">
      <c r="A243" s="266">
        <v>19</v>
      </c>
      <c r="B243" s="77" t="str">
        <f>'PRICES XACT IN'!C27</f>
        <v>CON</v>
      </c>
      <c r="C243" s="77" t="str">
        <f>'PRICES XACT IN'!D27</f>
        <v>LAB</v>
      </c>
      <c r="D243" s="125" t="str">
        <f>'PRICES XACT IN'!E27</f>
        <v>Content Manipulation charge - per hour</v>
      </c>
      <c r="E243" s="125" t="str">
        <f>'PRICES XACT IN'!G27</f>
        <v>HR</v>
      </c>
      <c r="F243" s="129">
        <f>$F$261*C245/60</f>
        <v>33.799999999999997</v>
      </c>
      <c r="G243" s="125">
        <f>'PRICES XACT IN'!H27</f>
        <v>53.11</v>
      </c>
      <c r="H243" s="125">
        <f>F243*G243</f>
        <v>1795.1179999999999</v>
      </c>
      <c r="I243" s="592"/>
      <c r="J243" s="270">
        <f>+J240+1</f>
        <v>25</v>
      </c>
      <c r="K243" s="309">
        <v>25</v>
      </c>
    </row>
    <row r="244" spans="1:11" ht="27" customHeight="1">
      <c r="A244" s="268"/>
      <c r="B244" s="110"/>
      <c r="C244" s="77"/>
      <c r="D244" s="81" t="s">
        <v>54</v>
      </c>
      <c r="E244" s="535"/>
      <c r="F244" s="535"/>
      <c r="G244" s="535"/>
      <c r="H244" s="535"/>
      <c r="I244" s="592"/>
      <c r="J244" s="270"/>
      <c r="K244" s="309"/>
    </row>
    <row r="245" spans="1:11" ht="27" customHeight="1">
      <c r="A245" s="593"/>
      <c r="B245" s="593"/>
      <c r="C245" s="133">
        <f>'Time Calc'!C8</f>
        <v>12</v>
      </c>
      <c r="D245" s="81" t="s">
        <v>265</v>
      </c>
      <c r="E245" s="535"/>
      <c r="F245" s="535"/>
      <c r="G245" s="535"/>
      <c r="H245" s="535"/>
      <c r="I245" s="592"/>
      <c r="J245" s="270"/>
      <c r="K245" s="309"/>
    </row>
    <row r="246" spans="1:11" ht="27" customHeight="1">
      <c r="A246" s="266">
        <v>20</v>
      </c>
      <c r="B246" s="77" t="str">
        <f>'PRICES XACT IN'!C28</f>
        <v>CON</v>
      </c>
      <c r="C246" s="77" t="str">
        <f>'PRICES XACT IN'!D28</f>
        <v>LAB</v>
      </c>
      <c r="D246" s="125" t="str">
        <f>'PRICES XACT IN'!E28</f>
        <v>Content Manipulation charge - per hour</v>
      </c>
      <c r="E246" s="125" t="str">
        <f>'PRICES XACT IN'!G28</f>
        <v>HR</v>
      </c>
      <c r="F246" s="129">
        <f>$F$261*C248/60</f>
        <v>33.799999999999997</v>
      </c>
      <c r="G246" s="125">
        <f>'PRICES XACT IN'!H28</f>
        <v>53.11</v>
      </c>
      <c r="H246" s="125">
        <f>F246*G246</f>
        <v>1795.1179999999999</v>
      </c>
      <c r="I246" s="592"/>
      <c r="J246" s="270">
        <f>+J243+1</f>
        <v>26</v>
      </c>
      <c r="K246" s="309">
        <v>26</v>
      </c>
    </row>
    <row r="247" spans="1:11" ht="27" customHeight="1">
      <c r="A247" s="267"/>
      <c r="B247" s="77"/>
      <c r="C247" s="77"/>
      <c r="D247" s="81" t="s">
        <v>55</v>
      </c>
      <c r="E247" s="535"/>
      <c r="F247" s="535"/>
      <c r="G247" s="535"/>
      <c r="H247" s="535"/>
      <c r="I247" s="592"/>
      <c r="J247" s="270"/>
      <c r="K247" s="309"/>
    </row>
    <row r="248" spans="1:11" ht="27" customHeight="1">
      <c r="A248" s="593"/>
      <c r="B248" s="593"/>
      <c r="C248" s="133">
        <f>'Time Calc'!C9</f>
        <v>12</v>
      </c>
      <c r="D248" s="105" t="s">
        <v>265</v>
      </c>
      <c r="E248" s="533"/>
      <c r="F248" s="533"/>
      <c r="G248" s="533"/>
      <c r="H248" s="533"/>
      <c r="I248" s="592"/>
      <c r="J248" s="270"/>
      <c r="K248" s="309"/>
    </row>
    <row r="249" spans="1:11" ht="27" customHeight="1">
      <c r="A249" s="266">
        <v>21</v>
      </c>
      <c r="B249" s="77" t="str">
        <f>'PRICES XACT IN'!C29</f>
        <v>CON</v>
      </c>
      <c r="C249" s="77" t="str">
        <f>'PRICES XACT IN'!D29</f>
        <v>LAB</v>
      </c>
      <c r="D249" s="125" t="str">
        <f>'PRICES XACT IN'!E29</f>
        <v>Content Manipulation charge - per hour</v>
      </c>
      <c r="E249" s="125" t="str">
        <f>'PRICES XACT IN'!G29</f>
        <v>HR</v>
      </c>
      <c r="F249" s="129">
        <f>$F$261*C251/60</f>
        <v>33.799999999999997</v>
      </c>
      <c r="G249" s="125">
        <f>'PRICES XACT IN'!H29</f>
        <v>53.11</v>
      </c>
      <c r="H249" s="125">
        <f>F249*G249</f>
        <v>1795.1179999999999</v>
      </c>
      <c r="I249" s="592"/>
      <c r="J249" s="270">
        <f>+J246+1</f>
        <v>27</v>
      </c>
      <c r="K249" s="309">
        <v>27</v>
      </c>
    </row>
    <row r="250" spans="1:11" ht="27" customHeight="1">
      <c r="A250" s="267"/>
      <c r="B250" s="77"/>
      <c r="D250" s="81" t="s">
        <v>56</v>
      </c>
      <c r="E250" s="127"/>
      <c r="F250" s="534"/>
      <c r="G250" s="534"/>
      <c r="H250" s="534"/>
      <c r="I250" s="592"/>
      <c r="J250" s="270"/>
      <c r="K250" s="309"/>
    </row>
    <row r="251" spans="1:11" ht="27" customHeight="1">
      <c r="A251" s="524"/>
      <c r="B251" s="524"/>
      <c r="C251" s="133">
        <f>'Time Calc'!C10</f>
        <v>12</v>
      </c>
      <c r="D251" s="81" t="s">
        <v>265</v>
      </c>
      <c r="E251" s="132"/>
      <c r="F251" s="534"/>
      <c r="G251" s="534"/>
      <c r="H251" s="534"/>
      <c r="I251" s="592"/>
      <c r="J251" s="270"/>
      <c r="K251" s="309"/>
    </row>
    <row r="252" spans="1:11" ht="27" customHeight="1">
      <c r="A252" s="266">
        <v>22</v>
      </c>
      <c r="B252" s="77" t="str">
        <f>'PRICES XACT IN'!C30</f>
        <v>CON</v>
      </c>
      <c r="C252" s="77" t="str">
        <f>'PRICES XACT IN'!D30</f>
        <v>LAB</v>
      </c>
      <c r="D252" s="125" t="str">
        <f>'PRICES XACT IN'!E30</f>
        <v>Content Manipulation charge - per hour</v>
      </c>
      <c r="E252" s="125" t="str">
        <f>'PRICES XACT IN'!G30</f>
        <v>HR</v>
      </c>
      <c r="F252" s="128">
        <f>$F$261*C254/60</f>
        <v>8.4499999999999993</v>
      </c>
      <c r="G252" s="125">
        <f>'PRICES XACT IN'!H30</f>
        <v>53.11</v>
      </c>
      <c r="H252" s="125">
        <f>F252*G252</f>
        <v>448.77949999999998</v>
      </c>
      <c r="I252" s="592"/>
      <c r="J252" s="270">
        <f>+J249+1</f>
        <v>28</v>
      </c>
      <c r="K252" s="309">
        <v>28</v>
      </c>
    </row>
    <row r="253" spans="1:11" ht="27" customHeight="1">
      <c r="A253" s="267"/>
      <c r="B253" s="77"/>
      <c r="D253" s="81" t="s">
        <v>266</v>
      </c>
      <c r="E253" s="535"/>
      <c r="F253" s="535"/>
      <c r="G253" s="535"/>
      <c r="H253" s="535"/>
      <c r="I253" s="592"/>
      <c r="J253" s="270"/>
      <c r="K253" s="309"/>
    </row>
    <row r="254" spans="1:11" ht="27" customHeight="1">
      <c r="A254" s="524"/>
      <c r="B254" s="524"/>
      <c r="C254" s="133">
        <f>'Time Calc'!C11</f>
        <v>3</v>
      </c>
      <c r="D254" s="81" t="s">
        <v>265</v>
      </c>
      <c r="E254" s="535"/>
      <c r="F254" s="535"/>
      <c r="G254" s="535"/>
      <c r="H254" s="535"/>
      <c r="I254" s="592"/>
      <c r="J254" s="270"/>
      <c r="K254" s="309"/>
    </row>
    <row r="255" spans="1:11" ht="27" customHeight="1">
      <c r="A255" s="266">
        <v>17</v>
      </c>
      <c r="B255" s="77" t="str">
        <f>'PRICES XACT IN'!C31</f>
        <v>CON</v>
      </c>
      <c r="C255" s="77" t="str">
        <f>'PRICES XACT IN'!D31</f>
        <v>LAB</v>
      </c>
      <c r="D255" s="125" t="str">
        <f>'PRICES XACT IN'!E31</f>
        <v>Content Manipulation charge - per hour</v>
      </c>
      <c r="E255" s="125" t="str">
        <f>'PRICES XACT IN'!G31</f>
        <v>HR</v>
      </c>
      <c r="F255" s="129">
        <f>$F$261*C257/60</f>
        <v>1.69</v>
      </c>
      <c r="G255" s="125">
        <f>'PRICES XACT IN'!H31</f>
        <v>53.11</v>
      </c>
      <c r="H255" s="125">
        <f>'PRICES XACT IN'!H29</f>
        <v>53.11</v>
      </c>
      <c r="I255" s="592"/>
      <c r="J255" s="270">
        <f>+J252+1</f>
        <v>29</v>
      </c>
      <c r="K255" s="309">
        <v>29</v>
      </c>
    </row>
    <row r="256" spans="1:11" ht="27" customHeight="1">
      <c r="A256" s="267"/>
      <c r="B256" s="77"/>
      <c r="D256" s="81" t="s">
        <v>267</v>
      </c>
      <c r="E256" s="535"/>
      <c r="F256" s="535"/>
      <c r="G256" s="535"/>
      <c r="H256" s="535"/>
      <c r="I256" s="592"/>
      <c r="J256" s="84"/>
      <c r="K256" s="85"/>
    </row>
    <row r="257" spans="1:14" ht="27" customHeight="1">
      <c r="A257" s="524"/>
      <c r="B257" s="524"/>
      <c r="C257" s="133">
        <f>'Time Calc'!C12</f>
        <v>0.6</v>
      </c>
      <c r="D257" s="81" t="s">
        <v>265</v>
      </c>
      <c r="E257" s="535"/>
      <c r="F257" s="535"/>
      <c r="G257" s="535"/>
      <c r="H257" s="535"/>
      <c r="I257" s="592"/>
      <c r="J257" s="84"/>
      <c r="K257" s="85"/>
    </row>
    <row r="258" spans="1:14" ht="27" customHeight="1">
      <c r="A258" s="267">
        <v>24</v>
      </c>
      <c r="B258" s="77"/>
      <c r="C258" s="124"/>
      <c r="D258" s="131" t="s">
        <v>96</v>
      </c>
      <c r="E258" s="436" t="s">
        <v>268</v>
      </c>
      <c r="F258" s="437"/>
      <c r="G258" s="437"/>
      <c r="H258" s="89">
        <f>SUM(H238:H256)</f>
        <v>10372.321500000002</v>
      </c>
      <c r="I258" s="592"/>
      <c r="J258" s="84"/>
      <c r="K258" s="85"/>
    </row>
    <row r="259" spans="1:14" ht="27" customHeight="1">
      <c r="A259" s="76">
        <v>4</v>
      </c>
      <c r="B259" s="536" t="s">
        <v>226</v>
      </c>
      <c r="C259" s="77"/>
      <c r="D259" s="281" t="s">
        <v>97</v>
      </c>
      <c r="E259" s="77"/>
      <c r="F259" s="76"/>
      <c r="G259" s="78"/>
      <c r="H259" s="78"/>
      <c r="I259" s="78"/>
      <c r="J259" s="84"/>
      <c r="K259" s="85"/>
    </row>
    <row r="260" spans="1:14" ht="27" customHeight="1">
      <c r="A260" s="264" t="s">
        <v>228</v>
      </c>
      <c r="B260" s="537"/>
      <c r="C260" s="83" t="s">
        <v>229</v>
      </c>
      <c r="D260" s="341" t="s">
        <v>230</v>
      </c>
      <c r="E260" s="273" t="s">
        <v>231</v>
      </c>
      <c r="F260" s="126" t="s">
        <v>232</v>
      </c>
      <c r="G260" s="126" t="s">
        <v>233</v>
      </c>
      <c r="H260" s="126" t="s">
        <v>234</v>
      </c>
      <c r="I260" s="78"/>
      <c r="J260" s="269" t="s">
        <v>269</v>
      </c>
      <c r="K260" s="310" t="s">
        <v>269</v>
      </c>
    </row>
    <row r="261" spans="1:14" ht="27" customHeight="1">
      <c r="A261" s="76">
        <v>18</v>
      </c>
      <c r="B261" s="77" t="str">
        <f>'PRICES XACT IN'!C33</f>
        <v>CPS</v>
      </c>
      <c r="C261" s="77" t="str">
        <f>'PRICES XACT IN'!D33</f>
        <v>BX</v>
      </c>
      <c r="D261" s="88" t="str">
        <f>'PRICES XACT IN'!E33</f>
        <v>Provide box, packing paper &amp; tape - medium size</v>
      </c>
      <c r="E261" s="88" t="str">
        <f>'PRICES XACT IN'!G33</f>
        <v>EA</v>
      </c>
      <c r="F261" s="272">
        <f>INDEX('Box Summary'!C:C, MATCH("*Total*", 'Box Summary'!A:A, 0))</f>
        <v>169</v>
      </c>
      <c r="G261" s="88">
        <f>'PRICES XACT IN'!H33</f>
        <v>3.87</v>
      </c>
      <c r="H261" s="130">
        <f>F261*G261</f>
        <v>654.03</v>
      </c>
      <c r="I261" s="88"/>
      <c r="J261" s="270">
        <f>1+J255</f>
        <v>30</v>
      </c>
      <c r="K261" s="309">
        <v>30</v>
      </c>
      <c r="L261" s="272" t="str">
        <f>'Box Summary'!$C$5</f>
        <v>Medium Box</v>
      </c>
    </row>
    <row r="262" spans="1:14" ht="27" customHeight="1">
      <c r="A262" s="524"/>
      <c r="B262" s="524"/>
      <c r="C262" s="524"/>
      <c r="D262" s="79" t="s">
        <v>262</v>
      </c>
      <c r="E262" s="77"/>
      <c r="F262" s="78"/>
      <c r="G262" s="78"/>
      <c r="H262" s="78"/>
      <c r="I262" s="78"/>
      <c r="J262" s="271"/>
      <c r="K262" s="311"/>
      <c r="L262" s="88"/>
    </row>
    <row r="263" spans="1:14" ht="27" customHeight="1">
      <c r="A263" s="76">
        <v>19</v>
      </c>
      <c r="B263" s="77" t="str">
        <f>'PRICES XACT IN'!C34</f>
        <v>CPS</v>
      </c>
      <c r="C263" s="77" t="str">
        <f>'PRICES XACT IN'!D34</f>
        <v>BXMME</v>
      </c>
      <c r="D263" s="88" t="str">
        <f>'PRICES XACT IN'!E34</f>
        <v>Evaluate pack &amp; inventory misc items - per Med box</v>
      </c>
      <c r="E263" s="88" t="str">
        <f>'PRICES XACT IN'!G34</f>
        <v>EA</v>
      </c>
      <c r="F263" s="272">
        <f>'Box Summary'!$C$34</f>
        <v>169</v>
      </c>
      <c r="G263" s="88">
        <f>'PRICES XACT IN'!H34</f>
        <v>16.63</v>
      </c>
      <c r="H263" s="130">
        <f>F263*G263</f>
        <v>2810.47</v>
      </c>
      <c r="I263" s="88"/>
      <c r="J263" s="270">
        <f>+J261+1</f>
        <v>31</v>
      </c>
      <c r="K263" s="309">
        <v>31</v>
      </c>
    </row>
    <row r="264" spans="1:14" ht="27" customHeight="1">
      <c r="A264" s="524"/>
      <c r="B264" s="524"/>
      <c r="C264" s="524"/>
      <c r="D264" s="91" t="s">
        <v>263</v>
      </c>
      <c r="E264" s="77"/>
      <c r="F264" s="78"/>
      <c r="G264" s="78"/>
      <c r="H264" s="88"/>
      <c r="I264" s="78"/>
      <c r="J264" s="270"/>
      <c r="K264" s="309"/>
      <c r="M264" s="86"/>
      <c r="N264" s="86"/>
    </row>
    <row r="265" spans="1:14" ht="27" customHeight="1">
      <c r="A265" s="76">
        <v>20</v>
      </c>
      <c r="B265" s="77" t="str">
        <f>'PRICES XACT IN'!C35</f>
        <v>CGN</v>
      </c>
      <c r="C265" s="77" t="str">
        <f>'PRICES XACT IN'!D35</f>
        <v>BXMM</v>
      </c>
      <c r="D265" s="88" t="str">
        <f>'PRICES XACT IN'!E35</f>
        <v>Clean misc items - per Med box</v>
      </c>
      <c r="E265" s="88" t="str">
        <f>'PRICES XACT IN'!G35</f>
        <v>EA</v>
      </c>
      <c r="F265" s="76">
        <f>F263</f>
        <v>169</v>
      </c>
      <c r="G265" s="88">
        <f>'PRICES XACT IN'!H35</f>
        <v>62.04</v>
      </c>
      <c r="H265" s="89">
        <f>F265*G265</f>
        <v>10484.76</v>
      </c>
      <c r="I265" s="88"/>
      <c r="J265" s="270">
        <f>+J263+1</f>
        <v>32</v>
      </c>
      <c r="K265" s="309">
        <v>32</v>
      </c>
    </row>
    <row r="266" spans="1:14" ht="27" customHeight="1">
      <c r="A266" s="524"/>
      <c r="B266" s="524"/>
      <c r="C266" s="524"/>
      <c r="D266" s="81" t="s">
        <v>270</v>
      </c>
      <c r="E266" s="77"/>
      <c r="F266" s="78"/>
      <c r="G266" s="78"/>
      <c r="H266" s="89"/>
      <c r="I266" s="78"/>
      <c r="J266" s="270"/>
      <c r="K266" s="309"/>
      <c r="L266" s="88"/>
      <c r="M266" s="86"/>
      <c r="N266" s="86"/>
    </row>
    <row r="267" spans="1:14" ht="27" customHeight="1">
      <c r="A267" s="76">
        <v>21</v>
      </c>
      <c r="B267" s="77" t="str">
        <f>'PRICES XACT IN'!C36</f>
        <v>CON</v>
      </c>
      <c r="C267" s="77" t="str">
        <f>'PRICES XACT IN'!D36</f>
        <v>LAB</v>
      </c>
      <c r="D267" s="88" t="str">
        <f>'PRICES XACT IN'!E36</f>
        <v>Content Manipulation charge - per hour</v>
      </c>
      <c r="E267" s="88" t="str">
        <f>'PRICES XACT IN'!G36</f>
        <v>HR</v>
      </c>
      <c r="F267" s="129">
        <f>$F$261*C269/60</f>
        <v>56.333333333333336</v>
      </c>
      <c r="G267" s="88">
        <f>'PRICES XACT IN'!H36</f>
        <v>53.11</v>
      </c>
      <c r="H267" s="89">
        <f>F267*G267</f>
        <v>2991.8633333333332</v>
      </c>
      <c r="I267" s="88"/>
      <c r="J267" s="270">
        <f>+J265+1</f>
        <v>33</v>
      </c>
      <c r="K267" s="309">
        <v>33</v>
      </c>
    </row>
    <row r="268" spans="1:14" ht="27" customHeight="1">
      <c r="A268" s="524"/>
      <c r="B268" s="524"/>
      <c r="D268" s="81" t="s">
        <v>264</v>
      </c>
      <c r="E268" s="77"/>
      <c r="F268" s="78"/>
      <c r="G268" s="78"/>
      <c r="H268" s="90"/>
      <c r="I268" s="78"/>
      <c r="J268" s="270"/>
      <c r="K268" s="309"/>
      <c r="L268" s="88"/>
      <c r="M268" s="86"/>
      <c r="N268" s="86"/>
    </row>
    <row r="269" spans="1:14" ht="27" customHeight="1">
      <c r="A269" s="524"/>
      <c r="B269" s="524"/>
      <c r="C269" s="133">
        <f>'Time Calc'!F7</f>
        <v>20</v>
      </c>
      <c r="D269" s="81" t="s">
        <v>265</v>
      </c>
      <c r="E269" s="98"/>
      <c r="F269" s="78"/>
      <c r="G269" s="78"/>
      <c r="H269" s="90"/>
      <c r="I269" s="78"/>
      <c r="J269" s="270"/>
      <c r="K269" s="309"/>
      <c r="M269" s="86"/>
      <c r="N269" s="86"/>
    </row>
    <row r="270" spans="1:14" ht="27" customHeight="1">
      <c r="A270" s="76">
        <v>22</v>
      </c>
      <c r="B270" s="77" t="str">
        <f>'PRICES XACT IN'!C37</f>
        <v>CON</v>
      </c>
      <c r="C270" s="77" t="str">
        <f>'PRICES XACT IN'!D37</f>
        <v>LAB</v>
      </c>
      <c r="D270" s="88" t="str">
        <f>'PRICES XACT IN'!E37</f>
        <v>Content Manipulation charge - per hour</v>
      </c>
      <c r="E270" s="88" t="str">
        <f>'PRICES XACT IN'!G37</f>
        <v>HR</v>
      </c>
      <c r="F270" s="129">
        <f>$F$261*C272/60</f>
        <v>56.333333333333336</v>
      </c>
      <c r="G270" s="88">
        <f>'PRICES XACT IN'!H37</f>
        <v>53.11</v>
      </c>
      <c r="H270" s="89">
        <f>F270*G270</f>
        <v>2991.8633333333332</v>
      </c>
      <c r="I270" s="88"/>
      <c r="J270" s="270">
        <f>+J267+1</f>
        <v>34</v>
      </c>
      <c r="K270" s="309">
        <v>34</v>
      </c>
    </row>
    <row r="271" spans="1:14" ht="27" customHeight="1">
      <c r="A271" s="524"/>
      <c r="B271" s="524"/>
      <c r="D271" s="81" t="s">
        <v>271</v>
      </c>
      <c r="E271" s="77"/>
      <c r="F271" s="78"/>
      <c r="G271" s="78"/>
      <c r="H271" s="89"/>
      <c r="I271" s="78"/>
      <c r="J271" s="270"/>
      <c r="K271" s="309"/>
      <c r="M271" s="86"/>
      <c r="N271" s="86"/>
    </row>
    <row r="272" spans="1:14" ht="27" customHeight="1">
      <c r="A272" s="524"/>
      <c r="B272" s="524"/>
      <c r="C272" s="133">
        <f>'Time Calc'!F8</f>
        <v>20</v>
      </c>
      <c r="D272" s="81" t="s">
        <v>265</v>
      </c>
      <c r="E272" s="98"/>
      <c r="F272" s="78"/>
      <c r="G272" s="78"/>
      <c r="H272" s="89"/>
      <c r="I272" s="78"/>
      <c r="J272" s="270"/>
      <c r="K272" s="309"/>
      <c r="M272" s="86"/>
      <c r="N272" s="86"/>
    </row>
    <row r="273" spans="1:14" ht="27" customHeight="1">
      <c r="A273" s="76">
        <v>23</v>
      </c>
      <c r="B273" s="77" t="str">
        <f>'PRICES XACT IN'!C38</f>
        <v>CON</v>
      </c>
      <c r="C273" s="77" t="str">
        <f>'PRICES XACT IN'!D38</f>
        <v>LAB</v>
      </c>
      <c r="D273" s="88" t="str">
        <f>'PRICES XACT IN'!E38</f>
        <v>Content Manipulation charge - per hour</v>
      </c>
      <c r="E273" s="88" t="str">
        <f>'PRICES XACT IN'!G38</f>
        <v>HR</v>
      </c>
      <c r="F273" s="129">
        <f>$F$261*C275/60</f>
        <v>56.333333333333336</v>
      </c>
      <c r="G273" s="88">
        <f>'PRICES XACT IN'!H38</f>
        <v>53.11</v>
      </c>
      <c r="H273" s="89">
        <f>F273*G273</f>
        <v>2991.8633333333332</v>
      </c>
      <c r="I273" s="88"/>
      <c r="J273" s="270">
        <f>+J270+1</f>
        <v>35</v>
      </c>
      <c r="K273" s="309">
        <v>35</v>
      </c>
    </row>
    <row r="274" spans="1:14" ht="27" customHeight="1">
      <c r="A274" s="524"/>
      <c r="B274" s="524"/>
      <c r="D274" s="81" t="s">
        <v>55</v>
      </c>
      <c r="E274" s="77"/>
      <c r="F274" s="78"/>
      <c r="G274" s="78"/>
      <c r="H274" s="89"/>
      <c r="I274" s="78"/>
      <c r="J274" s="270"/>
      <c r="K274" s="309"/>
      <c r="M274" s="86"/>
      <c r="N274" s="86"/>
    </row>
    <row r="275" spans="1:14" ht="27" customHeight="1">
      <c r="A275" s="524"/>
      <c r="B275" s="524"/>
      <c r="C275" s="133">
        <f>'Time Calc'!F9</f>
        <v>20</v>
      </c>
      <c r="D275" s="81" t="s">
        <v>265</v>
      </c>
      <c r="E275" s="98"/>
      <c r="F275" s="78"/>
      <c r="G275" s="78"/>
      <c r="H275" s="89"/>
      <c r="I275" s="78"/>
      <c r="J275" s="270"/>
      <c r="K275" s="309"/>
      <c r="M275" s="86"/>
      <c r="N275" s="86"/>
    </row>
    <row r="276" spans="1:14" ht="27" customHeight="1">
      <c r="A276" s="76">
        <v>24</v>
      </c>
      <c r="B276" s="77" t="str">
        <f>'PRICES XACT IN'!C39</f>
        <v>CON</v>
      </c>
      <c r="C276" s="77" t="str">
        <f>'PRICES XACT IN'!D39</f>
        <v>LAB</v>
      </c>
      <c r="D276" s="78" t="str">
        <f>'PRICES XACT IN'!E39</f>
        <v>Content Manipulation charge - per hour</v>
      </c>
      <c r="E276" s="77" t="str">
        <f>'PRICES XACT IN'!G39</f>
        <v>HR</v>
      </c>
      <c r="F276" s="129">
        <f>$F$261*C278/60</f>
        <v>56.333333333333336</v>
      </c>
      <c r="G276" s="88">
        <f>'PRICES XACT IN'!H39</f>
        <v>53.11</v>
      </c>
      <c r="H276" s="89">
        <f>F276*G276</f>
        <v>2991.8633333333332</v>
      </c>
      <c r="I276" s="88"/>
      <c r="J276" s="270">
        <f>+J273+1</f>
        <v>36</v>
      </c>
      <c r="K276" s="309">
        <v>36</v>
      </c>
    </row>
    <row r="277" spans="1:14" ht="27" customHeight="1">
      <c r="A277" s="524"/>
      <c r="B277" s="524"/>
      <c r="C277" s="524"/>
      <c r="D277" s="81" t="s">
        <v>272</v>
      </c>
      <c r="E277" s="77"/>
      <c r="F277" s="78"/>
      <c r="G277" s="78"/>
      <c r="H277" s="89"/>
      <c r="I277" s="78"/>
      <c r="J277" s="270"/>
      <c r="K277" s="309"/>
      <c r="M277" s="86"/>
      <c r="N277" s="86"/>
    </row>
    <row r="278" spans="1:14" ht="27" customHeight="1">
      <c r="A278" s="524"/>
      <c r="B278" s="524"/>
      <c r="C278" s="133">
        <f>'Time Calc'!F10</f>
        <v>20</v>
      </c>
      <c r="D278" s="81" t="s">
        <v>265</v>
      </c>
      <c r="E278" s="98"/>
      <c r="F278" s="78"/>
      <c r="G278" s="78"/>
      <c r="H278" s="89"/>
      <c r="I278" s="78"/>
      <c r="J278" s="270"/>
      <c r="K278" s="309"/>
      <c r="M278" s="86"/>
      <c r="N278" s="86"/>
    </row>
    <row r="279" spans="1:14" ht="27" customHeight="1">
      <c r="A279" s="76">
        <v>25</v>
      </c>
      <c r="B279" s="77" t="str">
        <f>'PRICES XACT IN'!C40</f>
        <v>CON</v>
      </c>
      <c r="C279" s="77" t="str">
        <f>'PRICES XACT IN'!D40</f>
        <v>LAB</v>
      </c>
      <c r="D279" s="78" t="str">
        <f>'PRICES XACT IN'!E40</f>
        <v>Content Manipulation charge - per hour</v>
      </c>
      <c r="E279" s="77" t="str">
        <f>'PRICES XACT IN'!G40</f>
        <v>HR</v>
      </c>
      <c r="F279" s="129">
        <f>$F$261*C281/60</f>
        <v>56.333333333333336</v>
      </c>
      <c r="G279" s="88">
        <f>'PRICES XACT IN'!H40</f>
        <v>53.11</v>
      </c>
      <c r="H279" s="89">
        <f>F279*G279</f>
        <v>2991.8633333333332</v>
      </c>
      <c r="I279" s="88"/>
      <c r="J279" s="270">
        <f>+J276+1</f>
        <v>37</v>
      </c>
      <c r="K279" s="309">
        <v>37</v>
      </c>
    </row>
    <row r="280" spans="1:14" ht="27" customHeight="1">
      <c r="A280" s="524"/>
      <c r="B280" s="524"/>
      <c r="D280" s="81" t="s">
        <v>266</v>
      </c>
      <c r="E280" s="77"/>
      <c r="F280" s="78"/>
      <c r="G280" s="78"/>
      <c r="H280" s="89"/>
      <c r="I280" s="78"/>
      <c r="J280" s="270"/>
      <c r="K280" s="309"/>
      <c r="M280" s="86"/>
      <c r="N280" s="86"/>
    </row>
    <row r="281" spans="1:14" ht="27" customHeight="1">
      <c r="A281" s="524"/>
      <c r="B281" s="524"/>
      <c r="C281" s="133">
        <f>'Time Calc'!F11</f>
        <v>20</v>
      </c>
      <c r="D281" s="81" t="s">
        <v>265</v>
      </c>
      <c r="E281" s="98"/>
      <c r="F281" s="78"/>
      <c r="G281" s="78"/>
      <c r="H281" s="89"/>
      <c r="I281" s="78"/>
      <c r="J281" s="270"/>
      <c r="K281" s="309"/>
      <c r="M281" s="86"/>
      <c r="N281" s="86"/>
    </row>
    <row r="282" spans="1:14" ht="27" customHeight="1">
      <c r="A282" s="76">
        <v>26</v>
      </c>
      <c r="B282" s="77" t="str">
        <f>'PRICES XACT IN'!C41</f>
        <v>CON</v>
      </c>
      <c r="C282" s="77" t="str">
        <f>'PRICES XACT IN'!D41</f>
        <v>LAB</v>
      </c>
      <c r="D282" s="78" t="str">
        <f>'PRICES XACT IN'!E41</f>
        <v>Content Manipulation charge - per hour</v>
      </c>
      <c r="E282" s="77" t="str">
        <f>'PRICES XACT IN'!G41</f>
        <v>HR</v>
      </c>
      <c r="F282" s="129">
        <f>$F$261*C284/60</f>
        <v>28.166666666666668</v>
      </c>
      <c r="G282" s="88">
        <f>'PRICES XACT IN'!H41</f>
        <v>53.11</v>
      </c>
      <c r="H282" s="89">
        <f>F282*G282</f>
        <v>1495.9316666666666</v>
      </c>
      <c r="I282" s="88"/>
      <c r="J282" s="270">
        <f>+J279+1</f>
        <v>38</v>
      </c>
      <c r="K282" s="309">
        <v>38</v>
      </c>
    </row>
    <row r="283" spans="1:14" ht="27" customHeight="1">
      <c r="A283" s="524"/>
      <c r="B283" s="524"/>
      <c r="D283" s="81" t="s">
        <v>267</v>
      </c>
      <c r="E283" s="77"/>
      <c r="F283" s="78"/>
      <c r="G283" s="78"/>
      <c r="H283" s="89"/>
      <c r="I283" s="78"/>
      <c r="J283" s="84"/>
      <c r="K283" s="85"/>
      <c r="M283" s="86"/>
      <c r="N283" s="86"/>
    </row>
    <row r="284" spans="1:14" ht="27" customHeight="1">
      <c r="A284" s="524"/>
      <c r="B284" s="524"/>
      <c r="C284" s="133">
        <f>'Time Calc'!F12</f>
        <v>10</v>
      </c>
      <c r="D284" s="81" t="s">
        <v>265</v>
      </c>
      <c r="E284" s="98"/>
      <c r="F284" s="78"/>
      <c r="G284" s="88"/>
      <c r="I284" s="88"/>
      <c r="J284" s="84"/>
      <c r="K284" s="85"/>
    </row>
    <row r="285" spans="1:14" ht="27" customHeight="1">
      <c r="A285" s="76">
        <v>27</v>
      </c>
      <c r="B285" s="77"/>
      <c r="D285" s="131" t="s">
        <v>97</v>
      </c>
      <c r="E285" s="436" t="s">
        <v>268</v>
      </c>
      <c r="G285" s="78"/>
      <c r="H285" s="89">
        <f>SUM(H261:H283)</f>
        <v>30404.508333333339</v>
      </c>
      <c r="I285" s="89">
        <f>SUM(H261:H283)</f>
        <v>30404.508333333339</v>
      </c>
      <c r="J285" s="84"/>
      <c r="K285" s="85"/>
    </row>
    <row r="286" spans="1:14" ht="27" customHeight="1">
      <c r="A286" s="76">
        <v>5</v>
      </c>
      <c r="B286" s="536" t="s">
        <v>226</v>
      </c>
      <c r="C286" s="77"/>
      <c r="D286" s="251" t="s">
        <v>681</v>
      </c>
      <c r="E286" s="77"/>
      <c r="F286" s="78"/>
      <c r="G286" s="78"/>
      <c r="H286" s="78"/>
      <c r="I286" s="78"/>
      <c r="J286" s="84"/>
      <c r="K286" s="85"/>
    </row>
    <row r="287" spans="1:14" ht="27" customHeight="1">
      <c r="A287" s="82" t="s">
        <v>228</v>
      </c>
      <c r="B287" s="537"/>
      <c r="C287" s="83" t="s">
        <v>229</v>
      </c>
      <c r="D287" s="82" t="s">
        <v>230</v>
      </c>
      <c r="E287" s="82" t="s">
        <v>231</v>
      </c>
      <c r="F287" s="82" t="s">
        <v>232</v>
      </c>
      <c r="G287" s="82" t="s">
        <v>233</v>
      </c>
      <c r="H287" s="83" t="s">
        <v>234</v>
      </c>
      <c r="I287" s="78"/>
      <c r="J287" s="269"/>
      <c r="K287" s="310"/>
    </row>
    <row r="288" spans="1:14" ht="27" customHeight="1">
      <c r="A288" s="76">
        <v>28</v>
      </c>
      <c r="B288" s="77" t="str">
        <f>'PRICES XACT IN'!C43</f>
        <v>CPS</v>
      </c>
      <c r="C288" s="77" t="str">
        <f>'PRICES XACT IN'!D43</f>
        <v>BX&gt;</v>
      </c>
      <c r="D288" s="78" t="str">
        <f>'PRICES XACT IN'!E43</f>
        <v>Provide box, packing paper &amp; tape - large size</v>
      </c>
      <c r="E288" s="77" t="str">
        <f>'PRICES XACT IN'!G43</f>
        <v>EA</v>
      </c>
      <c r="F288" s="93">
        <f>INDEX('Box Summary'!D:D, MATCH("*Total*", 'Box Summary'!A:A, 0))</f>
        <v>9</v>
      </c>
      <c r="G288" s="88">
        <f>'PRICES XACT IN'!H43</f>
        <v>5.23</v>
      </c>
      <c r="H288" s="89">
        <f>F288*G288</f>
        <v>47.070000000000007</v>
      </c>
      <c r="I288" s="78"/>
      <c r="J288" s="270">
        <f>1+J282</f>
        <v>39</v>
      </c>
      <c r="K288" s="309"/>
      <c r="L288" s="93" t="str">
        <f>'Box Summary'!$D$5</f>
        <v>Large Box</v>
      </c>
    </row>
    <row r="289" spans="1:11" ht="27" customHeight="1">
      <c r="A289" s="92"/>
      <c r="B289" s="93"/>
      <c r="D289" s="94" t="s">
        <v>262</v>
      </c>
      <c r="E289" s="93"/>
      <c r="F289" s="78"/>
      <c r="G289" s="78"/>
      <c r="H289" s="88"/>
      <c r="I289" s="78"/>
      <c r="J289" s="271"/>
      <c r="K289" s="311"/>
    </row>
    <row r="290" spans="1:11" ht="27" customHeight="1">
      <c r="A290" s="76">
        <v>29</v>
      </c>
      <c r="B290" s="77" t="str">
        <f>'PRICES XACT IN'!C44</f>
        <v>CPS</v>
      </c>
      <c r="C290" s="77" t="str">
        <f>'PRICES XACT IN'!D44</f>
        <v>BXMLE</v>
      </c>
      <c r="D290" s="78" t="str">
        <f>'PRICES XACT IN'!E44</f>
        <v>Evaluate pack &amp; inventory misc items - per Lg box</v>
      </c>
      <c r="E290" s="77" t="str">
        <f>'PRICES XACT IN'!G44</f>
        <v>EA</v>
      </c>
      <c r="F290" s="76">
        <f>F288</f>
        <v>9</v>
      </c>
      <c r="G290" s="88">
        <f>'PRICES XACT IN'!H44</f>
        <v>21.17</v>
      </c>
      <c r="H290" s="89">
        <f>F290*G290</f>
        <v>190.53000000000003</v>
      </c>
      <c r="I290" s="78"/>
      <c r="J290" s="270">
        <f>+J288+1</f>
        <v>40</v>
      </c>
      <c r="K290" s="309"/>
    </row>
    <row r="291" spans="1:11" ht="27" customHeight="1">
      <c r="A291" s="92"/>
      <c r="B291" s="93"/>
      <c r="D291" s="95" t="s">
        <v>263</v>
      </c>
      <c r="E291" s="93"/>
      <c r="F291" s="76"/>
      <c r="G291" s="78"/>
      <c r="H291" s="89"/>
      <c r="I291" s="78"/>
      <c r="J291" s="270"/>
      <c r="K291" s="309"/>
    </row>
    <row r="292" spans="1:11" ht="27" customHeight="1">
      <c r="A292" s="76">
        <v>30</v>
      </c>
      <c r="B292" s="77" t="str">
        <f>'PRICES XACT IN'!C45</f>
        <v>CGN</v>
      </c>
      <c r="C292" s="77" t="str">
        <f>'PRICES XACT IN'!D45</f>
        <v>BXML</v>
      </c>
      <c r="D292" s="78" t="str">
        <f>'PRICES XACT IN'!E45</f>
        <v>Clean misc items - per Lg box</v>
      </c>
      <c r="E292" s="77" t="str">
        <f>'PRICES XACT IN'!G45</f>
        <v>EA</v>
      </c>
      <c r="F292" s="76">
        <f>F290</f>
        <v>9</v>
      </c>
      <c r="G292" s="88">
        <f>'PRICES XACT IN'!H45</f>
        <v>77.52</v>
      </c>
      <c r="H292" s="89">
        <f>F292*G292</f>
        <v>697.68</v>
      </c>
      <c r="I292" s="78"/>
      <c r="J292" s="270">
        <f>+J290+1</f>
        <v>41</v>
      </c>
      <c r="K292" s="309"/>
    </row>
    <row r="293" spans="1:11" ht="27" customHeight="1">
      <c r="A293" s="92"/>
      <c r="B293" s="93"/>
      <c r="D293" s="96" t="s">
        <v>270</v>
      </c>
      <c r="E293" s="93"/>
      <c r="F293" s="78"/>
      <c r="G293" s="78"/>
      <c r="H293" s="90"/>
      <c r="I293" s="78"/>
      <c r="J293" s="270"/>
      <c r="K293" s="309"/>
    </row>
    <row r="294" spans="1:11" ht="27" customHeight="1">
      <c r="A294" s="76">
        <v>31</v>
      </c>
      <c r="B294" s="77" t="str">
        <f>'PRICES XACT IN'!C46</f>
        <v>CON</v>
      </c>
      <c r="C294" s="77" t="str">
        <f>'PRICES XACT IN'!D46</f>
        <v>LAB</v>
      </c>
      <c r="D294" s="78" t="str">
        <f>'PRICES XACT IN'!E46</f>
        <v>Content Manipulation charge - per hour</v>
      </c>
      <c r="E294" s="77" t="str">
        <f>'PRICES XACT IN'!G46</f>
        <v>HR</v>
      </c>
      <c r="F294" s="76">
        <f>C296*F288/60</f>
        <v>4.5</v>
      </c>
      <c r="G294" s="88">
        <f>'PRICES XACT IN'!H46</f>
        <v>53.11</v>
      </c>
      <c r="H294" s="89">
        <f>F294*G294</f>
        <v>238.995</v>
      </c>
      <c r="I294" s="78"/>
      <c r="J294" s="270">
        <f>+J292+1</f>
        <v>42</v>
      </c>
      <c r="K294" s="309"/>
    </row>
    <row r="295" spans="1:11" ht="27" customHeight="1">
      <c r="A295" s="530"/>
      <c r="B295" s="530"/>
      <c r="D295" s="96" t="s">
        <v>264</v>
      </c>
      <c r="E295" s="93"/>
      <c r="F295" s="76"/>
      <c r="G295" s="78"/>
      <c r="H295" s="89"/>
      <c r="I295" s="78"/>
      <c r="J295" s="270"/>
      <c r="K295" s="309"/>
    </row>
    <row r="296" spans="1:11" ht="27" customHeight="1">
      <c r="A296" s="530"/>
      <c r="B296" s="530"/>
      <c r="C296" s="133">
        <f>'Time Calc'!I7</f>
        <v>30</v>
      </c>
      <c r="D296" s="81" t="s">
        <v>265</v>
      </c>
      <c r="E296" s="98"/>
      <c r="F296" s="76"/>
      <c r="G296" s="78"/>
      <c r="H296" s="89"/>
      <c r="I296" s="78"/>
      <c r="J296" s="270"/>
      <c r="K296" s="309"/>
    </row>
    <row r="297" spans="1:11" ht="27" customHeight="1">
      <c r="A297" s="76">
        <v>32</v>
      </c>
      <c r="B297" s="77" t="str">
        <f>'PRICES XACT IN'!C47</f>
        <v>CON</v>
      </c>
      <c r="C297" s="77" t="str">
        <f>'PRICES XACT IN'!D47</f>
        <v>LAB</v>
      </c>
      <c r="D297" s="78" t="str">
        <f>'PRICES XACT IN'!E47</f>
        <v>Content Manipulation charge - per hour</v>
      </c>
      <c r="E297" s="77" t="str">
        <f>'PRICES XACT IN'!G47</f>
        <v>HR</v>
      </c>
      <c r="F297" s="76">
        <f>C299*F290/60</f>
        <v>4.5</v>
      </c>
      <c r="G297" s="88">
        <f>'PRICES XACT IN'!H47</f>
        <v>53.11</v>
      </c>
      <c r="H297" s="89">
        <f>F297*G297</f>
        <v>238.995</v>
      </c>
      <c r="I297" s="78"/>
      <c r="J297" s="270">
        <f>+J294+1</f>
        <v>43</v>
      </c>
      <c r="K297" s="309"/>
    </row>
    <row r="298" spans="1:11" ht="27" customHeight="1">
      <c r="A298" s="530"/>
      <c r="B298" s="530"/>
      <c r="D298" s="96" t="s">
        <v>271</v>
      </c>
      <c r="E298" s="96"/>
      <c r="F298" s="76"/>
      <c r="G298" s="78"/>
      <c r="H298" s="89"/>
      <c r="I298" s="78"/>
      <c r="J298" s="270"/>
      <c r="K298" s="309"/>
    </row>
    <row r="299" spans="1:11" ht="27" customHeight="1">
      <c r="A299" s="530"/>
      <c r="B299" s="530"/>
      <c r="C299" s="133">
        <f>'Time Calc'!I8</f>
        <v>30</v>
      </c>
      <c r="D299" s="81" t="s">
        <v>265</v>
      </c>
      <c r="E299" s="98"/>
      <c r="F299" s="76"/>
      <c r="G299" s="78"/>
      <c r="H299" s="89"/>
      <c r="I299" s="78"/>
      <c r="J299" s="270"/>
      <c r="K299" s="309"/>
    </row>
    <row r="300" spans="1:11" ht="27" customHeight="1">
      <c r="A300" s="76">
        <v>33</v>
      </c>
      <c r="B300" s="77" t="str">
        <f>'PRICES XACT IN'!C48</f>
        <v>CON</v>
      </c>
      <c r="C300" s="77" t="str">
        <f>'PRICES XACT IN'!D48</f>
        <v>LAB</v>
      </c>
      <c r="D300" s="78" t="str">
        <f>'PRICES XACT IN'!E48</f>
        <v>Content Manipulation charge - per hour</v>
      </c>
      <c r="E300" s="77" t="str">
        <f>'PRICES XACT IN'!G48</f>
        <v>HR</v>
      </c>
      <c r="F300" s="76">
        <f>C302*F292/60</f>
        <v>4.5</v>
      </c>
      <c r="G300" s="88">
        <f>'PRICES XACT IN'!H48</f>
        <v>53.11</v>
      </c>
      <c r="H300" s="89">
        <f>F300*G300</f>
        <v>238.995</v>
      </c>
      <c r="I300" s="78"/>
      <c r="J300" s="270">
        <f>+J297+1</f>
        <v>44</v>
      </c>
      <c r="K300" s="309"/>
    </row>
    <row r="301" spans="1:11" ht="27" customHeight="1">
      <c r="A301" s="530"/>
      <c r="B301" s="530"/>
      <c r="D301" s="96" t="s">
        <v>55</v>
      </c>
      <c r="E301" s="93"/>
      <c r="F301" s="76"/>
      <c r="G301" s="78"/>
      <c r="H301" s="89"/>
      <c r="I301" s="78"/>
      <c r="J301" s="270"/>
      <c r="K301" s="309"/>
    </row>
    <row r="302" spans="1:11" ht="27" customHeight="1">
      <c r="A302" s="530"/>
      <c r="B302" s="530"/>
      <c r="C302" s="133">
        <f>'Time Calc'!I9</f>
        <v>30</v>
      </c>
      <c r="D302" s="81" t="s">
        <v>265</v>
      </c>
      <c r="E302" s="98"/>
      <c r="F302" s="76"/>
      <c r="G302" s="78"/>
      <c r="H302" s="89"/>
      <c r="I302" s="78"/>
      <c r="J302" s="270"/>
      <c r="K302" s="309"/>
    </row>
    <row r="303" spans="1:11" ht="27" customHeight="1">
      <c r="A303" s="76">
        <v>34</v>
      </c>
      <c r="B303" s="77" t="str">
        <f>'PRICES XACT IN'!C49</f>
        <v>CON</v>
      </c>
      <c r="C303" s="77" t="str">
        <f>'PRICES XACT IN'!D49</f>
        <v>LAB</v>
      </c>
      <c r="D303" s="78" t="str">
        <f>'PRICES XACT IN'!E49</f>
        <v>Content Manipulation charge - per hour</v>
      </c>
      <c r="E303" s="77" t="str">
        <f>'PRICES XACT IN'!G49</f>
        <v>HR</v>
      </c>
      <c r="F303" s="76">
        <f>C305*F294/60</f>
        <v>2.25</v>
      </c>
      <c r="G303" s="88">
        <f>'PRICES XACT IN'!H49</f>
        <v>53.11</v>
      </c>
      <c r="H303" s="89">
        <f>F303*G303</f>
        <v>119.4975</v>
      </c>
      <c r="I303" s="78"/>
      <c r="J303" s="270">
        <f>+J300+1</f>
        <v>45</v>
      </c>
      <c r="K303" s="309"/>
    </row>
    <row r="304" spans="1:11" ht="27" customHeight="1">
      <c r="A304" s="530"/>
      <c r="B304" s="530"/>
      <c r="D304" s="96" t="s">
        <v>272</v>
      </c>
      <c r="E304" s="96"/>
      <c r="F304" s="76"/>
      <c r="G304" s="78"/>
      <c r="H304" s="89"/>
      <c r="I304" s="78"/>
      <c r="J304" s="270"/>
      <c r="K304" s="309"/>
    </row>
    <row r="305" spans="1:12" ht="27" customHeight="1">
      <c r="A305" s="530"/>
      <c r="B305" s="530"/>
      <c r="C305" s="133">
        <f>'Time Calc'!I10</f>
        <v>30</v>
      </c>
      <c r="D305" s="81" t="s">
        <v>265</v>
      </c>
      <c r="E305" s="98"/>
      <c r="F305" s="76"/>
      <c r="G305" s="78"/>
      <c r="H305" s="89"/>
      <c r="I305" s="78"/>
      <c r="J305" s="270"/>
      <c r="K305" s="309"/>
    </row>
    <row r="306" spans="1:12" ht="27" customHeight="1">
      <c r="A306" s="76">
        <v>35</v>
      </c>
      <c r="B306" s="77" t="str">
        <f>'PRICES XACT IN'!C50</f>
        <v>CON</v>
      </c>
      <c r="C306" s="77" t="str">
        <f>'PRICES XACT IN'!D50</f>
        <v>LAB</v>
      </c>
      <c r="D306" s="78" t="str">
        <f>'PRICES XACT IN'!E50</f>
        <v>Content Manipulation charge - per hour</v>
      </c>
      <c r="E306" s="77" t="str">
        <f>'PRICES XACT IN'!G50</f>
        <v>HR</v>
      </c>
      <c r="F306" s="76">
        <f>C308*F297/60</f>
        <v>0.45</v>
      </c>
      <c r="G306" s="88">
        <f>'PRICES XACT IN'!H50</f>
        <v>53.11</v>
      </c>
      <c r="H306" s="89">
        <f>F306*G306</f>
        <v>23.8995</v>
      </c>
      <c r="I306" s="78"/>
      <c r="J306" s="270">
        <f>+J303+1</f>
        <v>46</v>
      </c>
      <c r="K306" s="309"/>
    </row>
    <row r="307" spans="1:12" ht="27" customHeight="1">
      <c r="A307" s="530"/>
      <c r="B307" s="530"/>
      <c r="D307" s="96" t="s">
        <v>266</v>
      </c>
      <c r="E307" s="93"/>
      <c r="F307" s="76"/>
      <c r="G307" s="78"/>
      <c r="H307" s="89"/>
      <c r="I307" s="78"/>
      <c r="J307" s="270"/>
      <c r="K307" s="309"/>
    </row>
    <row r="308" spans="1:12" ht="27" customHeight="1">
      <c r="A308" s="530"/>
      <c r="B308" s="530"/>
      <c r="C308" s="133">
        <f>'Time Calc'!I11</f>
        <v>6</v>
      </c>
      <c r="D308" s="81" t="s">
        <v>265</v>
      </c>
      <c r="E308" s="98"/>
      <c r="F308" s="76"/>
      <c r="G308" s="78"/>
      <c r="H308" s="89"/>
      <c r="I308" s="78"/>
      <c r="J308" s="270"/>
      <c r="K308" s="309"/>
    </row>
    <row r="309" spans="1:12" ht="27" customHeight="1">
      <c r="A309" s="315">
        <v>36</v>
      </c>
      <c r="B309" s="77" t="str">
        <f>'PRICES XACT IN'!C51</f>
        <v>CON</v>
      </c>
      <c r="C309" s="77" t="str">
        <f>'PRICES XACT IN'!D51</f>
        <v>LAB</v>
      </c>
      <c r="D309" s="78" t="str">
        <f>'PRICES XACT IN'!E51</f>
        <v>Content Manipulation charge - per hour</v>
      </c>
      <c r="E309" s="77" t="str">
        <f>'PRICES XACT IN'!G51</f>
        <v>HR</v>
      </c>
      <c r="F309" s="76">
        <f>C311*F300/60</f>
        <v>0.45</v>
      </c>
      <c r="G309" s="88">
        <f>'PRICES XACT IN'!H51</f>
        <v>53.11</v>
      </c>
      <c r="H309" s="89">
        <f>F309*G309</f>
        <v>23.8995</v>
      </c>
      <c r="I309" s="78"/>
      <c r="J309" s="270">
        <f>+J306+1</f>
        <v>47</v>
      </c>
      <c r="K309" s="309"/>
    </row>
    <row r="310" spans="1:12" ht="27" customHeight="1">
      <c r="A310" s="530"/>
      <c r="B310" s="530"/>
      <c r="D310" s="96" t="s">
        <v>267</v>
      </c>
      <c r="E310" s="93"/>
      <c r="F310" s="76"/>
      <c r="G310" s="78"/>
      <c r="H310" s="78"/>
      <c r="I310" s="78"/>
      <c r="J310" s="84"/>
      <c r="K310" s="85"/>
    </row>
    <row r="311" spans="1:12" ht="27" customHeight="1">
      <c r="A311" s="530"/>
      <c r="B311" s="530"/>
      <c r="C311" s="133">
        <f>'Time Calc'!I12</f>
        <v>6</v>
      </c>
      <c r="D311" s="81" t="s">
        <v>265</v>
      </c>
      <c r="E311" s="98"/>
      <c r="F311" s="76"/>
      <c r="G311" s="88"/>
      <c r="H311" s="89"/>
      <c r="I311" s="78"/>
      <c r="J311" s="84"/>
      <c r="K311" s="85"/>
    </row>
    <row r="312" spans="1:12" ht="27" customHeight="1">
      <c r="A312" s="530"/>
      <c r="B312" s="530"/>
      <c r="D312" s="131" t="s">
        <v>681</v>
      </c>
      <c r="E312" s="436" t="s">
        <v>268</v>
      </c>
      <c r="F312" s="361"/>
      <c r="G312" s="78"/>
      <c r="H312" s="89">
        <f>SUM(H288:H310)</f>
        <v>1819.5614999999998</v>
      </c>
      <c r="I312" s="89">
        <f>SUM(H288:H310)</f>
        <v>1819.5614999999998</v>
      </c>
      <c r="J312" s="84"/>
      <c r="K312" s="85"/>
    </row>
    <row r="313" spans="1:12" ht="27" customHeight="1">
      <c r="A313" s="76"/>
      <c r="B313" s="536" t="s">
        <v>226</v>
      </c>
      <c r="C313" s="77"/>
      <c r="D313" s="251" t="s">
        <v>99</v>
      </c>
      <c r="E313" s="77"/>
      <c r="F313" s="78"/>
      <c r="G313" s="78"/>
      <c r="H313" s="78"/>
      <c r="I313" s="78"/>
      <c r="J313" s="84" t="s">
        <v>273</v>
      </c>
      <c r="K313" s="85"/>
      <c r="L313"/>
    </row>
    <row r="314" spans="1:12" ht="21.95" customHeight="1">
      <c r="A314" s="82" t="s">
        <v>228</v>
      </c>
      <c r="B314" s="537"/>
      <c r="C314" s="83" t="s">
        <v>229</v>
      </c>
      <c r="D314" s="82" t="s">
        <v>230</v>
      </c>
      <c r="E314" s="82" t="s">
        <v>231</v>
      </c>
      <c r="F314" s="82" t="s">
        <v>232</v>
      </c>
      <c r="G314" s="82" t="s">
        <v>233</v>
      </c>
      <c r="H314" s="83" t="s">
        <v>234</v>
      </c>
      <c r="I314" s="78"/>
      <c r="J314" s="84"/>
      <c r="K314" s="85"/>
      <c r="L314"/>
    </row>
    <row r="315" spans="1:12" ht="26.65" customHeight="1">
      <c r="A315" s="76">
        <v>37</v>
      </c>
      <c r="B315" s="77" t="str">
        <f>'PRICES XACT IN'!C53</f>
        <v>CPS</v>
      </c>
      <c r="C315" s="77" t="str">
        <f>'PRICES XACT IN'!D53</f>
        <v>CVCH</v>
      </c>
      <c r="D315" s="78" t="str">
        <f>'PRICES XACT IN'!E53</f>
        <v>Provide plastic chair cover &amp; packing tape</v>
      </c>
      <c r="E315" s="77" t="str">
        <f>'PRICES XACT IN'!G53</f>
        <v>EA</v>
      </c>
      <c r="F315" s="93">
        <f>INDEX('Box Summary'!E:E, MATCH("*Total*", 'Box Summary'!A:A, 0))</f>
        <v>29</v>
      </c>
      <c r="G315" s="78">
        <f>'PRICES XACT IN'!H53</f>
        <v>5.31</v>
      </c>
      <c r="H315" s="89">
        <f>F315*G315</f>
        <v>153.98999999999998</v>
      </c>
      <c r="I315" s="78"/>
      <c r="J315" s="270">
        <f>1+J309</f>
        <v>48</v>
      </c>
      <c r="L315" s="93" t="str">
        <f>'Box Summary'!$E$5</f>
        <v>XL BOX/unboxed</v>
      </c>
    </row>
    <row r="316" spans="1:12" ht="26.65" customHeight="1">
      <c r="A316" s="76">
        <v>38</v>
      </c>
      <c r="B316" s="77" t="str">
        <f>'PRICES XACT IN'!C54</f>
        <v>CPS</v>
      </c>
      <c r="C316" s="77" t="str">
        <f>'PRICES XACT IN'!D54</f>
        <v>CVCH&gt;</v>
      </c>
      <c r="D316" s="78" t="str">
        <f>'PRICES XACT IN'!E54</f>
        <v>Provide plastic couch/sofa cover &amp; packing tape</v>
      </c>
      <c r="E316" s="77" t="str">
        <f>'PRICES XACT IN'!G54</f>
        <v>EA</v>
      </c>
      <c r="F316" s="76">
        <f>F315</f>
        <v>29</v>
      </c>
      <c r="G316" s="78">
        <f>'PRICES XACT IN'!H54</f>
        <v>8.57</v>
      </c>
      <c r="H316" s="89">
        <f>F316*G316</f>
        <v>248.53</v>
      </c>
      <c r="I316" s="78"/>
      <c r="J316" s="270">
        <f>+J315+1</f>
        <v>49</v>
      </c>
      <c r="K316" s="87"/>
      <c r="L316"/>
    </row>
    <row r="317" spans="1:12" ht="26.65" customHeight="1">
      <c r="A317" s="76">
        <v>38</v>
      </c>
      <c r="B317" s="77" t="str">
        <f>'PRICES XACT IN'!C55</f>
        <v>CPS</v>
      </c>
      <c r="C317" s="77" t="str">
        <f>'PRICES XACT IN'!D55</f>
        <v>PAD+</v>
      </c>
      <c r="D317" s="78" t="str">
        <f>'PRICES XACT IN'!E55</f>
        <v>Provide furniture heavyweight blanket/pad</v>
      </c>
      <c r="E317" s="77" t="str">
        <f>'PRICES XACT IN'!G55</f>
        <v>EA</v>
      </c>
      <c r="F317" s="76">
        <f>F316</f>
        <v>29</v>
      </c>
      <c r="G317" s="78">
        <f>'PRICES XACT IN'!H55</f>
        <v>18.260000000000002</v>
      </c>
      <c r="H317" s="89">
        <f>F317*G317</f>
        <v>529.54000000000008</v>
      </c>
      <c r="I317" s="78"/>
      <c r="J317" s="270">
        <f>+J316+1</f>
        <v>50</v>
      </c>
      <c r="K317" s="87"/>
      <c r="L317"/>
    </row>
    <row r="318" spans="1:12" ht="26.65" customHeight="1">
      <c r="A318" s="76"/>
      <c r="B318" s="77"/>
      <c r="C318" s="77"/>
      <c r="D318" s="94" t="s">
        <v>262</v>
      </c>
      <c r="E318" s="529"/>
      <c r="F318" s="529"/>
      <c r="G318" s="529"/>
      <c r="H318" s="529"/>
      <c r="I318" s="78"/>
      <c r="J318" s="270"/>
      <c r="K318" s="87"/>
      <c r="L318"/>
    </row>
    <row r="319" spans="1:12" ht="26.65" customHeight="1">
      <c r="A319" s="76">
        <v>39</v>
      </c>
      <c r="B319" s="77" t="str">
        <f>'PRICES XACT IN'!C56</f>
        <v>CPS</v>
      </c>
      <c r="C319" s="77" t="str">
        <f>'PRICES XACT IN'!D56</f>
        <v>BXMXE</v>
      </c>
      <c r="D319" s="78" t="str">
        <f>'PRICES XACT IN'!E56</f>
        <v>Evaluate pack &amp; inventory misc items - per Xlg box</v>
      </c>
      <c r="E319" s="77" t="str">
        <f>'PRICES XACT IN'!G56</f>
        <v>EA</v>
      </c>
      <c r="F319" s="76">
        <f>F316</f>
        <v>29</v>
      </c>
      <c r="G319" s="78">
        <f>'PRICES XACT IN'!H56</f>
        <v>28.64</v>
      </c>
      <c r="H319" s="89">
        <f>F319*G319</f>
        <v>830.56000000000006</v>
      </c>
      <c r="I319" s="78"/>
      <c r="J319" s="270">
        <f>+J317+1</f>
        <v>51</v>
      </c>
      <c r="L319"/>
    </row>
    <row r="320" spans="1:12" ht="26.65" customHeight="1">
      <c r="A320" s="76"/>
      <c r="B320" s="77"/>
      <c r="C320" s="77"/>
      <c r="D320" s="95" t="s">
        <v>263</v>
      </c>
      <c r="E320" s="529"/>
      <c r="F320" s="529"/>
      <c r="G320" s="529"/>
      <c r="H320" s="529"/>
      <c r="I320" s="78"/>
      <c r="J320" s="270"/>
      <c r="L320"/>
    </row>
    <row r="321" spans="1:12" ht="26.65" customHeight="1">
      <c r="A321" s="76">
        <v>40</v>
      </c>
      <c r="B321" s="77" t="str">
        <f>'PRICES XACT IN'!C57</f>
        <v>CGN</v>
      </c>
      <c r="C321" s="77" t="str">
        <f>'PRICES XACT IN'!D57</f>
        <v>BXMX</v>
      </c>
      <c r="D321" s="78" t="str">
        <f>'PRICES XACT IN'!E57</f>
        <v>Clean misc items - per Xlg box</v>
      </c>
      <c r="E321" s="77" t="str">
        <f>'PRICES XACT IN'!G57</f>
        <v>EA</v>
      </c>
      <c r="F321" s="76">
        <f>F319</f>
        <v>29</v>
      </c>
      <c r="G321" s="78">
        <f>'PRICES XACT IN'!H57</f>
        <v>103.15</v>
      </c>
      <c r="H321" s="89">
        <f>F321*G321</f>
        <v>2991.3500000000004</v>
      </c>
      <c r="I321" s="78"/>
      <c r="J321" s="270">
        <f>+J319+1</f>
        <v>52</v>
      </c>
      <c r="L321"/>
    </row>
    <row r="322" spans="1:12" ht="26.65" customHeight="1">
      <c r="A322" s="76"/>
      <c r="B322" s="77"/>
      <c r="D322" s="96" t="s">
        <v>270</v>
      </c>
      <c r="E322" s="529"/>
      <c r="F322" s="529"/>
      <c r="G322" s="529"/>
      <c r="H322" s="529"/>
      <c r="I322" s="78"/>
      <c r="J322" s="270"/>
      <c r="L322"/>
    </row>
    <row r="323" spans="1:12" ht="26.65" customHeight="1">
      <c r="A323" s="76">
        <v>41</v>
      </c>
      <c r="B323" s="77" t="str">
        <f>'PRICES XACT IN'!C58</f>
        <v>CON</v>
      </c>
      <c r="C323" s="77" t="str">
        <f>'PRICES XACT IN'!D58</f>
        <v>LAB</v>
      </c>
      <c r="D323" s="78" t="str">
        <f>'PRICES XACT IN'!E58</f>
        <v>Content Manipulation charge - per hour</v>
      </c>
      <c r="E323" s="77" t="str">
        <f>'PRICES XACT IN'!G58</f>
        <v>HR</v>
      </c>
      <c r="F323" s="77">
        <f>C325*$F$319/60</f>
        <v>29</v>
      </c>
      <c r="G323" s="78">
        <f>'PRICES XACT IN'!H58</f>
        <v>53.11</v>
      </c>
      <c r="H323" s="89">
        <f>F323*G323</f>
        <v>1540.19</v>
      </c>
      <c r="I323" s="78"/>
      <c r="J323" s="270">
        <f>+J321+1</f>
        <v>53</v>
      </c>
      <c r="K323" s="87"/>
      <c r="L323"/>
    </row>
    <row r="324" spans="1:12" ht="26.65" customHeight="1">
      <c r="A324" s="524"/>
      <c r="B324" s="524"/>
      <c r="C324" s="77"/>
      <c r="D324" s="96" t="s">
        <v>264</v>
      </c>
      <c r="E324" s="529"/>
      <c r="F324" s="529"/>
      <c r="G324" s="529"/>
      <c r="H324" s="529"/>
      <c r="I324" s="78"/>
      <c r="J324" s="270"/>
      <c r="K324" s="87"/>
      <c r="L324"/>
    </row>
    <row r="325" spans="1:12" ht="26.65" customHeight="1">
      <c r="A325" s="524"/>
      <c r="B325" s="524"/>
      <c r="C325" s="313">
        <f>'Time Calc'!M7</f>
        <v>60</v>
      </c>
      <c r="D325" s="81" t="s">
        <v>265</v>
      </c>
      <c r="E325" s="529"/>
      <c r="F325" s="529"/>
      <c r="G325" s="529"/>
      <c r="H325" s="529"/>
      <c r="I325" s="78"/>
      <c r="J325" s="270"/>
      <c r="K325" s="87"/>
      <c r="L325"/>
    </row>
    <row r="326" spans="1:12" ht="26.65" customHeight="1">
      <c r="A326" s="76">
        <v>42</v>
      </c>
      <c r="B326" s="77" t="str">
        <f>'PRICES XACT IN'!C59</f>
        <v>CON</v>
      </c>
      <c r="C326" s="77" t="str">
        <f>'PRICES XACT IN'!D59</f>
        <v>LAB</v>
      </c>
      <c r="D326" s="78" t="str">
        <f>'PRICES XACT IN'!E59</f>
        <v>Content Manipulation charge - per hour</v>
      </c>
      <c r="E326" s="77" t="str">
        <f>'PRICES XACT IN'!G59</f>
        <v>HR</v>
      </c>
      <c r="F326" s="77">
        <f>C328*$F$319/60</f>
        <v>34.799999999999997</v>
      </c>
      <c r="G326" s="78">
        <f>'PRICES XACT IN'!H59</f>
        <v>53.11</v>
      </c>
      <c r="H326" s="89">
        <f>F326*G326</f>
        <v>1848.2279999999998</v>
      </c>
      <c r="I326" s="78"/>
      <c r="J326" s="270">
        <f>+J323+1</f>
        <v>54</v>
      </c>
      <c r="L326"/>
    </row>
    <row r="327" spans="1:12" ht="26.65" customHeight="1">
      <c r="A327" s="524"/>
      <c r="B327" s="524"/>
      <c r="C327" s="96" t="s">
        <v>271</v>
      </c>
      <c r="E327" s="529"/>
      <c r="F327" s="529"/>
      <c r="G327" s="529"/>
      <c r="H327" s="529"/>
      <c r="I327" s="78"/>
      <c r="J327" s="270"/>
      <c r="L327"/>
    </row>
    <row r="328" spans="1:12" ht="26.65" customHeight="1">
      <c r="A328" s="524"/>
      <c r="B328" s="524"/>
      <c r="C328" s="313">
        <f>'Time Calc'!M8</f>
        <v>72</v>
      </c>
      <c r="D328" s="96" t="s">
        <v>265</v>
      </c>
      <c r="E328" s="529"/>
      <c r="F328" s="529"/>
      <c r="G328" s="529"/>
      <c r="H328" s="529"/>
      <c r="I328" s="78"/>
      <c r="J328" s="270"/>
      <c r="L328"/>
    </row>
    <row r="329" spans="1:12" ht="26.65" customHeight="1">
      <c r="A329" s="76"/>
      <c r="B329" s="77" t="str">
        <f>'PRICES XACT IN'!C60</f>
        <v>CON</v>
      </c>
      <c r="C329" s="77" t="str">
        <f>'PRICES XACT IN'!D60</f>
        <v>LAB</v>
      </c>
      <c r="D329" s="78" t="str">
        <f>'PRICES XACT IN'!E60</f>
        <v>Content Manipulation charge - per hour</v>
      </c>
      <c r="E329" s="77" t="str">
        <f>'PRICES XACT IN'!G60</f>
        <v>HR</v>
      </c>
      <c r="F329" s="77">
        <f>C331*$F$319/60</f>
        <v>14.5</v>
      </c>
      <c r="G329" s="78">
        <f>'PRICES XACT IN'!H60</f>
        <v>53.11</v>
      </c>
      <c r="H329" s="89">
        <f>F329*G329</f>
        <v>770.09500000000003</v>
      </c>
      <c r="I329" s="78"/>
      <c r="J329" s="270">
        <f>+J326+1</f>
        <v>55</v>
      </c>
      <c r="L329"/>
    </row>
    <row r="330" spans="1:12" ht="26.65" customHeight="1">
      <c r="A330" s="524"/>
      <c r="B330" s="524"/>
      <c r="D330" s="81" t="s">
        <v>55</v>
      </c>
      <c r="E330" s="529"/>
      <c r="F330" s="529"/>
      <c r="G330" s="529"/>
      <c r="H330" s="529"/>
      <c r="I330" s="78"/>
      <c r="J330" s="270"/>
      <c r="K330" s="87"/>
      <c r="L330"/>
    </row>
    <row r="331" spans="1:12" ht="26.65" customHeight="1">
      <c r="A331" s="524"/>
      <c r="B331" s="524"/>
      <c r="C331" s="133">
        <f>'Time Calc'!I7</f>
        <v>30</v>
      </c>
      <c r="D331" s="81" t="s">
        <v>265</v>
      </c>
      <c r="E331" s="529"/>
      <c r="F331" s="529"/>
      <c r="G331" s="529"/>
      <c r="H331" s="529"/>
      <c r="I331" s="78"/>
      <c r="J331" s="270"/>
      <c r="L331"/>
    </row>
    <row r="332" spans="1:12" ht="26.65" customHeight="1">
      <c r="A332" s="76">
        <v>43</v>
      </c>
      <c r="B332" s="77" t="str">
        <f>'PRICES XACT IN'!C61</f>
        <v>CON</v>
      </c>
      <c r="C332" s="77" t="str">
        <f>'PRICES XACT IN'!D61</f>
        <v>LAB</v>
      </c>
      <c r="D332" s="78" t="str">
        <f>'PRICES XACT IN'!E61</f>
        <v>Content Manipulation charge - per hour</v>
      </c>
      <c r="E332" s="77" t="str">
        <f>'PRICES XACT IN'!G61</f>
        <v>HR</v>
      </c>
      <c r="F332" s="77">
        <f>C334*$F$319/60</f>
        <v>14.5</v>
      </c>
      <c r="G332" s="78">
        <f>'PRICES XACT IN'!H61</f>
        <v>53.11</v>
      </c>
      <c r="H332" s="89">
        <f>F332*G332</f>
        <v>770.09500000000003</v>
      </c>
      <c r="I332" s="78"/>
      <c r="J332" s="270">
        <f>+J329+1</f>
        <v>56</v>
      </c>
      <c r="L332"/>
    </row>
    <row r="333" spans="1:12" ht="26.65" customHeight="1">
      <c r="A333" s="524"/>
      <c r="B333" s="524"/>
      <c r="C333" s="81" t="s">
        <v>272</v>
      </c>
      <c r="E333" s="77"/>
      <c r="F333" s="78"/>
      <c r="G333" s="78"/>
      <c r="H333" s="89"/>
      <c r="I333" s="78"/>
      <c r="J333" s="270"/>
      <c r="K333" s="87"/>
      <c r="L333"/>
    </row>
    <row r="334" spans="1:12" ht="26.65" customHeight="1">
      <c r="A334" s="524"/>
      <c r="B334" s="524"/>
      <c r="C334" s="133">
        <f>'Time Calc'!I8</f>
        <v>30</v>
      </c>
      <c r="D334" s="81" t="s">
        <v>265</v>
      </c>
      <c r="E334" s="527"/>
      <c r="F334" s="527"/>
      <c r="G334" s="527"/>
      <c r="H334" s="527"/>
      <c r="I334" s="78"/>
      <c r="J334" s="270"/>
      <c r="L334"/>
    </row>
    <row r="335" spans="1:12" ht="26.65" customHeight="1">
      <c r="A335" s="76">
        <v>44</v>
      </c>
      <c r="B335" s="77" t="str">
        <f>'PRICES XACT IN'!C62</f>
        <v>DMO</v>
      </c>
      <c r="C335" s="77" t="str">
        <f>'PRICES XACT IN'!D62</f>
        <v>LAB</v>
      </c>
      <c r="D335" s="78" t="str">
        <f>'PRICES XACT IN'!E62</f>
        <v>General Demolition - per hour</v>
      </c>
      <c r="E335" s="77" t="str">
        <f>'PRICES XACT IN'!G62</f>
        <v>HR</v>
      </c>
      <c r="F335" s="77">
        <f>C337*$F$319/60</f>
        <v>14.5</v>
      </c>
      <c r="G335" s="78">
        <f>'PRICES XACT IN'!H62</f>
        <v>61.24</v>
      </c>
      <c r="H335" s="89">
        <f>F335*G335</f>
        <v>887.98</v>
      </c>
      <c r="I335" s="78"/>
      <c r="J335" s="270">
        <f>+J332+1</f>
        <v>57</v>
      </c>
      <c r="L335"/>
    </row>
    <row r="336" spans="1:12" ht="26.65" customHeight="1">
      <c r="A336" s="524"/>
      <c r="B336" s="524"/>
      <c r="D336" s="81" t="s">
        <v>266</v>
      </c>
      <c r="E336" s="529"/>
      <c r="F336" s="529"/>
      <c r="G336" s="529"/>
      <c r="H336" s="529"/>
      <c r="I336" s="78"/>
      <c r="J336" s="270"/>
      <c r="K336" s="87"/>
      <c r="L336"/>
    </row>
    <row r="337" spans="1:12" ht="26.65" customHeight="1">
      <c r="A337" s="524"/>
      <c r="B337" s="524"/>
      <c r="C337" s="133">
        <f>'Time Calc'!I9</f>
        <v>30</v>
      </c>
      <c r="D337" s="81" t="s">
        <v>265</v>
      </c>
      <c r="E337" s="529"/>
      <c r="F337" s="529"/>
      <c r="G337" s="529"/>
      <c r="H337" s="529"/>
      <c r="I337" s="78"/>
      <c r="J337" s="270"/>
      <c r="L337"/>
    </row>
    <row r="338" spans="1:12" ht="26.65" customHeight="1">
      <c r="A338" s="76">
        <v>45</v>
      </c>
      <c r="B338" s="77" t="str">
        <f>'PRICES XACT IN'!C63</f>
        <v>CON</v>
      </c>
      <c r="C338" s="77" t="str">
        <f>'PRICES XACT IN'!D63</f>
        <v>LAB</v>
      </c>
      <c r="D338" s="78" t="str">
        <f>'PRICES XACT IN'!E63</f>
        <v>Content Manipulation charge - per hour</v>
      </c>
      <c r="E338" s="77" t="str">
        <f>'PRICES XACT IN'!G63</f>
        <v>HR</v>
      </c>
      <c r="F338" s="77">
        <f>C340*$F$319/60</f>
        <v>14.5</v>
      </c>
      <c r="G338" s="78">
        <f>'PRICES XACT IN'!H63</f>
        <v>53.11</v>
      </c>
      <c r="H338" s="89">
        <f>F338*G338</f>
        <v>770.09500000000003</v>
      </c>
      <c r="I338" s="78"/>
      <c r="J338" s="270">
        <f>+J335+1</f>
        <v>58</v>
      </c>
      <c r="L338"/>
    </row>
    <row r="339" spans="1:12" ht="26.65" customHeight="1">
      <c r="A339" s="524"/>
      <c r="B339" s="524"/>
      <c r="C339" s="105" t="s">
        <v>267</v>
      </c>
      <c r="D339" s="105"/>
      <c r="E339" s="532"/>
      <c r="F339" s="532"/>
      <c r="G339" s="532"/>
      <c r="H339" s="532"/>
      <c r="I339" s="78"/>
      <c r="J339" s="270"/>
      <c r="K339" s="87"/>
      <c r="L339"/>
    </row>
    <row r="340" spans="1:12" ht="21.95" customHeight="1">
      <c r="A340" s="524"/>
      <c r="B340" s="524"/>
      <c r="C340" s="133">
        <f>'Time Calc'!I10</f>
        <v>30</v>
      </c>
      <c r="D340" s="81" t="s">
        <v>265</v>
      </c>
      <c r="E340" s="532"/>
      <c r="F340" s="532"/>
      <c r="G340" s="532"/>
      <c r="H340" s="532"/>
      <c r="I340" s="78"/>
      <c r="L340"/>
    </row>
    <row r="341" spans="1:12" ht="26.65" customHeight="1">
      <c r="A341" s="524"/>
      <c r="B341" s="524"/>
      <c r="D341" s="131" t="s">
        <v>99</v>
      </c>
      <c r="E341" s="436" t="s">
        <v>268</v>
      </c>
      <c r="F341" s="131"/>
      <c r="G341" s="131"/>
      <c r="H341" s="89">
        <f>SUM(H313:H339)</f>
        <v>11340.652999999998</v>
      </c>
      <c r="I341" s="78"/>
      <c r="J341" s="84"/>
      <c r="L341"/>
    </row>
    <row r="342" spans="1:12" ht="27" customHeight="1">
      <c r="A342" s="76"/>
      <c r="B342" s="536" t="s">
        <v>226</v>
      </c>
      <c r="C342" s="81"/>
      <c r="D342" s="281" t="s">
        <v>100</v>
      </c>
      <c r="E342" s="77"/>
      <c r="F342" s="78"/>
      <c r="G342" s="78"/>
      <c r="H342" s="78"/>
      <c r="I342" s="78"/>
      <c r="J342" s="84"/>
      <c r="K342" s="87"/>
      <c r="L342"/>
    </row>
    <row r="343" spans="1:12" ht="27" customHeight="1">
      <c r="A343" s="82" t="s">
        <v>228</v>
      </c>
      <c r="B343" s="537"/>
      <c r="C343" s="83" t="s">
        <v>229</v>
      </c>
      <c r="D343" s="82" t="s">
        <v>230</v>
      </c>
      <c r="E343" s="82" t="s">
        <v>231</v>
      </c>
      <c r="F343" s="82" t="s">
        <v>232</v>
      </c>
      <c r="G343" s="82" t="s">
        <v>233</v>
      </c>
      <c r="H343" s="83" t="s">
        <v>234</v>
      </c>
      <c r="I343" s="78"/>
      <c r="J343" s="84"/>
      <c r="L343"/>
    </row>
    <row r="344" spans="1:12" ht="27" customHeight="1">
      <c r="A344" s="76">
        <v>46</v>
      </c>
      <c r="B344" s="77" t="str">
        <f>'PRICES XACT IN'!C65</f>
        <v>CPS</v>
      </c>
      <c r="C344" s="77" t="str">
        <f>'PRICES XACT IN'!D65</f>
        <v>BXMIR</v>
      </c>
      <c r="D344" s="78" t="str">
        <f>'PRICES XACT IN'!E65</f>
        <v>Provide mirror/picture box, packing paper &amp; tape</v>
      </c>
      <c r="E344" s="97" t="str">
        <f>'PRICES XACT IN'!G65</f>
        <v>EA</v>
      </c>
      <c r="F344" s="363">
        <f>INDEX('Box Summary'!F:F, MATCH("*Total*", 'Box Summary'!A:A, 0))</f>
        <v>11</v>
      </c>
      <c r="G344" s="78">
        <f>'PRICES XACT IN'!H65</f>
        <v>10.08</v>
      </c>
      <c r="H344" s="89">
        <f>F344*G344</f>
        <v>110.88</v>
      </c>
      <c r="I344" s="78"/>
      <c r="J344" s="270">
        <f>1+J338</f>
        <v>59</v>
      </c>
      <c r="L344" s="93" t="str">
        <f>'Box Summary'!$H$5</f>
        <v>TV BOX</v>
      </c>
    </row>
    <row r="345" spans="1:12" ht="27" customHeight="1">
      <c r="A345" s="524"/>
      <c r="B345" s="524"/>
      <c r="C345" s="524"/>
      <c r="D345" s="79" t="s">
        <v>262</v>
      </c>
      <c r="E345" s="529"/>
      <c r="F345" s="529"/>
      <c r="G345" s="529"/>
      <c r="H345" s="529"/>
      <c r="I345" s="78"/>
      <c r="J345" s="271"/>
      <c r="L345"/>
    </row>
    <row r="346" spans="1:12" ht="27" customHeight="1">
      <c r="A346" s="76">
        <v>47</v>
      </c>
      <c r="B346" s="77" t="str">
        <f>'PRICES XACT IN'!C66</f>
        <v>CPS</v>
      </c>
      <c r="C346" s="77" t="str">
        <f>'PRICES XACT IN'!D66</f>
        <v>BXMME</v>
      </c>
      <c r="D346" s="72" t="str">
        <f>'PRICES XACT IN'!E66</f>
        <v>Evaluate pack &amp; inventory misc items - per Med box</v>
      </c>
      <c r="E346" s="97" t="str">
        <f>'PRICES XACT IN'!G66</f>
        <v>EA</v>
      </c>
      <c r="F346" s="364">
        <f>F344</f>
        <v>11</v>
      </c>
      <c r="G346" s="78">
        <f>'PRICES XACT IN'!H66</f>
        <v>16.63</v>
      </c>
      <c r="H346" s="89">
        <f>F346*G346</f>
        <v>182.92999999999998</v>
      </c>
      <c r="I346" s="89">
        <f>SUM(H315:H344)</f>
        <v>22792.185999999998</v>
      </c>
      <c r="J346" s="270">
        <f>+J344+1</f>
        <v>60</v>
      </c>
      <c r="L346"/>
    </row>
    <row r="347" spans="1:12" ht="27" customHeight="1">
      <c r="A347" s="524"/>
      <c r="B347" s="524"/>
      <c r="C347" s="524"/>
      <c r="D347" s="91" t="s">
        <v>263</v>
      </c>
      <c r="E347" s="529"/>
      <c r="F347" s="529"/>
      <c r="G347" s="529"/>
      <c r="H347" s="529"/>
      <c r="I347" s="529"/>
      <c r="J347" s="270"/>
      <c r="K347" s="85"/>
      <c r="L347"/>
    </row>
    <row r="348" spans="1:12" ht="27" customHeight="1">
      <c r="A348" s="76">
        <v>48</v>
      </c>
      <c r="B348" s="77" t="str">
        <f>'PRICES XACT IN'!C67</f>
        <v>CGN</v>
      </c>
      <c r="C348" s="77" t="str">
        <f>'PRICES XACT IN'!D67</f>
        <v>BXMM</v>
      </c>
      <c r="D348" s="72" t="str">
        <f>'PRICES XACT IN'!E67</f>
        <v>Clean misc items - per Med box</v>
      </c>
      <c r="E348" s="77" t="str">
        <f>'PRICES XACT IN'!G67</f>
        <v>EA</v>
      </c>
      <c r="F348" s="364">
        <f>F346</f>
        <v>11</v>
      </c>
      <c r="G348" s="78">
        <f>'PRICES XACT IN'!H67</f>
        <v>62.04</v>
      </c>
      <c r="H348" s="89">
        <f>F348*G348</f>
        <v>682.43999999999994</v>
      </c>
      <c r="I348" s="78"/>
      <c r="J348" s="270">
        <f>+J346+1</f>
        <v>61</v>
      </c>
      <c r="K348" s="85"/>
      <c r="L348"/>
    </row>
    <row r="349" spans="1:12" ht="27" customHeight="1">
      <c r="A349" s="524"/>
      <c r="B349" s="524"/>
      <c r="C349" s="524"/>
      <c r="D349" s="81" t="s">
        <v>270</v>
      </c>
      <c r="E349" s="529"/>
      <c r="F349" s="529"/>
      <c r="G349" s="529"/>
      <c r="H349" s="529"/>
      <c r="I349" s="78"/>
      <c r="J349" s="270"/>
      <c r="L349"/>
    </row>
    <row r="350" spans="1:12" ht="27" customHeight="1">
      <c r="A350" s="76">
        <v>49</v>
      </c>
      <c r="B350" s="77" t="str">
        <f>'PRICES XACT IN'!C68</f>
        <v>CON</v>
      </c>
      <c r="C350" s="77" t="str">
        <f>'PRICES XACT IN'!D68</f>
        <v>LAB</v>
      </c>
      <c r="D350" s="72" t="str">
        <f>'PRICES XACT IN'!E68</f>
        <v>Content Manipulation charge - per hour</v>
      </c>
      <c r="E350" s="77" t="str">
        <f>'PRICES XACT IN'!G68</f>
        <v>HR</v>
      </c>
      <c r="F350" s="364">
        <f>C352*$F$344/60</f>
        <v>3.6666666666666665</v>
      </c>
      <c r="G350" s="78">
        <f>'PRICES XACT IN'!H68</f>
        <v>53.11</v>
      </c>
      <c r="H350" s="89">
        <f>F350*G350</f>
        <v>194.73666666666665</v>
      </c>
      <c r="I350" s="78"/>
      <c r="J350" s="270">
        <f>+J348+1</f>
        <v>62</v>
      </c>
      <c r="L350"/>
    </row>
    <row r="351" spans="1:12" ht="27" customHeight="1">
      <c r="A351" s="524"/>
      <c r="B351" s="524"/>
      <c r="D351" s="81" t="s">
        <v>264</v>
      </c>
      <c r="E351" s="529"/>
      <c r="F351" s="529"/>
      <c r="G351" s="529"/>
      <c r="H351" s="529"/>
      <c r="I351" s="78"/>
      <c r="J351" s="270"/>
      <c r="K351" s="87"/>
      <c r="L351"/>
    </row>
    <row r="352" spans="1:12" ht="27" customHeight="1">
      <c r="A352" s="524"/>
      <c r="B352" s="524"/>
      <c r="C352" s="133">
        <f>'Time Calc'!P7</f>
        <v>20</v>
      </c>
      <c r="D352" s="81" t="s">
        <v>265</v>
      </c>
      <c r="E352" s="529"/>
      <c r="F352" s="529"/>
      <c r="G352" s="529"/>
      <c r="H352" s="529"/>
      <c r="I352" s="78"/>
      <c r="J352" s="270"/>
      <c r="L352"/>
    </row>
    <row r="353" spans="1:12" ht="27" customHeight="1">
      <c r="A353" s="76">
        <v>50</v>
      </c>
      <c r="B353" s="77" t="str">
        <f>'PRICES XACT IN'!C69</f>
        <v>CON</v>
      </c>
      <c r="C353" s="77" t="str">
        <f>'PRICES XACT IN'!D69</f>
        <v>LAB</v>
      </c>
      <c r="D353" s="72" t="str">
        <f>'PRICES XACT IN'!E69</f>
        <v>Content Manipulation charge - per hour</v>
      </c>
      <c r="E353" s="77" t="str">
        <f>'PRICES XACT IN'!G69</f>
        <v>HR</v>
      </c>
      <c r="F353" s="364">
        <f>C355*$F$344/60</f>
        <v>3.6666666666666665</v>
      </c>
      <c r="G353" s="78">
        <f>'PRICES XACT IN'!H69</f>
        <v>53.11</v>
      </c>
      <c r="H353" s="89">
        <f>F353*G353</f>
        <v>194.73666666666665</v>
      </c>
      <c r="I353" s="78"/>
      <c r="J353" s="270">
        <f>+J350+1</f>
        <v>63</v>
      </c>
      <c r="L353"/>
    </row>
    <row r="354" spans="1:12" ht="27" customHeight="1">
      <c r="A354" s="524"/>
      <c r="B354" s="524"/>
      <c r="D354" s="81" t="s">
        <v>271</v>
      </c>
      <c r="E354" s="77"/>
      <c r="F354" s="364"/>
      <c r="G354" s="528"/>
      <c r="H354" s="528"/>
      <c r="I354" s="78"/>
      <c r="J354" s="270"/>
      <c r="K354" s="87"/>
      <c r="L354"/>
    </row>
    <row r="355" spans="1:12" ht="27" customHeight="1">
      <c r="A355" s="524"/>
      <c r="B355" s="524"/>
      <c r="C355" s="133">
        <f>'Time Calc'!P8</f>
        <v>20</v>
      </c>
      <c r="D355" s="81" t="s">
        <v>265</v>
      </c>
      <c r="E355" s="527"/>
      <c r="F355" s="527"/>
      <c r="G355" s="527"/>
      <c r="H355" s="527"/>
      <c r="I355" s="78"/>
      <c r="J355" s="270"/>
      <c r="L355"/>
    </row>
    <row r="356" spans="1:12" ht="27" customHeight="1">
      <c r="A356" s="76">
        <v>51</v>
      </c>
      <c r="B356" s="77" t="str">
        <f>'PRICES XACT IN'!C70</f>
        <v>CON</v>
      </c>
      <c r="C356" s="77" t="str">
        <f>'PRICES XACT IN'!D70</f>
        <v>LAB</v>
      </c>
      <c r="D356" s="72" t="str">
        <f>'PRICES XACT IN'!E70</f>
        <v>Content Manipulation charge - per hour</v>
      </c>
      <c r="E356" s="77" t="str">
        <f>'PRICES XACT IN'!G70</f>
        <v>HR</v>
      </c>
      <c r="F356" s="364">
        <f>C358*$F$344/60</f>
        <v>3.6666666666666665</v>
      </c>
      <c r="G356" s="78">
        <f>'PRICES XACT IN'!H70</f>
        <v>53.11</v>
      </c>
      <c r="H356" s="89">
        <f>F356*G356</f>
        <v>194.73666666666665</v>
      </c>
      <c r="I356" s="78"/>
      <c r="J356" s="270">
        <f>+J353+1</f>
        <v>64</v>
      </c>
      <c r="L356"/>
    </row>
    <row r="357" spans="1:12" ht="27" customHeight="1">
      <c r="A357" s="524"/>
      <c r="B357" s="524"/>
      <c r="D357" s="81" t="s">
        <v>55</v>
      </c>
      <c r="E357" s="529"/>
      <c r="F357" s="529"/>
      <c r="G357" s="529"/>
      <c r="H357" s="529"/>
      <c r="I357" s="78"/>
      <c r="J357" s="270"/>
      <c r="K357" s="87"/>
      <c r="L357"/>
    </row>
    <row r="358" spans="1:12" ht="27" customHeight="1">
      <c r="A358" s="524"/>
      <c r="B358" s="524"/>
      <c r="C358" s="133">
        <f>'Time Calc'!$P$9</f>
        <v>20</v>
      </c>
      <c r="D358" s="81" t="s">
        <v>265</v>
      </c>
      <c r="E358" s="529"/>
      <c r="F358" s="529"/>
      <c r="G358" s="529"/>
      <c r="H358" s="529"/>
      <c r="I358" s="78"/>
      <c r="J358" s="270"/>
      <c r="L358"/>
    </row>
    <row r="359" spans="1:12" ht="27" customHeight="1">
      <c r="A359" s="76">
        <v>52</v>
      </c>
      <c r="B359" s="77" t="str">
        <f>'PRICES XACT IN'!C71</f>
        <v>CON</v>
      </c>
      <c r="C359" s="77" t="str">
        <f>'PRICES XACT IN'!D71</f>
        <v>LAB</v>
      </c>
      <c r="D359" s="72" t="str">
        <f>'PRICES XACT IN'!E71</f>
        <v>Content Manipulation charge - per hour</v>
      </c>
      <c r="E359" s="77" t="str">
        <f>'PRICES XACT IN'!G71</f>
        <v>HR</v>
      </c>
      <c r="F359" s="364">
        <f>C361*$F$344/60</f>
        <v>3.6666666666666665</v>
      </c>
      <c r="G359" s="78">
        <f>'PRICES XACT IN'!H71</f>
        <v>53.11</v>
      </c>
      <c r="H359" s="89">
        <f>F359*G359</f>
        <v>194.73666666666665</v>
      </c>
      <c r="I359" s="78"/>
      <c r="J359" s="270">
        <f>+J356+1</f>
        <v>65</v>
      </c>
      <c r="L359"/>
    </row>
    <row r="360" spans="1:12" ht="27" customHeight="1">
      <c r="A360" s="524"/>
      <c r="B360" s="524"/>
      <c r="C360" s="81" t="s">
        <v>272</v>
      </c>
      <c r="E360" s="77"/>
      <c r="F360" s="364"/>
      <c r="G360" s="78"/>
      <c r="H360" s="89"/>
      <c r="I360" s="78"/>
      <c r="J360" s="270"/>
      <c r="K360" s="87"/>
      <c r="L360"/>
    </row>
    <row r="361" spans="1:12" ht="27" customHeight="1">
      <c r="A361" s="524"/>
      <c r="B361" s="524"/>
      <c r="C361" s="133">
        <f>'Time Calc'!$P$10</f>
        <v>20</v>
      </c>
      <c r="D361" s="81" t="s">
        <v>265</v>
      </c>
      <c r="E361" s="527"/>
      <c r="F361" s="527"/>
      <c r="G361" s="527"/>
      <c r="H361" s="527"/>
      <c r="I361" s="78"/>
      <c r="J361" s="270"/>
      <c r="L361"/>
    </row>
    <row r="362" spans="1:12" ht="27" customHeight="1">
      <c r="A362" s="76">
        <v>53</v>
      </c>
      <c r="B362" s="77" t="str">
        <f>'PRICES XACT IN'!C72</f>
        <v>DMO</v>
      </c>
      <c r="C362" s="77" t="str">
        <f>'PRICES XACT IN'!D72</f>
        <v>LAB</v>
      </c>
      <c r="D362" s="72" t="str">
        <f>'PRICES XACT IN'!E72</f>
        <v>General Demolition - per hour</v>
      </c>
      <c r="E362" s="77" t="str">
        <f>'PRICES XACT IN'!G72</f>
        <v>HR</v>
      </c>
      <c r="F362" s="364">
        <f>C364*$F$344/60</f>
        <v>3.6666666666666665</v>
      </c>
      <c r="G362" s="78">
        <f>'PRICES XACT IN'!H72</f>
        <v>61.24</v>
      </c>
      <c r="H362" s="89">
        <f>F362*G362</f>
        <v>224.54666666666665</v>
      </c>
      <c r="I362" s="78"/>
      <c r="J362" s="270">
        <f>+J359+1</f>
        <v>66</v>
      </c>
      <c r="L362"/>
    </row>
    <row r="363" spans="1:12" ht="27" customHeight="1">
      <c r="A363" s="524"/>
      <c r="B363" s="524"/>
      <c r="D363" s="81" t="s">
        <v>266</v>
      </c>
      <c r="E363" s="529"/>
      <c r="F363" s="529"/>
      <c r="G363" s="529"/>
      <c r="H363" s="529"/>
      <c r="I363" s="78"/>
      <c r="J363" s="270"/>
      <c r="K363" s="87"/>
      <c r="L363"/>
    </row>
    <row r="364" spans="1:12" ht="27" customHeight="1">
      <c r="A364" s="524"/>
      <c r="B364" s="524"/>
      <c r="C364" s="133">
        <f>'Time Calc'!$P$11</f>
        <v>20</v>
      </c>
      <c r="D364" s="81" t="s">
        <v>265</v>
      </c>
      <c r="E364" s="529"/>
      <c r="F364" s="529"/>
      <c r="G364" s="529"/>
      <c r="H364" s="529"/>
      <c r="I364" s="78"/>
      <c r="J364" s="270"/>
      <c r="L364"/>
    </row>
    <row r="365" spans="1:12" ht="27" customHeight="1">
      <c r="A365" s="76">
        <v>54</v>
      </c>
      <c r="B365" s="77" t="str">
        <f>'PRICES XACT IN'!C73</f>
        <v>CON</v>
      </c>
      <c r="C365" s="77" t="str">
        <f>'PRICES XACT IN'!D73</f>
        <v>LAB</v>
      </c>
      <c r="D365" s="72" t="str">
        <f>'PRICES XACT IN'!E73</f>
        <v>Content Manipulation charge - per hour</v>
      </c>
      <c r="E365" s="77" t="str">
        <f>'PRICES XACT IN'!G73</f>
        <v>HR</v>
      </c>
      <c r="F365" s="364">
        <f>C367*$F$344/60</f>
        <v>1.8333333333333333</v>
      </c>
      <c r="G365" s="78">
        <f>'PRICES XACT IN'!H73</f>
        <v>53.11</v>
      </c>
      <c r="H365" s="89">
        <f>F365*G365</f>
        <v>97.368333333333325</v>
      </c>
      <c r="I365" s="78"/>
      <c r="J365" s="270">
        <f>+J362+1</f>
        <v>67</v>
      </c>
      <c r="L365"/>
    </row>
    <row r="366" spans="1:12" ht="27" customHeight="1">
      <c r="A366" s="524"/>
      <c r="B366" s="524"/>
      <c r="D366" s="81" t="s">
        <v>267</v>
      </c>
      <c r="E366" s="529"/>
      <c r="F366" s="529"/>
      <c r="G366" s="529"/>
      <c r="H366" s="529"/>
      <c r="I366" s="78"/>
      <c r="J366" s="270"/>
      <c r="K366" s="87"/>
      <c r="L366"/>
    </row>
    <row r="367" spans="1:12" ht="27" customHeight="1">
      <c r="A367" s="524"/>
      <c r="B367" s="524"/>
      <c r="C367" s="133">
        <f>'Time Calc'!$P$12</f>
        <v>10</v>
      </c>
      <c r="D367" s="81" t="s">
        <v>265</v>
      </c>
      <c r="E367" s="529"/>
      <c r="F367" s="529"/>
      <c r="G367" s="529"/>
      <c r="H367" s="529"/>
      <c r="I367" s="78"/>
      <c r="L367"/>
    </row>
    <row r="368" spans="1:12" ht="27" customHeight="1">
      <c r="B368" s="429"/>
      <c r="C368" s="429"/>
      <c r="D368" s="131" t="s">
        <v>100</v>
      </c>
      <c r="E368" s="429" t="s">
        <v>268</v>
      </c>
      <c r="F368" s="429"/>
      <c r="G368" s="429"/>
      <c r="H368" s="89">
        <f>SUM(H342:H366)</f>
        <v>2077.1116666666662</v>
      </c>
      <c r="I368" s="78"/>
      <c r="J368" s="84"/>
      <c r="L368"/>
    </row>
    <row r="369" spans="1:12" ht="27" customHeight="1">
      <c r="A369" s="76"/>
      <c r="B369" s="536" t="s">
        <v>226</v>
      </c>
      <c r="C369" s="81"/>
      <c r="D369" s="281" t="s">
        <v>101</v>
      </c>
      <c r="E369" s="77"/>
      <c r="F369" s="78"/>
      <c r="G369" s="78"/>
      <c r="H369" s="78"/>
      <c r="I369" s="78"/>
      <c r="J369" s="84"/>
      <c r="K369" s="87"/>
      <c r="L369"/>
    </row>
    <row r="370" spans="1:12" ht="27" customHeight="1">
      <c r="A370" s="82" t="s">
        <v>228</v>
      </c>
      <c r="B370" s="537"/>
      <c r="C370" s="83" t="s">
        <v>229</v>
      </c>
      <c r="D370" s="82" t="s">
        <v>230</v>
      </c>
      <c r="E370" s="428" t="s">
        <v>231</v>
      </c>
      <c r="F370" s="83" t="s">
        <v>232</v>
      </c>
      <c r="G370" s="83" t="s">
        <v>233</v>
      </c>
      <c r="H370" s="83" t="s">
        <v>234</v>
      </c>
      <c r="I370" s="78"/>
      <c r="J370" s="84"/>
      <c r="L370"/>
    </row>
    <row r="371" spans="1:12" ht="27" customHeight="1">
      <c r="A371" s="76">
        <v>55</v>
      </c>
      <c r="B371" s="77" t="str">
        <f>'PRICES XACT IN'!C75</f>
        <v>CPS</v>
      </c>
      <c r="C371" s="77" t="str">
        <f>'PRICES XACT IN'!D75</f>
        <v>BXLMP</v>
      </c>
      <c r="D371" s="78" t="str">
        <f>'PRICES XACT IN'!E75</f>
        <v>Provide lamp box set, packing paper &amp; tape</v>
      </c>
      <c r="E371" s="97" t="str">
        <f>'PRICES XACT IN'!G75</f>
        <v>EA</v>
      </c>
      <c r="F371" s="363">
        <f>INDEX('Box Summary'!G:G, MATCH("*Total*", 'Box Summary'!A:A, 0))</f>
        <v>2</v>
      </c>
      <c r="G371" s="78">
        <f>'PRICES XACT IN'!H75</f>
        <v>7.99</v>
      </c>
      <c r="H371" s="89">
        <f>F371*G371</f>
        <v>15.98</v>
      </c>
      <c r="I371" s="78"/>
      <c r="J371" s="270">
        <f>1+J365</f>
        <v>68</v>
      </c>
      <c r="L371"/>
    </row>
    <row r="372" spans="1:12" ht="27" customHeight="1">
      <c r="A372" s="76"/>
      <c r="B372" s="77"/>
      <c r="D372" s="79" t="s">
        <v>274</v>
      </c>
      <c r="E372" s="77"/>
      <c r="F372" s="364"/>
      <c r="G372" s="78"/>
      <c r="H372" s="88"/>
      <c r="I372" s="78"/>
      <c r="J372" s="271"/>
      <c r="K372" s="87"/>
      <c r="L372"/>
    </row>
    <row r="373" spans="1:12" ht="27" customHeight="1">
      <c r="A373" s="76">
        <v>56</v>
      </c>
      <c r="B373" s="77" t="str">
        <f>'PRICES XACT IN'!C76</f>
        <v>CPS</v>
      </c>
      <c r="C373" s="77" t="str">
        <f>'PRICES XACT IN'!D76</f>
        <v>BXMME</v>
      </c>
      <c r="D373" s="478" t="str">
        <f>'PRICES XACT IN'!E76</f>
        <v>Evaluate pack &amp; inventory misc items - per Med box</v>
      </c>
      <c r="E373" s="97" t="str">
        <f>'PRICES XACT IN'!G76</f>
        <v>EA</v>
      </c>
      <c r="F373" s="364">
        <f>F371</f>
        <v>2</v>
      </c>
      <c r="G373" s="78">
        <f>'PRICES XACT IN'!H76</f>
        <v>16.63</v>
      </c>
      <c r="H373" s="89">
        <f>F373*G373</f>
        <v>33.26</v>
      </c>
      <c r="I373" s="78"/>
      <c r="J373" s="270">
        <f>+J371+1</f>
        <v>69</v>
      </c>
      <c r="L373"/>
    </row>
    <row r="374" spans="1:12" ht="27" customHeight="1">
      <c r="A374" s="76"/>
      <c r="B374" s="77"/>
      <c r="D374" s="91" t="s">
        <v>51</v>
      </c>
      <c r="E374" s="77"/>
      <c r="F374" s="364"/>
      <c r="G374" s="78"/>
      <c r="H374" s="89"/>
      <c r="I374" s="78"/>
      <c r="J374" s="270"/>
      <c r="L374"/>
    </row>
    <row r="375" spans="1:12" ht="27" customHeight="1">
      <c r="A375" s="76">
        <v>57</v>
      </c>
      <c r="B375" s="77" t="str">
        <f>'PRICES XACT IN'!C77</f>
        <v>CLM</v>
      </c>
      <c r="C375" s="77" t="str">
        <f>'PRICES XACT IN'!D77</f>
        <v>FLF-</v>
      </c>
      <c r="D375" s="72" t="str">
        <f>'PRICES XACT IN'!E77</f>
        <v>Clean floor lamp - flat finish (no shade) - Light clean</v>
      </c>
      <c r="E375" s="77" t="str">
        <f>'PRICES XACT IN'!G77</f>
        <v>EA</v>
      </c>
      <c r="F375" s="364">
        <f>F373</f>
        <v>2</v>
      </c>
      <c r="G375" s="78">
        <f>'PRICES XACT IN'!H77</f>
        <v>24.9</v>
      </c>
      <c r="H375" s="89">
        <f>F375*G375</f>
        <v>49.8</v>
      </c>
      <c r="I375" s="78"/>
      <c r="J375" s="270">
        <f>+J373+1</f>
        <v>70</v>
      </c>
      <c r="L375"/>
    </row>
    <row r="376" spans="1:12" ht="27" customHeight="1">
      <c r="A376" s="76"/>
      <c r="B376" s="77"/>
      <c r="D376" s="81" t="s">
        <v>52</v>
      </c>
      <c r="E376" s="77"/>
      <c r="F376" s="364"/>
      <c r="G376" s="78"/>
      <c r="H376" s="90"/>
      <c r="I376" s="89">
        <f>SUM(H349:H374)</f>
        <v>3227.2133333333327</v>
      </c>
      <c r="J376" s="270"/>
      <c r="L376"/>
    </row>
    <row r="377" spans="1:12" ht="27" customHeight="1">
      <c r="A377" s="76">
        <v>58</v>
      </c>
      <c r="B377" s="77" t="str">
        <f>'PRICES XACT IN'!C78</f>
        <v>CON</v>
      </c>
      <c r="C377" s="77" t="str">
        <f>'PRICES XACT IN'!D78</f>
        <v>LAB</v>
      </c>
      <c r="D377" s="72" t="str">
        <f>'PRICES XACT IN'!E78</f>
        <v>Content Manipulation charge - per hour</v>
      </c>
      <c r="E377" s="77" t="str">
        <f>'PRICES XACT IN'!G78</f>
        <v>HR</v>
      </c>
      <c r="F377" s="364">
        <f>C379*$F$371/60</f>
        <v>0.66666666666666663</v>
      </c>
      <c r="G377" s="78">
        <f>'PRICES XACT IN'!H78</f>
        <v>53.11</v>
      </c>
      <c r="H377" s="89">
        <f>F377*G377</f>
        <v>35.406666666666666</v>
      </c>
      <c r="I377" s="78"/>
      <c r="J377" s="270">
        <f>+J375+1</f>
        <v>71</v>
      </c>
      <c r="L377"/>
    </row>
    <row r="378" spans="1:12" ht="27" customHeight="1">
      <c r="A378" s="76"/>
      <c r="B378" s="77"/>
      <c r="D378" s="81" t="s">
        <v>53</v>
      </c>
      <c r="E378" s="77"/>
      <c r="F378" s="364"/>
      <c r="G378" s="78"/>
      <c r="H378" s="89"/>
      <c r="I378" s="78"/>
      <c r="J378" s="270"/>
      <c r="K378" s="85"/>
      <c r="L378"/>
    </row>
    <row r="379" spans="1:12" ht="27" customHeight="1">
      <c r="A379" s="76"/>
      <c r="B379" s="77"/>
      <c r="C379" s="249">
        <f>'Time Calc'!S7</f>
        <v>20</v>
      </c>
      <c r="D379" s="81" t="s">
        <v>265</v>
      </c>
      <c r="E379" s="98"/>
      <c r="F379" s="364"/>
      <c r="G379" s="78"/>
      <c r="H379" s="89"/>
      <c r="I379" s="78"/>
      <c r="J379" s="270"/>
      <c r="K379" s="87"/>
      <c r="L379"/>
    </row>
    <row r="380" spans="1:12" ht="27" customHeight="1">
      <c r="A380" s="76">
        <v>59</v>
      </c>
      <c r="B380" s="77" t="str">
        <f>'PRICES XACT IN'!C79</f>
        <v>CON</v>
      </c>
      <c r="C380" s="77" t="str">
        <f>'PRICES XACT IN'!D79</f>
        <v>LAB</v>
      </c>
      <c r="D380" s="72" t="str">
        <f>'PRICES XACT IN'!E79</f>
        <v>Content Manipulation charge - per hour</v>
      </c>
      <c r="E380" s="77" t="str">
        <f>'PRICES XACT IN'!G79</f>
        <v>HR</v>
      </c>
      <c r="F380" s="364">
        <f>C382*$F$371/60</f>
        <v>0.66666666666666663</v>
      </c>
      <c r="G380" s="78">
        <f>'PRICES XACT IN'!H79</f>
        <v>53.11</v>
      </c>
      <c r="H380" s="89">
        <f>F380*G380</f>
        <v>35.406666666666666</v>
      </c>
      <c r="I380" s="78"/>
      <c r="J380" s="270">
        <f>+J377+1</f>
        <v>72</v>
      </c>
      <c r="L380"/>
    </row>
    <row r="381" spans="1:12" ht="27" customHeight="1">
      <c r="A381" s="76"/>
      <c r="B381" s="77"/>
      <c r="D381" s="81" t="s">
        <v>275</v>
      </c>
      <c r="E381" s="77"/>
      <c r="F381" s="364"/>
      <c r="G381" s="78"/>
      <c r="H381" s="89"/>
      <c r="I381" s="78"/>
      <c r="J381" s="270"/>
      <c r="L381"/>
    </row>
    <row r="382" spans="1:12" ht="27" customHeight="1">
      <c r="A382" s="76"/>
      <c r="B382" s="77"/>
      <c r="C382" s="249">
        <f>'Time Calc'!S8</f>
        <v>20</v>
      </c>
      <c r="D382" s="81" t="s">
        <v>265</v>
      </c>
      <c r="E382" s="98"/>
      <c r="F382" s="364"/>
      <c r="G382" s="78"/>
      <c r="H382" s="89"/>
      <c r="I382" s="78"/>
      <c r="J382" s="270"/>
      <c r="K382" s="87"/>
      <c r="L382"/>
    </row>
    <row r="383" spans="1:12" ht="27" customHeight="1">
      <c r="A383" s="76">
        <v>60</v>
      </c>
      <c r="B383" s="77" t="str">
        <f>'PRICES XACT IN'!C80</f>
        <v>CON</v>
      </c>
      <c r="C383" s="77" t="str">
        <f>'PRICES XACT IN'!D80</f>
        <v>LAB</v>
      </c>
      <c r="D383" s="72" t="str">
        <f>'PRICES XACT IN'!E80</f>
        <v>Content Manipulation charge - per hour</v>
      </c>
      <c r="E383" s="77" t="str">
        <f>'PRICES XACT IN'!G80</f>
        <v>HR</v>
      </c>
      <c r="F383" s="364">
        <f>C385*$F$371/60</f>
        <v>0.66666666666666663</v>
      </c>
      <c r="G383" s="78">
        <f>'PRICES XACT IN'!H80</f>
        <v>53.11</v>
      </c>
      <c r="H383" s="89">
        <f>F383*G383</f>
        <v>35.406666666666666</v>
      </c>
      <c r="I383" s="78"/>
      <c r="J383" s="270">
        <f>+J380+1</f>
        <v>73</v>
      </c>
      <c r="L383"/>
    </row>
    <row r="384" spans="1:12" ht="27" customHeight="1">
      <c r="A384" s="76"/>
      <c r="B384" s="77"/>
      <c r="D384" s="81" t="s">
        <v>72</v>
      </c>
      <c r="E384" s="99"/>
      <c r="F384" s="364"/>
      <c r="G384" s="78"/>
      <c r="H384" s="89"/>
      <c r="I384" s="78"/>
      <c r="J384" s="270"/>
      <c r="L384"/>
    </row>
    <row r="385" spans="1:12" ht="27" customHeight="1">
      <c r="A385" s="76"/>
      <c r="B385" s="77"/>
      <c r="C385" s="249">
        <f>'Time Calc'!S9</f>
        <v>20</v>
      </c>
      <c r="D385" s="81" t="s">
        <v>265</v>
      </c>
      <c r="E385" s="98"/>
      <c r="F385" s="364"/>
      <c r="G385" s="78"/>
      <c r="H385" s="89"/>
      <c r="I385" s="78"/>
      <c r="J385" s="270"/>
      <c r="K385" s="87"/>
      <c r="L385"/>
    </row>
    <row r="386" spans="1:12" ht="27" customHeight="1">
      <c r="A386" s="76">
        <v>61</v>
      </c>
      <c r="B386" s="77" t="str">
        <f>'PRICES XACT IN'!C81</f>
        <v>CON</v>
      </c>
      <c r="C386" s="77" t="str">
        <f>'PRICES XACT IN'!D81</f>
        <v>LAB</v>
      </c>
      <c r="D386" s="72" t="str">
        <f>'PRICES XACT IN'!E81</f>
        <v>Content Manipulation charge - per hour</v>
      </c>
      <c r="E386" s="77" t="str">
        <f>'PRICES XACT IN'!G81</f>
        <v>HR</v>
      </c>
      <c r="F386" s="364">
        <f>C388*$F$371/60</f>
        <v>0.66666666666666663</v>
      </c>
      <c r="G386" s="78">
        <f>'PRICES XACT IN'!H81</f>
        <v>53.11</v>
      </c>
      <c r="H386" s="89">
        <f>F386*G386</f>
        <v>35.406666666666666</v>
      </c>
      <c r="I386" s="78"/>
      <c r="J386" s="270">
        <f>+J383+1</f>
        <v>74</v>
      </c>
      <c r="L386"/>
    </row>
    <row r="387" spans="1:12" ht="27" customHeight="1">
      <c r="A387" s="76"/>
      <c r="B387" s="77"/>
      <c r="D387" s="81" t="s">
        <v>276</v>
      </c>
      <c r="E387" s="77"/>
      <c r="F387" s="364"/>
      <c r="G387" s="78"/>
      <c r="H387" s="89"/>
      <c r="I387" s="78"/>
      <c r="J387" s="270"/>
      <c r="L387"/>
    </row>
    <row r="388" spans="1:12" ht="27" customHeight="1">
      <c r="A388" s="76"/>
      <c r="B388" s="77"/>
      <c r="C388" s="249">
        <f>'Time Calc'!S10</f>
        <v>20</v>
      </c>
      <c r="D388" s="81" t="s">
        <v>265</v>
      </c>
      <c r="E388" s="98"/>
      <c r="F388" s="364"/>
      <c r="G388" s="78"/>
      <c r="H388" s="89"/>
      <c r="I388" s="78"/>
      <c r="J388" s="270"/>
      <c r="K388" s="87"/>
      <c r="L388"/>
    </row>
    <row r="389" spans="1:12" ht="27" customHeight="1">
      <c r="A389" s="76">
        <v>62</v>
      </c>
      <c r="B389" s="77" t="str">
        <f>'PRICES XACT IN'!C82</f>
        <v>DMO</v>
      </c>
      <c r="C389" s="77" t="str">
        <f>'PRICES XACT IN'!D82</f>
        <v>LAB</v>
      </c>
      <c r="D389" s="72" t="str">
        <f>'PRICES XACT IN'!E82</f>
        <v>General Demolition - per hour</v>
      </c>
      <c r="E389" s="77" t="str">
        <f>'PRICES XACT IN'!G82</f>
        <v>HR</v>
      </c>
      <c r="F389" s="364">
        <f>C391*$F$371/60</f>
        <v>0.66666666666666663</v>
      </c>
      <c r="G389" s="78">
        <f>'PRICES XACT IN'!H82</f>
        <v>61.24</v>
      </c>
      <c r="H389" s="89">
        <f>F389*G389</f>
        <v>40.826666666666668</v>
      </c>
      <c r="I389" s="78"/>
      <c r="J389" s="270">
        <f>+J386+1</f>
        <v>75</v>
      </c>
      <c r="L389"/>
    </row>
    <row r="390" spans="1:12" ht="27" customHeight="1">
      <c r="A390" s="76"/>
      <c r="B390" s="77"/>
      <c r="D390" s="81" t="s">
        <v>57</v>
      </c>
      <c r="E390" s="77"/>
      <c r="F390" s="364"/>
      <c r="G390" s="78"/>
      <c r="H390" s="89"/>
      <c r="I390" s="78"/>
      <c r="J390" s="270"/>
      <c r="L390"/>
    </row>
    <row r="391" spans="1:12" ht="27" customHeight="1">
      <c r="A391" s="76"/>
      <c r="B391" s="77"/>
      <c r="C391" s="249">
        <f>'Time Calc'!S11</f>
        <v>20</v>
      </c>
      <c r="D391" s="81" t="s">
        <v>265</v>
      </c>
      <c r="E391" s="98"/>
      <c r="F391" s="364"/>
      <c r="G391" s="78"/>
      <c r="H391" s="89"/>
      <c r="I391" s="78"/>
      <c r="J391" s="270"/>
      <c r="K391" s="87"/>
      <c r="L391"/>
    </row>
    <row r="392" spans="1:12" ht="27" customHeight="1">
      <c r="A392" s="76">
        <v>63</v>
      </c>
      <c r="B392" s="77" t="str">
        <f>'PRICES XACT IN'!C83</f>
        <v>CON</v>
      </c>
      <c r="C392" s="77" t="str">
        <f>'PRICES XACT IN'!D83</f>
        <v>LAB</v>
      </c>
      <c r="D392" s="72" t="str">
        <f>'PRICES XACT IN'!E83</f>
        <v>Content Manipulation charge - per hour</v>
      </c>
      <c r="E392" s="77" t="str">
        <f>'PRICES XACT IN'!G83</f>
        <v>HR</v>
      </c>
      <c r="F392" s="364">
        <f>C394*$F$371/60</f>
        <v>0.33333333333333331</v>
      </c>
      <c r="G392" s="78">
        <f>'PRICES XACT IN'!H83</f>
        <v>53.11</v>
      </c>
      <c r="H392" s="89">
        <f>F392*G392</f>
        <v>17.703333333333333</v>
      </c>
      <c r="I392" s="78"/>
      <c r="J392" s="270">
        <f>+J389+1</f>
        <v>76</v>
      </c>
      <c r="L392"/>
    </row>
    <row r="393" spans="1:12" ht="27" customHeight="1">
      <c r="A393" s="76"/>
      <c r="B393" s="77"/>
      <c r="D393" s="81" t="s">
        <v>58</v>
      </c>
      <c r="E393" s="77"/>
      <c r="F393" s="364"/>
      <c r="G393" s="78"/>
      <c r="H393" s="78"/>
      <c r="I393" s="78"/>
      <c r="J393" s="84"/>
      <c r="L393"/>
    </row>
    <row r="394" spans="1:12" ht="27" customHeight="1">
      <c r="A394" s="76"/>
      <c r="B394" s="77"/>
      <c r="C394" s="249">
        <f>'Time Calc'!S12</f>
        <v>10</v>
      </c>
      <c r="D394" s="81" t="s">
        <v>265</v>
      </c>
      <c r="E394" s="98"/>
      <c r="F394" s="364"/>
      <c r="G394" s="78"/>
      <c r="H394" s="78"/>
      <c r="I394" s="78"/>
      <c r="J394" s="84"/>
      <c r="K394" s="87"/>
      <c r="L394"/>
    </row>
    <row r="395" spans="1:12" ht="27" customHeight="1">
      <c r="C395" s="81"/>
      <c r="D395" s="131" t="s">
        <v>101</v>
      </c>
      <c r="E395" s="429" t="s">
        <v>268</v>
      </c>
      <c r="F395" s="429"/>
      <c r="G395" s="78"/>
      <c r="H395" s="89">
        <f>SUM(H369:H393)</f>
        <v>299.19666666666666</v>
      </c>
      <c r="I395" s="78"/>
      <c r="J395" s="84"/>
      <c r="L395"/>
    </row>
    <row r="396" spans="1:12" ht="27" customHeight="1">
      <c r="A396" s="76"/>
      <c r="B396" s="536" t="s">
        <v>226</v>
      </c>
      <c r="C396" s="81"/>
      <c r="D396" s="281" t="s">
        <v>13</v>
      </c>
      <c r="E396" s="77"/>
      <c r="F396" s="78"/>
      <c r="G396" s="78"/>
      <c r="H396" s="78"/>
      <c r="I396" s="78"/>
      <c r="J396" s="84"/>
      <c r="L396"/>
    </row>
    <row r="397" spans="1:12" ht="27" customHeight="1">
      <c r="A397" s="82" t="s">
        <v>228</v>
      </c>
      <c r="B397" s="537"/>
      <c r="C397" s="83" t="s">
        <v>229</v>
      </c>
      <c r="D397" s="82" t="s">
        <v>230</v>
      </c>
      <c r="E397" s="428" t="s">
        <v>231</v>
      </c>
      <c r="F397" s="83" t="s">
        <v>232</v>
      </c>
      <c r="G397" s="82" t="s">
        <v>233</v>
      </c>
      <c r="H397" s="83" t="s">
        <v>234</v>
      </c>
      <c r="I397" s="78"/>
      <c r="J397" s="84"/>
      <c r="K397" s="87"/>
      <c r="L397"/>
    </row>
    <row r="398" spans="1:12" ht="27" customHeight="1">
      <c r="A398" s="76">
        <v>64</v>
      </c>
      <c r="B398" s="77" t="str">
        <f>'PRICES XACT IN'!C85</f>
        <v>CPS</v>
      </c>
      <c r="C398" s="77" t="str">
        <f>'PRICES XACT IN'!D85</f>
        <v>BXTV</v>
      </c>
      <c r="D398" s="72" t="str">
        <f>'PRICES XACT IN'!E85</f>
        <v>Provide TV box, packing paper &amp; tape</v>
      </c>
      <c r="E398" s="97" t="str">
        <f>'PRICES XACT IN'!G85</f>
        <v>EA</v>
      </c>
      <c r="F398" s="363">
        <f>INDEX('Box Summary'!H:H, MATCH("*Total*", 'Box Summary'!A:A, 0))</f>
        <v>1</v>
      </c>
      <c r="G398" s="78">
        <f>'PRICES XACT IN'!H85</f>
        <v>27.34</v>
      </c>
      <c r="H398" s="89">
        <f>F398*G398</f>
        <v>27.34</v>
      </c>
      <c r="I398" s="78"/>
      <c r="J398" s="270">
        <f>1+J392</f>
        <v>77</v>
      </c>
      <c r="L398"/>
    </row>
    <row r="399" spans="1:12" ht="27" customHeight="1">
      <c r="A399" s="76"/>
      <c r="B399" s="77"/>
      <c r="D399" s="79" t="s">
        <v>274</v>
      </c>
      <c r="E399" s="77"/>
      <c r="F399" s="364"/>
      <c r="G399" s="78"/>
      <c r="H399" s="88"/>
      <c r="I399" s="78"/>
      <c r="J399" s="271"/>
      <c r="L399"/>
    </row>
    <row r="400" spans="1:12" ht="27" customHeight="1">
      <c r="A400" s="76">
        <v>65</v>
      </c>
      <c r="B400" s="77" t="str">
        <f>'PRICES XACT IN'!C86</f>
        <v>CPS</v>
      </c>
      <c r="C400" s="77" t="str">
        <f>'PRICES XACT IN'!D86</f>
        <v>BXMME</v>
      </c>
      <c r="D400" s="72" t="str">
        <f>'PRICES XACT IN'!E86</f>
        <v>Evaluate pack &amp; inventory misc items - per Med box</v>
      </c>
      <c r="E400" s="97" t="str">
        <f>'PRICES XACT IN'!G86</f>
        <v>EA</v>
      </c>
      <c r="F400" s="364">
        <f>F398</f>
        <v>1</v>
      </c>
      <c r="G400" s="78">
        <f>'PRICES XACT IN'!H86</f>
        <v>16.63</v>
      </c>
      <c r="H400" s="89">
        <f>F400*G400</f>
        <v>16.63</v>
      </c>
      <c r="I400" s="78"/>
      <c r="J400" s="270">
        <f>+J398+1</f>
        <v>78</v>
      </c>
      <c r="K400" s="87"/>
      <c r="L400"/>
    </row>
    <row r="401" spans="1:12" ht="27" customHeight="1">
      <c r="A401" s="76"/>
      <c r="B401" s="77"/>
      <c r="D401" s="91" t="s">
        <v>51</v>
      </c>
      <c r="E401" s="77"/>
      <c r="F401" s="364"/>
      <c r="G401" s="78"/>
      <c r="H401" s="89"/>
      <c r="I401" s="78"/>
      <c r="J401" s="270"/>
      <c r="L401"/>
    </row>
    <row r="402" spans="1:12" ht="27" customHeight="1">
      <c r="A402" s="76">
        <v>66</v>
      </c>
      <c r="B402" s="77" t="str">
        <f>'PRICES XACT IN'!C87</f>
        <v>CGN</v>
      </c>
      <c r="C402" s="77" t="str">
        <f>'PRICES XACT IN'!D87</f>
        <v>BXMM</v>
      </c>
      <c r="D402" s="72" t="str">
        <f>'PRICES XACT IN'!E87</f>
        <v>Clean misc items - per Med box</v>
      </c>
      <c r="E402" s="77" t="str">
        <f>'PRICES XACT IN'!G87</f>
        <v>EA</v>
      </c>
      <c r="F402" s="364">
        <f>F400</f>
        <v>1</v>
      </c>
      <c r="G402" s="78">
        <f>'PRICES XACT IN'!H87</f>
        <v>62.04</v>
      </c>
      <c r="H402" s="89">
        <f>F402*G402</f>
        <v>62.04</v>
      </c>
      <c r="I402" s="78"/>
      <c r="J402" s="270">
        <f>+J400+1</f>
        <v>79</v>
      </c>
      <c r="L402"/>
    </row>
    <row r="403" spans="1:12" ht="27" customHeight="1">
      <c r="A403" s="76"/>
      <c r="B403" s="77"/>
      <c r="D403" s="81" t="s">
        <v>52</v>
      </c>
      <c r="E403" s="77"/>
      <c r="F403" s="364"/>
      <c r="G403" s="78"/>
      <c r="H403" s="90"/>
      <c r="I403" s="78"/>
      <c r="J403" s="270"/>
      <c r="K403" s="87"/>
      <c r="L403"/>
    </row>
    <row r="404" spans="1:12" ht="27" customHeight="1">
      <c r="A404" s="76">
        <v>67</v>
      </c>
      <c r="B404" s="77" t="str">
        <f>'PRICES XACT IN'!C88</f>
        <v>CON</v>
      </c>
      <c r="C404" s="77" t="str">
        <f>'PRICES XACT IN'!D88</f>
        <v>LAB</v>
      </c>
      <c r="D404" s="72" t="str">
        <f>'PRICES XACT IN'!E88</f>
        <v>Content Manipulation charge - per hour</v>
      </c>
      <c r="E404" s="77" t="str">
        <f>'PRICES XACT IN'!G88</f>
        <v>HR</v>
      </c>
      <c r="F404" s="364">
        <f>C406*$F$398/60</f>
        <v>0.33333333333333331</v>
      </c>
      <c r="G404" s="78">
        <f>'PRICES XACT IN'!H88</f>
        <v>53.11</v>
      </c>
      <c r="H404" s="89">
        <f>F404*G404</f>
        <v>17.703333333333333</v>
      </c>
      <c r="I404" s="78"/>
      <c r="J404" s="270">
        <f>+J402+1</f>
        <v>80</v>
      </c>
      <c r="L404"/>
    </row>
    <row r="405" spans="1:12" ht="27" customHeight="1">
      <c r="A405" s="76"/>
      <c r="B405" s="77"/>
      <c r="D405" s="81" t="s">
        <v>53</v>
      </c>
      <c r="E405" s="77"/>
      <c r="F405" s="364"/>
      <c r="G405" s="78"/>
      <c r="H405" s="89"/>
      <c r="I405" s="78"/>
      <c r="J405" s="270"/>
      <c r="L405"/>
    </row>
    <row r="406" spans="1:12" ht="27" customHeight="1">
      <c r="A406" s="76"/>
      <c r="B406" s="77"/>
      <c r="C406" s="249">
        <f>'Time Calc'!$V$7</f>
        <v>20</v>
      </c>
      <c r="D406" s="81" t="s">
        <v>265</v>
      </c>
      <c r="E406" s="98"/>
      <c r="F406" s="364"/>
      <c r="G406" s="78"/>
      <c r="H406" s="89"/>
      <c r="I406" s="89">
        <f>SUM(H379:H404)</f>
        <v>587.66</v>
      </c>
      <c r="J406" s="270"/>
      <c r="L406"/>
    </row>
    <row r="407" spans="1:12" ht="27" customHeight="1">
      <c r="A407" s="76">
        <v>68</v>
      </c>
      <c r="B407" s="77" t="str">
        <f>'PRICES XACT IN'!C89</f>
        <v>CON</v>
      </c>
      <c r="C407" s="77" t="str">
        <f>'PRICES XACT IN'!D89</f>
        <v>LAB</v>
      </c>
      <c r="D407" s="72" t="str">
        <f>'PRICES XACT IN'!E89</f>
        <v>Content Manipulation charge - per hour</v>
      </c>
      <c r="E407" s="77" t="str">
        <f>'PRICES XACT IN'!G89</f>
        <v>HR</v>
      </c>
      <c r="F407" s="364">
        <f>C409*$F$398/60</f>
        <v>0.33333333333333331</v>
      </c>
      <c r="G407" s="78">
        <f>'PRICES XACT IN'!H89</f>
        <v>53.11</v>
      </c>
      <c r="H407" s="89">
        <f>F407*G407</f>
        <v>17.703333333333333</v>
      </c>
      <c r="I407" s="78"/>
      <c r="J407" s="270">
        <f>+J404+1</f>
        <v>81</v>
      </c>
      <c r="L407"/>
    </row>
    <row r="408" spans="1:12" ht="27" customHeight="1">
      <c r="A408" s="76"/>
      <c r="B408" s="77"/>
      <c r="D408" s="81" t="s">
        <v>275</v>
      </c>
      <c r="E408" s="77"/>
      <c r="F408" s="364"/>
      <c r="G408" s="78"/>
      <c r="H408" s="89"/>
      <c r="I408" s="78"/>
      <c r="J408" s="270"/>
      <c r="K408" s="85"/>
      <c r="L408"/>
    </row>
    <row r="409" spans="1:12" ht="27" customHeight="1">
      <c r="A409" s="76"/>
      <c r="B409" s="77"/>
      <c r="C409" s="249">
        <f>'Time Calc'!$V$8</f>
        <v>20</v>
      </c>
      <c r="D409" s="81" t="s">
        <v>265</v>
      </c>
      <c r="E409" s="98"/>
      <c r="F409" s="364"/>
      <c r="G409" s="78"/>
      <c r="H409" s="89"/>
      <c r="I409" s="78"/>
      <c r="J409" s="270"/>
      <c r="K409" s="87"/>
      <c r="L409"/>
    </row>
    <row r="410" spans="1:12" ht="27" customHeight="1">
      <c r="A410" s="76">
        <v>69</v>
      </c>
      <c r="B410" s="77" t="str">
        <f>'PRICES XACT IN'!C90</f>
        <v>CON</v>
      </c>
      <c r="C410" s="77" t="str">
        <f>'PRICES XACT IN'!D90</f>
        <v>LAB</v>
      </c>
      <c r="D410" s="72" t="str">
        <f>'PRICES XACT IN'!E90</f>
        <v>Content Manipulation charge - per hour</v>
      </c>
      <c r="E410" s="77" t="str">
        <f>'PRICES XACT IN'!G90</f>
        <v>HR</v>
      </c>
      <c r="F410" s="364">
        <f>C412*$F$398/60</f>
        <v>0.33333333333333331</v>
      </c>
      <c r="G410" s="78">
        <f>'PRICES XACT IN'!H90</f>
        <v>53.11</v>
      </c>
      <c r="H410" s="89">
        <f>F410*G410</f>
        <v>17.703333333333333</v>
      </c>
      <c r="I410" s="78"/>
      <c r="J410" s="270">
        <f>+J407+1</f>
        <v>82</v>
      </c>
      <c r="L410"/>
    </row>
    <row r="411" spans="1:12" ht="27" customHeight="1">
      <c r="A411" s="76"/>
      <c r="B411" s="77"/>
      <c r="D411" s="81" t="s">
        <v>72</v>
      </c>
      <c r="E411" s="77"/>
      <c r="F411" s="364"/>
      <c r="G411" s="78"/>
      <c r="H411" s="89"/>
      <c r="I411" s="78"/>
      <c r="J411" s="270"/>
      <c r="L411"/>
    </row>
    <row r="412" spans="1:12" ht="27" customHeight="1">
      <c r="A412" s="76"/>
      <c r="B412" s="77"/>
      <c r="C412" s="249">
        <f>'Time Calc'!$V$9</f>
        <v>20</v>
      </c>
      <c r="D412" s="81" t="s">
        <v>265</v>
      </c>
      <c r="E412" s="98"/>
      <c r="F412" s="364"/>
      <c r="G412" s="78"/>
      <c r="H412" s="89"/>
      <c r="I412" s="78"/>
      <c r="J412" s="270"/>
      <c r="K412" s="87"/>
      <c r="L412"/>
    </row>
    <row r="413" spans="1:12" ht="27" customHeight="1">
      <c r="A413" s="76">
        <v>70</v>
      </c>
      <c r="B413" s="77" t="str">
        <f>'PRICES XACT IN'!C91</f>
        <v>CON</v>
      </c>
      <c r="C413" s="77" t="str">
        <f>'PRICES XACT IN'!D91</f>
        <v>LAB</v>
      </c>
      <c r="D413" s="72" t="str">
        <f>'PRICES XACT IN'!E91</f>
        <v>Content Manipulation charge - per hour</v>
      </c>
      <c r="E413" s="77" t="str">
        <f>'PRICES XACT IN'!G91</f>
        <v>HR</v>
      </c>
      <c r="F413" s="364">
        <f>C415*$F$398/60</f>
        <v>0.33333333333333331</v>
      </c>
      <c r="G413" s="78">
        <f>'PRICES XACT IN'!H91</f>
        <v>53.11</v>
      </c>
      <c r="H413" s="89">
        <f>F413*G413</f>
        <v>17.703333333333333</v>
      </c>
      <c r="I413" s="78"/>
      <c r="J413" s="270">
        <f>+J410+1</f>
        <v>83</v>
      </c>
      <c r="L413"/>
    </row>
    <row r="414" spans="1:12" ht="27" customHeight="1">
      <c r="A414" s="76"/>
      <c r="B414" s="77"/>
      <c r="D414" s="81" t="s">
        <v>276</v>
      </c>
      <c r="E414" s="77"/>
      <c r="F414" s="364"/>
      <c r="G414" s="78"/>
      <c r="H414" s="89"/>
      <c r="I414" s="78"/>
      <c r="J414" s="270"/>
      <c r="L414"/>
    </row>
    <row r="415" spans="1:12" ht="27" customHeight="1">
      <c r="A415" s="76"/>
      <c r="B415" s="77"/>
      <c r="C415" s="249">
        <f>'Time Calc'!$V$10</f>
        <v>20</v>
      </c>
      <c r="D415" s="81" t="s">
        <v>265</v>
      </c>
      <c r="E415" s="98"/>
      <c r="F415" s="364"/>
      <c r="G415" s="78"/>
      <c r="H415" s="89"/>
      <c r="I415" s="78"/>
      <c r="J415" s="270"/>
      <c r="K415" s="87"/>
      <c r="L415"/>
    </row>
    <row r="416" spans="1:12" ht="27" customHeight="1">
      <c r="A416" s="76">
        <v>71</v>
      </c>
      <c r="B416" s="77" t="str">
        <f>'PRICES XACT IN'!C92</f>
        <v>DMO</v>
      </c>
      <c r="C416" s="77" t="str">
        <f>'PRICES XACT IN'!D92</f>
        <v>LAB</v>
      </c>
      <c r="D416" s="72" t="str">
        <f>'PRICES XACT IN'!E92</f>
        <v>General Demolition - per hour</v>
      </c>
      <c r="E416" s="77" t="str">
        <f>'PRICES XACT IN'!G92</f>
        <v>HR</v>
      </c>
      <c r="F416" s="364">
        <f>C418*$F$398/60</f>
        <v>0.33333333333333331</v>
      </c>
      <c r="G416" s="78">
        <f>'PRICES XACT IN'!H92</f>
        <v>61.24</v>
      </c>
      <c r="H416" s="89">
        <f>F416*G416</f>
        <v>20.413333333333334</v>
      </c>
      <c r="I416" s="78"/>
      <c r="J416" s="270">
        <f>+J413+1</f>
        <v>84</v>
      </c>
      <c r="L416"/>
    </row>
    <row r="417" spans="1:12" ht="27" customHeight="1">
      <c r="A417" s="76"/>
      <c r="B417" s="77"/>
      <c r="D417" s="81" t="s">
        <v>57</v>
      </c>
      <c r="E417" s="77"/>
      <c r="F417" s="364"/>
      <c r="G417" s="78"/>
      <c r="H417" s="89"/>
      <c r="I417" s="78"/>
      <c r="J417" s="270"/>
      <c r="L417"/>
    </row>
    <row r="418" spans="1:12" ht="27" customHeight="1">
      <c r="A418" s="76"/>
      <c r="B418" s="77"/>
      <c r="C418" s="249">
        <f>'Time Calc'!$V$11</f>
        <v>20</v>
      </c>
      <c r="D418" s="81" t="s">
        <v>265</v>
      </c>
      <c r="E418" s="98"/>
      <c r="F418" s="364"/>
      <c r="G418" s="78"/>
      <c r="H418" s="89"/>
      <c r="I418" s="78"/>
      <c r="J418" s="270"/>
      <c r="K418" s="87"/>
      <c r="L418"/>
    </row>
    <row r="419" spans="1:12" ht="27" customHeight="1">
      <c r="A419" s="76">
        <v>72</v>
      </c>
      <c r="B419" s="77" t="str">
        <f>'PRICES XACT IN'!C93</f>
        <v>CON</v>
      </c>
      <c r="C419" s="77" t="str">
        <f>'PRICES XACT IN'!D93</f>
        <v>LAB</v>
      </c>
      <c r="D419" s="72" t="str">
        <f>'PRICES XACT IN'!E93</f>
        <v>Content Manipulation charge - per hour</v>
      </c>
      <c r="E419" s="77" t="str">
        <f>'PRICES XACT IN'!G93</f>
        <v>HR</v>
      </c>
      <c r="F419" s="364">
        <f>C421*$F$398/60</f>
        <v>0.16666666666666666</v>
      </c>
      <c r="G419" s="78">
        <f>'PRICES XACT IN'!H93</f>
        <v>53.11</v>
      </c>
      <c r="H419" s="89">
        <f>F419*G419</f>
        <v>8.8516666666666666</v>
      </c>
      <c r="I419" s="78"/>
      <c r="J419" s="270">
        <f>+J416+1</f>
        <v>85</v>
      </c>
      <c r="L419"/>
    </row>
    <row r="420" spans="1:12" ht="27" customHeight="1">
      <c r="A420" s="76"/>
      <c r="B420" s="77"/>
      <c r="D420" s="81" t="s">
        <v>58</v>
      </c>
      <c r="E420" s="77"/>
      <c r="F420" s="364"/>
      <c r="G420" s="78"/>
      <c r="H420" s="78"/>
      <c r="I420" s="78"/>
      <c r="J420" s="84"/>
      <c r="L420"/>
    </row>
    <row r="421" spans="1:12" ht="27" customHeight="1">
      <c r="A421" s="76"/>
      <c r="B421" s="77"/>
      <c r="C421" s="249">
        <f>'Time Calc'!$V$12</f>
        <v>10</v>
      </c>
      <c r="D421" s="81" t="s">
        <v>265</v>
      </c>
      <c r="E421" s="98"/>
      <c r="F421" s="364"/>
      <c r="G421" s="78"/>
      <c r="H421" s="78"/>
      <c r="I421" s="78"/>
      <c r="J421" s="84"/>
      <c r="K421" s="87"/>
      <c r="L421"/>
    </row>
    <row r="422" spans="1:12" ht="27" customHeight="1">
      <c r="D422" s="131" t="s">
        <v>13</v>
      </c>
      <c r="E422" s="429" t="s">
        <v>268</v>
      </c>
      <c r="F422" s="429"/>
      <c r="H422" s="89">
        <f>SUM(H396:H420)</f>
        <v>206.08833333333331</v>
      </c>
      <c r="I422" s="78"/>
      <c r="J422" s="84"/>
      <c r="L422"/>
    </row>
    <row r="423" spans="1:12" ht="27" customHeight="1">
      <c r="A423" s="76"/>
      <c r="B423" s="536" t="s">
        <v>226</v>
      </c>
      <c r="C423" s="81"/>
      <c r="D423" s="251" t="s">
        <v>277</v>
      </c>
      <c r="E423" s="77"/>
      <c r="F423" s="78"/>
      <c r="G423" s="78"/>
      <c r="H423" s="78"/>
      <c r="I423" s="78"/>
      <c r="J423" s="84"/>
      <c r="L423"/>
    </row>
    <row r="424" spans="1:12" ht="27" customHeight="1">
      <c r="A424" s="82" t="s">
        <v>228</v>
      </c>
      <c r="B424" s="537"/>
      <c r="C424" s="83" t="s">
        <v>229</v>
      </c>
      <c r="D424" s="82" t="s">
        <v>230</v>
      </c>
      <c r="E424" s="428" t="s">
        <v>231</v>
      </c>
      <c r="F424" s="82" t="s">
        <v>232</v>
      </c>
      <c r="G424" s="82" t="s">
        <v>233</v>
      </c>
      <c r="H424" s="83" t="s">
        <v>234</v>
      </c>
      <c r="I424" s="78"/>
      <c r="J424" s="84"/>
      <c r="K424" s="87"/>
      <c r="L424"/>
    </row>
    <row r="425" spans="1:12" ht="27" customHeight="1">
      <c r="A425" s="76">
        <v>73</v>
      </c>
      <c r="B425" s="77" t="str">
        <f>'PRICES XACT IN'!C95</f>
        <v>CPS</v>
      </c>
      <c r="C425" s="77" t="str">
        <f>'PRICES XACT IN'!D95</f>
        <v>BXWDR&gt;</v>
      </c>
      <c r="D425" s="78" t="str">
        <f>'PRICES XACT IN'!E95</f>
        <v>Provide wardrobe box &amp; tape - large size</v>
      </c>
      <c r="E425" s="77" t="str">
        <f>'PRICES XACT IN'!G95</f>
        <v>EA</v>
      </c>
      <c r="F425" s="363">
        <f>INDEX('Box Summary'!I:I, MATCH("*Total*", 'Box Summary'!A:A, 0))</f>
        <v>0</v>
      </c>
      <c r="G425" s="78">
        <f>'PRICES XACT IN'!H95</f>
        <v>26.74</v>
      </c>
      <c r="H425" s="89">
        <f>F425*G425</f>
        <v>0</v>
      </c>
      <c r="I425" s="78"/>
      <c r="J425" s="270">
        <f>1+J419</f>
        <v>86</v>
      </c>
      <c r="L425"/>
    </row>
    <row r="426" spans="1:12" ht="27" customHeight="1">
      <c r="A426" s="76"/>
      <c r="B426" s="77"/>
      <c r="D426" s="79" t="s">
        <v>274</v>
      </c>
      <c r="E426" s="77"/>
      <c r="F426" s="364"/>
      <c r="G426" s="78"/>
      <c r="H426" s="88"/>
      <c r="I426" s="78"/>
      <c r="J426" s="271"/>
      <c r="L426"/>
    </row>
    <row r="427" spans="1:12" ht="27" customHeight="1">
      <c r="A427" s="76">
        <v>74</v>
      </c>
      <c r="B427" s="77" t="str">
        <f>'PRICES XACT IN'!C96</f>
        <v>CPS</v>
      </c>
      <c r="C427" s="77" t="str">
        <f>'PRICES XACT IN'!D96</f>
        <v>BXMLE</v>
      </c>
      <c r="D427" s="78" t="str">
        <f>'PRICES XACT IN'!E96</f>
        <v>Evaluate pack &amp; inventory misc items - per Lg box</v>
      </c>
      <c r="E427" s="77" t="str">
        <f>'PRICES XACT IN'!G96</f>
        <v>EA</v>
      </c>
      <c r="F427" s="364">
        <f>F425</f>
        <v>0</v>
      </c>
      <c r="G427" s="78">
        <f>'PRICES XACT IN'!H96</f>
        <v>21.17</v>
      </c>
      <c r="H427" s="89">
        <f>F427*G427</f>
        <v>0</v>
      </c>
      <c r="I427" s="78"/>
      <c r="J427" s="270">
        <f>+J425+1</f>
        <v>87</v>
      </c>
      <c r="K427" s="87"/>
      <c r="L427"/>
    </row>
    <row r="428" spans="1:12" ht="27" customHeight="1">
      <c r="A428" s="76"/>
      <c r="B428" s="77"/>
      <c r="D428" s="91" t="s">
        <v>51</v>
      </c>
      <c r="E428" s="77"/>
      <c r="F428" s="364"/>
      <c r="G428" s="78"/>
      <c r="H428" s="89"/>
      <c r="I428" s="78"/>
      <c r="J428" s="270"/>
      <c r="L428"/>
    </row>
    <row r="429" spans="1:12" ht="27" customHeight="1">
      <c r="A429" s="76">
        <v>75</v>
      </c>
      <c r="B429" s="77" t="str">
        <f>'PRICES XACT IN'!C97</f>
        <v>CGN</v>
      </c>
      <c r="C429" s="77" t="str">
        <f>'PRICES XACT IN'!D97</f>
        <v>BXML</v>
      </c>
      <c r="D429" s="78" t="str">
        <f>'PRICES XACT IN'!E97</f>
        <v>Clean misc items - per Lg box</v>
      </c>
      <c r="E429" s="77" t="str">
        <f>'PRICES XACT IN'!G97</f>
        <v>EA</v>
      </c>
      <c r="F429" s="364">
        <f>F427</f>
        <v>0</v>
      </c>
      <c r="G429" s="78">
        <f>'PRICES XACT IN'!H97</f>
        <v>77.52</v>
      </c>
      <c r="H429" s="89">
        <f>F429*G429</f>
        <v>0</v>
      </c>
      <c r="I429" s="78"/>
      <c r="J429" s="270">
        <f>+J427+1</f>
        <v>88</v>
      </c>
      <c r="L429"/>
    </row>
    <row r="430" spans="1:12" ht="27" customHeight="1">
      <c r="A430" s="76"/>
      <c r="B430" s="77"/>
      <c r="D430" s="81" t="s">
        <v>52</v>
      </c>
      <c r="E430" s="77"/>
      <c r="F430" s="364"/>
      <c r="G430" s="78"/>
      <c r="H430" s="90"/>
      <c r="I430" s="78"/>
      <c r="J430" s="270"/>
      <c r="K430" s="87"/>
      <c r="L430"/>
    </row>
    <row r="431" spans="1:12" ht="27" customHeight="1">
      <c r="A431" s="76">
        <v>76</v>
      </c>
      <c r="B431" s="77" t="str">
        <f>'PRICES XACT IN'!C98</f>
        <v>CDC</v>
      </c>
      <c r="C431" s="77" t="str">
        <f>'PRICES XACT IN'!D98</f>
        <v>LABC</v>
      </c>
      <c r="D431" s="78" t="str">
        <f>'PRICES XACT IN'!E98</f>
        <v>On-Site Inventory, Packing, Boxing, Moving chrg - per hour</v>
      </c>
      <c r="E431" s="77" t="str">
        <f>'PRICES XACT IN'!G98</f>
        <v>HR</v>
      </c>
      <c r="F431" s="364">
        <f>C433*$F$425/60</f>
        <v>0</v>
      </c>
      <c r="G431" s="78">
        <f>'PRICES XACT IN'!H98</f>
        <v>53.83</v>
      </c>
      <c r="H431" s="89">
        <f>F431*G431</f>
        <v>0</v>
      </c>
      <c r="I431" s="78"/>
      <c r="J431" s="270">
        <f>+J429+1</f>
        <v>89</v>
      </c>
      <c r="L431"/>
    </row>
    <row r="432" spans="1:12" ht="27" customHeight="1">
      <c r="A432" s="76"/>
      <c r="B432" s="77"/>
      <c r="D432" s="81" t="s">
        <v>53</v>
      </c>
      <c r="E432" s="77"/>
      <c r="F432" s="364"/>
      <c r="G432" s="78"/>
      <c r="H432" s="89"/>
      <c r="I432" s="78"/>
      <c r="J432" s="270"/>
      <c r="L432"/>
    </row>
    <row r="433" spans="1:12" ht="27" customHeight="1">
      <c r="A433" s="76"/>
      <c r="B433" s="77"/>
      <c r="C433" s="249">
        <f>'Time Calc'!$V$7</f>
        <v>20</v>
      </c>
      <c r="D433" s="81" t="s">
        <v>265</v>
      </c>
      <c r="E433" s="98"/>
      <c r="F433" s="364"/>
      <c r="G433" s="78"/>
      <c r="H433" s="89"/>
      <c r="I433" s="78"/>
      <c r="J433" s="270"/>
      <c r="K433" s="87"/>
      <c r="L433"/>
    </row>
    <row r="434" spans="1:12" ht="27" customHeight="1">
      <c r="A434" s="76">
        <v>77</v>
      </c>
      <c r="B434" s="77" t="str">
        <f>'PRICES XACT IN'!C99</f>
        <v>CON</v>
      </c>
      <c r="C434" s="77" t="str">
        <f>'PRICES XACT IN'!D99</f>
        <v>LAB</v>
      </c>
      <c r="D434" s="78" t="str">
        <f>'PRICES XACT IN'!E99</f>
        <v>Content Manipulation charge - per hour</v>
      </c>
      <c r="E434" s="77" t="str">
        <f>'PRICES XACT IN'!G99</f>
        <v>HR</v>
      </c>
      <c r="F434" s="364">
        <f>C436*$F$425/60</f>
        <v>0</v>
      </c>
      <c r="G434" s="78">
        <f>'PRICES XACT IN'!H99</f>
        <v>53.11</v>
      </c>
      <c r="H434" s="89">
        <f>F434*G434</f>
        <v>0</v>
      </c>
      <c r="I434" s="78"/>
      <c r="J434" s="270">
        <f>+J431+1</f>
        <v>90</v>
      </c>
      <c r="L434"/>
    </row>
    <row r="435" spans="1:12" ht="27" customHeight="1">
      <c r="A435" s="76"/>
      <c r="B435" s="77"/>
      <c r="D435" s="81" t="s">
        <v>275</v>
      </c>
      <c r="E435" s="77"/>
      <c r="F435" s="364"/>
      <c r="G435" s="78"/>
      <c r="H435" s="89"/>
      <c r="I435" s="78"/>
      <c r="J435" s="270"/>
      <c r="L435"/>
    </row>
    <row r="436" spans="1:12" ht="27" customHeight="1">
      <c r="A436" s="76"/>
      <c r="B436" s="77"/>
      <c r="C436" s="249">
        <f>'Time Calc'!$V$8</f>
        <v>20</v>
      </c>
      <c r="D436" s="81" t="s">
        <v>265</v>
      </c>
      <c r="E436" s="98"/>
      <c r="F436" s="364"/>
      <c r="G436" s="78"/>
      <c r="H436" s="89"/>
      <c r="I436" s="89">
        <f>SUM(H409:H434)</f>
        <v>270.76</v>
      </c>
      <c r="J436" s="270"/>
      <c r="L436"/>
    </row>
    <row r="437" spans="1:12" ht="27" customHeight="1">
      <c r="A437" s="76">
        <v>78</v>
      </c>
      <c r="B437" s="77" t="str">
        <f>'PRICES XACT IN'!C100</f>
        <v>CON</v>
      </c>
      <c r="C437" s="77" t="str">
        <f>'PRICES XACT IN'!D100</f>
        <v>LAB</v>
      </c>
      <c r="D437" s="78" t="str">
        <f>'PRICES XACT IN'!E100</f>
        <v>Content Manipulation charge - per hour</v>
      </c>
      <c r="E437" s="77" t="str">
        <f>'PRICES XACT IN'!G100</f>
        <v>HR</v>
      </c>
      <c r="F437" s="364">
        <f>C439*$F$425/60</f>
        <v>0</v>
      </c>
      <c r="G437" s="78">
        <f>'PRICES XACT IN'!H100</f>
        <v>53.11</v>
      </c>
      <c r="H437" s="89">
        <f>F437*G437</f>
        <v>0</v>
      </c>
      <c r="I437" s="78"/>
      <c r="J437" s="270">
        <f>+J434+1</f>
        <v>91</v>
      </c>
      <c r="L437"/>
    </row>
    <row r="438" spans="1:12" ht="27" customHeight="1">
      <c r="A438" s="76"/>
      <c r="B438" s="77"/>
      <c r="D438" s="81" t="s">
        <v>72</v>
      </c>
      <c r="E438" s="77"/>
      <c r="F438" s="364"/>
      <c r="G438" s="78"/>
      <c r="H438" s="89"/>
      <c r="I438" s="78"/>
      <c r="J438" s="270"/>
      <c r="L438"/>
    </row>
    <row r="439" spans="1:12" ht="27" customHeight="1">
      <c r="A439" s="76"/>
      <c r="B439" s="77"/>
      <c r="C439" s="249">
        <f>'Time Calc'!$V$9</f>
        <v>20</v>
      </c>
      <c r="D439" s="81" t="s">
        <v>265</v>
      </c>
      <c r="E439" s="98"/>
      <c r="F439" s="364"/>
      <c r="G439" s="78"/>
      <c r="H439" s="89"/>
      <c r="I439" s="78"/>
      <c r="J439" s="270"/>
      <c r="K439" s="85"/>
      <c r="L439"/>
    </row>
    <row r="440" spans="1:12" ht="27" customHeight="1">
      <c r="A440" s="76">
        <v>79</v>
      </c>
      <c r="B440" s="77" t="str">
        <f>'PRICES XACT IN'!C101</f>
        <v>CON</v>
      </c>
      <c r="C440" s="77" t="str">
        <f>'PRICES XACT IN'!D101</f>
        <v>LAB</v>
      </c>
      <c r="D440" s="78" t="str">
        <f>'PRICES XACT IN'!E101</f>
        <v>Content Manipulation charge - per hour</v>
      </c>
      <c r="E440" s="77" t="str">
        <f>'PRICES XACT IN'!G101</f>
        <v>HR</v>
      </c>
      <c r="F440" s="364">
        <f>C442*$F$425/60</f>
        <v>0</v>
      </c>
      <c r="G440" s="78">
        <f>'PRICES XACT IN'!H101</f>
        <v>53.11</v>
      </c>
      <c r="H440" s="89">
        <f>F440*G440</f>
        <v>0</v>
      </c>
      <c r="I440" s="78"/>
      <c r="J440" s="270">
        <f>+J437+1</f>
        <v>92</v>
      </c>
      <c r="K440" s="87"/>
      <c r="L440"/>
    </row>
    <row r="441" spans="1:12" ht="27" customHeight="1">
      <c r="A441" s="76"/>
      <c r="B441" s="77"/>
      <c r="D441" s="81" t="s">
        <v>276</v>
      </c>
      <c r="E441" s="77"/>
      <c r="F441" s="364"/>
      <c r="G441" s="78"/>
      <c r="H441" s="89"/>
      <c r="I441" s="78"/>
      <c r="J441" s="270"/>
      <c r="L441"/>
    </row>
    <row r="442" spans="1:12" ht="27" customHeight="1">
      <c r="A442" s="76"/>
      <c r="B442" s="77"/>
      <c r="C442" s="249">
        <f>'Time Calc'!$V$10</f>
        <v>20</v>
      </c>
      <c r="D442" s="81" t="s">
        <v>265</v>
      </c>
      <c r="E442" s="98"/>
      <c r="F442" s="364"/>
      <c r="G442" s="78"/>
      <c r="H442" s="89"/>
      <c r="I442" s="78"/>
      <c r="J442" s="270"/>
      <c r="L442"/>
    </row>
    <row r="443" spans="1:12" ht="27" customHeight="1">
      <c r="A443" s="76">
        <v>80</v>
      </c>
      <c r="B443" s="77" t="str">
        <f>'PRICES XACT IN'!C102</f>
        <v>CON</v>
      </c>
      <c r="C443" s="77" t="str">
        <f>'PRICES XACT IN'!D102</f>
        <v>LAB</v>
      </c>
      <c r="D443" s="78" t="str">
        <f>'PRICES XACT IN'!E102</f>
        <v>Content Manipulation charge - per hour</v>
      </c>
      <c r="E443" s="77" t="str">
        <f>'PRICES XACT IN'!G102</f>
        <v>HR</v>
      </c>
      <c r="F443" s="364">
        <f>C445*$F$425/60</f>
        <v>0</v>
      </c>
      <c r="G443" s="78">
        <f>'PRICES XACT IN'!H102</f>
        <v>53.11</v>
      </c>
      <c r="H443" s="89">
        <f>F443*G443</f>
        <v>0</v>
      </c>
      <c r="I443" s="78"/>
      <c r="J443" s="270">
        <f>+J440+1</f>
        <v>93</v>
      </c>
      <c r="K443" s="87"/>
      <c r="L443"/>
    </row>
    <row r="444" spans="1:12" ht="27" customHeight="1">
      <c r="A444" s="76"/>
      <c r="B444" s="77"/>
      <c r="D444" s="81" t="s">
        <v>57</v>
      </c>
      <c r="E444" s="77"/>
      <c r="F444" s="364"/>
      <c r="G444" s="78"/>
      <c r="H444" s="89"/>
      <c r="I444" s="78"/>
      <c r="J444" s="270"/>
      <c r="L444"/>
    </row>
    <row r="445" spans="1:12" ht="27" customHeight="1">
      <c r="A445" s="76"/>
      <c r="B445" s="77"/>
      <c r="C445" s="249">
        <f>'Time Calc'!$V$11</f>
        <v>20</v>
      </c>
      <c r="D445" s="81" t="s">
        <v>265</v>
      </c>
      <c r="E445" s="98"/>
      <c r="F445" s="364"/>
      <c r="G445" s="78"/>
      <c r="H445" s="89"/>
      <c r="I445" s="78"/>
      <c r="J445" s="270"/>
      <c r="L445"/>
    </row>
    <row r="446" spans="1:12" ht="27" customHeight="1">
      <c r="A446" s="76">
        <v>81</v>
      </c>
      <c r="B446" s="77" t="str">
        <f>'PRICES XACT IN'!C103</f>
        <v>CON</v>
      </c>
      <c r="C446" s="77" t="str">
        <f>'PRICES XACT IN'!D103</f>
        <v>LAB</v>
      </c>
      <c r="D446" s="78" t="str">
        <f>'PRICES XACT IN'!E103</f>
        <v>Content Manipulation charge - per hour</v>
      </c>
      <c r="E446" s="77" t="str">
        <f>'PRICES XACT IN'!G103</f>
        <v>HR</v>
      </c>
      <c r="F446" s="364">
        <f>C448*$F$425/60</f>
        <v>0</v>
      </c>
      <c r="G446" s="78">
        <f>'PRICES XACT IN'!H103</f>
        <v>53.11</v>
      </c>
      <c r="H446" s="89">
        <f>F446*G446</f>
        <v>0</v>
      </c>
      <c r="I446" s="78"/>
      <c r="J446" s="270">
        <f>+J443+1</f>
        <v>94</v>
      </c>
      <c r="K446" s="87"/>
      <c r="L446"/>
    </row>
    <row r="447" spans="1:12" ht="27" customHeight="1">
      <c r="A447" s="76"/>
      <c r="B447" s="77"/>
      <c r="D447" s="81" t="s">
        <v>58</v>
      </c>
      <c r="E447" s="77"/>
      <c r="F447" s="364"/>
      <c r="G447" s="78"/>
      <c r="H447" s="78"/>
      <c r="I447" s="78"/>
      <c r="J447" s="84"/>
      <c r="L447"/>
    </row>
    <row r="448" spans="1:12" ht="27" customHeight="1">
      <c r="A448" s="76"/>
      <c r="B448" s="77"/>
      <c r="C448" s="249">
        <f>'Time Calc'!$V$12</f>
        <v>10</v>
      </c>
      <c r="D448" s="81" t="s">
        <v>265</v>
      </c>
      <c r="E448" s="98"/>
      <c r="F448" s="364"/>
      <c r="G448" s="78"/>
      <c r="H448" s="78"/>
      <c r="I448" s="78"/>
      <c r="J448" s="84"/>
      <c r="L448"/>
    </row>
    <row r="449" spans="1:12" ht="27" customHeight="1">
      <c r="D449" s="340" t="s">
        <v>277</v>
      </c>
      <c r="E449" s="429" t="s">
        <v>268</v>
      </c>
      <c r="F449" s="365"/>
      <c r="H449" s="89">
        <f>SUM(H423:H447)</f>
        <v>0</v>
      </c>
      <c r="I449" s="78"/>
      <c r="J449" s="84"/>
      <c r="K449" s="87"/>
      <c r="L449"/>
    </row>
    <row r="450" spans="1:12" ht="27" customHeight="1">
      <c r="A450" s="76"/>
      <c r="B450" s="536" t="s">
        <v>226</v>
      </c>
      <c r="C450" s="81"/>
      <c r="D450" s="251" t="s">
        <v>278</v>
      </c>
      <c r="E450" s="77"/>
      <c r="F450" s="364"/>
      <c r="G450" s="78"/>
      <c r="H450" s="78"/>
      <c r="I450" s="78"/>
      <c r="J450" s="84"/>
      <c r="L450"/>
    </row>
    <row r="451" spans="1:12" ht="27" customHeight="1">
      <c r="A451" s="82" t="s">
        <v>228</v>
      </c>
      <c r="B451" s="537"/>
      <c r="C451" s="83" t="s">
        <v>229</v>
      </c>
      <c r="D451" s="82" t="s">
        <v>230</v>
      </c>
      <c r="E451" s="82" t="s">
        <v>231</v>
      </c>
      <c r="F451" s="366" t="s">
        <v>232</v>
      </c>
      <c r="G451" s="82" t="s">
        <v>233</v>
      </c>
      <c r="H451" s="83" t="s">
        <v>234</v>
      </c>
      <c r="I451" s="78"/>
      <c r="J451" s="84"/>
      <c r="L451"/>
    </row>
    <row r="452" spans="1:12" ht="27" customHeight="1">
      <c r="A452" s="76">
        <v>82</v>
      </c>
      <c r="B452" s="77" t="str">
        <f>'PRICES XACT IN'!C105</f>
        <v>CPS</v>
      </c>
      <c r="C452" s="77" t="str">
        <f>'PRICES XACT IN'!D105</f>
        <v>BXMATQ</v>
      </c>
      <c r="D452" s="78" t="str">
        <f>'PRICES XACT IN'!E105</f>
        <v>Provide mattress box &amp; tape - queen size</v>
      </c>
      <c r="E452" s="77" t="str">
        <f>'PRICES XACT IN'!G105</f>
        <v>EA</v>
      </c>
      <c r="F452" s="363">
        <f>INDEX('Box Summary'!J:J, MATCH("*Total*", 'Box Summary'!A:A, 0))</f>
        <v>1</v>
      </c>
      <c r="G452" s="78">
        <f>'PRICES XACT IN'!H105</f>
        <v>34.590000000000003</v>
      </c>
      <c r="H452" s="89">
        <f>F452*G452</f>
        <v>34.590000000000003</v>
      </c>
      <c r="I452" s="78"/>
      <c r="J452" s="270">
        <f>1+J446</f>
        <v>95</v>
      </c>
      <c r="K452" s="87"/>
      <c r="L452"/>
    </row>
    <row r="453" spans="1:12" ht="27" customHeight="1">
      <c r="A453" s="76"/>
      <c r="B453" s="77"/>
      <c r="D453" s="79" t="s">
        <v>274</v>
      </c>
      <c r="E453" s="77"/>
      <c r="F453" s="364"/>
      <c r="G453" s="78"/>
      <c r="H453" s="88"/>
      <c r="I453" s="78"/>
      <c r="J453" s="271"/>
      <c r="L453"/>
    </row>
    <row r="454" spans="1:12" ht="27" customHeight="1">
      <c r="A454" s="76">
        <v>83</v>
      </c>
      <c r="B454" s="77" t="str">
        <f>'PRICES XACT IN'!C106</f>
        <v>CPS</v>
      </c>
      <c r="C454" s="77" t="str">
        <f>'PRICES XACT IN'!D106</f>
        <v>BXMXE</v>
      </c>
      <c r="D454" s="72" t="str">
        <f>'PRICES XACT IN'!E106</f>
        <v>Evaluate pack &amp; inventory misc items - per Xlg box</v>
      </c>
      <c r="E454" s="97" t="str">
        <f>'PRICES XACT IN'!G106</f>
        <v>EA</v>
      </c>
      <c r="F454" s="364">
        <f>F452</f>
        <v>1</v>
      </c>
      <c r="G454" s="78">
        <f>'PRICES XACT IN'!H106</f>
        <v>28.64</v>
      </c>
      <c r="H454" s="89">
        <f>F454*G454</f>
        <v>28.64</v>
      </c>
      <c r="I454" s="78"/>
      <c r="J454" s="270">
        <f>+J452+1</f>
        <v>96</v>
      </c>
      <c r="L454"/>
    </row>
    <row r="455" spans="1:12" ht="27" customHeight="1">
      <c r="A455" s="76"/>
      <c r="B455" s="77"/>
      <c r="D455" s="91" t="s">
        <v>51</v>
      </c>
      <c r="E455" s="77"/>
      <c r="F455" s="364"/>
      <c r="G455" s="78"/>
      <c r="H455" s="89"/>
      <c r="I455" s="78"/>
      <c r="J455" s="270"/>
      <c r="K455" s="87"/>
      <c r="L455"/>
    </row>
    <row r="456" spans="1:12" ht="27" customHeight="1">
      <c r="A456" s="76">
        <v>84</v>
      </c>
      <c r="B456" s="77" t="str">
        <f>'PRICES XACT IN'!C107</f>
        <v>CUP</v>
      </c>
      <c r="C456" s="77" t="str">
        <f>'PRICES XACT IN'!D107</f>
        <v>MATF-</v>
      </c>
      <c r="D456" s="72" t="str">
        <f>'PRICES XACT IN'!E107</f>
        <v>Clean &amp; deodorize mattress or box spring - full - Light cl</v>
      </c>
      <c r="E456" s="77" t="str">
        <f>'PRICES XACT IN'!G107</f>
        <v>EA</v>
      </c>
      <c r="F456" s="364">
        <f>F454</f>
        <v>1</v>
      </c>
      <c r="G456" s="78">
        <f>'PRICES XACT IN'!H107</f>
        <v>67.19</v>
      </c>
      <c r="H456" s="89">
        <f>F456*G456</f>
        <v>67.19</v>
      </c>
      <c r="I456" s="78"/>
      <c r="J456" s="270">
        <f>+J454+1</f>
        <v>97</v>
      </c>
      <c r="L456"/>
    </row>
    <row r="457" spans="1:12" ht="27" customHeight="1">
      <c r="A457" s="76"/>
      <c r="B457" s="77"/>
      <c r="D457" s="81" t="s">
        <v>52</v>
      </c>
      <c r="E457" s="77"/>
      <c r="F457" s="364"/>
      <c r="G457" s="78"/>
      <c r="H457" s="90"/>
      <c r="I457" s="78"/>
      <c r="J457" s="270"/>
      <c r="L457"/>
    </row>
    <row r="458" spans="1:12" ht="27" customHeight="1">
      <c r="A458" s="76">
        <v>85</v>
      </c>
      <c r="B458" s="77" t="str">
        <f>'PRICES XACT IN'!C108</f>
        <v>CON</v>
      </c>
      <c r="C458" s="77" t="str">
        <f>'PRICES XACT IN'!D108</f>
        <v>LAB</v>
      </c>
      <c r="D458" s="72" t="str">
        <f>'PRICES XACT IN'!E108</f>
        <v>Content Manipulation charge - per hour</v>
      </c>
      <c r="E458" s="77" t="str">
        <f>'PRICES XACT IN'!G108</f>
        <v>HR</v>
      </c>
      <c r="F458" s="364">
        <f>C460*F452/60</f>
        <v>1</v>
      </c>
      <c r="G458" s="78">
        <f>'PRICES XACT IN'!H108</f>
        <v>53.11</v>
      </c>
      <c r="H458" s="89">
        <f>F458*G458</f>
        <v>53.11</v>
      </c>
      <c r="I458" s="78"/>
      <c r="J458" s="270">
        <f>+J456+1</f>
        <v>98</v>
      </c>
      <c r="K458" s="87"/>
      <c r="L458"/>
    </row>
    <row r="459" spans="1:12" ht="27" customHeight="1">
      <c r="A459" s="76"/>
      <c r="B459" s="77"/>
      <c r="D459" s="81" t="s">
        <v>53</v>
      </c>
      <c r="E459" s="77"/>
      <c r="F459" s="364"/>
      <c r="G459" s="78"/>
      <c r="H459" s="89"/>
      <c r="I459" s="78"/>
      <c r="J459" s="270"/>
      <c r="L459"/>
    </row>
    <row r="460" spans="1:12" ht="27" customHeight="1">
      <c r="A460" s="76"/>
      <c r="B460" s="77"/>
      <c r="C460" s="249">
        <f>'Time Calc'!AB6</f>
        <v>60</v>
      </c>
      <c r="D460" s="81" t="s">
        <v>265</v>
      </c>
      <c r="E460" s="98"/>
      <c r="F460" s="364"/>
      <c r="G460" s="78"/>
      <c r="H460" s="89"/>
      <c r="I460" s="78"/>
      <c r="J460" s="270"/>
      <c r="L460"/>
    </row>
    <row r="461" spans="1:12" ht="27" customHeight="1">
      <c r="A461" s="76">
        <v>86</v>
      </c>
      <c r="B461" s="77" t="str">
        <f>'PRICES XACT IN'!C109</f>
        <v>CON</v>
      </c>
      <c r="C461" s="77" t="str">
        <f>'PRICES XACT IN'!D109</f>
        <v>LAB</v>
      </c>
      <c r="D461" s="72" t="str">
        <f>'PRICES XACT IN'!E109</f>
        <v>Content Manipulation charge - per hour</v>
      </c>
      <c r="E461" s="77" t="str">
        <f>'PRICES XACT IN'!G109</f>
        <v>HR</v>
      </c>
      <c r="F461" s="364">
        <f>C463*F456/60</f>
        <v>1.2</v>
      </c>
      <c r="G461" s="78">
        <f>'PRICES XACT IN'!H109</f>
        <v>53.11</v>
      </c>
      <c r="H461" s="89">
        <f>F461*G461</f>
        <v>63.731999999999999</v>
      </c>
      <c r="I461" s="78"/>
      <c r="J461" s="270">
        <f>+J458+1</f>
        <v>99</v>
      </c>
      <c r="K461" s="87"/>
      <c r="L461"/>
    </row>
    <row r="462" spans="1:12" ht="27" customHeight="1">
      <c r="A462" s="76"/>
      <c r="B462" s="77"/>
      <c r="D462" s="81" t="s">
        <v>275</v>
      </c>
      <c r="E462" s="77"/>
      <c r="F462" s="364"/>
      <c r="G462" s="78"/>
      <c r="H462" s="89"/>
      <c r="I462" s="78"/>
      <c r="J462" s="270"/>
      <c r="L462"/>
    </row>
    <row r="463" spans="1:12" ht="27" customHeight="1">
      <c r="A463" s="76"/>
      <c r="B463" s="77"/>
      <c r="C463" s="249">
        <f>'Time Calc'!AB8</f>
        <v>72</v>
      </c>
      <c r="D463" s="81" t="s">
        <v>265</v>
      </c>
      <c r="E463" s="98"/>
      <c r="F463" s="364"/>
      <c r="G463" s="78"/>
      <c r="H463" s="89"/>
      <c r="I463" s="78"/>
      <c r="J463" s="270"/>
      <c r="L463"/>
    </row>
    <row r="464" spans="1:12" ht="27" customHeight="1">
      <c r="A464" s="76">
        <v>87</v>
      </c>
      <c r="B464" s="77" t="str">
        <f>'PRICES XACT IN'!C110</f>
        <v>CON</v>
      </c>
      <c r="C464" s="77" t="str">
        <f>'PRICES XACT IN'!D110</f>
        <v>LAB</v>
      </c>
      <c r="D464" s="72" t="str">
        <f>'PRICES XACT IN'!E110</f>
        <v>Content Manipulation charge - per hour</v>
      </c>
      <c r="E464" s="77" t="str">
        <f>'PRICES XACT IN'!G110</f>
        <v>HR</v>
      </c>
      <c r="F464" s="364">
        <f>C466*F461/60</f>
        <v>1.44</v>
      </c>
      <c r="G464" s="78">
        <f>'PRICES XACT IN'!H110</f>
        <v>53.11</v>
      </c>
      <c r="H464" s="89">
        <f>F464*G464</f>
        <v>76.478399999999993</v>
      </c>
      <c r="I464" s="78"/>
      <c r="J464" s="270">
        <f>+J461+1</f>
        <v>100</v>
      </c>
      <c r="K464" s="87"/>
      <c r="L464"/>
    </row>
    <row r="465" spans="1:12" ht="27" customHeight="1">
      <c r="A465" s="76"/>
      <c r="B465" s="77"/>
      <c r="D465" s="81" t="s">
        <v>72</v>
      </c>
      <c r="E465" s="77"/>
      <c r="F465" s="364"/>
      <c r="G465" s="78"/>
      <c r="H465" s="89"/>
      <c r="I465" s="78"/>
      <c r="J465" s="270"/>
      <c r="L465"/>
    </row>
    <row r="466" spans="1:12" ht="27" customHeight="1">
      <c r="A466" s="76"/>
      <c r="B466" s="77"/>
      <c r="C466" s="249">
        <f>'Time Calc'!AB9</f>
        <v>72</v>
      </c>
      <c r="D466" s="81" t="s">
        <v>265</v>
      </c>
      <c r="E466" s="98"/>
      <c r="F466" s="364"/>
      <c r="G466" s="78"/>
      <c r="H466" s="89"/>
      <c r="I466" s="89">
        <f>SUM(H439:H464)</f>
        <v>323.74040000000002</v>
      </c>
      <c r="J466" s="270"/>
      <c r="L466"/>
    </row>
    <row r="467" spans="1:12" ht="27" customHeight="1">
      <c r="A467" s="76">
        <v>88</v>
      </c>
      <c r="B467" s="77" t="str">
        <f>'PRICES XACT IN'!C111</f>
        <v>CON</v>
      </c>
      <c r="C467" s="77" t="str">
        <f>'PRICES XACT IN'!D111</f>
        <v>LAB</v>
      </c>
      <c r="D467" s="72" t="str">
        <f>'PRICES XACT IN'!E111</f>
        <v>Content Manipulation charge - per hour</v>
      </c>
      <c r="E467" s="77" t="str">
        <f>'PRICES XACT IN'!G111</f>
        <v>HR</v>
      </c>
      <c r="F467" s="364">
        <f>C469*$F$452/60</f>
        <v>1.2</v>
      </c>
      <c r="G467" s="78">
        <f>'PRICES XACT IN'!H111</f>
        <v>53.11</v>
      </c>
      <c r="H467" s="89">
        <f>F467*G467</f>
        <v>63.731999999999999</v>
      </c>
      <c r="I467" s="78"/>
      <c r="J467" s="270">
        <f>+J464+1</f>
        <v>101</v>
      </c>
      <c r="L467"/>
    </row>
    <row r="468" spans="1:12" ht="27" customHeight="1">
      <c r="A468" s="76"/>
      <c r="B468" s="77"/>
      <c r="D468" s="477" t="s">
        <v>276</v>
      </c>
      <c r="E468" s="77"/>
      <c r="F468" s="364"/>
      <c r="G468" s="78"/>
      <c r="H468" s="89"/>
      <c r="I468" s="78"/>
      <c r="J468" s="270"/>
      <c r="K468" s="85"/>
      <c r="L468"/>
    </row>
    <row r="469" spans="1:12" ht="27" customHeight="1">
      <c r="A469" s="76"/>
      <c r="B469" s="77"/>
      <c r="C469" s="249">
        <f>'Time Calc'!AB10</f>
        <v>72</v>
      </c>
      <c r="D469" s="81" t="s">
        <v>265</v>
      </c>
      <c r="E469" s="98"/>
      <c r="F469" s="364"/>
      <c r="G469" s="78"/>
      <c r="H469" s="89"/>
      <c r="I469" s="78"/>
      <c r="J469" s="270"/>
      <c r="K469" s="87"/>
      <c r="L469"/>
    </row>
    <row r="470" spans="1:12" ht="27" customHeight="1">
      <c r="A470" s="76">
        <v>89</v>
      </c>
      <c r="B470" s="77" t="str">
        <f>'PRICES XACT IN'!C112</f>
        <v>DMO</v>
      </c>
      <c r="C470" s="77" t="str">
        <f>'PRICES XACT IN'!D112</f>
        <v>LAB</v>
      </c>
      <c r="D470" s="72" t="str">
        <f>'PRICES XACT IN'!E112</f>
        <v>General Demolition - per hour</v>
      </c>
      <c r="E470" s="77" t="str">
        <f>'PRICES XACT IN'!G112</f>
        <v>HR</v>
      </c>
      <c r="F470" s="364">
        <f>C472*$F$452/60</f>
        <v>1.2</v>
      </c>
      <c r="G470" s="78">
        <f>'PRICES XACT IN'!H112</f>
        <v>61.24</v>
      </c>
      <c r="H470" s="89">
        <f>F470*G470</f>
        <v>73.488</v>
      </c>
      <c r="I470" s="78"/>
      <c r="J470" s="270">
        <f>+J467+1</f>
        <v>102</v>
      </c>
      <c r="L470"/>
    </row>
    <row r="471" spans="1:12" ht="27" customHeight="1">
      <c r="A471" s="76"/>
      <c r="B471" s="77"/>
      <c r="D471" s="81" t="s">
        <v>57</v>
      </c>
      <c r="E471" s="77"/>
      <c r="F471" s="364"/>
      <c r="G471" s="78"/>
      <c r="H471" s="89"/>
      <c r="I471" s="78"/>
      <c r="J471" s="270"/>
      <c r="L471"/>
    </row>
    <row r="472" spans="1:12" ht="27" customHeight="1">
      <c r="A472" s="76"/>
      <c r="B472" s="77"/>
      <c r="C472" s="249">
        <f>'Time Calc'!AB11</f>
        <v>72</v>
      </c>
      <c r="D472" s="81" t="s">
        <v>265</v>
      </c>
      <c r="E472" s="98"/>
      <c r="F472" s="364"/>
      <c r="G472" s="78"/>
      <c r="H472" s="89"/>
      <c r="I472" s="78"/>
      <c r="J472" s="270"/>
      <c r="K472" s="87"/>
      <c r="L472"/>
    </row>
    <row r="473" spans="1:12" ht="27" customHeight="1">
      <c r="A473" s="76">
        <v>90</v>
      </c>
      <c r="B473" s="77" t="str">
        <f>'PRICES XACT IN'!C113</f>
        <v>CON</v>
      </c>
      <c r="C473" s="77" t="str">
        <f>'PRICES XACT IN'!D113</f>
        <v>LAB</v>
      </c>
      <c r="D473" s="72" t="str">
        <f>'PRICES XACT IN'!E113</f>
        <v>Content Manipulation charge - per hour</v>
      </c>
      <c r="E473" s="77" t="str">
        <f>'PRICES XACT IN'!G113</f>
        <v>HR</v>
      </c>
      <c r="F473" s="364">
        <f>C475*$F$452/60</f>
        <v>1.2</v>
      </c>
      <c r="G473" s="78">
        <f>'PRICES XACT IN'!H113</f>
        <v>53.11</v>
      </c>
      <c r="H473" s="89">
        <f>F473*G473</f>
        <v>63.731999999999999</v>
      </c>
      <c r="I473" s="78"/>
      <c r="J473" s="270">
        <f>+J470+1</f>
        <v>103</v>
      </c>
      <c r="L473"/>
    </row>
    <row r="474" spans="1:12" ht="27" customHeight="1">
      <c r="A474" s="76"/>
      <c r="B474" s="77"/>
      <c r="D474" s="81" t="s">
        <v>58</v>
      </c>
      <c r="E474" s="77"/>
      <c r="F474" s="364"/>
      <c r="G474" s="78"/>
      <c r="H474" s="78"/>
      <c r="I474" s="78"/>
      <c r="J474" s="84"/>
      <c r="L474"/>
    </row>
    <row r="475" spans="1:12" ht="27" customHeight="1">
      <c r="A475" s="76"/>
      <c r="B475" s="77"/>
      <c r="C475" s="249">
        <f>'Time Calc'!AB12</f>
        <v>72</v>
      </c>
      <c r="D475" s="81" t="s">
        <v>265</v>
      </c>
      <c r="E475" s="98"/>
      <c r="F475" s="364"/>
      <c r="G475" s="78"/>
      <c r="H475" s="78"/>
      <c r="I475" s="78"/>
      <c r="J475" s="84"/>
      <c r="K475" s="87"/>
      <c r="L475"/>
    </row>
    <row r="476" spans="1:12" ht="27" customHeight="1">
      <c r="D476" s="501" t="s">
        <v>278</v>
      </c>
      <c r="E476" s="429" t="s">
        <v>268</v>
      </c>
      <c r="F476" s="365"/>
      <c r="H476" s="89">
        <f>SUM(H450:H474)</f>
        <v>524.69240000000002</v>
      </c>
      <c r="I476" s="78"/>
      <c r="J476" s="84"/>
      <c r="L476"/>
    </row>
    <row r="477" spans="1:12" ht="27" customHeight="1">
      <c r="A477" s="76"/>
      <c r="B477" s="536" t="s">
        <v>226</v>
      </c>
      <c r="C477" s="81"/>
      <c r="D477" s="251" t="s">
        <v>16</v>
      </c>
      <c r="E477" s="77"/>
      <c r="F477" s="364"/>
      <c r="G477" s="78"/>
      <c r="H477" s="78"/>
      <c r="I477" s="78"/>
      <c r="J477" s="84"/>
      <c r="L477"/>
    </row>
    <row r="478" spans="1:12" ht="27" customHeight="1">
      <c r="A478" s="82" t="s">
        <v>228</v>
      </c>
      <c r="B478" s="537"/>
      <c r="C478" s="83" t="s">
        <v>229</v>
      </c>
      <c r="D478" s="82" t="s">
        <v>230</v>
      </c>
      <c r="E478" s="82" t="s">
        <v>231</v>
      </c>
      <c r="F478" s="366" t="s">
        <v>232</v>
      </c>
      <c r="G478" s="82" t="s">
        <v>233</v>
      </c>
      <c r="H478" s="83" t="s">
        <v>234</v>
      </c>
      <c r="I478" s="78"/>
      <c r="J478" s="84"/>
      <c r="K478" s="87"/>
      <c r="L478"/>
    </row>
    <row r="479" spans="1:12" ht="27" customHeight="1">
      <c r="A479" s="76">
        <v>91</v>
      </c>
      <c r="B479" s="77" t="str">
        <f>'PRICES XACT IN'!C115</f>
        <v>CPS</v>
      </c>
      <c r="C479" s="77" t="str">
        <f>'PRICES XACT IN'!D115</f>
        <v>BXGL</v>
      </c>
      <c r="D479" s="78" t="str">
        <f>'PRICES XACT IN'!E115</f>
        <v>Provide glasspack box, packing paper &amp; tape</v>
      </c>
      <c r="E479" s="77" t="str">
        <f>'PRICES XACT IN'!G115</f>
        <v>EA</v>
      </c>
      <c r="F479" s="363">
        <f>INDEX('Box Summary'!K:K, MATCH("*Total*", 'Box Summary'!A:A, 0))</f>
        <v>4</v>
      </c>
      <c r="G479" s="78">
        <f>'PRICES XACT IN'!H115</f>
        <v>19.12</v>
      </c>
      <c r="H479" s="89">
        <f>F479*G479</f>
        <v>76.48</v>
      </c>
      <c r="I479" s="78"/>
      <c r="J479" s="270">
        <f>1+J473</f>
        <v>104</v>
      </c>
      <c r="L479" s="93" t="str">
        <f>'Box Summary'!K5</f>
        <v>DISH PACK BOX</v>
      </c>
    </row>
    <row r="480" spans="1:12" ht="27" customHeight="1">
      <c r="A480" s="76"/>
      <c r="B480" s="77"/>
      <c r="D480" s="79" t="s">
        <v>274</v>
      </c>
      <c r="E480" s="77"/>
      <c r="F480" s="364"/>
      <c r="G480" s="78"/>
      <c r="H480" s="88"/>
      <c r="I480" s="78"/>
      <c r="J480" s="271"/>
      <c r="L480"/>
    </row>
    <row r="481" spans="1:12" ht="27" customHeight="1">
      <c r="A481" s="76">
        <v>92</v>
      </c>
      <c r="B481" s="77" t="str">
        <f>'PRICES XACT IN'!C116</f>
        <v>CPS</v>
      </c>
      <c r="C481" s="77" t="str">
        <f>'PRICES XACT IN'!D116</f>
        <v>BXGLE</v>
      </c>
      <c r="D481" s="78" t="str">
        <f>'PRICES XACT IN'!E116</f>
        <v>Evaluate pack &amp; inventory glasspack - per box</v>
      </c>
      <c r="E481" s="77" t="str">
        <f>'PRICES XACT IN'!G116</f>
        <v>EA</v>
      </c>
      <c r="F481" s="364">
        <f>F479</f>
        <v>4</v>
      </c>
      <c r="G481" s="78">
        <f>'PRICES XACT IN'!H116</f>
        <v>27.43</v>
      </c>
      <c r="H481" s="89">
        <f>F481*G481</f>
        <v>109.72</v>
      </c>
      <c r="I481" s="78"/>
      <c r="J481" s="270">
        <f>+J479+1</f>
        <v>105</v>
      </c>
      <c r="K481" s="87"/>
      <c r="L481"/>
    </row>
    <row r="482" spans="1:12" ht="27" customHeight="1">
      <c r="A482" s="76"/>
      <c r="B482" s="77"/>
      <c r="D482" s="91" t="s">
        <v>51</v>
      </c>
      <c r="E482" s="77"/>
      <c r="F482" s="364"/>
      <c r="G482" s="78"/>
      <c r="H482" s="89"/>
      <c r="I482" s="78"/>
      <c r="J482" s="270"/>
      <c r="L482"/>
    </row>
    <row r="483" spans="1:12" ht="27" customHeight="1">
      <c r="A483" s="76">
        <v>93</v>
      </c>
      <c r="B483" s="77" t="str">
        <f>'PRICES XACT IN'!C117</f>
        <v>CGN</v>
      </c>
      <c r="C483" s="77" t="str">
        <f>'PRICES XACT IN'!D117</f>
        <v>BXGL-</v>
      </c>
      <c r="D483" s="78" t="str">
        <f>'PRICES XACT IN'!E117</f>
        <v>Clean glasspack - per box - Light clean</v>
      </c>
      <c r="E483" s="77" t="str">
        <f>'PRICES XACT IN'!G117</f>
        <v>EA</v>
      </c>
      <c r="F483" s="364">
        <f>F481</f>
        <v>4</v>
      </c>
      <c r="G483" s="78">
        <f>'PRICES XACT IN'!H117</f>
        <v>27.54</v>
      </c>
      <c r="H483" s="89">
        <f>F483*G483</f>
        <v>110.16</v>
      </c>
      <c r="I483" s="78"/>
      <c r="J483" s="270">
        <f>+J481+1</f>
        <v>106</v>
      </c>
      <c r="L483"/>
    </row>
    <row r="484" spans="1:12" ht="27" customHeight="1">
      <c r="A484" s="76"/>
      <c r="B484" s="77"/>
      <c r="D484" s="81" t="s">
        <v>52</v>
      </c>
      <c r="E484" s="77"/>
      <c r="F484" s="364"/>
      <c r="G484" s="78"/>
      <c r="H484" s="90"/>
      <c r="I484" s="78"/>
      <c r="J484" s="270"/>
      <c r="K484" s="87"/>
      <c r="L484"/>
    </row>
    <row r="485" spans="1:12" ht="27" customHeight="1">
      <c r="A485" s="76">
        <v>94</v>
      </c>
      <c r="B485" s="77" t="str">
        <f>'PRICES XACT IN'!C118</f>
        <v>CON</v>
      </c>
      <c r="C485" s="77" t="str">
        <f>'PRICES XACT IN'!D118</f>
        <v>LAB</v>
      </c>
      <c r="D485" s="78" t="str">
        <f>'PRICES XACT IN'!E118</f>
        <v>Content Manipulation charge - per hour</v>
      </c>
      <c r="E485" s="77" t="str">
        <f>'PRICES XACT IN'!G118</f>
        <v>HR</v>
      </c>
      <c r="F485" s="364">
        <f>C487*$F$479/60</f>
        <v>1.3333333333333333</v>
      </c>
      <c r="G485" s="78">
        <f>'PRICES XACT IN'!H118</f>
        <v>53.11</v>
      </c>
      <c r="H485" s="89">
        <f>F485*G485</f>
        <v>70.813333333333333</v>
      </c>
      <c r="I485" s="78"/>
      <c r="J485" s="270">
        <f>+J483+1</f>
        <v>107</v>
      </c>
      <c r="L485"/>
    </row>
    <row r="486" spans="1:12" ht="27" customHeight="1">
      <c r="A486" s="76"/>
      <c r="B486" s="77"/>
      <c r="D486" s="81" t="s">
        <v>53</v>
      </c>
      <c r="E486" s="77"/>
      <c r="F486" s="364"/>
      <c r="G486" s="78"/>
      <c r="H486" s="89"/>
      <c r="I486" s="78"/>
      <c r="J486" s="270"/>
      <c r="L486"/>
    </row>
    <row r="487" spans="1:12" ht="27" customHeight="1">
      <c r="A487" s="76"/>
      <c r="B487" s="77"/>
      <c r="C487" s="249">
        <f>'Time Calc'!$AE$7</f>
        <v>20</v>
      </c>
      <c r="D487" s="81" t="s">
        <v>265</v>
      </c>
      <c r="E487" s="98"/>
      <c r="F487" s="364"/>
      <c r="G487" s="78"/>
      <c r="H487" s="89"/>
      <c r="I487" s="78"/>
      <c r="J487" s="270"/>
      <c r="K487" s="87"/>
      <c r="L487"/>
    </row>
    <row r="488" spans="1:12" ht="27" customHeight="1">
      <c r="A488" s="76">
        <v>95</v>
      </c>
      <c r="B488" s="77" t="str">
        <f>'PRICES XACT IN'!C119</f>
        <v>CON</v>
      </c>
      <c r="C488" s="77" t="str">
        <f>'PRICES XACT IN'!D119</f>
        <v>LAB</v>
      </c>
      <c r="D488" s="72" t="str">
        <f>'PRICES XACT IN'!E119</f>
        <v>Content Manipulation charge - per hour</v>
      </c>
      <c r="E488" s="77" t="str">
        <f>'PRICES XACT IN'!G119</f>
        <v>HR</v>
      </c>
      <c r="F488" s="364">
        <f>C490*$F$479/60</f>
        <v>1.3333333333333333</v>
      </c>
      <c r="G488" s="78">
        <f>'PRICES XACT IN'!H119</f>
        <v>53.11</v>
      </c>
      <c r="H488" s="89">
        <f>F488*G488</f>
        <v>70.813333333333333</v>
      </c>
      <c r="I488" s="78"/>
      <c r="J488" s="270">
        <f>+J485+1</f>
        <v>108</v>
      </c>
      <c r="L488"/>
    </row>
    <row r="489" spans="1:12" ht="27" customHeight="1">
      <c r="A489" s="76"/>
      <c r="B489" s="77"/>
      <c r="D489" s="81" t="s">
        <v>275</v>
      </c>
      <c r="E489" s="77"/>
      <c r="F489" s="364"/>
      <c r="G489" s="78"/>
      <c r="H489" s="89"/>
      <c r="I489" s="78"/>
      <c r="J489" s="270"/>
      <c r="L489"/>
    </row>
    <row r="490" spans="1:12" ht="27" customHeight="1">
      <c r="A490" s="76"/>
      <c r="B490" s="77"/>
      <c r="C490" s="249">
        <f>'Time Calc'!$AE$8</f>
        <v>20</v>
      </c>
      <c r="D490" s="81" t="s">
        <v>265</v>
      </c>
      <c r="E490" s="98"/>
      <c r="F490" s="364"/>
      <c r="G490" s="78"/>
      <c r="H490" s="89"/>
      <c r="I490" s="78"/>
      <c r="J490" s="270"/>
      <c r="K490" s="87"/>
      <c r="L490"/>
    </row>
    <row r="491" spans="1:12" ht="27" customHeight="1">
      <c r="A491" s="76">
        <v>96</v>
      </c>
      <c r="B491" s="77" t="str">
        <f>'PRICES XACT IN'!C120</f>
        <v>CON</v>
      </c>
      <c r="C491" s="77" t="str">
        <f>'PRICES XACT IN'!D120</f>
        <v>LAB</v>
      </c>
      <c r="D491" s="72" t="str">
        <f>'PRICES XACT IN'!E120</f>
        <v>Content Manipulation charge - per hour</v>
      </c>
      <c r="E491" s="77" t="str">
        <f>'PRICES XACT IN'!G120</f>
        <v>HR</v>
      </c>
      <c r="F491" s="364">
        <f>C493*$F$479/60</f>
        <v>1.3333333333333333</v>
      </c>
      <c r="G491" s="78">
        <f>'PRICES XACT IN'!H120</f>
        <v>53.11</v>
      </c>
      <c r="H491" s="89">
        <f>F491*G491</f>
        <v>70.813333333333333</v>
      </c>
      <c r="I491" s="78"/>
      <c r="J491" s="270">
        <f>+J488+1</f>
        <v>109</v>
      </c>
      <c r="L491"/>
    </row>
    <row r="492" spans="1:12" ht="27" customHeight="1">
      <c r="A492" s="76"/>
      <c r="B492" s="77"/>
      <c r="D492" s="81" t="s">
        <v>72</v>
      </c>
      <c r="E492" s="77"/>
      <c r="F492" s="364"/>
      <c r="G492" s="78"/>
      <c r="H492" s="89"/>
      <c r="I492" s="78"/>
      <c r="J492" s="270"/>
      <c r="L492"/>
    </row>
    <row r="493" spans="1:12" ht="27" customHeight="1">
      <c r="A493" s="76"/>
      <c r="B493" s="77"/>
      <c r="C493" s="249">
        <f>'Time Calc'!$AE$9</f>
        <v>20</v>
      </c>
      <c r="D493" s="81" t="s">
        <v>265</v>
      </c>
      <c r="E493" s="98"/>
      <c r="F493" s="364"/>
      <c r="G493" s="78"/>
      <c r="H493" s="89"/>
      <c r="I493" s="78"/>
      <c r="J493" s="270"/>
      <c r="K493" s="87"/>
      <c r="L493"/>
    </row>
    <row r="494" spans="1:12" ht="27" customHeight="1">
      <c r="A494" s="76">
        <v>97</v>
      </c>
      <c r="B494" s="77" t="str">
        <f>'PRICES XACT IN'!C121</f>
        <v>CON</v>
      </c>
      <c r="C494" s="77" t="str">
        <f>'PRICES XACT IN'!D121</f>
        <v>LAB</v>
      </c>
      <c r="D494" s="72" t="str">
        <f>'PRICES XACT IN'!E121</f>
        <v>Content Manipulation charge - per hour</v>
      </c>
      <c r="E494" s="77" t="str">
        <f>'PRICES XACT IN'!G121</f>
        <v>HR</v>
      </c>
      <c r="F494" s="364">
        <f>C496*$F$479/60</f>
        <v>1.3333333333333333</v>
      </c>
      <c r="G494" s="78">
        <f>'PRICES XACT IN'!H121</f>
        <v>53.11</v>
      </c>
      <c r="H494" s="89">
        <f>F494*G494</f>
        <v>70.813333333333333</v>
      </c>
      <c r="I494" s="78"/>
      <c r="J494" s="270">
        <f>+J491+1</f>
        <v>110</v>
      </c>
      <c r="L494"/>
    </row>
    <row r="495" spans="1:12" ht="27" customHeight="1">
      <c r="A495" s="76"/>
      <c r="B495" s="77"/>
      <c r="D495" s="81" t="s">
        <v>276</v>
      </c>
      <c r="E495" s="77"/>
      <c r="F495" s="364"/>
      <c r="G495" s="78"/>
      <c r="H495" s="89"/>
      <c r="I495" s="78"/>
      <c r="J495" s="270"/>
      <c r="L495"/>
    </row>
    <row r="496" spans="1:12" ht="27" customHeight="1">
      <c r="A496" s="76"/>
      <c r="B496" s="77"/>
      <c r="C496" s="249">
        <f>'Time Calc'!$AE$10</f>
        <v>20</v>
      </c>
      <c r="D496" s="81" t="s">
        <v>265</v>
      </c>
      <c r="E496" s="98"/>
      <c r="F496" s="364"/>
      <c r="G496" s="78"/>
      <c r="H496" s="89"/>
      <c r="I496" s="89">
        <f>SUM(H469:H494)</f>
        <v>1241.5257333333332</v>
      </c>
      <c r="J496" s="270"/>
      <c r="L496"/>
    </row>
    <row r="497" spans="1:12" ht="27" customHeight="1">
      <c r="A497" s="76">
        <v>98</v>
      </c>
      <c r="B497" s="77" t="str">
        <f>'PRICES XACT IN'!C122</f>
        <v>CON</v>
      </c>
      <c r="C497" s="77" t="str">
        <f>'PRICES XACT IN'!D122</f>
        <v>LAB</v>
      </c>
      <c r="D497" s="72" t="str">
        <f>'PRICES XACT IN'!E122</f>
        <v>Content Manipulation charge - per hour</v>
      </c>
      <c r="E497" s="77" t="str">
        <f>'PRICES XACT IN'!G122</f>
        <v>HR</v>
      </c>
      <c r="F497" s="364">
        <f>C499*$F$479/60</f>
        <v>1.3333333333333333</v>
      </c>
      <c r="G497" s="78">
        <f>'PRICES XACT IN'!H122</f>
        <v>53.11</v>
      </c>
      <c r="H497" s="89">
        <f>F497*G497</f>
        <v>70.813333333333333</v>
      </c>
      <c r="I497" s="78"/>
      <c r="J497" s="270">
        <f>+J494+1</f>
        <v>111</v>
      </c>
      <c r="L497"/>
    </row>
    <row r="498" spans="1:12" ht="27" customHeight="1">
      <c r="A498" s="76"/>
      <c r="B498" s="77"/>
      <c r="D498" s="81" t="s">
        <v>57</v>
      </c>
      <c r="E498" s="77"/>
      <c r="F498" s="364"/>
      <c r="G498" s="78"/>
      <c r="H498" s="89"/>
      <c r="I498" s="78"/>
      <c r="J498" s="270"/>
      <c r="L498"/>
    </row>
    <row r="499" spans="1:12" ht="27" customHeight="1">
      <c r="A499" s="76"/>
      <c r="B499" s="77"/>
      <c r="C499" s="249">
        <f>'Time Calc'!$AE$11</f>
        <v>20</v>
      </c>
      <c r="D499" s="81" t="s">
        <v>265</v>
      </c>
      <c r="E499" s="98"/>
      <c r="F499" s="364"/>
      <c r="G499" s="78"/>
      <c r="H499" s="89"/>
      <c r="I499" s="78"/>
      <c r="J499" s="270"/>
      <c r="K499" s="85"/>
      <c r="L499"/>
    </row>
    <row r="500" spans="1:12" ht="27" customHeight="1">
      <c r="A500" s="76">
        <v>99</v>
      </c>
      <c r="B500" s="77" t="str">
        <f>'PRICES XACT IN'!C123</f>
        <v>CON</v>
      </c>
      <c r="C500" s="77" t="str">
        <f>'PRICES XACT IN'!D123</f>
        <v>LAB</v>
      </c>
      <c r="D500" s="72" t="str">
        <f>'PRICES XACT IN'!E123</f>
        <v>Content Manipulation charge - per hour</v>
      </c>
      <c r="E500" s="77" t="str">
        <f>'PRICES XACT IN'!G123</f>
        <v>HR</v>
      </c>
      <c r="F500" s="364">
        <f>C502*$F$479/60</f>
        <v>0.66666666666666663</v>
      </c>
      <c r="G500" s="78">
        <f>'PRICES XACT IN'!H123</f>
        <v>53.11</v>
      </c>
      <c r="H500" s="89">
        <f>F500*G500</f>
        <v>35.406666666666666</v>
      </c>
      <c r="I500" s="78"/>
      <c r="J500" s="270">
        <f>+J497+1</f>
        <v>112</v>
      </c>
      <c r="K500" s="87"/>
      <c r="L500"/>
    </row>
    <row r="501" spans="1:12" ht="27" customHeight="1">
      <c r="A501" s="76"/>
      <c r="B501" s="77"/>
      <c r="D501" s="81" t="s">
        <v>58</v>
      </c>
      <c r="E501" s="77"/>
      <c r="F501" s="364"/>
      <c r="G501" s="78"/>
      <c r="H501" s="78"/>
      <c r="I501" s="78"/>
      <c r="J501" s="84"/>
      <c r="L501"/>
    </row>
    <row r="502" spans="1:12" ht="27" customHeight="1">
      <c r="A502" s="76"/>
      <c r="B502" s="77"/>
      <c r="C502" s="249">
        <f>'Time Calc'!$AE$12</f>
        <v>10</v>
      </c>
      <c r="D502" s="81" t="s">
        <v>265</v>
      </c>
      <c r="E502" s="98"/>
      <c r="F502" s="364"/>
      <c r="G502" s="78"/>
      <c r="H502" s="78"/>
      <c r="I502" s="78"/>
      <c r="J502" s="84"/>
      <c r="L502"/>
    </row>
    <row r="503" spans="1:12" ht="27" customHeight="1">
      <c r="D503" s="501" t="s">
        <v>16</v>
      </c>
      <c r="E503" s="429" t="s">
        <v>268</v>
      </c>
      <c r="F503" s="365"/>
      <c r="H503" s="89">
        <f>SUM(H477:H501)</f>
        <v>685.83333333333337</v>
      </c>
      <c r="I503" s="78"/>
      <c r="J503" s="84"/>
      <c r="K503" s="87"/>
      <c r="L503"/>
    </row>
    <row r="504" spans="1:12" ht="27" customHeight="1">
      <c r="A504" s="76"/>
      <c r="B504" s="536" t="s">
        <v>226</v>
      </c>
      <c r="C504" s="81"/>
      <c r="D504" s="251" t="s">
        <v>279</v>
      </c>
      <c r="E504" s="77"/>
      <c r="F504" s="364"/>
      <c r="G504" s="78"/>
      <c r="H504" s="78"/>
      <c r="I504" s="78"/>
      <c r="J504" s="84"/>
      <c r="L504"/>
    </row>
    <row r="505" spans="1:12" ht="27" customHeight="1">
      <c r="A505" s="82" t="s">
        <v>228</v>
      </c>
      <c r="B505" s="537"/>
      <c r="C505" s="83" t="s">
        <v>229</v>
      </c>
      <c r="D505" s="82" t="s">
        <v>230</v>
      </c>
      <c r="E505" s="82" t="s">
        <v>231</v>
      </c>
      <c r="F505" s="366" t="s">
        <v>232</v>
      </c>
      <c r="G505" s="82" t="s">
        <v>233</v>
      </c>
      <c r="H505" s="83" t="s">
        <v>234</v>
      </c>
      <c r="I505" s="78"/>
      <c r="J505" s="84"/>
      <c r="L505"/>
    </row>
    <row r="506" spans="1:12" ht="27" customHeight="1">
      <c r="A506" s="76">
        <v>100</v>
      </c>
      <c r="B506" s="77" t="str">
        <f>'PRICES XACT IN'!C125</f>
        <v>CPS</v>
      </c>
      <c r="C506" s="77" t="str">
        <f>'PRICES XACT IN'!D125</f>
        <v>BXDISH</v>
      </c>
      <c r="D506" s="78" t="str">
        <f>'PRICES XACT IN'!E125</f>
        <v>Provide dishpack box, packing paper &amp; tape</v>
      </c>
      <c r="E506" s="77" t="str">
        <f>'PRICES XACT IN'!G125</f>
        <v>EA</v>
      </c>
      <c r="F506" s="363">
        <f>INDEX('Box Summary'!L:L, MATCH("*Total*", 'Box Summary'!A:A, 0))</f>
        <v>3</v>
      </c>
      <c r="G506" s="78">
        <f>'PRICES XACT IN'!H125</f>
        <v>8.81</v>
      </c>
      <c r="H506" s="89">
        <f>F506*G506</f>
        <v>26.43</v>
      </c>
      <c r="I506" s="78"/>
      <c r="J506" s="270">
        <f>1+J500</f>
        <v>113</v>
      </c>
      <c r="K506" s="87"/>
      <c r="L506" s="93" t="str">
        <f>'Box Summary'!$L$5</f>
        <v>GLASS PACK BOX</v>
      </c>
    </row>
    <row r="507" spans="1:12" ht="27" customHeight="1">
      <c r="A507" s="76"/>
      <c r="B507" s="77"/>
      <c r="D507" s="79" t="s">
        <v>274</v>
      </c>
      <c r="E507" s="77"/>
      <c r="F507" s="364"/>
      <c r="G507" s="78"/>
      <c r="H507" s="88"/>
      <c r="I507" s="78"/>
      <c r="J507" s="271"/>
      <c r="L507"/>
    </row>
    <row r="508" spans="1:12" ht="27" customHeight="1">
      <c r="A508" s="76">
        <v>101</v>
      </c>
      <c r="B508" s="77" t="str">
        <f>'PRICES XACT IN'!C126</f>
        <v>CPS</v>
      </c>
      <c r="C508" s="77" t="str">
        <f>'PRICES XACT IN'!D126</f>
        <v>BXDPE</v>
      </c>
      <c r="D508" s="72" t="str">
        <f>'PRICES XACT IN'!E126</f>
        <v>Evaluate pack &amp; inventory dishpack - per box</v>
      </c>
      <c r="E508" s="97" t="str">
        <f>'PRICES XACT IN'!G126</f>
        <v>EA</v>
      </c>
      <c r="F508" s="363">
        <v>1</v>
      </c>
      <c r="G508" s="78">
        <f>'PRICES XACT IN'!H126</f>
        <v>19.27</v>
      </c>
      <c r="H508" s="89">
        <f>F508*G508</f>
        <v>19.27</v>
      </c>
      <c r="I508" s="78"/>
      <c r="J508" s="270">
        <f>+J506+1</f>
        <v>114</v>
      </c>
      <c r="L508"/>
    </row>
    <row r="509" spans="1:12" ht="27" customHeight="1">
      <c r="A509" s="76"/>
      <c r="B509" s="77"/>
      <c r="D509" s="91" t="s">
        <v>51</v>
      </c>
      <c r="E509" s="77"/>
      <c r="F509" s="364"/>
      <c r="G509" s="78"/>
      <c r="H509" s="89"/>
      <c r="I509" s="78"/>
      <c r="J509" s="270"/>
      <c r="K509" s="87"/>
      <c r="L509"/>
    </row>
    <row r="510" spans="1:12" ht="27" customHeight="1">
      <c r="A510" s="76">
        <v>102</v>
      </c>
      <c r="B510" s="77" t="str">
        <f>'PRICES XACT IN'!C127</f>
        <v>CGN</v>
      </c>
      <c r="C510" s="77" t="str">
        <f>'PRICES XACT IN'!D127</f>
        <v>BXDP-</v>
      </c>
      <c r="D510" s="72" t="str">
        <f>'PRICES XACT IN'!E127</f>
        <v>Clean dishpack - per box - Light clean</v>
      </c>
      <c r="E510" s="77" t="str">
        <f>'PRICES XACT IN'!G127</f>
        <v>EA</v>
      </c>
      <c r="F510" s="363">
        <v>1</v>
      </c>
      <c r="G510" s="78">
        <f>'PRICES XACT IN'!H127</f>
        <v>32.51</v>
      </c>
      <c r="H510" s="89">
        <f>F510*G510</f>
        <v>32.51</v>
      </c>
      <c r="I510" s="78"/>
      <c r="J510" s="270">
        <f>+J508+1</f>
        <v>115</v>
      </c>
      <c r="L510"/>
    </row>
    <row r="511" spans="1:12" ht="27" customHeight="1">
      <c r="A511" s="76"/>
      <c r="B511" s="77"/>
      <c r="D511" s="81" t="s">
        <v>52</v>
      </c>
      <c r="E511" s="77"/>
      <c r="F511" s="364"/>
      <c r="G511" s="78"/>
      <c r="H511" s="90"/>
      <c r="I511" s="78"/>
      <c r="J511" s="270"/>
      <c r="L511"/>
    </row>
    <row r="512" spans="1:12" ht="27" customHeight="1">
      <c r="A512" s="76">
        <v>103</v>
      </c>
      <c r="B512" s="77" t="str">
        <f>'PRICES XACT IN'!C128</f>
        <v>CON</v>
      </c>
      <c r="C512" s="77" t="str">
        <f>'PRICES XACT IN'!D128</f>
        <v>LAB</v>
      </c>
      <c r="D512" s="72" t="str">
        <f>'PRICES XACT IN'!E128</f>
        <v>Content Manipulation charge - per hour</v>
      </c>
      <c r="E512" s="77" t="str">
        <f>'PRICES XACT IN'!G128</f>
        <v>HR</v>
      </c>
      <c r="F512" s="364">
        <f>C514*$F$506/60</f>
        <v>1</v>
      </c>
      <c r="G512" s="78">
        <f>'PRICES XACT IN'!H128</f>
        <v>53.11</v>
      </c>
      <c r="H512" s="89">
        <f>F512*G512</f>
        <v>53.11</v>
      </c>
      <c r="I512" s="78"/>
      <c r="J512" s="270">
        <f>+J510+1</f>
        <v>116</v>
      </c>
      <c r="K512" s="87"/>
      <c r="L512"/>
    </row>
    <row r="513" spans="1:12" ht="27" customHeight="1">
      <c r="A513" s="76"/>
      <c r="B513" s="77"/>
      <c r="D513" s="81" t="s">
        <v>53</v>
      </c>
      <c r="E513" s="77"/>
      <c r="F513" s="364"/>
      <c r="G513" s="78"/>
      <c r="H513" s="89"/>
      <c r="I513" s="78"/>
      <c r="J513" s="270"/>
      <c r="L513"/>
    </row>
    <row r="514" spans="1:12" ht="27" customHeight="1">
      <c r="A514" s="76"/>
      <c r="B514" s="77"/>
      <c r="C514" s="249">
        <f>'Time Calc'!AE7</f>
        <v>20</v>
      </c>
      <c r="D514" s="81" t="s">
        <v>265</v>
      </c>
      <c r="E514" s="98"/>
      <c r="F514" s="364"/>
      <c r="G514" s="78"/>
      <c r="H514" s="89"/>
      <c r="I514" s="78"/>
      <c r="J514" s="270"/>
      <c r="L514"/>
    </row>
    <row r="515" spans="1:12" ht="27" customHeight="1">
      <c r="A515" s="76">
        <v>104</v>
      </c>
      <c r="B515" s="77" t="str">
        <f>'PRICES XACT IN'!C129</f>
        <v>CON</v>
      </c>
      <c r="C515" s="77" t="str">
        <f>'PRICES XACT IN'!D129</f>
        <v>LAB</v>
      </c>
      <c r="D515" s="72" t="str">
        <f>'PRICES XACT IN'!E129</f>
        <v>Content Manipulation charge - per hour</v>
      </c>
      <c r="E515" s="77" t="str">
        <f>'PRICES XACT IN'!G129</f>
        <v>HR</v>
      </c>
      <c r="F515" s="364">
        <f>C517*$F$506/60</f>
        <v>1</v>
      </c>
      <c r="G515" s="78">
        <f>'PRICES XACT IN'!H129</f>
        <v>53.11</v>
      </c>
      <c r="H515" s="89">
        <f>F515*G515</f>
        <v>53.11</v>
      </c>
      <c r="I515" s="78"/>
      <c r="J515" s="270">
        <f>+J512+1</f>
        <v>117</v>
      </c>
      <c r="K515" s="87"/>
      <c r="L515"/>
    </row>
    <row r="516" spans="1:12" ht="27" customHeight="1">
      <c r="A516" s="76"/>
      <c r="B516" s="77"/>
      <c r="D516" s="81" t="s">
        <v>275</v>
      </c>
      <c r="E516" s="77"/>
      <c r="F516" s="364"/>
      <c r="G516" s="78"/>
      <c r="H516" s="89"/>
      <c r="I516" s="78"/>
      <c r="J516" s="270"/>
      <c r="L516"/>
    </row>
    <row r="517" spans="1:12" ht="27" customHeight="1">
      <c r="A517" s="76"/>
      <c r="B517" s="77"/>
      <c r="C517" s="249">
        <f>'Time Calc'!AE8</f>
        <v>20</v>
      </c>
      <c r="D517" s="81" t="s">
        <v>265</v>
      </c>
      <c r="E517" s="98"/>
      <c r="F517" s="364"/>
      <c r="G517" s="78"/>
      <c r="H517" s="89"/>
      <c r="I517" s="78"/>
      <c r="J517" s="270"/>
      <c r="L517"/>
    </row>
    <row r="518" spans="1:12" ht="27" customHeight="1">
      <c r="A518" s="76">
        <v>105</v>
      </c>
      <c r="B518" s="77" t="str">
        <f>'PRICES XACT IN'!C130</f>
        <v>CON</v>
      </c>
      <c r="C518" s="77" t="str">
        <f>'PRICES XACT IN'!D130</f>
        <v>LAB</v>
      </c>
      <c r="D518" s="72" t="str">
        <f>'PRICES XACT IN'!E130</f>
        <v>Content Manipulation charge - per hour</v>
      </c>
      <c r="E518" s="77" t="str">
        <f>'PRICES XACT IN'!G130</f>
        <v>HR</v>
      </c>
      <c r="F518" s="364">
        <f>C520*$F$506/60</f>
        <v>1</v>
      </c>
      <c r="G518" s="78">
        <f>'PRICES XACT IN'!H130</f>
        <v>53.11</v>
      </c>
      <c r="H518" s="89">
        <f>F518*G518</f>
        <v>53.11</v>
      </c>
      <c r="I518" s="78"/>
      <c r="J518" s="270">
        <f>+J515+1</f>
        <v>118</v>
      </c>
      <c r="K518" s="87"/>
      <c r="L518"/>
    </row>
    <row r="519" spans="1:12" ht="27" customHeight="1">
      <c r="A519" s="76"/>
      <c r="B519" s="77"/>
      <c r="D519" s="81" t="s">
        <v>72</v>
      </c>
      <c r="E519" s="77"/>
      <c r="F519" s="364"/>
      <c r="G519" s="78"/>
      <c r="H519" s="89"/>
      <c r="I519" s="78"/>
      <c r="J519" s="270"/>
      <c r="L519"/>
    </row>
    <row r="520" spans="1:12" ht="27" customHeight="1">
      <c r="A520" s="76"/>
      <c r="B520" s="77"/>
      <c r="C520" s="249">
        <f>'Time Calc'!AE9</f>
        <v>20</v>
      </c>
      <c r="D520" s="81" t="s">
        <v>265</v>
      </c>
      <c r="E520" s="98"/>
      <c r="F520" s="364"/>
      <c r="G520" s="78"/>
      <c r="H520" s="89"/>
      <c r="I520" s="78"/>
      <c r="J520" s="270"/>
      <c r="L520"/>
    </row>
    <row r="521" spans="1:12" ht="27" customHeight="1">
      <c r="A521" s="76">
        <v>106</v>
      </c>
      <c r="B521" s="77" t="str">
        <f>'PRICES XACT IN'!C131</f>
        <v>CON</v>
      </c>
      <c r="C521" s="77" t="str">
        <f>'PRICES XACT IN'!D131</f>
        <v>LAB</v>
      </c>
      <c r="D521" s="72" t="str">
        <f>'PRICES XACT IN'!E131</f>
        <v>Content Manipulation charge - per hour</v>
      </c>
      <c r="E521" s="77" t="str">
        <f>'PRICES XACT IN'!G131</f>
        <v>HR</v>
      </c>
      <c r="F521" s="364">
        <f>C523*$F$506/60</f>
        <v>1</v>
      </c>
      <c r="G521" s="78">
        <f>'PRICES XACT IN'!H131</f>
        <v>53.11</v>
      </c>
      <c r="H521" s="89">
        <f>F521*G521</f>
        <v>53.11</v>
      </c>
      <c r="I521" s="78"/>
      <c r="J521" s="270">
        <f>+J518+1</f>
        <v>119</v>
      </c>
      <c r="K521" s="87"/>
      <c r="L521"/>
    </row>
    <row r="522" spans="1:12" ht="27" customHeight="1">
      <c r="A522" s="76"/>
      <c r="B522" s="77"/>
      <c r="D522" s="81" t="s">
        <v>276</v>
      </c>
      <c r="E522" s="77"/>
      <c r="F522" s="364"/>
      <c r="G522" s="78"/>
      <c r="H522" s="89"/>
      <c r="I522" s="78"/>
      <c r="J522" s="270"/>
      <c r="L522"/>
    </row>
    <row r="523" spans="1:12" ht="27" customHeight="1">
      <c r="A523" s="76"/>
      <c r="B523" s="77"/>
      <c r="C523" s="249">
        <f>'Time Calc'!AE10</f>
        <v>20</v>
      </c>
      <c r="D523" s="81" t="s">
        <v>265</v>
      </c>
      <c r="E523" s="98"/>
      <c r="F523" s="364"/>
      <c r="G523" s="78"/>
      <c r="H523" s="89"/>
      <c r="I523" s="78"/>
      <c r="J523" s="270"/>
      <c r="L523"/>
    </row>
    <row r="524" spans="1:12" ht="27" customHeight="1">
      <c r="A524" s="76">
        <v>107</v>
      </c>
      <c r="B524" s="77" t="str">
        <f>'PRICES XACT IN'!C132</f>
        <v>CON</v>
      </c>
      <c r="C524" s="77" t="str">
        <f>'PRICES XACT IN'!D132</f>
        <v>LAB</v>
      </c>
      <c r="D524" s="72" t="str">
        <f>'PRICES XACT IN'!E132</f>
        <v>Content Manipulation charge - per hour</v>
      </c>
      <c r="E524" s="77" t="str">
        <f>'PRICES XACT IN'!G132</f>
        <v>HR</v>
      </c>
      <c r="F524" s="364">
        <f>C526*$F$506/60</f>
        <v>1</v>
      </c>
      <c r="G524" s="78">
        <f>'PRICES XACT IN'!H132</f>
        <v>53.11</v>
      </c>
      <c r="H524" s="89">
        <f>F524*G524</f>
        <v>53.11</v>
      </c>
      <c r="I524" s="78"/>
      <c r="J524" s="270">
        <f>+J521+1</f>
        <v>120</v>
      </c>
      <c r="K524" s="87"/>
      <c r="L524"/>
    </row>
    <row r="525" spans="1:12" ht="27" customHeight="1">
      <c r="A525" s="76"/>
      <c r="B525" s="77"/>
      <c r="D525" s="81" t="s">
        <v>57</v>
      </c>
      <c r="E525" s="77"/>
      <c r="F525" s="364"/>
      <c r="G525" s="78"/>
      <c r="H525" s="89"/>
      <c r="I525" s="78"/>
      <c r="J525" s="270"/>
      <c r="L525"/>
    </row>
    <row r="526" spans="1:12" ht="27" customHeight="1">
      <c r="A526" s="76"/>
      <c r="B526" s="77"/>
      <c r="C526" s="249">
        <f>'Time Calc'!AE11</f>
        <v>20</v>
      </c>
      <c r="D526" s="81" t="s">
        <v>265</v>
      </c>
      <c r="E526" s="98"/>
      <c r="F526" s="364"/>
      <c r="G526" s="78"/>
      <c r="H526" s="89"/>
      <c r="I526" s="89">
        <f>SUM(H499:H524)</f>
        <v>1065</v>
      </c>
      <c r="J526" s="270"/>
      <c r="L526"/>
    </row>
    <row r="527" spans="1:12" ht="27" customHeight="1">
      <c r="A527" s="76">
        <v>108</v>
      </c>
      <c r="B527" s="77" t="str">
        <f>'PRICES XACT IN'!C133</f>
        <v>CON</v>
      </c>
      <c r="C527" s="77" t="str">
        <f>'PRICES XACT IN'!D133</f>
        <v>LAB</v>
      </c>
      <c r="D527" s="72" t="str">
        <f>'PRICES XACT IN'!E133</f>
        <v>Content Manipulation charge - per hour</v>
      </c>
      <c r="E527" s="77" t="str">
        <f>'PRICES XACT IN'!G133</f>
        <v>HR</v>
      </c>
      <c r="F527" s="364">
        <f>C529*$F$506/60</f>
        <v>0.5</v>
      </c>
      <c r="G527" s="78">
        <f>'PRICES XACT IN'!H133</f>
        <v>53.11</v>
      </c>
      <c r="H527" s="89">
        <f>F527*G527</f>
        <v>26.555</v>
      </c>
      <c r="I527" s="78"/>
      <c r="J527" s="270">
        <f>+J524+1</f>
        <v>121</v>
      </c>
      <c r="L527"/>
    </row>
    <row r="528" spans="1:12" ht="27" customHeight="1">
      <c r="A528" s="76"/>
      <c r="B528" s="77"/>
      <c r="D528" s="81" t="s">
        <v>58</v>
      </c>
      <c r="E528" s="77"/>
      <c r="F528" s="364"/>
      <c r="G528" s="78"/>
      <c r="H528" s="78"/>
      <c r="I528" s="78"/>
      <c r="J528" s="84"/>
      <c r="K528" s="85"/>
      <c r="L528"/>
    </row>
    <row r="529" spans="1:12" ht="27" customHeight="1">
      <c r="A529" s="76"/>
      <c r="B529" s="77"/>
      <c r="C529" s="249">
        <f>'Time Calc'!AE12</f>
        <v>10</v>
      </c>
      <c r="D529" s="81" t="s">
        <v>265</v>
      </c>
      <c r="E529" s="98"/>
      <c r="F529" s="364"/>
      <c r="G529" s="78"/>
      <c r="H529" s="78"/>
      <c r="I529" s="78"/>
      <c r="J529" s="84"/>
      <c r="K529" s="87"/>
      <c r="L529"/>
    </row>
    <row r="530" spans="1:12" ht="27" customHeight="1">
      <c r="D530" s="501" t="s">
        <v>279</v>
      </c>
      <c r="E530" s="429" t="s">
        <v>268</v>
      </c>
      <c r="F530" s="365"/>
      <c r="H530" s="89">
        <f>SUM(H504:H528)</f>
        <v>370.31500000000005</v>
      </c>
      <c r="I530" s="78"/>
      <c r="J530" s="84"/>
      <c r="L530"/>
    </row>
    <row r="531" spans="1:12" ht="27" customHeight="1">
      <c r="A531" s="76"/>
      <c r="B531" s="536" t="s">
        <v>226</v>
      </c>
      <c r="C531" s="81"/>
      <c r="D531" s="281" t="s">
        <v>18</v>
      </c>
      <c r="E531" s="77"/>
      <c r="F531" s="364"/>
      <c r="G531" s="78"/>
      <c r="H531" s="78"/>
      <c r="I531" s="78"/>
      <c r="J531" s="84"/>
      <c r="L531"/>
    </row>
    <row r="532" spans="1:12" ht="27" customHeight="1">
      <c r="A532" s="82" t="s">
        <v>228</v>
      </c>
      <c r="B532" s="537"/>
      <c r="C532" s="83" t="s">
        <v>229</v>
      </c>
      <c r="D532" s="82" t="s">
        <v>230</v>
      </c>
      <c r="E532" s="82" t="s">
        <v>231</v>
      </c>
      <c r="F532" s="366" t="s">
        <v>232</v>
      </c>
      <c r="G532" s="82" t="s">
        <v>233</v>
      </c>
      <c r="H532" s="83" t="s">
        <v>234</v>
      </c>
      <c r="I532" s="78"/>
      <c r="J532" s="84"/>
      <c r="K532" s="87"/>
      <c r="L532"/>
    </row>
    <row r="533" spans="1:12" ht="27" customHeight="1">
      <c r="A533" s="76">
        <v>109</v>
      </c>
      <c r="B533" s="77" t="str">
        <f>'PRICES XACT IN'!C134</f>
        <v>CPS</v>
      </c>
      <c r="C533" s="77" t="str">
        <f>'PRICES XACT IN'!D134</f>
        <v>BX</v>
      </c>
      <c r="D533" s="78" t="str">
        <f>'PRICES XACT IN'!E134</f>
        <v>Provide box, packing paper &amp; tape - medium size</v>
      </c>
      <c r="E533" s="77" t="str">
        <f>'PRICES XACT IN'!G134</f>
        <v>EA</v>
      </c>
      <c r="F533" s="363">
        <f>INDEX('Box Summary'!M:M, MATCH("*Total*", 'Box Summary'!A:A, 0))</f>
        <v>3</v>
      </c>
      <c r="G533" s="78">
        <f>'PRICES XACT IN'!H134</f>
        <v>3.87</v>
      </c>
      <c r="H533" s="89">
        <f>F533*G533</f>
        <v>11.61</v>
      </c>
      <c r="I533" s="78"/>
      <c r="J533" s="270">
        <f>1+J527</f>
        <v>122</v>
      </c>
      <c r="L533" s="93" t="str">
        <f>'Box Summary'!$M$5</f>
        <v>POTS &amp; PANS BOX</v>
      </c>
    </row>
    <row r="534" spans="1:12" ht="27" customHeight="1">
      <c r="A534" s="76"/>
      <c r="B534" s="77"/>
      <c r="D534" s="79" t="s">
        <v>274</v>
      </c>
      <c r="E534" s="77"/>
      <c r="F534" s="364"/>
      <c r="G534" s="78"/>
      <c r="H534" s="88"/>
      <c r="I534" s="78"/>
      <c r="J534" s="271"/>
      <c r="L534"/>
    </row>
    <row r="535" spans="1:12" ht="27" customHeight="1">
      <c r="A535" s="76">
        <v>110</v>
      </c>
      <c r="B535" s="77" t="str">
        <f>'PRICES XACT IN'!C135</f>
        <v>CPS</v>
      </c>
      <c r="C535" s="77" t="str">
        <f>'PRICES XACT IN'!D135</f>
        <v>BXPPE</v>
      </c>
      <c r="D535" s="72" t="str">
        <f>'PRICES XACT IN'!E135</f>
        <v>Evaluate pack &amp; inventory pots and pans - per Med box</v>
      </c>
      <c r="E535" s="97" t="str">
        <f>'PRICES XACT IN'!G135</f>
        <v>EA</v>
      </c>
      <c r="F535" s="364">
        <f>F533</f>
        <v>3</v>
      </c>
      <c r="G535" s="78">
        <f>'PRICES XACT IN'!H135</f>
        <v>9.1300000000000008</v>
      </c>
      <c r="H535" s="89">
        <f>F535*G535</f>
        <v>27.39</v>
      </c>
      <c r="I535" s="78"/>
      <c r="J535" s="270">
        <f>+J533+1</f>
        <v>123</v>
      </c>
      <c r="K535" s="87"/>
      <c r="L535"/>
    </row>
    <row r="536" spans="1:12" ht="27" customHeight="1">
      <c r="A536" s="76"/>
      <c r="B536" s="77"/>
      <c r="D536" s="91" t="s">
        <v>51</v>
      </c>
      <c r="E536" s="77"/>
      <c r="F536" s="364"/>
      <c r="G536" s="78"/>
      <c r="H536" s="89"/>
      <c r="I536" s="78"/>
      <c r="J536" s="270"/>
      <c r="L536"/>
    </row>
    <row r="537" spans="1:12" ht="27" customHeight="1">
      <c r="A537" s="76">
        <v>111</v>
      </c>
      <c r="B537" s="77" t="str">
        <f>'PRICES XACT IN'!C136</f>
        <v>CGN</v>
      </c>
      <c r="C537" s="77" t="str">
        <f>'PRICES XACT IN'!D136</f>
        <v>BXPP</v>
      </c>
      <c r="D537" s="72" t="str">
        <f>'PRICES XACT IN'!E136</f>
        <v>Clean pots and pans - per medium box</v>
      </c>
      <c r="E537" s="77" t="str">
        <f>'PRICES XACT IN'!G136</f>
        <v>EA</v>
      </c>
      <c r="F537" s="364">
        <f>F535</f>
        <v>3</v>
      </c>
      <c r="G537" s="78">
        <f>'PRICES XACT IN'!H136</f>
        <v>28.37</v>
      </c>
      <c r="H537" s="89">
        <f>F537*G537</f>
        <v>85.11</v>
      </c>
      <c r="I537" s="78"/>
      <c r="J537" s="270">
        <f>+J535+1</f>
        <v>124</v>
      </c>
      <c r="L537"/>
    </row>
    <row r="538" spans="1:12" ht="27" customHeight="1">
      <c r="A538" s="76"/>
      <c r="B538" s="77"/>
      <c r="D538" s="81" t="s">
        <v>52</v>
      </c>
      <c r="E538" s="77"/>
      <c r="F538" s="364"/>
      <c r="G538" s="78"/>
      <c r="H538" s="90"/>
      <c r="I538" s="78"/>
      <c r="J538" s="270"/>
      <c r="K538" s="87"/>
      <c r="L538"/>
    </row>
    <row r="539" spans="1:12" ht="27" customHeight="1">
      <c r="A539" s="76">
        <v>112</v>
      </c>
      <c r="B539" s="77" t="str">
        <f>'PRICES XACT IN'!C137</f>
        <v>CON</v>
      </c>
      <c r="C539" s="77" t="str">
        <f>'PRICES XACT IN'!D137</f>
        <v>LAB</v>
      </c>
      <c r="D539" s="72" t="str">
        <f>'PRICES XACT IN'!E137</f>
        <v>Content Manipulation charge - per hour</v>
      </c>
      <c r="E539" s="77" t="str">
        <f>'PRICES XACT IN'!G137</f>
        <v>HR</v>
      </c>
      <c r="F539" s="364">
        <f>C541*$F$533/60</f>
        <v>1</v>
      </c>
      <c r="G539" s="78">
        <f>'PRICES XACT IN'!H137</f>
        <v>53.11</v>
      </c>
      <c r="H539" s="89">
        <f>F539*G539</f>
        <v>53.11</v>
      </c>
      <c r="I539" s="78"/>
      <c r="J539" s="270">
        <f>+J537+1</f>
        <v>125</v>
      </c>
      <c r="L539"/>
    </row>
    <row r="540" spans="1:12" ht="27" customHeight="1">
      <c r="A540" s="76"/>
      <c r="B540" s="77"/>
      <c r="D540" s="81" t="s">
        <v>53</v>
      </c>
      <c r="E540" s="77"/>
      <c r="F540" s="364"/>
      <c r="G540" s="78"/>
      <c r="H540" s="89"/>
      <c r="I540" s="78"/>
      <c r="J540" s="270"/>
      <c r="L540"/>
    </row>
    <row r="541" spans="1:12" ht="27" customHeight="1">
      <c r="A541" s="76"/>
      <c r="B541" s="77"/>
      <c r="C541" s="249">
        <f>'Time Calc'!AE7</f>
        <v>20</v>
      </c>
      <c r="D541" s="81" t="s">
        <v>265</v>
      </c>
      <c r="E541" s="98"/>
      <c r="F541" s="364"/>
      <c r="G541" s="78"/>
      <c r="H541" s="89"/>
      <c r="I541" s="78"/>
      <c r="J541" s="270"/>
      <c r="K541" s="87"/>
      <c r="L541"/>
    </row>
    <row r="542" spans="1:12" ht="27" customHeight="1">
      <c r="A542" s="76">
        <v>113</v>
      </c>
      <c r="B542" s="77" t="str">
        <f>'PRICES XACT IN'!C138</f>
        <v>CON</v>
      </c>
      <c r="C542" s="77" t="str">
        <f>'PRICES XACT IN'!D138</f>
        <v>LAB</v>
      </c>
      <c r="D542" s="72" t="str">
        <f>'PRICES XACT IN'!E138</f>
        <v>Content Manipulation charge - per hour</v>
      </c>
      <c r="E542" s="77" t="str">
        <f>'PRICES XACT IN'!G138</f>
        <v>HR</v>
      </c>
      <c r="F542" s="364">
        <f>C544*$F$533/60</f>
        <v>1</v>
      </c>
      <c r="G542" s="78">
        <f>'PRICES XACT IN'!H138</f>
        <v>53.11</v>
      </c>
      <c r="H542" s="89">
        <f>F542*G542</f>
        <v>53.11</v>
      </c>
      <c r="I542" s="78"/>
      <c r="J542" s="270">
        <f>+J539+1</f>
        <v>126</v>
      </c>
      <c r="L542"/>
    </row>
    <row r="543" spans="1:12" ht="27" customHeight="1">
      <c r="A543" s="76"/>
      <c r="B543" s="77"/>
      <c r="D543" s="81" t="s">
        <v>275</v>
      </c>
      <c r="E543" s="77"/>
      <c r="F543" s="364"/>
      <c r="G543" s="78"/>
      <c r="H543" s="89"/>
      <c r="I543" s="78"/>
      <c r="J543" s="270"/>
      <c r="L543"/>
    </row>
    <row r="544" spans="1:12" ht="27" customHeight="1">
      <c r="A544" s="76"/>
      <c r="B544" s="77"/>
      <c r="C544" s="249">
        <f>'Time Calc'!AE8</f>
        <v>20</v>
      </c>
      <c r="D544" s="81" t="s">
        <v>265</v>
      </c>
      <c r="E544" s="98"/>
      <c r="F544" s="364"/>
      <c r="G544" s="78"/>
      <c r="H544" s="89"/>
      <c r="I544" s="78"/>
      <c r="J544" s="270"/>
      <c r="K544" s="87"/>
      <c r="L544"/>
    </row>
    <row r="545" spans="1:12" ht="27" customHeight="1">
      <c r="A545" s="76">
        <v>114</v>
      </c>
      <c r="B545" s="77" t="str">
        <f>'PRICES XACT IN'!C139</f>
        <v>CON</v>
      </c>
      <c r="C545" s="77" t="str">
        <f>'PRICES XACT IN'!D139</f>
        <v>LAB</v>
      </c>
      <c r="D545" s="72" t="str">
        <f>'PRICES XACT IN'!E139</f>
        <v>Content Manipulation charge - per hour</v>
      </c>
      <c r="E545" s="77" t="str">
        <f>'PRICES XACT IN'!G139</f>
        <v>HR</v>
      </c>
      <c r="F545" s="364">
        <f>C547*$F$533/60</f>
        <v>1</v>
      </c>
      <c r="G545" s="78">
        <f>'PRICES XACT IN'!H139</f>
        <v>53.11</v>
      </c>
      <c r="H545" s="89">
        <f>F545*G545</f>
        <v>53.11</v>
      </c>
      <c r="I545" s="78"/>
      <c r="J545" s="270">
        <f>+J542+1</f>
        <v>127</v>
      </c>
      <c r="L545"/>
    </row>
    <row r="546" spans="1:12" ht="27" customHeight="1">
      <c r="A546" s="76"/>
      <c r="B546" s="77"/>
      <c r="D546" s="81" t="s">
        <v>72</v>
      </c>
      <c r="E546" s="77"/>
      <c r="F546" s="364"/>
      <c r="G546" s="78"/>
      <c r="H546" s="89"/>
      <c r="I546" s="78"/>
      <c r="J546" s="270"/>
      <c r="L546"/>
    </row>
    <row r="547" spans="1:12" ht="27" customHeight="1">
      <c r="A547" s="76"/>
      <c r="B547" s="77"/>
      <c r="C547" s="249">
        <f>'Time Calc'!AE9</f>
        <v>20</v>
      </c>
      <c r="D547" s="81" t="s">
        <v>265</v>
      </c>
      <c r="E547" s="98"/>
      <c r="F547" s="364"/>
      <c r="G547" s="78"/>
      <c r="H547" s="89"/>
      <c r="I547" s="78"/>
      <c r="J547" s="270"/>
      <c r="K547" s="87"/>
      <c r="L547"/>
    </row>
    <row r="548" spans="1:12" ht="27" customHeight="1">
      <c r="A548" s="76">
        <v>115</v>
      </c>
      <c r="B548" s="77" t="str">
        <f>'PRICES XACT IN'!C140</f>
        <v>CON</v>
      </c>
      <c r="C548" s="77" t="str">
        <f>'PRICES XACT IN'!D140</f>
        <v>LAB</v>
      </c>
      <c r="D548" s="72" t="str">
        <f>'PRICES XACT IN'!E140</f>
        <v>Content Manipulation charge - per hour</v>
      </c>
      <c r="E548" s="77" t="str">
        <f>'PRICES XACT IN'!G140</f>
        <v>HR</v>
      </c>
      <c r="F548" s="364">
        <f>C550*$F$533/60</f>
        <v>1</v>
      </c>
      <c r="G548" s="78">
        <f>'PRICES XACT IN'!H140</f>
        <v>53.11</v>
      </c>
      <c r="H548" s="89">
        <f>F548*G548</f>
        <v>53.11</v>
      </c>
      <c r="I548" s="78"/>
      <c r="J548" s="270">
        <f>+J545+1</f>
        <v>128</v>
      </c>
      <c r="L548"/>
    </row>
    <row r="549" spans="1:12" ht="27" customHeight="1">
      <c r="A549" s="76"/>
      <c r="B549" s="77"/>
      <c r="D549" s="81" t="s">
        <v>276</v>
      </c>
      <c r="E549" s="77"/>
      <c r="F549" s="364"/>
      <c r="G549" s="78"/>
      <c r="H549" s="89"/>
      <c r="I549" s="78"/>
      <c r="J549" s="270"/>
      <c r="L549"/>
    </row>
    <row r="550" spans="1:12" ht="27" customHeight="1">
      <c r="A550" s="76"/>
      <c r="B550" s="77"/>
      <c r="C550" s="249">
        <f>'Time Calc'!AE10</f>
        <v>20</v>
      </c>
      <c r="D550" s="81" t="s">
        <v>265</v>
      </c>
      <c r="E550" s="98"/>
      <c r="F550" s="364"/>
      <c r="G550" s="78"/>
      <c r="H550" s="89"/>
      <c r="I550" s="78"/>
      <c r="J550" s="270"/>
      <c r="K550" s="87"/>
      <c r="L550"/>
    </row>
    <row r="551" spans="1:12" ht="27" customHeight="1">
      <c r="A551" s="76">
        <v>116</v>
      </c>
      <c r="B551" s="77" t="str">
        <f>'PRICES XACT IN'!C141</f>
        <v>CON</v>
      </c>
      <c r="C551" s="77" t="str">
        <f>'PRICES XACT IN'!D141</f>
        <v>LAB</v>
      </c>
      <c r="D551" s="72" t="str">
        <f>'PRICES XACT IN'!E141</f>
        <v>Content Manipulation charge - per hour</v>
      </c>
      <c r="E551" s="77" t="str">
        <f>'PRICES XACT IN'!G141</f>
        <v>HR</v>
      </c>
      <c r="F551" s="364">
        <f>C553*$F$533/60</f>
        <v>1</v>
      </c>
      <c r="G551" s="78">
        <f>'PRICES XACT IN'!H141</f>
        <v>53.11</v>
      </c>
      <c r="H551" s="89">
        <f>F551*G551</f>
        <v>53.11</v>
      </c>
      <c r="I551" s="78"/>
      <c r="J551" s="270">
        <f>+J548+1</f>
        <v>129</v>
      </c>
      <c r="L551"/>
    </row>
    <row r="552" spans="1:12" ht="27" customHeight="1">
      <c r="A552" s="76"/>
      <c r="B552" s="77"/>
      <c r="D552" s="81" t="s">
        <v>57</v>
      </c>
      <c r="E552" s="77"/>
      <c r="F552" s="364"/>
      <c r="G552" s="78"/>
      <c r="H552" s="89"/>
      <c r="I552" s="78"/>
      <c r="J552" s="270"/>
      <c r="L552"/>
    </row>
    <row r="553" spans="1:12" ht="27" customHeight="1">
      <c r="A553" s="76"/>
      <c r="B553" s="77"/>
      <c r="C553" s="249">
        <f>'Time Calc'!AE11</f>
        <v>20</v>
      </c>
      <c r="D553" s="81" t="s">
        <v>265</v>
      </c>
      <c r="E553" s="98"/>
      <c r="F553" s="364"/>
      <c r="G553" s="78"/>
      <c r="H553" s="89"/>
      <c r="I553" s="78"/>
      <c r="J553" s="270"/>
      <c r="K553" s="87"/>
      <c r="L553"/>
    </row>
    <row r="554" spans="1:12" ht="27" customHeight="1">
      <c r="A554" s="76">
        <v>117</v>
      </c>
      <c r="B554" s="77" t="str">
        <f>'PRICES XACT IN'!C142</f>
        <v>CON</v>
      </c>
      <c r="C554" s="77" t="str">
        <f>'PRICES XACT IN'!D142</f>
        <v>LAB</v>
      </c>
      <c r="D554" s="72" t="str">
        <f>'PRICES XACT IN'!E142</f>
        <v>Content Manipulation charge - per hour</v>
      </c>
      <c r="E554" s="77" t="str">
        <f>'PRICES XACT IN'!G142</f>
        <v>HR</v>
      </c>
      <c r="F554" s="364">
        <f>C556*$F$533/60</f>
        <v>0.5</v>
      </c>
      <c r="G554" s="78">
        <f>'PRICES XACT IN'!H142</f>
        <v>53.11</v>
      </c>
      <c r="H554" s="89">
        <f>F554*G554</f>
        <v>26.555</v>
      </c>
      <c r="I554" s="78"/>
      <c r="J554" s="270">
        <f>+J551+1</f>
        <v>130</v>
      </c>
      <c r="L554"/>
    </row>
    <row r="555" spans="1:12" ht="27" customHeight="1">
      <c r="A555" s="76"/>
      <c r="B555" s="77"/>
      <c r="D555" s="81" t="s">
        <v>58</v>
      </c>
      <c r="E555" s="77"/>
      <c r="F555" s="364"/>
      <c r="G555" s="78"/>
      <c r="H555" s="78"/>
      <c r="I555" s="78"/>
      <c r="J555" s="84"/>
      <c r="L555"/>
    </row>
    <row r="556" spans="1:12" ht="27" customHeight="1">
      <c r="A556" s="76"/>
      <c r="B556" s="77"/>
      <c r="C556" s="249">
        <f>'Time Calc'!AE12</f>
        <v>10</v>
      </c>
      <c r="D556" s="81" t="s">
        <v>265</v>
      </c>
      <c r="E556" s="98"/>
      <c r="F556" s="364"/>
      <c r="G556" s="78"/>
      <c r="H556" s="78"/>
      <c r="I556" s="89">
        <f>SUM(H529:H554)</f>
        <v>786.53000000000009</v>
      </c>
      <c r="J556" s="84"/>
      <c r="L556"/>
    </row>
    <row r="557" spans="1:12" ht="27" customHeight="1">
      <c r="D557" s="500" t="s">
        <v>18</v>
      </c>
      <c r="E557" s="429" t="s">
        <v>268</v>
      </c>
      <c r="F557" s="365"/>
      <c r="H557" s="89">
        <f>SUM(H531:H555)</f>
        <v>416.21500000000003</v>
      </c>
      <c r="I557" s="89"/>
      <c r="J557" s="84"/>
      <c r="L557"/>
    </row>
    <row r="558" spans="1:12" ht="25.15" customHeight="1">
      <c r="L558"/>
    </row>
    <row r="608" spans="10:10" ht="25.15" customHeight="1">
      <c r="J608" s="84"/>
    </row>
  </sheetData>
  <mergeCells count="238">
    <mergeCell ref="B154:F154"/>
    <mergeCell ref="B155:F155"/>
    <mergeCell ref="B156:F156"/>
    <mergeCell ref="B157:F157"/>
    <mergeCell ref="G149:H149"/>
    <mergeCell ref="G150:H150"/>
    <mergeCell ref="G151:H151"/>
    <mergeCell ref="G152:H152"/>
    <mergeCell ref="G153:H153"/>
    <mergeCell ref="G154:H154"/>
    <mergeCell ref="G155:H155"/>
    <mergeCell ref="G156:H156"/>
    <mergeCell ref="B396:B397"/>
    <mergeCell ref="B423:B424"/>
    <mergeCell ref="B450:B451"/>
    <mergeCell ref="B477:B478"/>
    <mergeCell ref="B504:B505"/>
    <mergeCell ref="B531:B532"/>
    <mergeCell ref="D181:H181"/>
    <mergeCell ref="A268:B269"/>
    <mergeCell ref="A271:B272"/>
    <mergeCell ref="A274:B275"/>
    <mergeCell ref="A277:C277"/>
    <mergeCell ref="A278:B278"/>
    <mergeCell ref="A280:B281"/>
    <mergeCell ref="E204:H206"/>
    <mergeCell ref="G207:H209"/>
    <mergeCell ref="E209:F209"/>
    <mergeCell ref="A189:C189"/>
    <mergeCell ref="A191:C191"/>
    <mergeCell ref="A193:C196"/>
    <mergeCell ref="E363:H364"/>
    <mergeCell ref="B313:B314"/>
    <mergeCell ref="E216:H217"/>
    <mergeCell ref="A227:H227"/>
    <mergeCell ref="A216:C217"/>
    <mergeCell ref="A221:C221"/>
    <mergeCell ref="A219:C219"/>
    <mergeCell ref="A213:C213"/>
    <mergeCell ref="A164:H164"/>
    <mergeCell ref="D211:E211"/>
    <mergeCell ref="G148:H148"/>
    <mergeCell ref="A141:H141"/>
    <mergeCell ref="B143:F143"/>
    <mergeCell ref="B144:F144"/>
    <mergeCell ref="B145:F145"/>
    <mergeCell ref="B146:F146"/>
    <mergeCell ref="B147:F147"/>
    <mergeCell ref="G144:H144"/>
    <mergeCell ref="G145:H145"/>
    <mergeCell ref="G146:H146"/>
    <mergeCell ref="G147:H147"/>
    <mergeCell ref="B148:F148"/>
    <mergeCell ref="B142:F142"/>
    <mergeCell ref="G159:H159"/>
    <mergeCell ref="B149:F149"/>
    <mergeCell ref="B150:F150"/>
    <mergeCell ref="B151:F151"/>
    <mergeCell ref="B152:F152"/>
    <mergeCell ref="B153:F153"/>
    <mergeCell ref="B369:B370"/>
    <mergeCell ref="A204:C208"/>
    <mergeCell ref="E98:I117"/>
    <mergeCell ref="E120:I122"/>
    <mergeCell ref="G118:I119"/>
    <mergeCell ref="G163:H163"/>
    <mergeCell ref="B158:F158"/>
    <mergeCell ref="B159:F159"/>
    <mergeCell ref="B165:G165"/>
    <mergeCell ref="I238:I258"/>
    <mergeCell ref="E241:H242"/>
    <mergeCell ref="E256:H257"/>
    <mergeCell ref="A242:B242"/>
    <mergeCell ref="A245:B245"/>
    <mergeCell ref="E247:H247"/>
    <mergeCell ref="A257:B257"/>
    <mergeCell ref="A248:B248"/>
    <mergeCell ref="G134:H134"/>
    <mergeCell ref="D140:H140"/>
    <mergeCell ref="G143:H143"/>
    <mergeCell ref="A198:C199"/>
    <mergeCell ref="E193:H196"/>
    <mergeCell ref="E198:H198"/>
    <mergeCell ref="A226:C226"/>
    <mergeCell ref="E90:H90"/>
    <mergeCell ref="F91:H95"/>
    <mergeCell ref="E81:I88"/>
    <mergeCell ref="G129:H129"/>
    <mergeCell ref="E130:F130"/>
    <mergeCell ref="A129:F129"/>
    <mergeCell ref="B130:D130"/>
    <mergeCell ref="A128:H128"/>
    <mergeCell ref="E133:F133"/>
    <mergeCell ref="G131:H131"/>
    <mergeCell ref="G132:H132"/>
    <mergeCell ref="G133:H133"/>
    <mergeCell ref="F97:I97"/>
    <mergeCell ref="A130:A140"/>
    <mergeCell ref="E136:H139"/>
    <mergeCell ref="B140:C140"/>
    <mergeCell ref="B135:H135"/>
    <mergeCell ref="D127:G127"/>
    <mergeCell ref="G130:H130"/>
    <mergeCell ref="A16:C16"/>
    <mergeCell ref="A56:A57"/>
    <mergeCell ref="A21:C21"/>
    <mergeCell ref="A22:C22"/>
    <mergeCell ref="A23:C23"/>
    <mergeCell ref="A9:C9"/>
    <mergeCell ref="A10:C10"/>
    <mergeCell ref="A12:C12"/>
    <mergeCell ref="A13:C13"/>
    <mergeCell ref="A11:H11"/>
    <mergeCell ref="E12:F12"/>
    <mergeCell ref="E13:H13"/>
    <mergeCell ref="E16:H16"/>
    <mergeCell ref="E19:H19"/>
    <mergeCell ref="A19:C19"/>
    <mergeCell ref="A1:H1"/>
    <mergeCell ref="A41:H42"/>
    <mergeCell ref="A43:H43"/>
    <mergeCell ref="A45:H45"/>
    <mergeCell ref="D7:H7"/>
    <mergeCell ref="A7:C7"/>
    <mergeCell ref="G12:H12"/>
    <mergeCell ref="G15:H15"/>
    <mergeCell ref="A32:I32"/>
    <mergeCell ref="A36:H36"/>
    <mergeCell ref="A24:I24"/>
    <mergeCell ref="A2:I2"/>
    <mergeCell ref="A3:I3"/>
    <mergeCell ref="A8:C8"/>
    <mergeCell ref="A31:I31"/>
    <mergeCell ref="A39:I40"/>
    <mergeCell ref="A27:I27"/>
    <mergeCell ref="A17:C17"/>
    <mergeCell ref="A18:C18"/>
    <mergeCell ref="G23:H23"/>
    <mergeCell ref="E20:H20"/>
    <mergeCell ref="E21:H21"/>
    <mergeCell ref="E22:H22"/>
    <mergeCell ref="A20:C20"/>
    <mergeCell ref="K6:L6"/>
    <mergeCell ref="J8:K8"/>
    <mergeCell ref="L8:M8"/>
    <mergeCell ref="J2:M2"/>
    <mergeCell ref="J3:M3"/>
    <mergeCell ref="J4:K4"/>
    <mergeCell ref="L4:M4"/>
    <mergeCell ref="K5:L5"/>
    <mergeCell ref="E8:I8"/>
    <mergeCell ref="E4:H4"/>
    <mergeCell ref="E5:H5"/>
    <mergeCell ref="E6:H6"/>
    <mergeCell ref="A65:H65"/>
    <mergeCell ref="E66:I75"/>
    <mergeCell ref="L9:M9"/>
    <mergeCell ref="L10:M10"/>
    <mergeCell ref="A44:I44"/>
    <mergeCell ref="A25:I25"/>
    <mergeCell ref="A26:I26"/>
    <mergeCell ref="A29:I29"/>
    <mergeCell ref="A30:I30"/>
    <mergeCell ref="A28:I28"/>
    <mergeCell ref="A33:I33"/>
    <mergeCell ref="A34:I34"/>
    <mergeCell ref="A35:I35"/>
    <mergeCell ref="G18:H18"/>
    <mergeCell ref="B57:G57"/>
    <mergeCell ref="B56:G56"/>
    <mergeCell ref="H56:H57"/>
    <mergeCell ref="E61:I61"/>
    <mergeCell ref="A58:I59"/>
    <mergeCell ref="A60:I60"/>
    <mergeCell ref="E46:I54"/>
    <mergeCell ref="A62:H62"/>
    <mergeCell ref="A14:C14"/>
    <mergeCell ref="A15:C15"/>
    <mergeCell ref="E244:H245"/>
    <mergeCell ref="E132:F132"/>
    <mergeCell ref="E366:H367"/>
    <mergeCell ref="A366:B367"/>
    <mergeCell ref="A363:B364"/>
    <mergeCell ref="E327:H328"/>
    <mergeCell ref="E324:H325"/>
    <mergeCell ref="E322:H322"/>
    <mergeCell ref="E318:H318"/>
    <mergeCell ref="E320:H320"/>
    <mergeCell ref="E345:H345"/>
    <mergeCell ref="E347:I347"/>
    <mergeCell ref="E349:H349"/>
    <mergeCell ref="E351:H352"/>
    <mergeCell ref="A330:B331"/>
    <mergeCell ref="A333:B334"/>
    <mergeCell ref="A336:B337"/>
    <mergeCell ref="A339:B341"/>
    <mergeCell ref="B286:B287"/>
    <mergeCell ref="B259:B260"/>
    <mergeCell ref="B232:B233"/>
    <mergeCell ref="B182:B183"/>
    <mergeCell ref="B209:B210"/>
    <mergeCell ref="A223:C223"/>
    <mergeCell ref="E334:H334"/>
    <mergeCell ref="E330:H331"/>
    <mergeCell ref="A324:B325"/>
    <mergeCell ref="A345:C345"/>
    <mergeCell ref="A347:C347"/>
    <mergeCell ref="A349:C349"/>
    <mergeCell ref="E248:H248"/>
    <mergeCell ref="F250:H251"/>
    <mergeCell ref="A251:B251"/>
    <mergeCell ref="E253:H254"/>
    <mergeCell ref="A254:B254"/>
    <mergeCell ref="B342:B343"/>
    <mergeCell ref="A351:B352"/>
    <mergeCell ref="A354:B355"/>
    <mergeCell ref="A357:B358"/>
    <mergeCell ref="A360:B361"/>
    <mergeCell ref="B134:F134"/>
    <mergeCell ref="A55:I55"/>
    <mergeCell ref="E355:H355"/>
    <mergeCell ref="G354:H354"/>
    <mergeCell ref="E357:H358"/>
    <mergeCell ref="E361:H361"/>
    <mergeCell ref="A283:B284"/>
    <mergeCell ref="A295:B296"/>
    <mergeCell ref="A298:B299"/>
    <mergeCell ref="A301:B302"/>
    <mergeCell ref="A304:B305"/>
    <mergeCell ref="A307:B308"/>
    <mergeCell ref="A310:B312"/>
    <mergeCell ref="A327:B328"/>
    <mergeCell ref="A262:C262"/>
    <mergeCell ref="A264:C264"/>
    <mergeCell ref="A266:C266"/>
    <mergeCell ref="B131:F131"/>
    <mergeCell ref="E339:H340"/>
    <mergeCell ref="E336:H337"/>
  </mergeCells>
  <printOptions gridLines="1"/>
  <pageMargins left="0.25" right="0.25" top="0.32" bottom="0.16" header="0.3" footer="0.16"/>
  <pageSetup scale="99" fitToHeight="0" orientation="portrait" r:id="rId1"/>
  <headerFooter>
    <oddFooter>&amp;LPAGE &amp;P OF &amp;N&amp;C&amp;A&amp;R&amp;F</oddFooter>
  </headerFooter>
  <rowBreaks count="21" manualBreakCount="21">
    <brk id="23" max="8" man="1"/>
    <brk id="42" max="8" man="1"/>
    <brk id="65" max="8" man="1"/>
    <brk id="96" max="8" man="1"/>
    <brk id="127" max="8" man="1"/>
    <brk id="140" max="8" man="1"/>
    <brk id="163" max="8" man="1"/>
    <brk id="181" max="8" man="1"/>
    <brk id="203" max="8" man="1"/>
    <brk id="231" max="8" man="1"/>
    <brk id="258" max="8" man="1"/>
    <brk id="285" max="8" man="1"/>
    <brk id="312" max="8" man="1"/>
    <brk id="341" max="8" man="1"/>
    <brk id="368" max="8" man="1"/>
    <brk id="395" max="8" man="1"/>
    <brk id="422" max="8" man="1"/>
    <brk id="449" max="8" man="1"/>
    <brk id="476" max="8" man="1"/>
    <brk id="503" max="8" man="1"/>
    <brk id="530" max="8"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053A7-2168-4195-AC8F-D2726C4E80E2}">
  <sheetPr codeName="Sheet8"/>
  <dimension ref="A1:CC134"/>
  <sheetViews>
    <sheetView view="pageBreakPreview" zoomScaleNormal="130" zoomScaleSheetLayoutView="100" workbookViewId="0">
      <pane xSplit="1" ySplit="4" topLeftCell="AH26" activePane="bottomRight" state="frozen"/>
      <selection pane="topRight" activeCell="B1" sqref="B1"/>
      <selection pane="bottomLeft" activeCell="A2" sqref="A2"/>
      <selection pane="bottomRight" activeCell="AO55" sqref="AO55"/>
    </sheetView>
  </sheetViews>
  <sheetFormatPr defaultColWidth="8.83203125" defaultRowHeight="66" customHeight="1"/>
  <cols>
    <col min="1" max="1" width="13.83203125" style="107" customWidth="1"/>
    <col min="2" max="2" width="4.83203125" style="292" customWidth="1"/>
    <col min="3" max="3" width="6.1640625" style="292" customWidth="1"/>
    <col min="4" max="4" width="1" style="292" customWidth="1"/>
    <col min="5" max="5" width="5.1640625" style="292" customWidth="1"/>
    <col min="6" max="6" width="6.33203125" style="292" customWidth="1"/>
    <col min="7" max="7" width="0.83203125" style="292" customWidth="1"/>
    <col min="8" max="8" width="4.5" style="292" bestFit="1" customWidth="1"/>
    <col min="9" max="9" width="3.83203125" style="292" customWidth="1"/>
    <col min="10" max="10" width="0.83203125" style="295" hidden="1" customWidth="1"/>
    <col min="11" max="11" width="0.83203125" style="295" customWidth="1"/>
    <col min="12" max="12" width="4.5" style="292" bestFit="1" customWidth="1"/>
    <col min="13" max="13" width="4.1640625" style="292" customWidth="1"/>
    <col min="14" max="14" width="0.6640625" style="295" customWidth="1"/>
    <col min="15" max="15" width="6.1640625" style="292" customWidth="1"/>
    <col min="16" max="16" width="3.5" style="292" customWidth="1"/>
    <col min="17" max="17" width="0.83203125" style="295" customWidth="1"/>
    <col min="18" max="18" width="4.5" style="292" customWidth="1"/>
    <col min="19" max="19" width="8.1640625" style="292" customWidth="1"/>
    <col min="20" max="20" width="0.83203125" style="292" customWidth="1"/>
    <col min="21" max="21" width="5" style="292" customWidth="1"/>
    <col min="22" max="22" width="3.83203125" style="292" customWidth="1"/>
    <col min="23" max="23" width="0.83203125" style="300" customWidth="1"/>
    <col min="24" max="24" width="6" style="292" customWidth="1"/>
    <col min="25" max="25" width="4" style="292" customWidth="1"/>
    <col min="26" max="26" width="0.83203125" style="300" customWidth="1"/>
    <col min="27" max="27" width="5.1640625" style="107" customWidth="1"/>
    <col min="28" max="28" width="6.6640625" style="107" customWidth="1"/>
    <col min="29" max="29" width="0.83203125" style="298" customWidth="1"/>
    <col min="30" max="30" width="6.1640625" style="107" customWidth="1"/>
    <col min="31" max="31" width="3.83203125" style="107" customWidth="1"/>
    <col min="32" max="32" width="0.83203125" style="298" customWidth="1"/>
    <col min="33" max="33" width="5.5" style="107" customWidth="1"/>
    <col min="34" max="34" width="3.6640625" style="107" customWidth="1"/>
    <col min="35" max="35" width="0.83203125" style="298" customWidth="1"/>
    <col min="36" max="36" width="5.83203125" style="107" customWidth="1"/>
    <col min="37" max="37" width="4.1640625" style="107" customWidth="1"/>
    <col min="38" max="39" width="8.83203125" style="107"/>
    <col min="40" max="40" width="58.83203125" style="107" customWidth="1"/>
    <col min="41" max="41" width="6.5" style="107" customWidth="1"/>
    <col min="42" max="42" width="8.83203125" style="107" customWidth="1"/>
    <col min="43" max="43" width="6.1640625" style="107" customWidth="1"/>
    <col min="44" max="44" width="8.5" style="107" customWidth="1"/>
    <col min="45" max="45" width="9.5" style="107" customWidth="1"/>
    <col min="46" max="46" width="7.83203125" style="107" customWidth="1"/>
    <col min="47" max="47" width="5.33203125" style="107" customWidth="1"/>
    <col min="48" max="48" width="5.83203125" style="107" customWidth="1"/>
    <col min="49" max="49" width="7.5" style="107" customWidth="1"/>
    <col min="50" max="50" width="6.83203125" style="107" customWidth="1"/>
    <col min="51" max="51" width="7.1640625" style="107" customWidth="1"/>
    <col min="52" max="52" width="8" style="107" customWidth="1"/>
    <col min="53" max="16384" width="8.83203125" style="107"/>
  </cols>
  <sheetData>
    <row r="1" spans="1:81" ht="15.75">
      <c r="C1" s="345">
        <v>1</v>
      </c>
      <c r="D1" s="342"/>
      <c r="F1" s="345">
        <v>2</v>
      </c>
      <c r="G1" s="342"/>
      <c r="I1" s="345">
        <v>3</v>
      </c>
      <c r="J1" s="342"/>
      <c r="K1" s="343"/>
      <c r="L1" s="343"/>
      <c r="M1" s="345">
        <v>4</v>
      </c>
      <c r="N1" s="342"/>
      <c r="O1" s="346"/>
      <c r="P1" s="345">
        <v>5</v>
      </c>
      <c r="Q1" s="342"/>
      <c r="R1" s="346"/>
      <c r="S1" s="345">
        <v>6</v>
      </c>
      <c r="T1" s="342"/>
      <c r="U1" s="342"/>
      <c r="V1" s="345">
        <v>7</v>
      </c>
      <c r="W1" s="342"/>
      <c r="X1" s="346"/>
      <c r="Y1" s="345">
        <v>8</v>
      </c>
      <c r="Z1" s="342"/>
      <c r="AA1" s="346"/>
      <c r="AB1" s="345">
        <v>9</v>
      </c>
      <c r="AC1" s="347"/>
      <c r="AD1" s="347"/>
      <c r="AE1" s="348">
        <v>10</v>
      </c>
      <c r="AF1" s="347"/>
      <c r="AG1" s="347"/>
      <c r="AH1" s="348">
        <v>11</v>
      </c>
      <c r="AI1" s="347"/>
      <c r="AJ1" s="347"/>
      <c r="AK1" s="348">
        <v>12</v>
      </c>
      <c r="AL1" s="344"/>
      <c r="AM1" s="344"/>
    </row>
    <row r="2" spans="1:81" ht="15.75">
      <c r="A2" s="107" t="s">
        <v>280</v>
      </c>
      <c r="B2" s="349">
        <v>21</v>
      </c>
      <c r="C2" s="342"/>
      <c r="D2" s="342"/>
      <c r="E2" s="349">
        <f>B2+9</f>
        <v>30</v>
      </c>
      <c r="F2" s="342"/>
      <c r="G2" s="342"/>
      <c r="H2" s="349">
        <f>E2+9</f>
        <v>39</v>
      </c>
      <c r="I2" s="342"/>
      <c r="J2" s="342"/>
      <c r="K2" s="342"/>
      <c r="L2" s="349">
        <f>H2+9</f>
        <v>48</v>
      </c>
      <c r="M2" s="342"/>
      <c r="N2" s="342"/>
      <c r="O2" s="350">
        <f>'PRICES XACT IN'!A59</f>
        <v>58</v>
      </c>
      <c r="P2" s="342"/>
      <c r="Q2" s="342"/>
      <c r="R2" s="350">
        <f>O2+9</f>
        <v>67</v>
      </c>
      <c r="S2" s="342"/>
      <c r="T2" s="342"/>
      <c r="U2" s="349">
        <f>R2+9</f>
        <v>76</v>
      </c>
      <c r="W2" s="342"/>
      <c r="X2" s="349">
        <f>U2+9</f>
        <v>85</v>
      </c>
      <c r="Y2" s="342"/>
      <c r="Z2" s="342"/>
      <c r="AA2" s="349">
        <f>X2+9</f>
        <v>94</v>
      </c>
      <c r="AB2" s="342"/>
      <c r="AC2" s="344"/>
      <c r="AD2" s="349">
        <f>AA2+9</f>
        <v>103</v>
      </c>
      <c r="AE2" s="344"/>
      <c r="AF2" s="344"/>
      <c r="AG2" s="349">
        <f>AD2+9</f>
        <v>112</v>
      </c>
      <c r="AH2" s="344"/>
      <c r="AI2" s="344"/>
      <c r="AJ2" s="349">
        <f>AG2+9</f>
        <v>121</v>
      </c>
      <c r="AK2" s="344"/>
      <c r="AL2" s="344"/>
      <c r="AM2" s="344"/>
    </row>
    <row r="3" spans="1:81" ht="15.75">
      <c r="A3" s="107" t="s">
        <v>281</v>
      </c>
      <c r="B3" s="349"/>
      <c r="C3" s="342" t="s">
        <v>282</v>
      </c>
      <c r="D3" s="342"/>
      <c r="E3" s="349"/>
      <c r="F3" s="342" t="s">
        <v>283</v>
      </c>
      <c r="G3" s="342"/>
      <c r="H3" s="349"/>
      <c r="I3" s="342" t="s">
        <v>284</v>
      </c>
      <c r="J3" s="342"/>
      <c r="K3" s="342"/>
      <c r="L3" s="349"/>
      <c r="M3" s="342" t="s">
        <v>95</v>
      </c>
      <c r="N3" s="342"/>
      <c r="O3" s="350"/>
      <c r="P3" s="342" t="s">
        <v>285</v>
      </c>
      <c r="Q3" s="342"/>
      <c r="R3" s="350"/>
      <c r="S3" s="342" t="s">
        <v>286</v>
      </c>
      <c r="T3" s="342"/>
      <c r="U3" s="349"/>
      <c r="V3" s="292" t="s">
        <v>287</v>
      </c>
      <c r="W3" s="342"/>
      <c r="X3" s="349"/>
      <c r="Y3" s="342" t="s">
        <v>288</v>
      </c>
      <c r="Z3" s="342"/>
      <c r="AA3" s="349"/>
      <c r="AB3" s="342" t="s">
        <v>289</v>
      </c>
      <c r="AC3" s="344"/>
      <c r="AD3" s="349"/>
      <c r="AE3" s="344" t="s">
        <v>290</v>
      </c>
      <c r="AF3" s="344"/>
      <c r="AG3" s="349"/>
      <c r="AH3" s="344" t="s">
        <v>291</v>
      </c>
      <c r="AI3" s="344"/>
      <c r="AJ3" s="349"/>
      <c r="AK3" s="344" t="s">
        <v>292</v>
      </c>
      <c r="AL3" s="344"/>
      <c r="AM3" s="344"/>
    </row>
    <row r="4" spans="1:81" ht="43.9" customHeight="1">
      <c r="A4" s="360">
        <f>COUNT('Box Summary'!G1:G34)+5</f>
        <v>20</v>
      </c>
      <c r="B4" s="610" t="s">
        <v>96</v>
      </c>
      <c r="C4" s="610"/>
      <c r="D4" s="288"/>
      <c r="E4" s="611" t="s">
        <v>293</v>
      </c>
      <c r="F4" s="611"/>
      <c r="G4" s="287"/>
      <c r="H4" s="612" t="s">
        <v>294</v>
      </c>
      <c r="I4" s="612"/>
      <c r="J4" s="289"/>
      <c r="K4" s="289"/>
      <c r="L4" s="613" t="s">
        <v>295</v>
      </c>
      <c r="M4" s="613"/>
      <c r="N4" s="289"/>
      <c r="O4" s="606" t="s">
        <v>129</v>
      </c>
      <c r="P4" s="606"/>
      <c r="Q4" s="289"/>
      <c r="R4" s="608" t="s">
        <v>12</v>
      </c>
      <c r="S4" s="608"/>
      <c r="T4" s="289"/>
      <c r="U4" s="606" t="s">
        <v>13</v>
      </c>
      <c r="V4" s="606"/>
      <c r="W4" s="290"/>
      <c r="X4" s="609" t="s">
        <v>14</v>
      </c>
      <c r="Y4" s="609"/>
      <c r="Z4" s="290"/>
      <c r="AA4" s="606" t="s">
        <v>15</v>
      </c>
      <c r="AB4" s="606"/>
      <c r="AC4" s="290"/>
      <c r="AD4" s="609" t="s">
        <v>16</v>
      </c>
      <c r="AE4" s="609"/>
      <c r="AF4" s="290"/>
      <c r="AG4" s="606" t="s">
        <v>17</v>
      </c>
      <c r="AH4" s="606"/>
      <c r="AI4" s="291"/>
      <c r="AJ4" s="606" t="s">
        <v>18</v>
      </c>
      <c r="AK4" s="606"/>
    </row>
    <row r="5" spans="1:81" ht="43.9" customHeight="1">
      <c r="A5" s="353" t="s">
        <v>296</v>
      </c>
      <c r="B5" s="292" t="s">
        <v>297</v>
      </c>
      <c r="C5" s="293" t="s">
        <v>298</v>
      </c>
      <c r="D5" s="294"/>
      <c r="E5" s="292" t="s">
        <v>297</v>
      </c>
      <c r="F5" s="293" t="s">
        <v>298</v>
      </c>
      <c r="G5" s="295"/>
      <c r="H5" s="292" t="s">
        <v>297</v>
      </c>
      <c r="I5" s="293" t="s">
        <v>298</v>
      </c>
      <c r="L5" s="292" t="s">
        <v>297</v>
      </c>
      <c r="M5" s="293" t="s">
        <v>298</v>
      </c>
      <c r="O5" s="292" t="s">
        <v>297</v>
      </c>
      <c r="P5" s="293" t="s">
        <v>298</v>
      </c>
      <c r="R5" s="292" t="s">
        <v>297</v>
      </c>
      <c r="S5" s="293" t="s">
        <v>298</v>
      </c>
      <c r="T5" s="296"/>
      <c r="U5" s="293" t="s">
        <v>297</v>
      </c>
      <c r="V5" s="293" t="s">
        <v>298</v>
      </c>
      <c r="W5" s="297"/>
      <c r="X5" s="292" t="s">
        <v>297</v>
      </c>
      <c r="Y5" s="293" t="s">
        <v>298</v>
      </c>
      <c r="Z5" s="297"/>
      <c r="AA5" s="292" t="s">
        <v>297</v>
      </c>
      <c r="AB5" s="293" t="s">
        <v>298</v>
      </c>
      <c r="AD5" s="293" t="s">
        <v>297</v>
      </c>
      <c r="AE5" s="293" t="s">
        <v>298</v>
      </c>
      <c r="AG5" s="293" t="s">
        <v>297</v>
      </c>
      <c r="AH5" s="293" t="s">
        <v>298</v>
      </c>
      <c r="AJ5" s="293" t="s">
        <v>297</v>
      </c>
      <c r="AK5" s="293" t="s">
        <v>298</v>
      </c>
    </row>
    <row r="6" spans="1:81" ht="33" customHeight="1">
      <c r="A6" s="299" t="s">
        <v>52</v>
      </c>
      <c r="B6" s="286">
        <v>0.2</v>
      </c>
      <c r="C6" s="354">
        <f>0.02*0.06</f>
        <v>1.1999999999999999E-3</v>
      </c>
      <c r="D6" s="355"/>
      <c r="E6" s="286">
        <v>0.3</v>
      </c>
      <c r="F6" s="354">
        <v>20</v>
      </c>
      <c r="G6" s="356"/>
      <c r="H6" s="286">
        <v>0.5</v>
      </c>
      <c r="I6" s="354">
        <v>30</v>
      </c>
      <c r="J6" s="356"/>
      <c r="K6" s="356"/>
      <c r="L6" s="286">
        <v>1</v>
      </c>
      <c r="M6" s="354">
        <v>60</v>
      </c>
      <c r="N6" s="356"/>
      <c r="O6" s="286">
        <v>0.3</v>
      </c>
      <c r="P6" s="354">
        <v>20</v>
      </c>
      <c r="Q6" s="356"/>
      <c r="R6" s="286">
        <v>0.3</v>
      </c>
      <c r="S6" s="359">
        <v>20</v>
      </c>
      <c r="T6" s="356"/>
      <c r="U6" s="286">
        <v>0.3</v>
      </c>
      <c r="V6" s="359">
        <v>20</v>
      </c>
      <c r="W6" s="289"/>
      <c r="X6" s="286">
        <v>0.5</v>
      </c>
      <c r="Y6" s="354">
        <v>30</v>
      </c>
      <c r="Z6" s="357"/>
      <c r="AA6" s="286">
        <v>1</v>
      </c>
      <c r="AB6" s="354">
        <v>60</v>
      </c>
      <c r="AC6" s="291"/>
      <c r="AD6" s="286">
        <v>0.3</v>
      </c>
      <c r="AE6" s="359">
        <v>20</v>
      </c>
      <c r="AF6" s="291"/>
      <c r="AG6" s="286">
        <v>0.3</v>
      </c>
      <c r="AH6" s="359">
        <v>20</v>
      </c>
      <c r="AI6" s="291"/>
      <c r="AJ6" s="286">
        <v>0.3</v>
      </c>
      <c r="AK6" s="359">
        <v>20</v>
      </c>
    </row>
    <row r="7" spans="1:81" ht="66" customHeight="1">
      <c r="A7" s="351" t="s">
        <v>53</v>
      </c>
      <c r="B7" s="286">
        <v>0.2</v>
      </c>
      <c r="C7" s="359">
        <v>12</v>
      </c>
      <c r="D7" s="355"/>
      <c r="E7" s="286">
        <v>0.3</v>
      </c>
      <c r="F7" s="286">
        <v>20</v>
      </c>
      <c r="G7" s="356"/>
      <c r="H7" s="286">
        <v>0.5</v>
      </c>
      <c r="I7" s="359">
        <v>30</v>
      </c>
      <c r="J7" s="356"/>
      <c r="K7" s="356"/>
      <c r="L7" s="286">
        <v>1</v>
      </c>
      <c r="M7" s="359">
        <v>60</v>
      </c>
      <c r="N7" s="356"/>
      <c r="O7" s="286">
        <v>0.3</v>
      </c>
      <c r="P7" s="359">
        <v>20</v>
      </c>
      <c r="Q7" s="356"/>
      <c r="R7" s="286">
        <v>0.3</v>
      </c>
      <c r="S7" s="359">
        <v>20</v>
      </c>
      <c r="T7" s="356"/>
      <c r="U7" s="286">
        <v>0.3</v>
      </c>
      <c r="V7" s="359">
        <v>20</v>
      </c>
      <c r="W7" s="289"/>
      <c r="X7" s="286">
        <v>0.5</v>
      </c>
      <c r="Y7" s="359">
        <v>30</v>
      </c>
      <c r="Z7" s="357"/>
      <c r="AA7" s="286">
        <v>1</v>
      </c>
      <c r="AB7" s="359">
        <v>60</v>
      </c>
      <c r="AC7" s="291"/>
      <c r="AD7" s="286">
        <v>0.3</v>
      </c>
      <c r="AE7" s="359">
        <v>20</v>
      </c>
      <c r="AF7" s="291"/>
      <c r="AG7" s="286">
        <v>0.3</v>
      </c>
      <c r="AH7" s="359">
        <v>20</v>
      </c>
      <c r="AI7" s="291"/>
      <c r="AJ7" s="286">
        <v>0.3</v>
      </c>
      <c r="AK7" s="359">
        <v>20</v>
      </c>
    </row>
    <row r="8" spans="1:81" ht="66" customHeight="1">
      <c r="A8" s="351" t="s">
        <v>54</v>
      </c>
      <c r="B8" s="286">
        <v>0.2</v>
      </c>
      <c r="C8" s="354">
        <v>12</v>
      </c>
      <c r="D8" s="355"/>
      <c r="E8" s="286">
        <v>0.3</v>
      </c>
      <c r="F8" s="354">
        <v>20</v>
      </c>
      <c r="G8" s="356"/>
      <c r="H8" s="286">
        <v>0.5</v>
      </c>
      <c r="I8" s="354">
        <v>30</v>
      </c>
      <c r="J8" s="356"/>
      <c r="K8" s="356"/>
      <c r="L8" s="286">
        <v>1.2</v>
      </c>
      <c r="M8" s="354">
        <v>72</v>
      </c>
      <c r="N8" s="356"/>
      <c r="O8" s="286">
        <v>0.3</v>
      </c>
      <c r="P8" s="286">
        <v>20</v>
      </c>
      <c r="Q8" s="356"/>
      <c r="R8" s="286">
        <v>0.3</v>
      </c>
      <c r="S8" s="354">
        <v>20</v>
      </c>
      <c r="T8" s="356"/>
      <c r="U8" s="286">
        <v>0.3</v>
      </c>
      <c r="V8" s="354">
        <v>20</v>
      </c>
      <c r="W8" s="289"/>
      <c r="X8" s="286">
        <v>0.5</v>
      </c>
      <c r="Y8" s="354">
        <v>30</v>
      </c>
      <c r="Z8" s="357"/>
      <c r="AA8" s="286">
        <v>1.2</v>
      </c>
      <c r="AB8" s="354">
        <v>72</v>
      </c>
      <c r="AC8" s="291"/>
      <c r="AD8" s="286">
        <v>0.3</v>
      </c>
      <c r="AE8" s="354">
        <v>20</v>
      </c>
      <c r="AF8" s="291"/>
      <c r="AG8" s="286">
        <v>0.3</v>
      </c>
      <c r="AH8" s="354">
        <v>20</v>
      </c>
      <c r="AI8" s="291"/>
      <c r="AJ8" s="286">
        <v>0.3</v>
      </c>
      <c r="AK8" s="354">
        <v>20</v>
      </c>
    </row>
    <row r="9" spans="1:81" ht="66" customHeight="1">
      <c r="A9" s="351" t="s">
        <v>55</v>
      </c>
      <c r="B9" s="286">
        <v>0.2</v>
      </c>
      <c r="C9" s="359">
        <v>12</v>
      </c>
      <c r="D9" s="355"/>
      <c r="E9" s="286">
        <v>0.3</v>
      </c>
      <c r="F9" s="359">
        <v>20</v>
      </c>
      <c r="G9" s="356"/>
      <c r="H9" s="286">
        <v>0.5</v>
      </c>
      <c r="I9" s="359">
        <v>30</v>
      </c>
      <c r="J9" s="356"/>
      <c r="K9" s="356"/>
      <c r="L9" s="286">
        <v>1.2</v>
      </c>
      <c r="M9" s="359">
        <v>72</v>
      </c>
      <c r="N9" s="356"/>
      <c r="O9" s="286">
        <v>0.3</v>
      </c>
      <c r="P9" s="359">
        <v>20</v>
      </c>
      <c r="Q9" s="356"/>
      <c r="R9" s="286">
        <v>0.3</v>
      </c>
      <c r="S9" s="359">
        <v>20</v>
      </c>
      <c r="T9" s="356"/>
      <c r="U9" s="286">
        <v>0.3</v>
      </c>
      <c r="V9" s="359">
        <v>20</v>
      </c>
      <c r="W9" s="289"/>
      <c r="X9" s="286">
        <v>0.5</v>
      </c>
      <c r="Y9" s="359">
        <v>30</v>
      </c>
      <c r="Z9" s="357"/>
      <c r="AA9" s="286">
        <v>1.2</v>
      </c>
      <c r="AB9" s="359">
        <v>72</v>
      </c>
      <c r="AC9" s="291"/>
      <c r="AD9" s="286">
        <v>0.3</v>
      </c>
      <c r="AE9" s="359">
        <v>20</v>
      </c>
      <c r="AF9" s="291"/>
      <c r="AG9" s="286">
        <v>0.3</v>
      </c>
      <c r="AH9" s="359">
        <v>20</v>
      </c>
      <c r="AI9" s="291"/>
      <c r="AJ9" s="286">
        <v>0.3</v>
      </c>
      <c r="AK9" s="359">
        <v>20</v>
      </c>
    </row>
    <row r="10" spans="1:81" ht="66" customHeight="1">
      <c r="A10" s="351" t="s">
        <v>56</v>
      </c>
      <c r="B10" s="286">
        <v>0.2</v>
      </c>
      <c r="C10" s="354">
        <v>12</v>
      </c>
      <c r="D10" s="355"/>
      <c r="E10" s="286">
        <v>0.3</v>
      </c>
      <c r="F10" s="354">
        <v>20</v>
      </c>
      <c r="G10" s="356"/>
      <c r="H10" s="286">
        <v>0.5</v>
      </c>
      <c r="I10" s="354">
        <v>30</v>
      </c>
      <c r="J10" s="356"/>
      <c r="K10" s="356"/>
      <c r="L10" s="286">
        <v>1.2</v>
      </c>
      <c r="M10" s="354">
        <v>72</v>
      </c>
      <c r="N10" s="356"/>
      <c r="O10" s="286">
        <v>0.3</v>
      </c>
      <c r="P10" s="286">
        <v>20</v>
      </c>
      <c r="Q10" s="356"/>
      <c r="R10" s="286">
        <v>0.3</v>
      </c>
      <c r="S10" s="354">
        <v>20</v>
      </c>
      <c r="T10" s="356"/>
      <c r="U10" s="286">
        <v>0.3</v>
      </c>
      <c r="V10" s="354">
        <v>20</v>
      </c>
      <c r="W10" s="289"/>
      <c r="X10" s="286">
        <v>0.5</v>
      </c>
      <c r="Y10" s="354">
        <v>30</v>
      </c>
      <c r="Z10" s="357"/>
      <c r="AA10" s="286">
        <v>1.2</v>
      </c>
      <c r="AB10" s="354">
        <v>72</v>
      </c>
      <c r="AC10" s="291"/>
      <c r="AD10" s="286">
        <v>0.3</v>
      </c>
      <c r="AE10" s="354">
        <v>20</v>
      </c>
      <c r="AF10" s="291"/>
      <c r="AG10" s="286">
        <v>0.3</v>
      </c>
      <c r="AH10" s="354">
        <v>20</v>
      </c>
      <c r="AI10" s="291"/>
      <c r="AJ10" s="286">
        <v>0.3</v>
      </c>
      <c r="AK10" s="354">
        <v>20</v>
      </c>
    </row>
    <row r="11" spans="1:81" ht="66" customHeight="1">
      <c r="A11" s="351" t="s">
        <v>57</v>
      </c>
      <c r="B11" s="286">
        <v>0.05</v>
      </c>
      <c r="C11" s="286">
        <v>3</v>
      </c>
      <c r="D11" s="355"/>
      <c r="E11" s="286">
        <v>0.1</v>
      </c>
      <c r="F11" s="359">
        <v>20</v>
      </c>
      <c r="G11" s="356"/>
      <c r="H11" s="286">
        <v>0.1</v>
      </c>
      <c r="I11" s="359">
        <v>6</v>
      </c>
      <c r="J11" s="356"/>
      <c r="K11" s="356"/>
      <c r="L11" s="286">
        <v>1.2</v>
      </c>
      <c r="M11" s="359">
        <v>72</v>
      </c>
      <c r="N11" s="356"/>
      <c r="O11" s="286">
        <v>0.1</v>
      </c>
      <c r="P11" s="359">
        <v>20</v>
      </c>
      <c r="Q11" s="356"/>
      <c r="R11" s="286">
        <v>0.1</v>
      </c>
      <c r="S11" s="359">
        <v>20</v>
      </c>
      <c r="T11" s="356"/>
      <c r="U11" s="286">
        <v>0.1</v>
      </c>
      <c r="V11" s="359">
        <v>20</v>
      </c>
      <c r="W11" s="289"/>
      <c r="X11" s="286">
        <v>0.1</v>
      </c>
      <c r="Y11" s="359">
        <v>6</v>
      </c>
      <c r="Z11" s="357"/>
      <c r="AA11" s="286">
        <v>1.2</v>
      </c>
      <c r="AB11" s="359">
        <v>72</v>
      </c>
      <c r="AC11" s="291"/>
      <c r="AD11" s="286">
        <v>0.1</v>
      </c>
      <c r="AE11" s="359">
        <v>20</v>
      </c>
      <c r="AF11" s="291"/>
      <c r="AG11" s="286">
        <v>0.1</v>
      </c>
      <c r="AH11" s="359">
        <v>20</v>
      </c>
      <c r="AI11" s="291"/>
      <c r="AJ11" s="286">
        <v>0.1</v>
      </c>
      <c r="AK11" s="359">
        <v>20</v>
      </c>
    </row>
    <row r="12" spans="1:81" ht="43.9" customHeight="1">
      <c r="A12" s="351" t="s">
        <v>58</v>
      </c>
      <c r="B12" s="286">
        <v>0.01</v>
      </c>
      <c r="C12" s="354">
        <v>0.6</v>
      </c>
      <c r="D12" s="355"/>
      <c r="E12" s="358">
        <v>0.02</v>
      </c>
      <c r="F12" s="354">
        <v>10</v>
      </c>
      <c r="G12" s="356"/>
      <c r="H12" s="286">
        <v>0.1</v>
      </c>
      <c r="I12" s="354">
        <v>6</v>
      </c>
      <c r="J12" s="356"/>
      <c r="K12" s="356"/>
      <c r="L12" s="286">
        <v>1.2</v>
      </c>
      <c r="M12" s="354">
        <v>72</v>
      </c>
      <c r="N12" s="356"/>
      <c r="O12" s="358">
        <v>0.02</v>
      </c>
      <c r="P12" s="359">
        <v>10</v>
      </c>
      <c r="Q12" s="356"/>
      <c r="R12" s="358">
        <v>0.02</v>
      </c>
      <c r="S12" s="354">
        <v>10</v>
      </c>
      <c r="T12" s="356"/>
      <c r="U12" s="358">
        <v>0.02</v>
      </c>
      <c r="V12" s="354">
        <v>10</v>
      </c>
      <c r="W12" s="289"/>
      <c r="X12" s="286">
        <v>0.1</v>
      </c>
      <c r="Y12" s="354">
        <v>6</v>
      </c>
      <c r="Z12" s="357"/>
      <c r="AA12" s="286">
        <v>1.2</v>
      </c>
      <c r="AB12" s="354">
        <v>72</v>
      </c>
      <c r="AC12" s="291"/>
      <c r="AD12" s="358">
        <v>0.02</v>
      </c>
      <c r="AE12" s="354">
        <v>10</v>
      </c>
      <c r="AF12" s="291"/>
      <c r="AG12" s="358">
        <v>0.02</v>
      </c>
      <c r="AH12" s="354">
        <v>10</v>
      </c>
      <c r="AI12" s="291"/>
      <c r="AJ12" s="358">
        <v>0.02</v>
      </c>
      <c r="AK12" s="354">
        <v>10</v>
      </c>
    </row>
    <row r="13" spans="1:81" ht="66" customHeight="1">
      <c r="B13" s="286"/>
      <c r="C13" s="286"/>
      <c r="D13" s="286"/>
      <c r="E13" s="286"/>
      <c r="F13" s="286"/>
      <c r="G13" s="286"/>
      <c r="H13" s="286"/>
      <c r="I13" s="286"/>
      <c r="J13" s="356"/>
      <c r="K13" s="356"/>
      <c r="L13" s="286"/>
      <c r="M13" s="286"/>
      <c r="N13" s="356"/>
      <c r="O13" s="286"/>
      <c r="P13" s="286"/>
      <c r="Q13" s="356"/>
      <c r="R13" s="286"/>
      <c r="S13" s="286"/>
      <c r="T13" s="286"/>
      <c r="U13" s="286"/>
      <c r="V13" s="286"/>
      <c r="W13" s="357"/>
      <c r="X13" s="286"/>
      <c r="Y13" s="286"/>
      <c r="Z13" s="357"/>
      <c r="AA13" s="352"/>
      <c r="AB13" s="352"/>
      <c r="AC13" s="291"/>
      <c r="AD13" s="352"/>
      <c r="AE13" s="352"/>
      <c r="AF13" s="291"/>
      <c r="AG13" s="352"/>
      <c r="AH13" s="352"/>
      <c r="AI13" s="291"/>
      <c r="AJ13" s="352"/>
      <c r="AK13" s="352"/>
    </row>
    <row r="14" spans="1:81" ht="43.9" customHeight="1">
      <c r="B14" s="286"/>
      <c r="C14" s="286"/>
      <c r="D14" s="286"/>
      <c r="E14" s="286"/>
      <c r="F14" s="286"/>
      <c r="G14" s="286"/>
      <c r="H14" s="286"/>
      <c r="I14" s="286"/>
      <c r="J14" s="356"/>
      <c r="K14" s="356"/>
      <c r="L14" s="286"/>
      <c r="M14" s="286"/>
      <c r="N14" s="356"/>
      <c r="O14" s="286"/>
      <c r="P14" s="286"/>
      <c r="Q14" s="356"/>
      <c r="R14" s="286"/>
      <c r="S14" s="286"/>
      <c r="T14" s="286"/>
      <c r="U14" s="286"/>
      <c r="V14" s="286"/>
      <c r="W14" s="357"/>
      <c r="X14" s="286"/>
      <c r="Y14" s="286"/>
      <c r="Z14" s="357"/>
      <c r="AA14" s="352"/>
      <c r="AB14" s="352"/>
      <c r="AC14" s="291"/>
      <c r="AD14" s="352"/>
      <c r="AE14" s="352"/>
      <c r="AF14" s="291"/>
      <c r="AG14" s="352"/>
      <c r="AH14" s="352"/>
      <c r="AI14" s="291"/>
      <c r="AJ14" s="352"/>
      <c r="AK14" s="352"/>
      <c r="AL14"/>
      <c r="AM14"/>
      <c r="AN14" t="s">
        <v>49</v>
      </c>
      <c r="AO14"/>
      <c r="AT14" s="610" t="s">
        <v>96</v>
      </c>
      <c r="AU14" s="610"/>
      <c r="AV14" s="288"/>
      <c r="AW14" s="611" t="s">
        <v>293</v>
      </c>
      <c r="AX14" s="611"/>
      <c r="AY14" s="287"/>
      <c r="AZ14" s="612" t="s">
        <v>294</v>
      </c>
      <c r="BA14" s="612"/>
      <c r="BB14" s="289"/>
      <c r="BC14" s="289"/>
      <c r="BD14" s="613" t="s">
        <v>295</v>
      </c>
      <c r="BE14" s="613"/>
      <c r="BF14" s="289"/>
      <c r="BG14" s="606" t="s">
        <v>129</v>
      </c>
      <c r="BH14" s="606"/>
      <c r="BI14" s="289"/>
      <c r="BJ14" s="608" t="s">
        <v>12</v>
      </c>
      <c r="BK14" s="608"/>
      <c r="BL14" s="289"/>
      <c r="BM14" s="606" t="s">
        <v>13</v>
      </c>
      <c r="BN14" s="606"/>
      <c r="BO14" s="290"/>
      <c r="BP14" s="609" t="s">
        <v>14</v>
      </c>
      <c r="BQ14" s="609"/>
      <c r="BR14" s="290"/>
      <c r="BS14" s="606" t="s">
        <v>15</v>
      </c>
      <c r="BT14" s="606"/>
      <c r="BU14" s="290"/>
      <c r="BV14" s="609" t="s">
        <v>16</v>
      </c>
      <c r="BW14" s="609"/>
      <c r="BX14" s="290"/>
      <c r="BY14" s="606" t="s">
        <v>17</v>
      </c>
      <c r="BZ14" s="606"/>
      <c r="CA14" s="291"/>
      <c r="CB14" s="606" t="s">
        <v>18</v>
      </c>
      <c r="CC14" s="606"/>
    </row>
    <row r="15" spans="1:81" ht="43.9" customHeight="1">
      <c r="B15" s="286"/>
      <c r="C15" s="286"/>
      <c r="D15" s="286"/>
      <c r="E15" s="286"/>
      <c r="F15" s="286"/>
      <c r="G15" s="286"/>
      <c r="H15" s="286"/>
      <c r="I15" s="286"/>
      <c r="J15" s="356"/>
      <c r="K15" s="356"/>
      <c r="L15" s="286"/>
      <c r="M15" s="286"/>
      <c r="N15" s="356"/>
      <c r="O15" s="286"/>
      <c r="P15" s="286"/>
      <c r="Q15" s="356"/>
      <c r="R15" s="286"/>
      <c r="S15" s="286"/>
      <c r="T15" s="286"/>
      <c r="U15" s="286"/>
      <c r="V15" s="286"/>
      <c r="W15" s="357"/>
      <c r="X15" s="286"/>
      <c r="Y15" s="286"/>
      <c r="Z15" s="357"/>
      <c r="AA15" s="352"/>
      <c r="AB15" s="352"/>
      <c r="AC15" s="291"/>
      <c r="AD15" s="352"/>
      <c r="AE15" s="352"/>
      <c r="AF15" s="291"/>
      <c r="AG15" s="352"/>
      <c r="AH15" s="352"/>
      <c r="AI15" s="291"/>
      <c r="AJ15" s="352"/>
      <c r="AK15" s="352"/>
      <c r="AL15"/>
      <c r="AM15"/>
      <c r="AN15"/>
      <c r="AO15"/>
      <c r="AT15" s="287"/>
      <c r="AU15" s="287"/>
      <c r="AV15" s="288"/>
      <c r="AW15" s="456"/>
      <c r="AX15" s="456"/>
      <c r="AY15" s="287"/>
      <c r="AZ15" s="289"/>
      <c r="BA15" s="289"/>
      <c r="BB15" s="289"/>
      <c r="BC15" s="289"/>
      <c r="BD15" s="457"/>
      <c r="BE15" s="457"/>
      <c r="BF15" s="289"/>
      <c r="BG15" s="455"/>
      <c r="BH15" s="455"/>
      <c r="BI15" s="289"/>
      <c r="BJ15" s="458"/>
      <c r="BK15" s="458"/>
      <c r="BL15" s="289"/>
      <c r="BM15" s="455"/>
      <c r="BN15" s="455"/>
      <c r="BO15" s="290"/>
      <c r="BP15" s="454"/>
      <c r="BQ15" s="454"/>
      <c r="BR15" s="290"/>
      <c r="BS15" s="455"/>
      <c r="BT15" s="455"/>
      <c r="BU15" s="290"/>
      <c r="BV15" s="454"/>
      <c r="BW15" s="454"/>
      <c r="BX15" s="290"/>
      <c r="BY15" s="455"/>
      <c r="BZ15" s="455"/>
      <c r="CA15" s="291"/>
      <c r="CB15" s="455"/>
      <c r="CC15" s="455"/>
    </row>
    <row r="16" spans="1:81" ht="43.9" customHeight="1">
      <c r="B16" s="286"/>
      <c r="C16" s="286"/>
      <c r="D16" s="286"/>
      <c r="E16" s="286"/>
      <c r="F16" s="286"/>
      <c r="G16" s="286"/>
      <c r="H16" s="286"/>
      <c r="I16" s="286"/>
      <c r="J16" s="356"/>
      <c r="K16" s="356"/>
      <c r="L16" s="286"/>
      <c r="M16" s="286"/>
      <c r="N16" s="356"/>
      <c r="O16" s="286"/>
      <c r="P16" s="286"/>
      <c r="Q16" s="356"/>
      <c r="R16" s="286"/>
      <c r="S16" s="286"/>
      <c r="T16" s="286"/>
      <c r="U16" s="286"/>
      <c r="V16" s="286"/>
      <c r="W16" s="357"/>
      <c r="X16" s="286"/>
      <c r="Y16" s="286"/>
      <c r="Z16" s="357"/>
      <c r="AA16" s="352"/>
      <c r="AB16" s="352"/>
      <c r="AC16" s="291"/>
      <c r="AD16" s="352"/>
      <c r="AE16" s="352"/>
      <c r="AF16" s="291"/>
      <c r="AG16" s="352"/>
      <c r="AH16" s="352"/>
      <c r="AI16" s="291"/>
      <c r="AJ16" s="352"/>
      <c r="AK16" s="352"/>
      <c r="AL16"/>
      <c r="AM16"/>
      <c r="AN16" s="81" t="s">
        <v>50</v>
      </c>
      <c r="AO16" s="81"/>
      <c r="AT16" s="292" t="s">
        <v>297</v>
      </c>
      <c r="AU16" s="293" t="s">
        <v>298</v>
      </c>
      <c r="AV16" s="294"/>
      <c r="AW16" s="292" t="s">
        <v>297</v>
      </c>
      <c r="AX16" s="293" t="s">
        <v>298</v>
      </c>
      <c r="AY16" s="295"/>
      <c r="AZ16" s="292" t="s">
        <v>297</v>
      </c>
      <c r="BA16" s="293" t="s">
        <v>298</v>
      </c>
      <c r="BB16" s="295"/>
      <c r="BC16" s="295"/>
      <c r="BD16" s="292" t="s">
        <v>297</v>
      </c>
      <c r="BE16" s="293" t="s">
        <v>298</v>
      </c>
      <c r="BF16" s="295"/>
      <c r="BG16" s="292" t="s">
        <v>297</v>
      </c>
      <c r="BH16" s="293" t="s">
        <v>298</v>
      </c>
      <c r="BI16" s="295"/>
      <c r="BJ16" s="292" t="s">
        <v>297</v>
      </c>
      <c r="BK16" s="293" t="s">
        <v>298</v>
      </c>
      <c r="BL16" s="296"/>
      <c r="BM16" s="293" t="s">
        <v>297</v>
      </c>
      <c r="BN16" s="293" t="s">
        <v>298</v>
      </c>
      <c r="BO16" s="297"/>
      <c r="BP16" s="292" t="s">
        <v>297</v>
      </c>
      <c r="BQ16" s="293" t="s">
        <v>298</v>
      </c>
      <c r="BR16" s="297"/>
      <c r="BS16" s="292" t="s">
        <v>297</v>
      </c>
      <c r="BT16" s="293" t="s">
        <v>298</v>
      </c>
      <c r="BU16" s="298"/>
      <c r="BV16" s="293" t="s">
        <v>297</v>
      </c>
      <c r="BW16" s="293" t="s">
        <v>298</v>
      </c>
      <c r="BX16" s="298"/>
      <c r="BY16" s="293" t="s">
        <v>297</v>
      </c>
      <c r="BZ16" s="293" t="s">
        <v>298</v>
      </c>
      <c r="CA16" s="298"/>
      <c r="CB16" s="293" t="s">
        <v>297</v>
      </c>
      <c r="CC16" s="293" t="s">
        <v>298</v>
      </c>
    </row>
    <row r="17" spans="2:52" ht="43.9" customHeight="1">
      <c r="B17" s="286"/>
      <c r="C17" s="286"/>
      <c r="D17" s="286"/>
      <c r="E17" s="286"/>
      <c r="F17" s="286"/>
      <c r="G17" s="286"/>
      <c r="H17" s="286"/>
      <c r="I17" s="286"/>
      <c r="J17" s="356"/>
      <c r="K17" s="356"/>
      <c r="L17" s="286"/>
      <c r="M17" s="286"/>
      <c r="N17" s="356"/>
      <c r="O17" s="286"/>
      <c r="P17" s="286"/>
      <c r="Q17" s="356"/>
      <c r="R17" s="286"/>
      <c r="S17" s="286"/>
      <c r="T17" s="286"/>
      <c r="U17" s="286"/>
      <c r="V17" s="286"/>
      <c r="W17" s="357"/>
      <c r="X17" s="286"/>
      <c r="Y17" s="286"/>
      <c r="Z17" s="357"/>
      <c r="AA17" s="352"/>
      <c r="AB17" s="352"/>
      <c r="AC17" s="291"/>
      <c r="AD17" s="352"/>
      <c r="AE17" s="352"/>
      <c r="AF17" s="291"/>
      <c r="AG17" s="352"/>
      <c r="AH17" s="352"/>
      <c r="AI17" s="291"/>
      <c r="AJ17" s="352"/>
      <c r="AK17" s="352"/>
      <c r="AL17"/>
      <c r="AM17"/>
      <c r="AN17" s="81" t="s">
        <v>51</v>
      </c>
      <c r="AO17" s="81"/>
    </row>
    <row r="18" spans="2:52" ht="43.9" customHeight="1">
      <c r="AL18"/>
      <c r="AM18"/>
      <c r="AN18" s="81" t="s">
        <v>52</v>
      </c>
      <c r="AO18" s="81"/>
    </row>
    <row r="19" spans="2:52" ht="43.9" customHeight="1">
      <c r="AL19"/>
      <c r="AM19"/>
      <c r="AN19" s="81" t="s">
        <v>53</v>
      </c>
      <c r="AO19" s="81"/>
    </row>
    <row r="20" spans="2:52" ht="43.9" customHeight="1">
      <c r="AL20"/>
      <c r="AM20"/>
      <c r="AN20" s="96" t="s">
        <v>54</v>
      </c>
      <c r="AO20" s="96"/>
    </row>
    <row r="21" spans="2:52" ht="43.9" customHeight="1">
      <c r="AL21"/>
      <c r="AM21"/>
      <c r="AN21" s="96" t="s">
        <v>55</v>
      </c>
      <c r="AO21" s="96"/>
    </row>
    <row r="22" spans="2:52" ht="43.9" customHeight="1">
      <c r="AL22"/>
      <c r="AM22"/>
      <c r="AN22" s="96" t="s">
        <v>56</v>
      </c>
      <c r="AO22" s="96"/>
    </row>
    <row r="23" spans="2:52" ht="43.9" customHeight="1">
      <c r="AL23"/>
      <c r="AM23"/>
      <c r="AN23" s="81" t="s">
        <v>57</v>
      </c>
      <c r="AO23" s="81"/>
    </row>
    <row r="24" spans="2:52" ht="43.9" customHeight="1">
      <c r="AL24"/>
      <c r="AM24"/>
      <c r="AN24" s="81" t="s">
        <v>58</v>
      </c>
      <c r="AO24" s="81"/>
    </row>
    <row r="25" spans="2:52" ht="16.149999999999999" customHeight="1">
      <c r="AL25"/>
      <c r="AM25"/>
      <c r="AN25" s="143"/>
      <c r="AO25" s="143"/>
    </row>
    <row r="26" spans="2:52" ht="43.9" customHeight="1">
      <c r="AL26"/>
      <c r="AM26"/>
      <c r="AN26" s="474" t="s">
        <v>299</v>
      </c>
      <c r="AO26" s="419" t="s">
        <v>7</v>
      </c>
      <c r="AP26" s="420" t="s">
        <v>8</v>
      </c>
      <c r="AQ26" s="420" t="s">
        <v>9</v>
      </c>
      <c r="AR26" s="420" t="s">
        <v>10</v>
      </c>
      <c r="AS26" s="475" t="s">
        <v>11</v>
      </c>
      <c r="AT26" s="420" t="s">
        <v>12</v>
      </c>
      <c r="AU26" s="475" t="s">
        <v>13</v>
      </c>
      <c r="AV26" s="420" t="s">
        <v>14</v>
      </c>
      <c r="AW26" s="420" t="s">
        <v>15</v>
      </c>
      <c r="AX26" s="420" t="s">
        <v>16</v>
      </c>
      <c r="AY26" s="420" t="s">
        <v>17</v>
      </c>
      <c r="AZ26" s="420" t="s">
        <v>18</v>
      </c>
    </row>
    <row r="27" spans="2:52" ht="43.9" customHeight="1">
      <c r="AL27"/>
      <c r="AM27"/>
      <c r="AN27" s="474"/>
      <c r="AO27" s="607" t="s">
        <v>300</v>
      </c>
      <c r="AP27" s="607"/>
      <c r="AQ27" s="607"/>
      <c r="AR27" s="607"/>
      <c r="AS27" s="607"/>
      <c r="AT27" s="607"/>
      <c r="AU27" s="607"/>
      <c r="AV27" s="607"/>
      <c r="AW27" s="607"/>
      <c r="AX27" s="607"/>
      <c r="AY27" s="607"/>
      <c r="AZ27" s="607"/>
    </row>
    <row r="28" spans="2:52" ht="18" customHeight="1">
      <c r="AL28"/>
      <c r="AM28"/>
      <c r="AN28" s="94" t="s">
        <v>60</v>
      </c>
    </row>
    <row r="29" spans="2:52" ht="18" customHeight="1">
      <c r="AL29"/>
      <c r="AM29"/>
      <c r="AN29" s="170" t="s">
        <v>61</v>
      </c>
      <c r="AO29" s="94"/>
    </row>
    <row r="30" spans="2:52" ht="18" customHeight="1">
      <c r="AL30"/>
      <c r="AM30"/>
      <c r="AN30" s="170" t="s">
        <v>62</v>
      </c>
      <c r="AO30" s="94"/>
    </row>
    <row r="31" spans="2:52" ht="18" customHeight="1">
      <c r="AL31"/>
      <c r="AM31"/>
      <c r="AN31" s="170" t="s">
        <v>63</v>
      </c>
      <c r="AO31" s="94"/>
    </row>
    <row r="32" spans="2:52" ht="18" customHeight="1">
      <c r="AL32"/>
      <c r="AM32"/>
      <c r="AN32" s="170"/>
      <c r="AO32" s="94"/>
    </row>
    <row r="33" spans="38:41" ht="18" customHeight="1">
      <c r="AL33"/>
      <c r="AM33"/>
      <c r="AN33" s="171" t="s">
        <v>51</v>
      </c>
      <c r="AO33" s="73"/>
    </row>
    <row r="34" spans="38:41" ht="18" customHeight="1">
      <c r="AL34"/>
      <c r="AM34"/>
      <c r="AN34" s="170" t="s">
        <v>301</v>
      </c>
      <c r="AO34" s="73">
        <f>(16/52)/60</f>
        <v>5.1282051282051282E-3</v>
      </c>
    </row>
    <row r="35" spans="38:41" ht="18" customHeight="1">
      <c r="AL35"/>
      <c r="AM35"/>
      <c r="AN35" s="170" t="s">
        <v>65</v>
      </c>
      <c r="AO35" s="73"/>
    </row>
    <row r="36" spans="38:41" ht="18" customHeight="1">
      <c r="AL36"/>
      <c r="AM36"/>
      <c r="AN36" s="170" t="s">
        <v>66</v>
      </c>
      <c r="AO36" s="73"/>
    </row>
    <row r="37" spans="38:41" ht="18" customHeight="1">
      <c r="AL37"/>
      <c r="AM37"/>
      <c r="AN37" s="170"/>
      <c r="AO37" s="73"/>
    </row>
    <row r="38" spans="38:41" ht="18" customHeight="1">
      <c r="AL38"/>
      <c r="AM38"/>
      <c r="AN38" s="171" t="s">
        <v>67</v>
      </c>
      <c r="AO38" s="73"/>
    </row>
    <row r="39" spans="38:41" ht="18" customHeight="1">
      <c r="AL39"/>
      <c r="AM39"/>
      <c r="AN39" s="459" t="s">
        <v>185</v>
      </c>
      <c r="AO39" s="468">
        <v>4</v>
      </c>
    </row>
    <row r="40" spans="38:41" ht="18" customHeight="1">
      <c r="AL40"/>
      <c r="AM40"/>
      <c r="AN40" s="459" t="s">
        <v>186</v>
      </c>
      <c r="AO40" s="468">
        <v>2</v>
      </c>
    </row>
    <row r="41" spans="38:41" ht="18" customHeight="1">
      <c r="AL41"/>
      <c r="AM41"/>
      <c r="AN41" s="459" t="s">
        <v>187</v>
      </c>
      <c r="AO41" s="468">
        <v>8</v>
      </c>
    </row>
    <row r="42" spans="38:41" ht="18" customHeight="1">
      <c r="AL42"/>
      <c r="AM42"/>
      <c r="AN42" s="459" t="s">
        <v>188</v>
      </c>
      <c r="AO42" s="468">
        <v>1</v>
      </c>
    </row>
    <row r="43" spans="38:41" ht="18" customHeight="1">
      <c r="AL43"/>
      <c r="AM43"/>
      <c r="AN43" s="459" t="s">
        <v>189</v>
      </c>
      <c r="AO43" s="468">
        <v>3</v>
      </c>
    </row>
    <row r="44" spans="38:41" ht="18" customHeight="1">
      <c r="AL44"/>
      <c r="AM44"/>
      <c r="AN44" s="459" t="s">
        <v>190</v>
      </c>
      <c r="AO44" s="469">
        <v>2</v>
      </c>
    </row>
    <row r="45" spans="38:41" ht="18" customHeight="1">
      <c r="AL45"/>
      <c r="AM45"/>
      <c r="AN45" s="476" t="s">
        <v>222</v>
      </c>
      <c r="AO45" s="468">
        <f>SUM(AO39:AO44)</f>
        <v>20</v>
      </c>
    </row>
    <row r="46" spans="38:41" ht="18" customHeight="1">
      <c r="AL46"/>
      <c r="AM46"/>
      <c r="AN46" s="172"/>
      <c r="AO46" s="142"/>
    </row>
    <row r="47" spans="38:41" ht="18" customHeight="1">
      <c r="AL47"/>
      <c r="AM47"/>
      <c r="AN47" s="171" t="s">
        <v>69</v>
      </c>
    </row>
    <row r="48" spans="38:41" ht="18" customHeight="1">
      <c r="AL48"/>
      <c r="AM48"/>
      <c r="AN48" s="472" t="s">
        <v>302</v>
      </c>
      <c r="AO48" s="468">
        <v>4</v>
      </c>
    </row>
    <row r="49" spans="38:41" ht="18" customHeight="1">
      <c r="AL49"/>
      <c r="AM49"/>
      <c r="AN49" s="472" t="s">
        <v>303</v>
      </c>
      <c r="AO49" s="468">
        <v>8</v>
      </c>
    </row>
    <row r="50" spans="38:41" ht="18" customHeight="1">
      <c r="AL50"/>
      <c r="AM50"/>
      <c r="AN50" s="472" t="s">
        <v>304</v>
      </c>
      <c r="AO50" s="468">
        <v>45</v>
      </c>
    </row>
    <row r="51" spans="38:41" ht="18" customHeight="1">
      <c r="AL51"/>
      <c r="AM51"/>
      <c r="AN51" s="472" t="s">
        <v>305</v>
      </c>
      <c r="AO51" s="468">
        <v>3</v>
      </c>
    </row>
    <row r="52" spans="38:41" ht="18" customHeight="1">
      <c r="AL52"/>
      <c r="AM52"/>
      <c r="AN52" s="473" t="s">
        <v>306</v>
      </c>
      <c r="AO52" s="469">
        <v>2</v>
      </c>
    </row>
    <row r="53" spans="38:41" ht="18" customHeight="1">
      <c r="AL53"/>
      <c r="AM53"/>
      <c r="AN53" s="476" t="str">
        <f>AN45</f>
        <v>SUB TOTAL</v>
      </c>
      <c r="AO53" s="468">
        <f>SUM(AO48:AO52)</f>
        <v>62</v>
      </c>
    </row>
    <row r="54" spans="38:41" ht="18" customHeight="1">
      <c r="AL54"/>
      <c r="AM54"/>
      <c r="AN54" s="471" t="s">
        <v>307</v>
      </c>
      <c r="AO54" s="73"/>
    </row>
    <row r="55" spans="38:41" ht="18" customHeight="1">
      <c r="AL55"/>
      <c r="AM55"/>
      <c r="AN55" s="171"/>
      <c r="AO55" s="73"/>
    </row>
    <row r="56" spans="38:41" ht="18" customHeight="1">
      <c r="AL56"/>
      <c r="AM56"/>
      <c r="AO56" s="73"/>
    </row>
    <row r="57" spans="38:41" ht="18" customHeight="1">
      <c r="AL57"/>
      <c r="AM57"/>
      <c r="AN57" s="471"/>
      <c r="AO57" s="73"/>
    </row>
    <row r="58" spans="38:41" ht="18" customHeight="1">
      <c r="AL58"/>
      <c r="AM58"/>
      <c r="AN58" s="171" t="s">
        <v>70</v>
      </c>
      <c r="AO58" s="73"/>
    </row>
    <row r="59" spans="38:41" ht="18" customHeight="1">
      <c r="AL59"/>
      <c r="AM59"/>
      <c r="AN59" s="459" t="s">
        <v>308</v>
      </c>
      <c r="AO59" s="468">
        <v>8</v>
      </c>
    </row>
    <row r="60" spans="38:41" ht="18" customHeight="1">
      <c r="AL60"/>
      <c r="AM60"/>
      <c r="AN60" s="459" t="s">
        <v>309</v>
      </c>
      <c r="AO60" s="468">
        <v>1</v>
      </c>
    </row>
    <row r="61" spans="38:41" ht="18" customHeight="1">
      <c r="AL61"/>
      <c r="AM61"/>
      <c r="AN61" s="459" t="s">
        <v>310</v>
      </c>
      <c r="AO61" s="468">
        <v>1</v>
      </c>
    </row>
    <row r="62" spans="38:41" ht="18" customHeight="1">
      <c r="AL62"/>
      <c r="AM62"/>
      <c r="AN62" s="459" t="s">
        <v>311</v>
      </c>
      <c r="AO62" s="468">
        <v>8</v>
      </c>
    </row>
    <row r="63" spans="38:41" ht="18" customHeight="1">
      <c r="AL63"/>
      <c r="AM63"/>
      <c r="AN63" s="459" t="s">
        <v>312</v>
      </c>
      <c r="AO63" s="468">
        <v>1</v>
      </c>
    </row>
    <row r="64" spans="38:41" ht="18" customHeight="1">
      <c r="AL64"/>
      <c r="AM64"/>
      <c r="AN64" s="459" t="s">
        <v>313</v>
      </c>
      <c r="AO64" s="469">
        <v>1</v>
      </c>
    </row>
    <row r="65" spans="38:41" ht="18" customHeight="1">
      <c r="AL65"/>
      <c r="AM65"/>
      <c r="AN65" s="476" t="str">
        <f>AN53</f>
        <v>SUB TOTAL</v>
      </c>
      <c r="AO65" s="468">
        <f>SUM(AO59:AO64)</f>
        <v>20</v>
      </c>
    </row>
    <row r="66" spans="38:41" ht="18" customHeight="1">
      <c r="AL66"/>
      <c r="AM66"/>
      <c r="AN66" s="171"/>
      <c r="AO66" s="468"/>
    </row>
    <row r="67" spans="38:41" ht="18" customHeight="1">
      <c r="AL67"/>
      <c r="AM67"/>
      <c r="AN67" s="171"/>
      <c r="AO67" s="468"/>
    </row>
    <row r="68" spans="38:41" ht="18" customHeight="1">
      <c r="AL68"/>
      <c r="AM68"/>
      <c r="AN68" s="174" t="s">
        <v>72</v>
      </c>
      <c r="AO68" s="468"/>
    </row>
    <row r="69" spans="38:41" ht="18" customHeight="1">
      <c r="AL69"/>
      <c r="AM69"/>
      <c r="AN69" s="459" t="s">
        <v>192</v>
      </c>
      <c r="AO69" s="468">
        <v>4</v>
      </c>
    </row>
    <row r="70" spans="38:41" ht="18" customHeight="1">
      <c r="AL70"/>
      <c r="AM70"/>
      <c r="AN70" s="459" t="s">
        <v>314</v>
      </c>
      <c r="AO70" s="468">
        <v>2</v>
      </c>
    </row>
    <row r="71" spans="38:41" ht="18" customHeight="1">
      <c r="AL71"/>
      <c r="AM71"/>
      <c r="AN71" s="459" t="s">
        <v>315</v>
      </c>
      <c r="AO71" s="468">
        <v>2</v>
      </c>
    </row>
    <row r="72" spans="38:41" ht="18" customHeight="1">
      <c r="AL72"/>
      <c r="AM72"/>
      <c r="AN72" s="459" t="s">
        <v>316</v>
      </c>
      <c r="AO72" s="469">
        <v>12</v>
      </c>
    </row>
    <row r="73" spans="38:41" ht="18" customHeight="1">
      <c r="AL73"/>
      <c r="AM73"/>
      <c r="AN73" s="476" t="str">
        <f>AN65</f>
        <v>SUB TOTAL</v>
      </c>
      <c r="AO73" s="468">
        <f>SUM(AO69:AO72)</f>
        <v>20</v>
      </c>
    </row>
    <row r="74" spans="38:41" ht="18" customHeight="1">
      <c r="AL74"/>
      <c r="AM74"/>
      <c r="AN74" s="172"/>
      <c r="AO74" s="468"/>
    </row>
    <row r="75" spans="38:41" ht="18" customHeight="1">
      <c r="AL75"/>
      <c r="AM75"/>
      <c r="AN75" s="174" t="s">
        <v>74</v>
      </c>
      <c r="AO75" s="468"/>
    </row>
    <row r="76" spans="38:41" ht="18" customHeight="1">
      <c r="AL76"/>
      <c r="AM76"/>
      <c r="AN76" s="459" t="s">
        <v>196</v>
      </c>
      <c r="AO76" s="468">
        <v>2</v>
      </c>
    </row>
    <row r="77" spans="38:41" ht="18" customHeight="1">
      <c r="AL77"/>
      <c r="AM77"/>
      <c r="AN77" s="459" t="s">
        <v>197</v>
      </c>
      <c r="AO77" s="468">
        <v>3</v>
      </c>
    </row>
    <row r="78" spans="38:41" ht="18" customHeight="1">
      <c r="AL78"/>
      <c r="AM78"/>
      <c r="AN78" s="459" t="s">
        <v>198</v>
      </c>
      <c r="AO78" s="468">
        <v>3</v>
      </c>
    </row>
    <row r="79" spans="38:41" ht="18" customHeight="1">
      <c r="AL79"/>
      <c r="AM79"/>
      <c r="AN79" s="459" t="s">
        <v>199</v>
      </c>
      <c r="AO79" s="469">
        <v>12</v>
      </c>
    </row>
    <row r="80" spans="38:41" ht="18" customHeight="1">
      <c r="AL80"/>
      <c r="AM80"/>
      <c r="AN80" s="476" t="str">
        <f>AN73</f>
        <v>SUB TOTAL</v>
      </c>
      <c r="AO80" s="468">
        <f>SUM(AO76:AO79)</f>
        <v>20</v>
      </c>
    </row>
    <row r="81" spans="38:41" ht="18" customHeight="1">
      <c r="AL81"/>
      <c r="AM81"/>
      <c r="AN81" s="139"/>
      <c r="AO81" s="470"/>
    </row>
    <row r="82" spans="38:41" ht="18" customHeight="1">
      <c r="AL82"/>
      <c r="AM82"/>
      <c r="AN82" s="139" t="s">
        <v>57</v>
      </c>
      <c r="AO82" s="470"/>
    </row>
    <row r="83" spans="38:41" ht="18" customHeight="1">
      <c r="AL83"/>
      <c r="AM83"/>
      <c r="AN83" s="460" t="s">
        <v>317</v>
      </c>
      <c r="AO83" s="470"/>
    </row>
    <row r="84" spans="38:41" ht="18" customHeight="1">
      <c r="AL84"/>
      <c r="AM84"/>
      <c r="AN84" s="460" t="s">
        <v>202</v>
      </c>
      <c r="AO84" s="470"/>
    </row>
    <row r="85" spans="38:41" ht="18" customHeight="1">
      <c r="AL85"/>
      <c r="AM85"/>
      <c r="AN85" s="460" t="s">
        <v>203</v>
      </c>
      <c r="AO85" s="470"/>
    </row>
    <row r="86" spans="38:41" ht="18" customHeight="1">
      <c r="AL86"/>
      <c r="AM86"/>
      <c r="AN86" s="459" t="s">
        <v>318</v>
      </c>
      <c r="AO86" s="470"/>
    </row>
    <row r="87" spans="38:41" ht="18" customHeight="1">
      <c r="AL87"/>
      <c r="AM87"/>
      <c r="AN87" s="462" t="s">
        <v>319</v>
      </c>
      <c r="AO87" s="470"/>
    </row>
    <row r="88" spans="38:41" ht="18" customHeight="1">
      <c r="AL88"/>
      <c r="AM88"/>
      <c r="AN88" s="462" t="s">
        <v>320</v>
      </c>
      <c r="AO88" s="470"/>
    </row>
    <row r="89" spans="38:41" ht="18" customHeight="1">
      <c r="AL89"/>
      <c r="AM89"/>
      <c r="AN89" s="465" t="s">
        <v>321</v>
      </c>
      <c r="AO89" s="470"/>
    </row>
    <row r="90" spans="38:41" ht="18" customHeight="1">
      <c r="AL90"/>
      <c r="AM90"/>
      <c r="AN90" s="465" t="s">
        <v>322</v>
      </c>
      <c r="AO90" s="470"/>
    </row>
    <row r="91" spans="38:41" ht="18" customHeight="1">
      <c r="AL91"/>
      <c r="AM91"/>
      <c r="AN91" s="465" t="s">
        <v>323</v>
      </c>
      <c r="AO91" s="470"/>
    </row>
    <row r="92" spans="38:41" ht="18" customHeight="1">
      <c r="AL92"/>
      <c r="AM92"/>
      <c r="AN92" s="459" t="s">
        <v>324</v>
      </c>
      <c r="AO92" s="470"/>
    </row>
    <row r="93" spans="38:41" ht="9" customHeight="1">
      <c r="AL93"/>
      <c r="AM93"/>
      <c r="AN93" s="459"/>
      <c r="AO93" s="470"/>
    </row>
    <row r="94" spans="38:41" ht="18" customHeight="1">
      <c r="AL94"/>
      <c r="AM94"/>
      <c r="AN94" s="463" t="s">
        <v>77</v>
      </c>
      <c r="AO94" s="470"/>
    </row>
    <row r="95" spans="38:41" ht="18" customHeight="1">
      <c r="AL95"/>
      <c r="AM95"/>
      <c r="AN95" s="460" t="s">
        <v>325</v>
      </c>
      <c r="AO95" s="470"/>
    </row>
    <row r="96" spans="38:41" ht="18" customHeight="1">
      <c r="AL96"/>
      <c r="AM96"/>
      <c r="AN96" s="460" t="s">
        <v>326</v>
      </c>
      <c r="AO96" s="470"/>
    </row>
    <row r="97" spans="38:41" ht="18" customHeight="1">
      <c r="AL97"/>
      <c r="AM97"/>
      <c r="AN97" s="464" t="s">
        <v>327</v>
      </c>
      <c r="AO97" s="470"/>
    </row>
    <row r="98" spans="38:41" ht="18" customHeight="1">
      <c r="AL98"/>
      <c r="AM98"/>
      <c r="AN98" s="460" t="s">
        <v>328</v>
      </c>
      <c r="AO98" s="470"/>
    </row>
    <row r="99" spans="38:41" ht="18" customHeight="1">
      <c r="AL99"/>
      <c r="AM99"/>
      <c r="AN99" s="466" t="s">
        <v>329</v>
      </c>
      <c r="AO99" s="470"/>
    </row>
    <row r="100" spans="38:41" ht="9" customHeight="1">
      <c r="AL100"/>
      <c r="AM100"/>
      <c r="AN100" s="460"/>
      <c r="AO100" s="470"/>
    </row>
    <row r="101" spans="38:41" ht="18" customHeight="1">
      <c r="AL101"/>
      <c r="AM101"/>
      <c r="AN101" s="461" t="s">
        <v>79</v>
      </c>
      <c r="AO101" s="470"/>
    </row>
    <row r="102" spans="38:41" ht="18" customHeight="1">
      <c r="AL102"/>
      <c r="AM102"/>
      <c r="AN102" s="460" t="s">
        <v>330</v>
      </c>
      <c r="AO102" s="470"/>
    </row>
    <row r="103" spans="38:41" ht="18" customHeight="1">
      <c r="AL103"/>
      <c r="AM103"/>
      <c r="AN103" s="460" t="s">
        <v>331</v>
      </c>
      <c r="AO103" s="470"/>
    </row>
    <row r="104" spans="38:41" ht="18" customHeight="1">
      <c r="AL104"/>
      <c r="AM104"/>
      <c r="AN104" s="460" t="s">
        <v>332</v>
      </c>
      <c r="AO104" s="470"/>
    </row>
    <row r="105" spans="38:41" ht="18" customHeight="1">
      <c r="AL105"/>
      <c r="AM105"/>
      <c r="AN105" s="459" t="s">
        <v>333</v>
      </c>
      <c r="AO105" s="470"/>
    </row>
    <row r="106" spans="38:41" ht="9" customHeight="1">
      <c r="AL106"/>
      <c r="AM106"/>
      <c r="AN106" s="139"/>
      <c r="AO106" s="470"/>
    </row>
    <row r="107" spans="38:41" ht="18" customHeight="1">
      <c r="AL107"/>
      <c r="AM107"/>
      <c r="AN107" s="138" t="s">
        <v>58</v>
      </c>
      <c r="AO107" s="468"/>
    </row>
    <row r="108" spans="38:41" ht="18" customHeight="1">
      <c r="AN108" s="459" t="s">
        <v>334</v>
      </c>
      <c r="AO108" s="292"/>
    </row>
    <row r="109" spans="38:41" ht="18" customHeight="1">
      <c r="AN109" s="459" t="s">
        <v>335</v>
      </c>
      <c r="AO109" s="292"/>
    </row>
    <row r="110" spans="38:41" ht="18" customHeight="1">
      <c r="AN110" s="459" t="s">
        <v>336</v>
      </c>
      <c r="AO110" s="292"/>
    </row>
    <row r="111" spans="38:41" ht="18" customHeight="1">
      <c r="AN111" s="459" t="s">
        <v>337</v>
      </c>
      <c r="AO111" s="292"/>
    </row>
    <row r="112" spans="38:41" ht="18" customHeight="1">
      <c r="AN112" s="459" t="s">
        <v>338</v>
      </c>
      <c r="AO112" s="292"/>
    </row>
    <row r="113" spans="40:41" ht="18" customHeight="1">
      <c r="AN113" s="459" t="s">
        <v>339</v>
      </c>
      <c r="AO113" s="292"/>
    </row>
    <row r="114" spans="40:41" ht="18" customHeight="1">
      <c r="AN114" s="459" t="s">
        <v>340</v>
      </c>
      <c r="AO114" s="292"/>
    </row>
    <row r="115" spans="40:41" ht="9" customHeight="1">
      <c r="AN115" s="459"/>
      <c r="AO115" s="292"/>
    </row>
    <row r="116" spans="40:41" ht="18" customHeight="1">
      <c r="AN116" s="459" t="s">
        <v>341</v>
      </c>
      <c r="AO116" s="292"/>
    </row>
    <row r="117" spans="40:41" ht="18" customHeight="1">
      <c r="AN117" s="467" t="s">
        <v>342</v>
      </c>
      <c r="AO117" s="292"/>
    </row>
    <row r="118" spans="40:41" ht="18" customHeight="1">
      <c r="AN118" s="467" t="s">
        <v>343</v>
      </c>
      <c r="AO118" s="292"/>
    </row>
    <row r="119" spans="40:41" ht="18" customHeight="1">
      <c r="AN119" s="467" t="s">
        <v>344</v>
      </c>
      <c r="AO119" s="292"/>
    </row>
    <row r="120" spans="40:41" ht="18" customHeight="1">
      <c r="AO120" s="292"/>
    </row>
    <row r="121" spans="40:41" ht="18" customHeight="1">
      <c r="AO121" s="292"/>
    </row>
    <row r="122" spans="40:41" ht="18" customHeight="1">
      <c r="AO122" s="292"/>
    </row>
    <row r="123" spans="40:41" ht="18" customHeight="1">
      <c r="AO123" s="292"/>
    </row>
    <row r="124" spans="40:41" ht="18" customHeight="1">
      <c r="AO124" s="292"/>
    </row>
    <row r="125" spans="40:41" ht="66" customHeight="1">
      <c r="AO125" s="292"/>
    </row>
    <row r="126" spans="40:41" ht="66" customHeight="1">
      <c r="AO126" s="292"/>
    </row>
    <row r="127" spans="40:41" ht="66" customHeight="1">
      <c r="AO127" s="292"/>
    </row>
    <row r="128" spans="40:41" ht="66" customHeight="1">
      <c r="AO128" s="292"/>
    </row>
    <row r="129" spans="41:41" ht="66" customHeight="1">
      <c r="AO129" s="292"/>
    </row>
    <row r="130" spans="41:41" ht="66" customHeight="1">
      <c r="AO130" s="292"/>
    </row>
    <row r="131" spans="41:41" ht="66" customHeight="1">
      <c r="AO131" s="292"/>
    </row>
    <row r="132" spans="41:41" ht="66" customHeight="1">
      <c r="AO132" s="292"/>
    </row>
    <row r="133" spans="41:41" ht="66" customHeight="1">
      <c r="AO133" s="292"/>
    </row>
    <row r="134" spans="41:41" ht="66" customHeight="1">
      <c r="AO134" s="292"/>
    </row>
  </sheetData>
  <mergeCells count="25">
    <mergeCell ref="U4:V4"/>
    <mergeCell ref="B4:C4"/>
    <mergeCell ref="E4:F4"/>
    <mergeCell ref="H4:I4"/>
    <mergeCell ref="L4:M4"/>
    <mergeCell ref="R4:S4"/>
    <mergeCell ref="O4:P4"/>
    <mergeCell ref="X4:Y4"/>
    <mergeCell ref="AA4:AB4"/>
    <mergeCell ref="AD4:AE4"/>
    <mergeCell ref="AG4:AH4"/>
    <mergeCell ref="AJ4:AK4"/>
    <mergeCell ref="BY14:BZ14"/>
    <mergeCell ref="CB14:CC14"/>
    <mergeCell ref="AO27:AZ27"/>
    <mergeCell ref="BJ14:BK14"/>
    <mergeCell ref="BM14:BN14"/>
    <mergeCell ref="BP14:BQ14"/>
    <mergeCell ref="BS14:BT14"/>
    <mergeCell ref="BV14:BW14"/>
    <mergeCell ref="AT14:AU14"/>
    <mergeCell ref="AW14:AX14"/>
    <mergeCell ref="AZ14:BA14"/>
    <mergeCell ref="BD14:BE14"/>
    <mergeCell ref="BG14:BH14"/>
  </mergeCells>
  <printOptions gridLines="1"/>
  <pageMargins left="0.23" right="0.18" top="0.22" bottom="0.24" header="0.17" footer="0.09"/>
  <pageSetup orientation="landscape" r:id="rId1"/>
  <headerFooter>
    <oddFooter>&amp;L&amp;D &amp;   [Time]&amp;C&amp;A&amp;R&amp;F</oddFooter>
  </headerFooter>
  <rowBreaks count="2" manualBreakCount="2">
    <brk id="24" max="16383" man="1"/>
    <brk id="81" min="39" max="51" man="1"/>
  </rowBreaks>
  <colBreaks count="1" manualBreakCount="1">
    <brk id="39" max="1048575"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DA68-914F-453F-AD2E-06F561B9EE6E}">
  <sheetPr codeName="Sheet2"/>
  <dimension ref="A1:R50"/>
  <sheetViews>
    <sheetView topLeftCell="B25" workbookViewId="0">
      <selection activeCell="B9" sqref="B9"/>
    </sheetView>
  </sheetViews>
  <sheetFormatPr defaultRowHeight="12.75"/>
  <cols>
    <col min="1" max="1" width="3.33203125" customWidth="1"/>
    <col min="4" max="4" width="52.83203125" customWidth="1"/>
    <col min="5" max="5" width="5.5" customWidth="1"/>
    <col min="6" max="6" width="5.1640625" customWidth="1"/>
    <col min="7" max="7" width="8.1640625" customWidth="1"/>
    <col min="8" max="8" width="10.83203125" customWidth="1"/>
    <col min="11" max="11" width="23.83203125" bestFit="1" customWidth="1"/>
    <col min="12" max="12" width="11" customWidth="1"/>
    <col min="13" max="13" width="12.6640625" customWidth="1"/>
    <col min="18" max="18" width="10" bestFit="1" customWidth="1"/>
  </cols>
  <sheetData>
    <row r="1" spans="1:18">
      <c r="A1" t="s">
        <v>227</v>
      </c>
    </row>
    <row r="2" spans="1:18">
      <c r="A2" t="s">
        <v>228</v>
      </c>
      <c r="B2" t="s">
        <v>226</v>
      </c>
      <c r="C2" t="s">
        <v>229</v>
      </c>
      <c r="D2" t="s">
        <v>230</v>
      </c>
      <c r="E2" t="s">
        <v>231</v>
      </c>
      <c r="F2" t="s">
        <v>232</v>
      </c>
      <c r="G2" t="s">
        <v>233</v>
      </c>
      <c r="H2" t="s">
        <v>234</v>
      </c>
    </row>
    <row r="3" spans="1:18">
      <c r="A3">
        <v>1</v>
      </c>
      <c r="B3" t="s">
        <v>345</v>
      </c>
      <c r="C3" t="s">
        <v>346</v>
      </c>
      <c r="D3" t="s">
        <v>347</v>
      </c>
      <c r="J3">
        <v>1</v>
      </c>
    </row>
    <row r="4" spans="1:18">
      <c r="A4">
        <v>2</v>
      </c>
      <c r="B4" t="s">
        <v>345</v>
      </c>
      <c r="C4" t="s">
        <v>346</v>
      </c>
      <c r="D4" t="s">
        <v>348</v>
      </c>
      <c r="J4">
        <v>2</v>
      </c>
    </row>
    <row r="5" spans="1:18">
      <c r="A5">
        <v>3</v>
      </c>
      <c r="B5" t="s">
        <v>345</v>
      </c>
      <c r="C5" t="s">
        <v>346</v>
      </c>
      <c r="D5" t="s">
        <v>349</v>
      </c>
      <c r="J5">
        <v>3</v>
      </c>
    </row>
    <row r="6" spans="1:18">
      <c r="A6">
        <v>4</v>
      </c>
      <c r="B6" t="s">
        <v>350</v>
      </c>
      <c r="C6" t="s">
        <v>346</v>
      </c>
      <c r="D6" t="s">
        <v>351</v>
      </c>
      <c r="G6" s="283"/>
      <c r="H6" s="283"/>
      <c r="J6">
        <v>4</v>
      </c>
    </row>
    <row r="7" spans="1:18">
      <c r="A7">
        <v>5</v>
      </c>
      <c r="B7" t="s">
        <v>345</v>
      </c>
      <c r="C7" t="s">
        <v>346</v>
      </c>
      <c r="D7" t="s">
        <v>349</v>
      </c>
      <c r="J7">
        <v>5</v>
      </c>
    </row>
    <row r="8" spans="1:18">
      <c r="D8" t="s">
        <v>235</v>
      </c>
    </row>
    <row r="9" spans="1:18">
      <c r="A9">
        <v>1</v>
      </c>
      <c r="B9" t="s">
        <v>352</v>
      </c>
      <c r="C9" t="s">
        <v>353</v>
      </c>
      <c r="D9" t="s">
        <v>354</v>
      </c>
      <c r="E9" t="s">
        <v>355</v>
      </c>
      <c r="F9">
        <v>1</v>
      </c>
      <c r="G9" s="283">
        <v>188.85</v>
      </c>
      <c r="H9" s="283">
        <v>188.85</v>
      </c>
      <c r="J9" s="284">
        <v>6</v>
      </c>
      <c r="K9">
        <v>1</v>
      </c>
      <c r="L9">
        <v>2</v>
      </c>
      <c r="M9">
        <v>3</v>
      </c>
      <c r="N9">
        <v>4</v>
      </c>
    </row>
    <row r="10" spans="1:18" ht="18.75">
      <c r="D10" t="s">
        <v>236</v>
      </c>
      <c r="K10" s="9" t="s">
        <v>356</v>
      </c>
      <c r="L10" s="102"/>
      <c r="M10" s="102"/>
      <c r="N10" s="102"/>
      <c r="O10" s="102"/>
      <c r="P10" s="102"/>
      <c r="Q10" s="102"/>
      <c r="R10" s="102"/>
    </row>
    <row r="11" spans="1:18" ht="18.75">
      <c r="A11">
        <v>2</v>
      </c>
      <c r="B11" t="s">
        <v>345</v>
      </c>
      <c r="C11" t="s">
        <v>357</v>
      </c>
      <c r="D11" t="s">
        <v>358</v>
      </c>
      <c r="E11" t="s">
        <v>359</v>
      </c>
      <c r="F11">
        <v>20.6</v>
      </c>
      <c r="G11" s="283">
        <v>64.16</v>
      </c>
      <c r="H11" s="283">
        <v>1322.32</v>
      </c>
      <c r="J11">
        <v>7</v>
      </c>
      <c r="K11" s="104" t="s">
        <v>356</v>
      </c>
      <c r="L11" s="102"/>
      <c r="M11" s="241" t="s">
        <v>360</v>
      </c>
      <c r="N11" s="242"/>
      <c r="O11" s="242"/>
      <c r="P11" s="242"/>
      <c r="Q11" s="243"/>
      <c r="R11" s="243"/>
    </row>
    <row r="12" spans="1:18" ht="18.75">
      <c r="D12" t="s">
        <v>237</v>
      </c>
      <c r="K12" s="135" t="str">
        <f>M15</f>
        <v>HIGH</v>
      </c>
      <c r="L12" s="102"/>
      <c r="M12" s="302" t="s">
        <v>361</v>
      </c>
      <c r="N12" s="244">
        <v>10</v>
      </c>
      <c r="O12" s="245"/>
    </row>
    <row r="13" spans="1:18" ht="18.75">
      <c r="D13" t="s">
        <v>238</v>
      </c>
      <c r="J13" t="s">
        <v>239</v>
      </c>
      <c r="K13" s="102">
        <f>'jobinfo(2)'!K52</f>
        <v>1535</v>
      </c>
      <c r="L13" s="102" t="s">
        <v>239</v>
      </c>
      <c r="M13" s="302" t="s">
        <v>362</v>
      </c>
      <c r="N13" s="244">
        <v>55</v>
      </c>
      <c r="O13" s="245"/>
    </row>
    <row r="14" spans="1:18" ht="18.75">
      <c r="D14" t="s">
        <v>240</v>
      </c>
      <c r="F14" s="285"/>
      <c r="G14" s="283"/>
      <c r="H14" s="283"/>
      <c r="K14" s="304">
        <v>8.9510000000000002E-5</v>
      </c>
      <c r="L14" s="102"/>
      <c r="M14" s="303" t="s">
        <v>363</v>
      </c>
      <c r="N14" s="246">
        <v>100</v>
      </c>
      <c r="O14" s="247"/>
    </row>
    <row r="15" spans="1:18" ht="18.75">
      <c r="D15" t="s">
        <v>241</v>
      </c>
      <c r="G15" s="283"/>
      <c r="H15" s="283"/>
      <c r="K15" s="102"/>
      <c r="L15" s="102"/>
      <c r="M15" s="244" t="s">
        <v>364</v>
      </c>
      <c r="N15" s="244">
        <v>150</v>
      </c>
      <c r="P15" s="102"/>
      <c r="Q15" s="102"/>
      <c r="R15" s="102"/>
    </row>
    <row r="16" spans="1:18" ht="18.75">
      <c r="B16" t="s">
        <v>345</v>
      </c>
      <c r="C16" t="s">
        <v>365</v>
      </c>
      <c r="D16" t="s">
        <v>366</v>
      </c>
      <c r="E16" t="s">
        <v>359</v>
      </c>
      <c r="F16" t="s">
        <v>367</v>
      </c>
      <c r="G16" s="283">
        <v>51.67</v>
      </c>
      <c r="H16" s="283">
        <v>0</v>
      </c>
      <c r="J16">
        <v>8</v>
      </c>
      <c r="K16" s="102"/>
      <c r="L16" s="102"/>
      <c r="M16" s="244" t="s">
        <v>368</v>
      </c>
      <c r="N16" s="244">
        <v>200</v>
      </c>
      <c r="P16" s="102"/>
      <c r="Q16" s="102"/>
      <c r="R16" s="102"/>
    </row>
    <row r="17" spans="1:18" ht="18.75">
      <c r="D17" t="s">
        <v>242</v>
      </c>
      <c r="K17" s="102"/>
      <c r="L17" s="102"/>
      <c r="M17" s="247" t="s">
        <v>369</v>
      </c>
      <c r="N17" s="247" t="s">
        <v>370</v>
      </c>
      <c r="P17" s="102"/>
      <c r="Q17" s="102"/>
      <c r="R17" s="102"/>
    </row>
    <row r="18" spans="1:18" ht="18.75">
      <c r="D18" t="s">
        <v>243</v>
      </c>
      <c r="K18" s="102"/>
      <c r="L18" s="102"/>
      <c r="M18" s="102"/>
      <c r="N18" s="102"/>
      <c r="O18" s="102"/>
      <c r="P18" s="102"/>
      <c r="Q18" s="102"/>
      <c r="R18" s="102"/>
    </row>
    <row r="19" spans="1:18" ht="18.75">
      <c r="A19">
        <v>4</v>
      </c>
      <c r="B19" t="s">
        <v>345</v>
      </c>
      <c r="C19" t="s">
        <v>371</v>
      </c>
      <c r="D19" t="s">
        <v>372</v>
      </c>
      <c r="E19" t="s">
        <v>373</v>
      </c>
      <c r="F19" s="285">
        <v>1096</v>
      </c>
      <c r="G19" s="283">
        <v>0.17</v>
      </c>
      <c r="H19" s="283">
        <v>186.39</v>
      </c>
      <c r="J19">
        <v>9</v>
      </c>
      <c r="K19" s="259">
        <f>SF/2.1*1.5</f>
        <v>1096.4285714285716</v>
      </c>
      <c r="L19" s="303" t="s">
        <v>363</v>
      </c>
      <c r="M19" s="259">
        <f>1.5/2</f>
        <v>0.75</v>
      </c>
      <c r="N19" s="102"/>
      <c r="O19" s="102"/>
      <c r="P19" s="102"/>
      <c r="Q19" s="102"/>
      <c r="R19" s="102"/>
    </row>
    <row r="20" spans="1:18" ht="18.75">
      <c r="A20">
        <v>5</v>
      </c>
      <c r="B20" t="s">
        <v>345</v>
      </c>
      <c r="C20" t="s">
        <v>374</v>
      </c>
      <c r="D20" s="134" t="s">
        <v>375</v>
      </c>
      <c r="E20" t="s">
        <v>376</v>
      </c>
      <c r="F20">
        <v>8</v>
      </c>
      <c r="G20" s="283">
        <v>31.15</v>
      </c>
      <c r="H20" s="283">
        <v>239.08</v>
      </c>
      <c r="J20">
        <v>10</v>
      </c>
      <c r="K20" s="259">
        <f>SF*0.01/2</f>
        <v>7.6749999999999998</v>
      </c>
      <c r="L20" s="102"/>
      <c r="M20" s="259">
        <f>0.01/2</f>
        <v>5.0000000000000001E-3</v>
      </c>
      <c r="N20" s="102"/>
      <c r="O20" s="102"/>
      <c r="P20" s="102"/>
      <c r="Q20" s="102"/>
      <c r="R20" s="102"/>
    </row>
    <row r="21" spans="1:18" ht="18.75">
      <c r="A21">
        <v>6</v>
      </c>
      <c r="B21" t="s">
        <v>345</v>
      </c>
      <c r="C21" t="s">
        <v>377</v>
      </c>
      <c r="D21" s="134" t="s">
        <v>378</v>
      </c>
      <c r="E21" t="s">
        <v>379</v>
      </c>
      <c r="F21">
        <v>31</v>
      </c>
      <c r="G21" s="283">
        <v>2.91</v>
      </c>
      <c r="H21" s="283">
        <v>89.34</v>
      </c>
      <c r="J21">
        <v>11</v>
      </c>
      <c r="K21" s="259">
        <f>SF*0.02</f>
        <v>30.7</v>
      </c>
      <c r="L21" s="102"/>
      <c r="M21" s="259">
        <f>0.02</f>
        <v>0.02</v>
      </c>
      <c r="N21" s="102"/>
      <c r="O21" s="102"/>
      <c r="P21" s="102"/>
      <c r="Q21" s="102"/>
      <c r="R21" s="102"/>
    </row>
    <row r="22" spans="1:18" ht="18.75">
      <c r="K22" s="102"/>
      <c r="L22" s="102"/>
      <c r="M22" s="102"/>
      <c r="N22" s="102"/>
      <c r="O22" s="102"/>
      <c r="P22" s="102"/>
      <c r="Q22" s="102"/>
    </row>
    <row r="23" spans="1:18" ht="18.75">
      <c r="D23" t="s">
        <v>245</v>
      </c>
      <c r="K23" s="102"/>
      <c r="L23" s="102"/>
      <c r="M23" s="102"/>
      <c r="N23" s="102"/>
      <c r="O23" s="102"/>
      <c r="P23" s="102"/>
      <c r="Q23" s="102"/>
    </row>
    <row r="24" spans="1:18" ht="18.75">
      <c r="K24" s="102"/>
      <c r="L24" s="102"/>
      <c r="M24" s="102"/>
      <c r="N24" s="102"/>
      <c r="O24" s="102"/>
      <c r="P24" s="102"/>
      <c r="Q24" s="102"/>
    </row>
    <row r="25" spans="1:18" ht="63.75">
      <c r="D25" s="134" t="s">
        <v>246</v>
      </c>
      <c r="K25" s="102"/>
      <c r="L25" s="102"/>
      <c r="M25" s="102"/>
      <c r="N25" s="102"/>
      <c r="O25" s="102"/>
      <c r="P25" s="102"/>
      <c r="Q25" s="102"/>
    </row>
    <row r="26" spans="1:18" ht="25.5">
      <c r="D26" s="134" t="s">
        <v>247</v>
      </c>
      <c r="K26" s="102"/>
      <c r="L26" s="102"/>
      <c r="M26" s="102"/>
      <c r="N26" s="102"/>
      <c r="O26" s="102"/>
      <c r="P26" s="102"/>
      <c r="Q26" s="102"/>
    </row>
    <row r="27" spans="1:18" ht="18.75">
      <c r="D27" t="s">
        <v>248</v>
      </c>
      <c r="G27" s="283"/>
      <c r="H27" s="283"/>
      <c r="K27" s="102"/>
      <c r="L27" s="102"/>
      <c r="M27" s="102"/>
      <c r="N27" s="102"/>
      <c r="O27" s="102"/>
      <c r="P27" s="102"/>
      <c r="Q27" s="102"/>
    </row>
    <row r="28" spans="1:18" ht="18.75">
      <c r="D28" t="s">
        <v>380</v>
      </c>
      <c r="K28" s="102"/>
      <c r="L28" s="102"/>
      <c r="M28" s="102"/>
      <c r="N28" s="102"/>
      <c r="O28" s="102"/>
      <c r="P28" s="102"/>
      <c r="Q28" s="102"/>
    </row>
    <row r="29" spans="1:18" ht="18.75">
      <c r="D29" t="s">
        <v>381</v>
      </c>
      <c r="G29" s="283"/>
      <c r="H29" s="283"/>
      <c r="K29" s="102"/>
      <c r="L29" s="102"/>
      <c r="M29" s="102"/>
      <c r="N29" s="102"/>
      <c r="O29" s="102"/>
      <c r="P29" s="102"/>
      <c r="Q29" s="102"/>
    </row>
    <row r="30" spans="1:18" ht="18.75">
      <c r="A30">
        <v>7</v>
      </c>
      <c r="B30" t="s">
        <v>345</v>
      </c>
      <c r="C30" t="s">
        <v>382</v>
      </c>
      <c r="D30" t="s">
        <v>383</v>
      </c>
      <c r="E30" t="s">
        <v>384</v>
      </c>
      <c r="F30">
        <v>1</v>
      </c>
      <c r="G30" s="283">
        <v>240</v>
      </c>
      <c r="H30" s="283">
        <v>240</v>
      </c>
      <c r="J30">
        <v>12</v>
      </c>
      <c r="K30" s="102"/>
      <c r="L30" s="102"/>
      <c r="M30" s="102"/>
      <c r="N30" s="102"/>
      <c r="O30" s="102"/>
      <c r="P30" s="102"/>
      <c r="Q30" s="102"/>
    </row>
    <row r="31" spans="1:18" ht="18.75">
      <c r="D31" t="s">
        <v>252</v>
      </c>
      <c r="K31" s="102"/>
      <c r="L31" s="102"/>
      <c r="M31" s="102"/>
      <c r="N31" s="102"/>
      <c r="O31" s="102"/>
      <c r="P31" s="102"/>
      <c r="Q31" s="102"/>
    </row>
    <row r="32" spans="1:18" ht="18.75">
      <c r="A32">
        <v>8</v>
      </c>
      <c r="B32" t="s">
        <v>345</v>
      </c>
      <c r="C32" t="s">
        <v>385</v>
      </c>
      <c r="D32" t="s">
        <v>386</v>
      </c>
      <c r="E32" t="s">
        <v>355</v>
      </c>
      <c r="F32">
        <v>1</v>
      </c>
      <c r="G32" s="283">
        <v>220</v>
      </c>
      <c r="H32" s="283">
        <v>220</v>
      </c>
      <c r="J32">
        <v>13</v>
      </c>
      <c r="K32" s="102"/>
      <c r="L32" s="102"/>
      <c r="M32" s="102"/>
      <c r="N32" s="102"/>
      <c r="O32" s="102"/>
      <c r="P32" s="102"/>
      <c r="Q32" s="102"/>
    </row>
    <row r="33" spans="1:17" ht="18.75">
      <c r="A33">
        <v>9</v>
      </c>
      <c r="B33" t="s">
        <v>345</v>
      </c>
      <c r="C33" t="s">
        <v>387</v>
      </c>
      <c r="D33" t="s">
        <v>388</v>
      </c>
      <c r="E33" t="s">
        <v>355</v>
      </c>
      <c r="F33">
        <v>1</v>
      </c>
      <c r="G33" s="283">
        <v>16.05</v>
      </c>
      <c r="H33" s="283">
        <v>16.05</v>
      </c>
      <c r="J33">
        <v>14</v>
      </c>
      <c r="K33" s="102"/>
      <c r="L33" s="102"/>
      <c r="M33" s="102"/>
      <c r="N33" s="102"/>
      <c r="O33" s="102"/>
      <c r="P33" s="102"/>
      <c r="Q33" s="102"/>
    </row>
    <row r="34" spans="1:17" ht="20.25">
      <c r="D34" t="s">
        <v>253</v>
      </c>
      <c r="K34" s="100"/>
      <c r="L34" s="100"/>
      <c r="M34" s="100"/>
    </row>
    <row r="35" spans="1:17" ht="20.25">
      <c r="D35" t="s">
        <v>254</v>
      </c>
      <c r="G35" s="283"/>
      <c r="H35" s="283"/>
      <c r="K35" s="100" t="s">
        <v>239</v>
      </c>
      <c r="L35" s="100"/>
      <c r="M35" s="100"/>
    </row>
    <row r="36" spans="1:17" ht="20.25">
      <c r="A36">
        <v>10</v>
      </c>
      <c r="B36" t="s">
        <v>345</v>
      </c>
      <c r="C36" t="s">
        <v>389</v>
      </c>
      <c r="D36" t="s">
        <v>390</v>
      </c>
      <c r="E36" t="s">
        <v>239</v>
      </c>
      <c r="F36">
        <v>1</v>
      </c>
      <c r="G36" s="283">
        <v>1.02</v>
      </c>
      <c r="H36" s="283">
        <v>1.02</v>
      </c>
      <c r="J36">
        <v>15</v>
      </c>
      <c r="K36" s="301">
        <f>SF</f>
        <v>1535</v>
      </c>
      <c r="L36" s="100"/>
      <c r="M36" s="100"/>
    </row>
    <row r="37" spans="1:17" ht="20.25">
      <c r="D37" t="s">
        <v>255</v>
      </c>
      <c r="G37" s="283"/>
      <c r="H37" s="283"/>
      <c r="K37" s="100"/>
      <c r="L37" s="100"/>
      <c r="M37" s="100"/>
    </row>
    <row r="38" spans="1:17" ht="20.25">
      <c r="A38">
        <v>11</v>
      </c>
      <c r="B38" t="s">
        <v>345</v>
      </c>
      <c r="C38" t="s">
        <v>389</v>
      </c>
      <c r="D38" t="s">
        <v>390</v>
      </c>
      <c r="E38" t="s">
        <v>239</v>
      </c>
      <c r="F38">
        <v>1</v>
      </c>
      <c r="G38" s="283">
        <v>1.02</v>
      </c>
      <c r="H38" s="283">
        <v>1.02</v>
      </c>
      <c r="J38">
        <v>16</v>
      </c>
      <c r="K38" s="301">
        <f>SF</f>
        <v>1535</v>
      </c>
      <c r="L38" s="100"/>
      <c r="M38" s="100"/>
    </row>
    <row r="39" spans="1:17" ht="20.25">
      <c r="D39" t="s">
        <v>256</v>
      </c>
      <c r="G39" s="283"/>
      <c r="H39" s="283"/>
      <c r="K39" s="100"/>
      <c r="L39" s="100"/>
      <c r="M39" s="100"/>
    </row>
    <row r="40" spans="1:17" ht="20.25">
      <c r="A40">
        <v>12</v>
      </c>
      <c r="B40" t="s">
        <v>345</v>
      </c>
      <c r="C40" t="s">
        <v>389</v>
      </c>
      <c r="D40" t="s">
        <v>390</v>
      </c>
      <c r="E40" t="s">
        <v>239</v>
      </c>
      <c r="F40">
        <v>1</v>
      </c>
      <c r="G40" s="283">
        <v>1.02</v>
      </c>
      <c r="H40" s="283">
        <v>1.02</v>
      </c>
      <c r="J40">
        <v>17</v>
      </c>
      <c r="K40" s="301">
        <f>SF</f>
        <v>1535</v>
      </c>
      <c r="L40" s="3"/>
      <c r="M40" s="3"/>
    </row>
    <row r="41" spans="1:17" ht="18.75">
      <c r="D41" t="s">
        <v>257</v>
      </c>
      <c r="K41" s="3"/>
      <c r="L41" s="3"/>
      <c r="M41" s="3"/>
    </row>
    <row r="42" spans="1:17" ht="18.75">
      <c r="A42">
        <v>18</v>
      </c>
      <c r="B42" t="s">
        <v>345</v>
      </c>
      <c r="C42" t="s">
        <v>391</v>
      </c>
      <c r="D42" t="s">
        <v>392</v>
      </c>
      <c r="E42" t="s">
        <v>355</v>
      </c>
      <c r="F42">
        <v>1</v>
      </c>
      <c r="G42" s="283">
        <v>215.4</v>
      </c>
      <c r="H42" s="283">
        <v>215.4</v>
      </c>
      <c r="J42">
        <v>18</v>
      </c>
      <c r="K42" s="8"/>
      <c r="L42" s="8"/>
      <c r="M42" s="8"/>
    </row>
    <row r="43" spans="1:17" ht="18.75">
      <c r="A43">
        <v>13</v>
      </c>
      <c r="B43" t="s">
        <v>345</v>
      </c>
      <c r="C43" t="s">
        <v>393</v>
      </c>
      <c r="D43" t="s">
        <v>394</v>
      </c>
      <c r="E43" t="s">
        <v>355</v>
      </c>
      <c r="F43">
        <v>1</v>
      </c>
      <c r="G43" s="283">
        <v>130.81</v>
      </c>
      <c r="H43" s="283">
        <v>130.81</v>
      </c>
      <c r="J43">
        <v>19</v>
      </c>
      <c r="K43" s="4"/>
      <c r="L43" s="4"/>
      <c r="M43" s="4"/>
    </row>
    <row r="44" spans="1:17" ht="18.75">
      <c r="D44" t="s">
        <v>258</v>
      </c>
      <c r="G44" s="283"/>
      <c r="H44" s="283"/>
      <c r="K44" s="4"/>
      <c r="L44" s="4"/>
      <c r="M44" s="4"/>
    </row>
    <row r="45" spans="1:17" ht="18.75">
      <c r="A45" t="s">
        <v>259</v>
      </c>
      <c r="K45" s="4"/>
      <c r="L45" s="4"/>
      <c r="M45" s="4"/>
    </row>
    <row r="46" spans="1:17" ht="18.75">
      <c r="D46" t="s">
        <v>260</v>
      </c>
      <c r="K46" s="4"/>
      <c r="L46" s="4"/>
      <c r="M46" s="4"/>
    </row>
    <row r="47" spans="1:17" ht="20.25">
      <c r="A47">
        <v>14</v>
      </c>
      <c r="B47" t="s">
        <v>365</v>
      </c>
      <c r="C47" t="s">
        <v>395</v>
      </c>
      <c r="D47" t="s">
        <v>396</v>
      </c>
      <c r="E47" t="s">
        <v>359</v>
      </c>
      <c r="F47">
        <v>1</v>
      </c>
      <c r="G47" s="283">
        <v>51.67</v>
      </c>
      <c r="H47" s="283">
        <v>51.67</v>
      </c>
      <c r="J47">
        <v>20</v>
      </c>
      <c r="K47" s="301">
        <f>SF</f>
        <v>1535</v>
      </c>
      <c r="L47" s="4"/>
      <c r="M47" s="4"/>
    </row>
    <row r="50" spans="4:4">
      <c r="D50" t="s">
        <v>397</v>
      </c>
    </row>
  </sheetData>
  <pageMargins left="0.25" right="0.25" top="0.36" bottom="0.2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2D05F-E944-4C65-A24A-20F2780D24CB}">
  <sheetPr codeName="Sheet6"/>
  <dimension ref="A1:K238"/>
  <sheetViews>
    <sheetView topLeftCell="B49" zoomScaleNormal="100" workbookViewId="0">
      <selection activeCell="J55" sqref="J55"/>
    </sheetView>
  </sheetViews>
  <sheetFormatPr defaultColWidth="8.83203125" defaultRowHeight="33" customHeight="1"/>
  <cols>
    <col min="1" max="1" width="5.83203125" style="19" hidden="1" customWidth="1"/>
    <col min="2" max="2" width="20" style="19" customWidth="1"/>
    <col min="3" max="3" width="25.5" style="197" customWidth="1"/>
    <col min="4" max="4" width="1.83203125" style="70" customWidth="1"/>
    <col min="5" max="5" width="8.6640625" style="19" bestFit="1" customWidth="1"/>
    <col min="6" max="6" width="3.83203125" style="19" bestFit="1" customWidth="1"/>
    <col min="7" max="7" width="3.33203125" style="19" bestFit="1" customWidth="1"/>
    <col min="8" max="8" width="10" style="1" customWidth="1"/>
    <col min="9" max="10" width="8.83203125" style="1"/>
    <col min="11" max="11" width="9.1640625" style="1" bestFit="1" customWidth="1"/>
    <col min="12" max="16384" width="8.83203125" style="1"/>
  </cols>
  <sheetData>
    <row r="1" spans="1:10" ht="22.15" customHeight="1" thickTop="1">
      <c r="A1" s="17" t="s">
        <v>398</v>
      </c>
      <c r="B1" s="18" t="s">
        <v>150</v>
      </c>
      <c r="C1" s="378" t="s">
        <v>5</v>
      </c>
      <c r="D1" s="112"/>
      <c r="E1" s="196"/>
      <c r="F1" s="196"/>
      <c r="G1" s="196"/>
      <c r="H1" s="196"/>
      <c r="I1" s="197"/>
      <c r="J1" s="197"/>
    </row>
    <row r="2" spans="1:10" ht="33" customHeight="1">
      <c r="A2" s="20"/>
      <c r="B2" s="21" t="s">
        <v>152</v>
      </c>
      <c r="C2" s="379" t="s">
        <v>399</v>
      </c>
      <c r="D2" s="115"/>
      <c r="E2" s="196"/>
      <c r="F2" s="196"/>
      <c r="G2" s="196"/>
      <c r="H2" s="196"/>
      <c r="I2" s="197"/>
      <c r="J2" s="197"/>
    </row>
    <row r="3" spans="1:10" ht="33" customHeight="1">
      <c r="A3" s="20"/>
      <c r="B3" s="22" t="s">
        <v>400</v>
      </c>
      <c r="C3" s="379" t="s">
        <v>401</v>
      </c>
      <c r="D3" s="115"/>
      <c r="E3" s="196"/>
      <c r="F3" s="196"/>
      <c r="G3" s="196"/>
      <c r="H3" s="196"/>
      <c r="I3" s="197"/>
      <c r="J3" s="197"/>
    </row>
    <row r="4" spans="1:10" ht="33" customHeight="1">
      <c r="A4" s="20"/>
      <c r="B4" s="21" t="s">
        <v>151</v>
      </c>
      <c r="C4" s="379" t="s">
        <v>402</v>
      </c>
      <c r="D4" s="115"/>
      <c r="E4" s="196"/>
      <c r="F4" s="196"/>
      <c r="G4" s="196"/>
      <c r="H4" s="196"/>
      <c r="I4" s="197"/>
      <c r="J4" s="197"/>
    </row>
    <row r="5" spans="1:10" ht="33" customHeight="1">
      <c r="A5" s="20"/>
      <c r="B5" s="23" t="s">
        <v>153</v>
      </c>
      <c r="C5" s="380" t="s">
        <v>403</v>
      </c>
      <c r="D5" s="115"/>
      <c r="E5" s="196"/>
      <c r="F5" s="196"/>
      <c r="G5" s="196"/>
      <c r="H5" s="196"/>
      <c r="I5" s="197"/>
      <c r="J5" s="197"/>
    </row>
    <row r="6" spans="1:10" ht="33" customHeight="1">
      <c r="A6" s="20"/>
      <c r="B6" s="24" t="s">
        <v>404</v>
      </c>
      <c r="C6" s="113" t="s">
        <v>405</v>
      </c>
      <c r="D6" s="113"/>
      <c r="E6" s="196"/>
      <c r="F6" s="196"/>
      <c r="G6" s="196"/>
      <c r="H6" s="196"/>
      <c r="I6" s="197"/>
      <c r="J6" s="197"/>
    </row>
    <row r="7" spans="1:10" ht="33" customHeight="1">
      <c r="A7" s="20"/>
      <c r="B7" s="25" t="s">
        <v>406</v>
      </c>
      <c r="C7" s="381" t="s">
        <v>405</v>
      </c>
      <c r="D7" s="198"/>
      <c r="E7" s="196"/>
      <c r="F7" s="196"/>
      <c r="G7" s="196"/>
      <c r="H7" s="196"/>
      <c r="I7" s="197"/>
      <c r="J7" s="197"/>
    </row>
    <row r="8" spans="1:10" ht="33" customHeight="1">
      <c r="A8" s="20"/>
      <c r="B8" s="26" t="s">
        <v>407</v>
      </c>
      <c r="C8" s="113" t="s">
        <v>405</v>
      </c>
      <c r="D8" s="113"/>
      <c r="E8" s="196"/>
      <c r="F8" s="196"/>
      <c r="G8" s="196"/>
      <c r="H8" s="196"/>
      <c r="I8" s="197"/>
      <c r="J8" s="197"/>
    </row>
    <row r="9" spans="1:10" ht="33" customHeight="1">
      <c r="A9" s="20"/>
      <c r="B9" s="27" t="s">
        <v>408</v>
      </c>
      <c r="C9" s="113" t="s">
        <v>405</v>
      </c>
      <c r="D9" s="113"/>
      <c r="E9" s="196"/>
      <c r="F9" s="196"/>
      <c r="G9" s="196"/>
      <c r="H9" s="196"/>
      <c r="I9" s="197"/>
      <c r="J9" s="197"/>
    </row>
    <row r="10" spans="1:10" ht="33" customHeight="1">
      <c r="A10" s="20"/>
      <c r="B10" s="26" t="s">
        <v>409</v>
      </c>
      <c r="C10" s="113" t="s">
        <v>405</v>
      </c>
      <c r="D10" s="113"/>
      <c r="E10" s="196"/>
      <c r="F10" s="196"/>
      <c r="G10" s="196"/>
      <c r="H10" s="196"/>
      <c r="I10" s="197"/>
      <c r="J10" s="197"/>
    </row>
    <row r="11" spans="1:10" ht="33" customHeight="1">
      <c r="A11" s="616" t="s">
        <v>410</v>
      </c>
      <c r="B11" s="28" t="s">
        <v>411</v>
      </c>
      <c r="C11" s="382" t="s">
        <v>412</v>
      </c>
      <c r="D11" s="113"/>
      <c r="E11" s="196"/>
      <c r="F11" s="196"/>
      <c r="G11" s="196"/>
      <c r="H11" s="196"/>
      <c r="I11" s="197"/>
      <c r="J11" s="197"/>
    </row>
    <row r="12" spans="1:10" ht="33" customHeight="1">
      <c r="A12" s="616"/>
      <c r="B12" s="29" t="s">
        <v>413</v>
      </c>
      <c r="C12" s="198">
        <v>45315</v>
      </c>
      <c r="D12" s="199"/>
      <c r="E12" s="200"/>
      <c r="F12" s="200"/>
      <c r="G12" s="200"/>
      <c r="H12" s="200"/>
      <c r="I12" s="197"/>
      <c r="J12" s="197"/>
    </row>
    <row r="13" spans="1:10" ht="33" customHeight="1">
      <c r="A13" s="616"/>
      <c r="B13" s="30" t="s">
        <v>414</v>
      </c>
      <c r="C13" s="216" t="s">
        <v>415</v>
      </c>
      <c r="D13" s="201"/>
      <c r="E13" s="196"/>
      <c r="F13" s="196"/>
      <c r="G13" s="196"/>
      <c r="H13" s="196"/>
      <c r="I13" s="197"/>
      <c r="J13" s="197"/>
    </row>
    <row r="14" spans="1:10" ht="33" customHeight="1">
      <c r="A14" s="616"/>
      <c r="B14" s="29" t="s">
        <v>416</v>
      </c>
      <c r="C14" s="216" t="s">
        <v>417</v>
      </c>
      <c r="D14" s="201"/>
      <c r="E14" s="196"/>
      <c r="F14" s="196"/>
      <c r="G14" s="196"/>
      <c r="H14" s="196"/>
      <c r="I14" s="197"/>
      <c r="J14" s="197"/>
    </row>
    <row r="15" spans="1:10" ht="33" customHeight="1">
      <c r="A15" s="616"/>
      <c r="B15" s="30" t="s">
        <v>418</v>
      </c>
      <c r="C15" s="113" t="s">
        <v>419</v>
      </c>
      <c r="D15" s="201"/>
      <c r="E15" s="196"/>
      <c r="F15" s="196"/>
      <c r="G15" s="196"/>
      <c r="H15" s="196"/>
      <c r="I15" s="197"/>
      <c r="J15" s="197"/>
    </row>
    <row r="16" spans="1:10" ht="33" customHeight="1">
      <c r="A16" s="616"/>
      <c r="B16" s="31" t="s">
        <v>420</v>
      </c>
      <c r="C16" s="113" t="s">
        <v>421</v>
      </c>
      <c r="D16" s="113"/>
      <c r="E16" s="196"/>
      <c r="F16" s="196"/>
      <c r="G16" s="196"/>
      <c r="H16" s="196"/>
      <c r="I16" s="197"/>
      <c r="J16" s="197"/>
    </row>
    <row r="17" spans="1:10" ht="33" customHeight="1">
      <c r="A17" s="616"/>
      <c r="B17" s="32" t="s">
        <v>422</v>
      </c>
      <c r="C17" s="113" t="s">
        <v>421</v>
      </c>
      <c r="D17" s="113"/>
      <c r="E17" s="196"/>
      <c r="F17" s="196"/>
      <c r="G17" s="196"/>
      <c r="H17" s="196"/>
      <c r="I17" s="197"/>
      <c r="J17" s="197"/>
    </row>
    <row r="18" spans="1:10" ht="33" customHeight="1">
      <c r="A18" s="616"/>
      <c r="B18" s="33" t="s">
        <v>423</v>
      </c>
      <c r="C18" s="113" t="s">
        <v>424</v>
      </c>
      <c r="D18" s="113"/>
      <c r="E18" s="196"/>
      <c r="F18" s="196"/>
      <c r="G18" s="196"/>
      <c r="H18" s="196"/>
      <c r="I18" s="197"/>
      <c r="J18" s="197"/>
    </row>
    <row r="19" spans="1:10" ht="33" customHeight="1">
      <c r="A19" s="617" t="s">
        <v>345</v>
      </c>
      <c r="B19" s="34" t="s">
        <v>425</v>
      </c>
      <c r="C19" s="113" t="s">
        <v>421</v>
      </c>
      <c r="D19" s="113"/>
      <c r="E19" s="196"/>
      <c r="F19" s="196"/>
      <c r="G19" s="196"/>
      <c r="H19" s="196"/>
      <c r="I19" s="197"/>
      <c r="J19" s="197"/>
    </row>
    <row r="20" spans="1:10" ht="33" customHeight="1">
      <c r="A20" s="617"/>
      <c r="B20" s="35" t="s">
        <v>426</v>
      </c>
      <c r="C20" s="113" t="s">
        <v>421</v>
      </c>
      <c r="D20" s="113"/>
      <c r="E20" s="196"/>
      <c r="F20" s="196"/>
      <c r="G20" s="196"/>
      <c r="H20" s="196"/>
      <c r="I20" s="197"/>
      <c r="J20" s="197"/>
    </row>
    <row r="21" spans="1:10" ht="33" customHeight="1">
      <c r="A21" s="617"/>
      <c r="B21" s="36" t="s">
        <v>427</v>
      </c>
      <c r="C21" s="113" t="s">
        <v>405</v>
      </c>
      <c r="D21" s="113"/>
      <c r="E21" s="196"/>
      <c r="F21" s="196"/>
      <c r="G21" s="196"/>
      <c r="H21" s="196"/>
      <c r="I21" s="197"/>
      <c r="J21" s="197"/>
    </row>
    <row r="22" spans="1:10" ht="33" customHeight="1">
      <c r="A22" s="617"/>
      <c r="B22" s="37" t="s">
        <v>428</v>
      </c>
      <c r="C22" s="198">
        <v>45316</v>
      </c>
      <c r="D22" s="198"/>
      <c r="E22" s="200"/>
      <c r="F22" s="200"/>
      <c r="G22" s="200"/>
      <c r="H22" s="200"/>
      <c r="I22" s="197"/>
      <c r="J22" s="197"/>
    </row>
    <row r="23" spans="1:10" ht="33" customHeight="1">
      <c r="A23" s="38"/>
      <c r="B23" s="26" t="s">
        <v>429</v>
      </c>
      <c r="C23" s="113" t="s">
        <v>421</v>
      </c>
      <c r="D23" s="113"/>
      <c r="E23" s="196"/>
      <c r="F23" s="196"/>
      <c r="G23" s="196"/>
      <c r="H23" s="196"/>
      <c r="I23" s="197"/>
      <c r="J23" s="197"/>
    </row>
    <row r="24" spans="1:10" ht="33" customHeight="1">
      <c r="A24" s="38"/>
      <c r="B24" s="36" t="s">
        <v>430</v>
      </c>
      <c r="C24" s="113" t="s">
        <v>421</v>
      </c>
      <c r="D24" s="113"/>
      <c r="E24" s="196"/>
      <c r="F24" s="196"/>
      <c r="G24" s="196"/>
      <c r="H24" s="196"/>
      <c r="I24" s="197"/>
      <c r="J24" s="197"/>
    </row>
    <row r="25" spans="1:10" ht="33" customHeight="1">
      <c r="A25" s="38"/>
      <c r="B25" s="36" t="s">
        <v>431</v>
      </c>
      <c r="C25" s="113" t="s">
        <v>421</v>
      </c>
      <c r="D25" s="113"/>
      <c r="E25" s="196"/>
      <c r="F25" s="196"/>
      <c r="G25" s="196"/>
      <c r="H25" s="196"/>
      <c r="I25" s="197"/>
      <c r="J25" s="197"/>
    </row>
    <row r="26" spans="1:10" ht="33" customHeight="1">
      <c r="A26" s="39"/>
      <c r="B26" s="40" t="s">
        <v>149</v>
      </c>
      <c r="C26" s="113" t="s">
        <v>432</v>
      </c>
      <c r="D26" s="202"/>
      <c r="E26" s="196"/>
      <c r="F26" s="196"/>
      <c r="G26" s="196"/>
      <c r="H26" s="196"/>
      <c r="I26" s="197"/>
      <c r="J26" s="197"/>
    </row>
    <row r="27" spans="1:10" ht="33" customHeight="1">
      <c r="A27" s="618" t="s">
        <v>433</v>
      </c>
      <c r="B27" s="41" t="s">
        <v>434</v>
      </c>
      <c r="C27" s="383" t="s">
        <v>2</v>
      </c>
      <c r="D27" s="203"/>
      <c r="E27" s="196"/>
      <c r="F27" s="196"/>
      <c r="G27" s="196"/>
      <c r="H27" s="196"/>
      <c r="I27" s="197"/>
      <c r="J27" s="197"/>
    </row>
    <row r="28" spans="1:10" ht="33" customHeight="1">
      <c r="A28" s="618"/>
      <c r="B28" s="42" t="s">
        <v>435</v>
      </c>
      <c r="C28" s="113" t="s">
        <v>436</v>
      </c>
      <c r="D28" s="203"/>
      <c r="E28" s="196"/>
      <c r="F28" s="196"/>
      <c r="G28" s="196"/>
      <c r="H28" s="196"/>
      <c r="I28" s="197"/>
      <c r="J28" s="197"/>
    </row>
    <row r="29" spans="1:10" ht="33" customHeight="1">
      <c r="A29" s="618"/>
      <c r="B29" s="43" t="s">
        <v>437</v>
      </c>
      <c r="C29" s="113" t="s">
        <v>438</v>
      </c>
      <c r="D29" s="204"/>
      <c r="E29" s="196"/>
      <c r="F29" s="196"/>
      <c r="G29" s="196"/>
      <c r="H29" s="196"/>
      <c r="I29" s="197"/>
      <c r="J29" s="197"/>
    </row>
    <row r="30" spans="1:10" ht="33" customHeight="1">
      <c r="A30" s="618"/>
      <c r="B30" s="44" t="s">
        <v>439</v>
      </c>
      <c r="C30" s="113" t="s">
        <v>440</v>
      </c>
      <c r="D30" s="202"/>
      <c r="E30" s="196"/>
      <c r="F30" s="196"/>
      <c r="G30" s="196"/>
      <c r="H30" s="196"/>
      <c r="I30" s="197"/>
      <c r="J30" s="197"/>
    </row>
    <row r="31" spans="1:10" ht="33" customHeight="1">
      <c r="A31" s="618"/>
      <c r="B31" s="44" t="s">
        <v>441</v>
      </c>
      <c r="C31" s="381" t="s">
        <v>442</v>
      </c>
      <c r="D31" s="202"/>
      <c r="E31" s="196"/>
      <c r="F31" s="196"/>
      <c r="G31" s="196"/>
      <c r="H31" s="196"/>
      <c r="I31" s="197"/>
      <c r="J31" s="197"/>
    </row>
    <row r="32" spans="1:10" ht="33" customHeight="1">
      <c r="A32" s="618"/>
      <c r="B32" s="45" t="s">
        <v>443</v>
      </c>
      <c r="C32" s="113"/>
      <c r="D32" s="205"/>
      <c r="E32" s="196"/>
      <c r="F32" s="196"/>
      <c r="G32" s="196"/>
      <c r="H32" s="196"/>
      <c r="I32" s="197"/>
      <c r="J32" s="197"/>
    </row>
    <row r="33" spans="1:10" ht="33" customHeight="1">
      <c r="A33" s="618"/>
      <c r="B33" s="45" t="s">
        <v>444</v>
      </c>
      <c r="C33" s="113" t="s">
        <v>438</v>
      </c>
      <c r="D33" s="204"/>
      <c r="E33" s="196"/>
      <c r="F33" s="196"/>
      <c r="G33" s="196"/>
      <c r="H33" s="196"/>
      <c r="I33" s="197"/>
      <c r="J33" s="197"/>
    </row>
    <row r="34" spans="1:10" ht="33" customHeight="1">
      <c r="A34" s="618"/>
      <c r="B34" s="21" t="s">
        <v>445</v>
      </c>
      <c r="C34" s="113" t="s">
        <v>446</v>
      </c>
      <c r="D34" s="202"/>
      <c r="E34" s="196"/>
      <c r="F34" s="196"/>
      <c r="G34" s="196"/>
      <c r="H34" s="196"/>
      <c r="I34" s="197"/>
      <c r="J34" s="197"/>
    </row>
    <row r="35" spans="1:10" ht="33" customHeight="1">
      <c r="A35" s="618"/>
      <c r="B35" s="43" t="s">
        <v>447</v>
      </c>
      <c r="C35" s="381" t="s">
        <v>448</v>
      </c>
      <c r="D35" s="202"/>
      <c r="E35" s="196"/>
      <c r="F35" s="196"/>
      <c r="G35" s="196"/>
      <c r="H35" s="196"/>
      <c r="I35" s="197"/>
      <c r="J35" s="197"/>
    </row>
    <row r="36" spans="1:10" ht="33" customHeight="1">
      <c r="A36" s="618"/>
      <c r="B36" s="43" t="s">
        <v>449</v>
      </c>
      <c r="C36" s="113" t="s">
        <v>438</v>
      </c>
      <c r="D36" s="204"/>
      <c r="E36" s="206"/>
      <c r="F36" s="206"/>
      <c r="G36" s="206"/>
      <c r="H36" s="206"/>
      <c r="I36" s="197"/>
      <c r="J36" s="197"/>
    </row>
    <row r="37" spans="1:10" ht="33" customHeight="1">
      <c r="A37" s="618"/>
      <c r="B37" s="45" t="s">
        <v>450</v>
      </c>
      <c r="C37" s="113" t="s">
        <v>451</v>
      </c>
      <c r="D37" s="113"/>
      <c r="E37" s="196"/>
      <c r="F37" s="196"/>
      <c r="G37" s="196"/>
      <c r="H37" s="196"/>
      <c r="I37" s="197"/>
      <c r="J37" s="197"/>
    </row>
    <row r="38" spans="1:10" ht="33" customHeight="1">
      <c r="A38" s="618"/>
      <c r="B38" s="45" t="s">
        <v>452</v>
      </c>
      <c r="C38" s="381" t="s">
        <v>453</v>
      </c>
      <c r="D38" s="202"/>
      <c r="E38" s="196"/>
      <c r="F38" s="196"/>
      <c r="G38" s="196"/>
      <c r="H38" s="196"/>
      <c r="I38" s="197"/>
      <c r="J38" s="197"/>
    </row>
    <row r="39" spans="1:10" ht="33" customHeight="1">
      <c r="A39" s="618"/>
      <c r="B39" s="45" t="s">
        <v>454</v>
      </c>
      <c r="C39" s="113" t="s">
        <v>455</v>
      </c>
      <c r="D39" s="207"/>
      <c r="E39" s="196"/>
      <c r="F39" s="196"/>
      <c r="G39" s="196"/>
      <c r="H39" s="196"/>
      <c r="I39" s="197"/>
      <c r="J39" s="197"/>
    </row>
    <row r="40" spans="1:10" ht="33" customHeight="1">
      <c r="A40" s="618"/>
      <c r="B40" s="43" t="s">
        <v>456</v>
      </c>
      <c r="C40" s="113"/>
      <c r="D40" s="113"/>
      <c r="E40" s="196"/>
      <c r="F40" s="196"/>
      <c r="G40" s="196"/>
      <c r="H40" s="196"/>
      <c r="I40" s="197"/>
      <c r="J40" s="197"/>
    </row>
    <row r="41" spans="1:10" ht="33" customHeight="1">
      <c r="A41" s="618"/>
      <c r="B41" s="43" t="s">
        <v>457</v>
      </c>
      <c r="C41" s="381" t="s">
        <v>405</v>
      </c>
      <c r="D41" s="113"/>
      <c r="E41" s="196"/>
      <c r="F41" s="196"/>
      <c r="G41" s="196"/>
      <c r="H41" s="196"/>
      <c r="I41" s="197"/>
      <c r="J41" s="197"/>
    </row>
    <row r="42" spans="1:10" ht="33" customHeight="1">
      <c r="A42" s="618"/>
      <c r="B42" s="43" t="s">
        <v>458</v>
      </c>
      <c r="C42" s="113" t="s">
        <v>438</v>
      </c>
      <c r="D42" s="113"/>
      <c r="E42" s="208"/>
      <c r="F42" s="208"/>
      <c r="G42" s="208"/>
      <c r="H42" s="208"/>
      <c r="I42" s="197"/>
      <c r="J42" s="197"/>
    </row>
    <row r="43" spans="1:10" ht="33" customHeight="1">
      <c r="A43" s="618"/>
      <c r="B43" s="45" t="s">
        <v>459</v>
      </c>
      <c r="C43" s="384" t="s">
        <v>460</v>
      </c>
      <c r="D43" s="113"/>
      <c r="E43" s="196"/>
      <c r="F43" s="196"/>
      <c r="G43" s="196"/>
      <c r="H43" s="196"/>
      <c r="I43" s="197"/>
      <c r="J43" s="197"/>
    </row>
    <row r="44" spans="1:10" ht="33" customHeight="1">
      <c r="A44" s="618"/>
      <c r="B44" s="45" t="s">
        <v>461</v>
      </c>
      <c r="C44" s="113" t="s">
        <v>405</v>
      </c>
      <c r="D44" s="113"/>
      <c r="E44" s="196"/>
      <c r="F44" s="196"/>
      <c r="G44" s="196"/>
      <c r="H44" s="196"/>
      <c r="I44" s="197"/>
      <c r="J44" s="197"/>
    </row>
    <row r="45" spans="1:10" ht="33" customHeight="1">
      <c r="A45" s="618"/>
      <c r="B45" s="45" t="s">
        <v>462</v>
      </c>
      <c r="C45" s="113" t="s">
        <v>405</v>
      </c>
      <c r="D45" s="113"/>
      <c r="E45" s="196"/>
      <c r="F45" s="196"/>
      <c r="G45" s="196"/>
      <c r="H45" s="196"/>
      <c r="I45" s="197"/>
      <c r="J45" s="197"/>
    </row>
    <row r="46" spans="1:10" ht="33" customHeight="1">
      <c r="A46" s="618"/>
      <c r="B46" s="44" t="s">
        <v>463</v>
      </c>
      <c r="C46" s="113" t="s">
        <v>442</v>
      </c>
      <c r="D46" s="113"/>
      <c r="E46" s="196"/>
      <c r="F46" s="196"/>
      <c r="G46" s="196"/>
      <c r="H46" s="196"/>
      <c r="I46" s="197"/>
      <c r="J46" s="197"/>
    </row>
    <row r="47" spans="1:10" ht="33" customHeight="1">
      <c r="A47" s="618"/>
      <c r="B47" s="45" t="s">
        <v>464</v>
      </c>
      <c r="C47" s="384" t="s">
        <v>405</v>
      </c>
      <c r="D47" s="113"/>
      <c r="E47" s="196"/>
      <c r="F47" s="196"/>
      <c r="G47" s="196"/>
      <c r="H47" s="196"/>
      <c r="I47" s="197"/>
      <c r="J47" s="197"/>
    </row>
    <row r="48" spans="1:10" ht="33" customHeight="1">
      <c r="A48" s="618"/>
      <c r="B48" s="45" t="s">
        <v>465</v>
      </c>
      <c r="C48" s="113" t="s">
        <v>405</v>
      </c>
      <c r="D48" s="202"/>
      <c r="E48" s="196"/>
      <c r="F48" s="196"/>
      <c r="G48" s="196"/>
      <c r="H48" s="196"/>
      <c r="I48" s="197"/>
      <c r="J48" s="197"/>
    </row>
    <row r="49" spans="1:11" ht="33" customHeight="1">
      <c r="A49" s="618"/>
      <c r="B49" s="45" t="s">
        <v>466</v>
      </c>
      <c r="C49" s="113" t="s">
        <v>405</v>
      </c>
      <c r="D49" s="202"/>
      <c r="E49" s="196"/>
      <c r="F49" s="196"/>
      <c r="G49" s="196"/>
      <c r="H49" s="196"/>
      <c r="I49" s="197"/>
      <c r="J49" s="197"/>
    </row>
    <row r="50" spans="1:11" ht="33" customHeight="1">
      <c r="A50" s="46"/>
      <c r="B50" s="45" t="s">
        <v>467</v>
      </c>
      <c r="C50" s="113" t="s">
        <v>405</v>
      </c>
      <c r="D50" s="113"/>
      <c r="E50" s="196"/>
      <c r="F50" s="196"/>
      <c r="G50" s="196"/>
      <c r="H50" s="196"/>
      <c r="I50" s="197"/>
      <c r="J50" s="197"/>
    </row>
    <row r="51" spans="1:11" ht="25.9" customHeight="1">
      <c r="A51" s="47"/>
      <c r="B51" s="48" t="s">
        <v>468</v>
      </c>
      <c r="C51" s="378" t="s">
        <v>469</v>
      </c>
      <c r="D51" s="112"/>
      <c r="E51" s="236" t="s">
        <v>470</v>
      </c>
      <c r="F51" s="209"/>
      <c r="G51" s="209"/>
      <c r="H51" s="210" t="s">
        <v>471</v>
      </c>
      <c r="I51" s="210"/>
      <c r="J51" s="211"/>
      <c r="K51" s="240" t="s">
        <v>472</v>
      </c>
    </row>
    <row r="52" spans="1:11" ht="22.15" customHeight="1">
      <c r="A52" s="49"/>
      <c r="B52" s="50" t="s">
        <v>473</v>
      </c>
      <c r="C52" s="216" t="s">
        <v>5</v>
      </c>
      <c r="D52" s="112"/>
      <c r="E52" s="212" t="s">
        <v>291</v>
      </c>
      <c r="F52" s="213" t="s">
        <v>474</v>
      </c>
      <c r="G52" s="213" t="s">
        <v>287</v>
      </c>
      <c r="H52" s="214" t="s">
        <v>475</v>
      </c>
      <c r="I52" s="215" t="s">
        <v>476</v>
      </c>
      <c r="J52" s="215" t="s">
        <v>477</v>
      </c>
      <c r="K52" s="239">
        <f>SUM(K53:K77)</f>
        <v>1535</v>
      </c>
    </row>
    <row r="53" spans="1:11" ht="28.9" customHeight="1">
      <c r="A53" s="51">
        <f t="shared" ref="A53:A77" si="0">1+A52</f>
        <v>1</v>
      </c>
      <c r="B53" s="52" t="s">
        <v>478</v>
      </c>
      <c r="C53" s="216" t="s">
        <v>24</v>
      </c>
      <c r="D53" s="619" t="s">
        <v>479</v>
      </c>
      <c r="E53" s="112">
        <v>0</v>
      </c>
      <c r="F53" s="196"/>
      <c r="G53" s="112"/>
      <c r="H53" s="216">
        <v>15</v>
      </c>
      <c r="I53" s="237">
        <v>33</v>
      </c>
      <c r="J53" s="238">
        <v>0</v>
      </c>
      <c r="K53" s="1">
        <f>E53*F53</f>
        <v>0</v>
      </c>
    </row>
    <row r="54" spans="1:11" ht="28.9" customHeight="1">
      <c r="A54" s="51">
        <f t="shared" si="0"/>
        <v>2</v>
      </c>
      <c r="B54" s="53" t="s">
        <v>480</v>
      </c>
      <c r="C54" s="385" t="s">
        <v>20</v>
      </c>
      <c r="D54" s="619"/>
      <c r="E54" s="196">
        <v>9</v>
      </c>
      <c r="F54" s="112">
        <v>3</v>
      </c>
      <c r="G54" s="196">
        <v>8</v>
      </c>
      <c r="H54" s="237">
        <v>15</v>
      </c>
      <c r="I54" s="237">
        <v>33</v>
      </c>
      <c r="J54" s="218">
        <v>0</v>
      </c>
      <c r="K54" s="1">
        <f t="shared" ref="K54:K77" si="1">E54*F54</f>
        <v>27</v>
      </c>
    </row>
    <row r="55" spans="1:11" ht="28.9" customHeight="1">
      <c r="A55" s="51">
        <f t="shared" si="0"/>
        <v>3</v>
      </c>
      <c r="B55" s="53" t="s">
        <v>481</v>
      </c>
      <c r="C55" s="385" t="s">
        <v>21</v>
      </c>
      <c r="D55" s="619"/>
      <c r="E55" s="112">
        <v>32</v>
      </c>
      <c r="F55" s="196">
        <v>10</v>
      </c>
      <c r="G55" s="112">
        <v>8</v>
      </c>
      <c r="H55" s="237">
        <v>15</v>
      </c>
      <c r="I55" s="237">
        <v>33</v>
      </c>
      <c r="J55" s="218">
        <v>0</v>
      </c>
      <c r="K55" s="1">
        <f t="shared" si="1"/>
        <v>320</v>
      </c>
    </row>
    <row r="56" spans="1:11" ht="28.9" customHeight="1">
      <c r="A56" s="51">
        <f t="shared" si="0"/>
        <v>4</v>
      </c>
      <c r="B56" s="53" t="s">
        <v>482</v>
      </c>
      <c r="C56" s="385" t="s">
        <v>22</v>
      </c>
      <c r="D56" s="619"/>
      <c r="E56" s="196">
        <v>11</v>
      </c>
      <c r="F56" s="217">
        <v>4</v>
      </c>
      <c r="G56" s="196">
        <v>8</v>
      </c>
      <c r="H56" s="237">
        <v>15</v>
      </c>
      <c r="I56" s="237">
        <v>33</v>
      </c>
      <c r="J56" s="218">
        <v>0</v>
      </c>
      <c r="K56" s="1">
        <f t="shared" si="1"/>
        <v>44</v>
      </c>
    </row>
    <row r="57" spans="1:11" ht="28.9" customHeight="1">
      <c r="A57" s="51">
        <f t="shared" si="0"/>
        <v>5</v>
      </c>
      <c r="B57" s="53" t="s">
        <v>483</v>
      </c>
      <c r="C57" s="385" t="s">
        <v>484</v>
      </c>
      <c r="D57" s="619"/>
      <c r="E57" s="112">
        <v>6</v>
      </c>
      <c r="F57" s="216">
        <v>5</v>
      </c>
      <c r="G57" s="112">
        <v>8</v>
      </c>
      <c r="H57" s="237">
        <v>15</v>
      </c>
      <c r="I57" s="237">
        <v>33</v>
      </c>
      <c r="J57" s="218">
        <v>0</v>
      </c>
      <c r="K57" s="1">
        <f t="shared" si="1"/>
        <v>30</v>
      </c>
    </row>
    <row r="58" spans="1:11" ht="28.9" customHeight="1">
      <c r="A58" s="51">
        <f t="shared" si="0"/>
        <v>6</v>
      </c>
      <c r="B58" s="53" t="s">
        <v>485</v>
      </c>
      <c r="C58" s="385" t="s">
        <v>486</v>
      </c>
      <c r="D58" s="619"/>
      <c r="E58" s="196">
        <v>6</v>
      </c>
      <c r="F58" s="219">
        <v>6</v>
      </c>
      <c r="G58" s="196">
        <v>8</v>
      </c>
      <c r="H58" s="237">
        <v>15</v>
      </c>
      <c r="I58" s="237">
        <v>33</v>
      </c>
      <c r="J58" s="218">
        <v>0</v>
      </c>
      <c r="K58" s="1">
        <f t="shared" si="1"/>
        <v>36</v>
      </c>
    </row>
    <row r="59" spans="1:11" ht="28.9" customHeight="1">
      <c r="A59" s="51">
        <f t="shared" si="0"/>
        <v>7</v>
      </c>
      <c r="B59" s="53" t="s">
        <v>487</v>
      </c>
      <c r="C59" s="385" t="s">
        <v>488</v>
      </c>
      <c r="D59" s="619"/>
      <c r="E59" s="112">
        <v>6</v>
      </c>
      <c r="F59" s="196">
        <v>13</v>
      </c>
      <c r="G59" s="112">
        <v>8</v>
      </c>
      <c r="H59" s="237">
        <v>66</v>
      </c>
      <c r="I59" s="237">
        <v>100</v>
      </c>
      <c r="J59" s="218">
        <v>0</v>
      </c>
      <c r="K59" s="1">
        <f t="shared" si="1"/>
        <v>78</v>
      </c>
    </row>
    <row r="60" spans="1:11" ht="28.9" customHeight="1">
      <c r="A60" s="51">
        <f t="shared" si="0"/>
        <v>8</v>
      </c>
      <c r="B60" s="53" t="s">
        <v>489</v>
      </c>
      <c r="C60" s="385" t="s">
        <v>490</v>
      </c>
      <c r="D60" s="619"/>
      <c r="E60" s="196">
        <v>6</v>
      </c>
      <c r="F60" s="112">
        <v>5</v>
      </c>
      <c r="G60" s="196">
        <v>8</v>
      </c>
      <c r="H60" s="237">
        <v>15</v>
      </c>
      <c r="I60" s="237">
        <v>33</v>
      </c>
      <c r="J60" s="218">
        <v>0</v>
      </c>
      <c r="K60" s="1">
        <f t="shared" si="1"/>
        <v>30</v>
      </c>
    </row>
    <row r="61" spans="1:11" ht="28.9" customHeight="1">
      <c r="A61" s="51">
        <f t="shared" si="0"/>
        <v>9</v>
      </c>
      <c r="B61" s="53" t="s">
        <v>491</v>
      </c>
      <c r="C61" s="385" t="s">
        <v>492</v>
      </c>
      <c r="D61" s="619"/>
      <c r="E61" s="112">
        <v>11</v>
      </c>
      <c r="F61" s="220">
        <v>6</v>
      </c>
      <c r="G61" s="112">
        <v>8</v>
      </c>
      <c r="H61" s="237">
        <v>15</v>
      </c>
      <c r="I61" s="237">
        <v>33</v>
      </c>
      <c r="J61" s="218">
        <v>0</v>
      </c>
      <c r="K61" s="1">
        <f t="shared" si="1"/>
        <v>66</v>
      </c>
    </row>
    <row r="62" spans="1:11" ht="28.9" customHeight="1">
      <c r="A62" s="51">
        <f t="shared" si="0"/>
        <v>10</v>
      </c>
      <c r="B62" s="53" t="s">
        <v>493</v>
      </c>
      <c r="C62" s="385" t="s">
        <v>494</v>
      </c>
      <c r="D62" s="619"/>
      <c r="E62" s="220">
        <v>17</v>
      </c>
      <c r="F62" s="112">
        <v>16</v>
      </c>
      <c r="G62" s="220">
        <v>8</v>
      </c>
      <c r="H62" s="237">
        <v>15</v>
      </c>
      <c r="I62" s="237">
        <v>33</v>
      </c>
      <c r="J62" s="218">
        <v>0</v>
      </c>
      <c r="K62" s="1">
        <f t="shared" si="1"/>
        <v>272</v>
      </c>
    </row>
    <row r="63" spans="1:11" ht="28.9" customHeight="1">
      <c r="A63" s="51">
        <f t="shared" si="0"/>
        <v>11</v>
      </c>
      <c r="B63" s="53" t="s">
        <v>495</v>
      </c>
      <c r="C63" s="385" t="s">
        <v>496</v>
      </c>
      <c r="D63" s="619"/>
      <c r="E63" s="112">
        <v>11</v>
      </c>
      <c r="F63" s="220">
        <v>3</v>
      </c>
      <c r="G63" s="112">
        <v>8</v>
      </c>
      <c r="H63" s="237">
        <v>15</v>
      </c>
      <c r="I63" s="237">
        <v>33</v>
      </c>
      <c r="J63" s="218">
        <v>0</v>
      </c>
      <c r="K63" s="1">
        <f t="shared" si="1"/>
        <v>33</v>
      </c>
    </row>
    <row r="64" spans="1:11" ht="28.9" customHeight="1">
      <c r="A64" s="51">
        <f t="shared" si="0"/>
        <v>12</v>
      </c>
      <c r="B64" s="53" t="s">
        <v>497</v>
      </c>
      <c r="C64" s="386" t="s">
        <v>498</v>
      </c>
      <c r="D64" s="619"/>
      <c r="E64" s="220">
        <v>16</v>
      </c>
      <c r="F64" s="112">
        <v>17</v>
      </c>
      <c r="G64" s="220">
        <v>8</v>
      </c>
      <c r="H64" s="237">
        <v>15</v>
      </c>
      <c r="I64" s="237">
        <v>33</v>
      </c>
      <c r="J64" s="218">
        <v>0</v>
      </c>
      <c r="K64" s="1">
        <f t="shared" si="1"/>
        <v>272</v>
      </c>
    </row>
    <row r="65" spans="1:11" ht="28.9" customHeight="1">
      <c r="A65" s="51">
        <f t="shared" si="0"/>
        <v>13</v>
      </c>
      <c r="B65" s="53" t="s">
        <v>499</v>
      </c>
      <c r="C65" s="387" t="s">
        <v>500</v>
      </c>
      <c r="D65" s="619"/>
      <c r="E65" s="112">
        <v>11</v>
      </c>
      <c r="F65" s="196">
        <v>17</v>
      </c>
      <c r="G65" s="112">
        <v>8</v>
      </c>
      <c r="H65" s="237">
        <v>15</v>
      </c>
      <c r="I65" s="237">
        <v>33</v>
      </c>
      <c r="J65" s="218">
        <v>0</v>
      </c>
      <c r="K65" s="1">
        <f t="shared" si="1"/>
        <v>187</v>
      </c>
    </row>
    <row r="66" spans="1:11" ht="28.9" customHeight="1">
      <c r="A66" s="51">
        <f t="shared" si="0"/>
        <v>14</v>
      </c>
      <c r="B66" s="53" t="s">
        <v>501</v>
      </c>
      <c r="C66" s="386" t="s">
        <v>23</v>
      </c>
      <c r="D66" s="619"/>
      <c r="E66" s="196">
        <v>10</v>
      </c>
      <c r="F66" s="112">
        <v>14</v>
      </c>
      <c r="G66" s="196">
        <v>8</v>
      </c>
      <c r="H66" s="237">
        <v>15</v>
      </c>
      <c r="I66" s="237">
        <v>33</v>
      </c>
      <c r="J66" s="218">
        <v>0</v>
      </c>
      <c r="K66" s="1">
        <f t="shared" si="1"/>
        <v>140</v>
      </c>
    </row>
    <row r="67" spans="1:11" ht="28.9" customHeight="1">
      <c r="A67" s="51">
        <f t="shared" si="0"/>
        <v>15</v>
      </c>
      <c r="B67" s="53" t="s">
        <v>502</v>
      </c>
      <c r="C67" s="387" t="s">
        <v>503</v>
      </c>
      <c r="D67" s="619"/>
      <c r="E67" s="112">
        <v>0</v>
      </c>
      <c r="F67" s="220">
        <v>0</v>
      </c>
      <c r="G67" s="112">
        <v>0</v>
      </c>
      <c r="H67" s="220"/>
      <c r="I67" s="112"/>
      <c r="J67" s="218">
        <v>0</v>
      </c>
      <c r="K67" s="1">
        <f t="shared" si="1"/>
        <v>0</v>
      </c>
    </row>
    <row r="68" spans="1:11" ht="28.9" customHeight="1">
      <c r="A68" s="51">
        <f t="shared" si="0"/>
        <v>16</v>
      </c>
      <c r="B68" s="53" t="s">
        <v>504</v>
      </c>
      <c r="C68" s="386" t="s">
        <v>505</v>
      </c>
      <c r="D68" s="619"/>
      <c r="E68" s="220"/>
      <c r="F68" s="112">
        <v>0</v>
      </c>
      <c r="G68" s="220"/>
      <c r="H68" s="112"/>
      <c r="I68" s="222"/>
      <c r="J68" s="218">
        <v>0</v>
      </c>
      <c r="K68" s="1">
        <f t="shared" si="1"/>
        <v>0</v>
      </c>
    </row>
    <row r="69" spans="1:11" ht="28.9" customHeight="1">
      <c r="A69" s="51">
        <f t="shared" si="0"/>
        <v>17</v>
      </c>
      <c r="B69" s="53" t="s">
        <v>506</v>
      </c>
      <c r="C69" s="386" t="s">
        <v>507</v>
      </c>
      <c r="D69" s="619"/>
      <c r="E69" s="112"/>
      <c r="F69" s="220">
        <v>0</v>
      </c>
      <c r="G69" s="112"/>
      <c r="H69" s="220"/>
      <c r="I69" s="112"/>
      <c r="J69" s="218">
        <v>0</v>
      </c>
      <c r="K69" s="1">
        <f t="shared" si="1"/>
        <v>0</v>
      </c>
    </row>
    <row r="70" spans="1:11" ht="28.9" customHeight="1">
      <c r="A70" s="51">
        <f t="shared" si="0"/>
        <v>18</v>
      </c>
      <c r="B70" s="53" t="s">
        <v>508</v>
      </c>
      <c r="C70" s="386" t="s">
        <v>25</v>
      </c>
      <c r="D70" s="619"/>
      <c r="E70" s="220"/>
      <c r="F70" s="112">
        <v>0</v>
      </c>
      <c r="G70" s="220"/>
      <c r="H70" s="112"/>
      <c r="I70" s="222"/>
      <c r="J70" s="218">
        <v>0</v>
      </c>
      <c r="K70" s="1">
        <f t="shared" si="1"/>
        <v>0</v>
      </c>
    </row>
    <row r="71" spans="1:11" ht="28.9" customHeight="1">
      <c r="A71" s="51">
        <f t="shared" si="0"/>
        <v>19</v>
      </c>
      <c r="B71" s="53" t="s">
        <v>509</v>
      </c>
      <c r="C71" s="386" t="s">
        <v>510</v>
      </c>
      <c r="D71" s="619"/>
      <c r="E71" s="112"/>
      <c r="F71" s="196">
        <v>0</v>
      </c>
      <c r="G71" s="112"/>
      <c r="H71" s="196"/>
      <c r="I71" s="112"/>
      <c r="J71" s="218">
        <v>0</v>
      </c>
      <c r="K71" s="1">
        <f t="shared" si="1"/>
        <v>0</v>
      </c>
    </row>
    <row r="72" spans="1:11" ht="28.9" customHeight="1">
      <c r="A72" s="51">
        <f t="shared" si="0"/>
        <v>20</v>
      </c>
      <c r="B72" s="53" t="s">
        <v>511</v>
      </c>
      <c r="C72" s="386" t="s">
        <v>405</v>
      </c>
      <c r="D72" s="619"/>
      <c r="E72" s="196"/>
      <c r="F72" s="112">
        <v>0</v>
      </c>
      <c r="G72" s="196"/>
      <c r="H72" s="112"/>
      <c r="I72" s="223"/>
      <c r="J72" s="218">
        <v>0</v>
      </c>
      <c r="K72" s="1">
        <f t="shared" si="1"/>
        <v>0</v>
      </c>
    </row>
    <row r="73" spans="1:11" ht="28.9" customHeight="1">
      <c r="A73" s="51">
        <f t="shared" si="0"/>
        <v>21</v>
      </c>
      <c r="B73" s="54" t="s">
        <v>512</v>
      </c>
      <c r="C73" s="386" t="s">
        <v>405</v>
      </c>
      <c r="D73" s="619"/>
      <c r="E73" s="112"/>
      <c r="F73" s="220">
        <v>0</v>
      </c>
      <c r="G73" s="112"/>
      <c r="H73" s="220"/>
      <c r="I73" s="112"/>
      <c r="J73" s="218">
        <v>0</v>
      </c>
      <c r="K73" s="1">
        <f t="shared" si="1"/>
        <v>0</v>
      </c>
    </row>
    <row r="74" spans="1:11" ht="28.9" customHeight="1">
      <c r="A74" s="51">
        <f t="shared" si="0"/>
        <v>22</v>
      </c>
      <c r="B74" s="54" t="s">
        <v>513</v>
      </c>
      <c r="C74" s="113" t="s">
        <v>405</v>
      </c>
      <c r="D74" s="619"/>
      <c r="E74" s="220"/>
      <c r="F74" s="112">
        <v>0</v>
      </c>
      <c r="G74" s="220"/>
      <c r="H74" s="112"/>
      <c r="I74" s="222"/>
      <c r="J74" s="218">
        <v>0</v>
      </c>
      <c r="K74" s="1">
        <f t="shared" si="1"/>
        <v>0</v>
      </c>
    </row>
    <row r="75" spans="1:11" ht="28.9" customHeight="1">
      <c r="A75" s="51">
        <f t="shared" si="0"/>
        <v>23</v>
      </c>
      <c r="B75" s="54" t="s">
        <v>514</v>
      </c>
      <c r="C75" s="113" t="s">
        <v>405</v>
      </c>
      <c r="D75" s="619"/>
      <c r="E75" s="112"/>
      <c r="F75" s="220"/>
      <c r="G75" s="112"/>
      <c r="H75" s="220"/>
      <c r="I75" s="112"/>
      <c r="J75" s="218">
        <v>0</v>
      </c>
      <c r="K75" s="1">
        <f t="shared" si="1"/>
        <v>0</v>
      </c>
    </row>
    <row r="76" spans="1:11" ht="28.9" customHeight="1">
      <c r="A76" s="51">
        <f t="shared" si="0"/>
        <v>24</v>
      </c>
      <c r="B76" s="54" t="s">
        <v>515</v>
      </c>
      <c r="C76" s="113" t="s">
        <v>405</v>
      </c>
      <c r="D76" s="619"/>
      <c r="E76" s="220"/>
      <c r="F76" s="112">
        <v>0</v>
      </c>
      <c r="G76" s="220"/>
      <c r="H76" s="112"/>
      <c r="I76" s="222"/>
      <c r="J76" s="218">
        <v>0</v>
      </c>
      <c r="K76" s="1">
        <f t="shared" si="1"/>
        <v>0</v>
      </c>
    </row>
    <row r="77" spans="1:11" ht="28.9" customHeight="1">
      <c r="A77" s="51">
        <f t="shared" si="0"/>
        <v>25</v>
      </c>
      <c r="B77" s="54" t="s">
        <v>516</v>
      </c>
      <c r="C77" s="113" t="s">
        <v>405</v>
      </c>
      <c r="D77" s="619"/>
      <c r="E77" s="112"/>
      <c r="F77" s="220"/>
      <c r="G77" s="112"/>
      <c r="H77" s="220"/>
      <c r="I77" s="112"/>
      <c r="J77" s="218">
        <v>0</v>
      </c>
      <c r="K77" s="1">
        <f t="shared" si="1"/>
        <v>0</v>
      </c>
    </row>
    <row r="78" spans="1:11" ht="15" customHeight="1">
      <c r="A78" s="614" t="s">
        <v>517</v>
      </c>
      <c r="B78" s="55" t="s">
        <v>518</v>
      </c>
      <c r="C78" s="113" t="s">
        <v>405</v>
      </c>
      <c r="D78" s="221"/>
      <c r="E78" s="224"/>
      <c r="F78" s="224"/>
      <c r="G78" s="224"/>
      <c r="H78" s="224"/>
      <c r="I78" s="197"/>
      <c r="J78" s="197"/>
    </row>
    <row r="79" spans="1:11" ht="4.9000000000000004" customHeight="1">
      <c r="A79" s="614"/>
      <c r="B79" s="56" t="s">
        <v>519</v>
      </c>
      <c r="C79" s="113" t="s">
        <v>405</v>
      </c>
      <c r="D79" s="221"/>
      <c r="E79" s="225"/>
      <c r="F79" s="225"/>
      <c r="G79" s="225"/>
      <c r="H79" s="225"/>
      <c r="I79" s="197"/>
      <c r="J79" s="197"/>
    </row>
    <row r="80" spans="1:11" ht="4.9000000000000004" customHeight="1">
      <c r="A80" s="614"/>
      <c r="B80" s="57" t="s">
        <v>520</v>
      </c>
      <c r="C80" s="113" t="s">
        <v>405</v>
      </c>
      <c r="D80" s="221"/>
      <c r="E80" s="225"/>
      <c r="F80" s="225"/>
      <c r="G80" s="225"/>
      <c r="H80" s="225"/>
      <c r="I80" s="197"/>
      <c r="J80" s="197"/>
    </row>
    <row r="81" spans="1:10" ht="4.9000000000000004" customHeight="1">
      <c r="A81" s="614"/>
      <c r="B81" s="31" t="s">
        <v>521</v>
      </c>
      <c r="C81" s="113" t="s">
        <v>405</v>
      </c>
      <c r="D81" s="221"/>
      <c r="E81" s="226"/>
      <c r="F81" s="226"/>
      <c r="G81" s="226"/>
      <c r="H81" s="226"/>
      <c r="I81" s="197"/>
      <c r="J81" s="197"/>
    </row>
    <row r="82" spans="1:10" ht="4.9000000000000004" customHeight="1">
      <c r="A82" s="614"/>
      <c r="B82" s="32" t="s">
        <v>522</v>
      </c>
      <c r="C82" s="113" t="s">
        <v>405</v>
      </c>
      <c r="D82" s="221"/>
      <c r="E82" s="225"/>
      <c r="F82" s="225"/>
      <c r="G82" s="225"/>
      <c r="H82" s="225"/>
      <c r="I82" s="197"/>
      <c r="J82" s="197"/>
    </row>
    <row r="83" spans="1:10" ht="4.9000000000000004" customHeight="1">
      <c r="A83" s="614"/>
      <c r="B83" s="43" t="s">
        <v>523</v>
      </c>
      <c r="C83" s="113" t="s">
        <v>405</v>
      </c>
      <c r="D83" s="221"/>
      <c r="E83" s="225"/>
      <c r="F83" s="225"/>
      <c r="G83" s="225"/>
      <c r="H83" s="225"/>
      <c r="I83" s="197"/>
      <c r="J83" s="197"/>
    </row>
    <row r="84" spans="1:10" ht="4.9000000000000004" customHeight="1">
      <c r="A84" s="614"/>
      <c r="B84" s="32"/>
      <c r="C84" s="113" t="s">
        <v>405</v>
      </c>
      <c r="D84" s="221"/>
      <c r="E84" s="225"/>
      <c r="F84" s="225"/>
      <c r="G84" s="225"/>
      <c r="H84" s="225"/>
      <c r="I84" s="197"/>
      <c r="J84" s="197"/>
    </row>
    <row r="85" spans="1:10" ht="4.9000000000000004" customHeight="1">
      <c r="A85" s="614"/>
      <c r="B85" s="58" t="s">
        <v>524</v>
      </c>
      <c r="C85" s="113" t="s">
        <v>405</v>
      </c>
      <c r="D85" s="221"/>
      <c r="E85" s="225"/>
      <c r="F85" s="225"/>
      <c r="G85" s="225"/>
      <c r="H85" s="225"/>
      <c r="I85" s="197"/>
      <c r="J85" s="197"/>
    </row>
    <row r="86" spans="1:10" ht="4.9000000000000004" customHeight="1">
      <c r="A86" s="614"/>
      <c r="B86" s="32" t="s">
        <v>525</v>
      </c>
      <c r="C86" s="113" t="s">
        <v>405</v>
      </c>
      <c r="D86" s="221"/>
      <c r="E86" s="225"/>
      <c r="F86" s="225"/>
      <c r="G86" s="225"/>
      <c r="H86" s="225"/>
      <c r="I86" s="197"/>
      <c r="J86" s="197"/>
    </row>
    <row r="87" spans="1:10" ht="4.9000000000000004" customHeight="1">
      <c r="A87" s="614"/>
      <c r="B87" s="31" t="s">
        <v>526</v>
      </c>
      <c r="C87" s="113" t="s">
        <v>405</v>
      </c>
      <c r="D87" s="221"/>
      <c r="E87" s="225"/>
      <c r="F87" s="225"/>
      <c r="G87" s="225"/>
      <c r="H87" s="225"/>
      <c r="I87" s="197"/>
      <c r="J87" s="197"/>
    </row>
    <row r="88" spans="1:10" ht="4.9000000000000004" customHeight="1">
      <c r="A88" s="614"/>
      <c r="B88" s="31" t="s">
        <v>527</v>
      </c>
      <c r="C88" s="113" t="s">
        <v>405</v>
      </c>
      <c r="D88" s="113"/>
      <c r="E88" s="227"/>
      <c r="F88" s="227"/>
      <c r="G88" s="227"/>
      <c r="H88" s="227"/>
      <c r="I88" s="197"/>
      <c r="J88" s="197"/>
    </row>
    <row r="89" spans="1:10" ht="4.9000000000000004" customHeight="1">
      <c r="A89" s="614"/>
      <c r="B89" s="32" t="s">
        <v>528</v>
      </c>
      <c r="C89" s="113" t="s">
        <v>405</v>
      </c>
      <c r="D89" s="113"/>
      <c r="E89" s="228"/>
      <c r="F89" s="228"/>
      <c r="G89" s="228"/>
      <c r="H89" s="228"/>
      <c r="I89" s="197"/>
      <c r="J89" s="197"/>
    </row>
    <row r="90" spans="1:10" ht="4.9000000000000004" customHeight="1">
      <c r="A90" s="614"/>
      <c r="B90" s="32" t="s">
        <v>529</v>
      </c>
      <c r="C90" s="113" t="s">
        <v>405</v>
      </c>
      <c r="D90" s="113"/>
      <c r="E90" s="225"/>
      <c r="F90" s="225"/>
      <c r="G90" s="225"/>
      <c r="H90" s="225"/>
      <c r="I90" s="197"/>
      <c r="J90" s="197"/>
    </row>
    <row r="91" spans="1:10" ht="4.9000000000000004" customHeight="1">
      <c r="A91" s="614"/>
      <c r="B91" s="31" t="s">
        <v>530</v>
      </c>
      <c r="C91" s="113" t="s">
        <v>405</v>
      </c>
      <c r="D91" s="113"/>
      <c r="E91" s="225"/>
      <c r="F91" s="225"/>
      <c r="G91" s="225"/>
      <c r="H91" s="225"/>
      <c r="I91" s="197"/>
      <c r="J91" s="197"/>
    </row>
    <row r="92" spans="1:10" ht="4.9000000000000004" customHeight="1">
      <c r="A92" s="614"/>
      <c r="B92" s="26" t="s">
        <v>531</v>
      </c>
      <c r="C92" s="113" t="s">
        <v>405</v>
      </c>
      <c r="D92" s="113"/>
      <c r="E92" s="229"/>
      <c r="F92" s="229"/>
      <c r="G92" s="229"/>
      <c r="H92" s="229"/>
      <c r="I92" s="197"/>
      <c r="J92" s="197"/>
    </row>
    <row r="93" spans="1:10" ht="4.9000000000000004" customHeight="1" thickBot="1">
      <c r="A93" s="615"/>
      <c r="B93" s="26" t="s">
        <v>532</v>
      </c>
      <c r="C93" s="113" t="s">
        <v>405</v>
      </c>
      <c r="D93" s="113"/>
      <c r="E93" s="229"/>
      <c r="F93" s="229"/>
      <c r="G93" s="229"/>
      <c r="H93" s="229"/>
      <c r="I93" s="197"/>
      <c r="J93" s="197"/>
    </row>
    <row r="94" spans="1:10" ht="33" customHeight="1" thickTop="1">
      <c r="B94" s="48"/>
      <c r="C94" s="113" t="s">
        <v>405</v>
      </c>
      <c r="D94" s="113"/>
      <c r="E94" s="229"/>
      <c r="F94" s="229"/>
      <c r="G94" s="229"/>
      <c r="H94" s="229"/>
      <c r="I94" s="197"/>
      <c r="J94" s="197"/>
    </row>
    <row r="95" spans="1:10" ht="33" customHeight="1">
      <c r="B95" s="59" t="s">
        <v>533</v>
      </c>
      <c r="C95" s="113" t="s">
        <v>405</v>
      </c>
      <c r="D95" s="113"/>
      <c r="E95" s="229"/>
      <c r="F95" s="229"/>
      <c r="G95" s="229"/>
      <c r="H95" s="229"/>
      <c r="I95" s="197"/>
      <c r="J95" s="197"/>
    </row>
    <row r="96" spans="1:10" ht="33" customHeight="1">
      <c r="B96" s="59" t="s">
        <v>534</v>
      </c>
      <c r="C96" s="113" t="s">
        <v>405</v>
      </c>
      <c r="D96" s="113"/>
      <c r="E96" s="229"/>
      <c r="F96" s="229"/>
      <c r="G96" s="229"/>
      <c r="H96" s="229"/>
      <c r="I96" s="197"/>
      <c r="J96" s="197"/>
    </row>
    <row r="97" spans="2:10" ht="33" customHeight="1">
      <c r="B97" s="48" t="s">
        <v>535</v>
      </c>
      <c r="C97" s="113" t="s">
        <v>405</v>
      </c>
      <c r="D97" s="113"/>
      <c r="E97" s="229"/>
      <c r="F97" s="229"/>
      <c r="G97" s="229"/>
      <c r="H97" s="229"/>
      <c r="I97" s="197"/>
      <c r="J97" s="197"/>
    </row>
    <row r="98" spans="2:10" ht="33" customHeight="1">
      <c r="B98" s="48"/>
      <c r="C98" s="113" t="s">
        <v>405</v>
      </c>
      <c r="D98" s="113"/>
      <c r="E98" s="229"/>
      <c r="F98" s="229"/>
      <c r="G98" s="229"/>
      <c r="H98" s="229"/>
      <c r="I98" s="197"/>
      <c r="J98" s="197"/>
    </row>
    <row r="99" spans="2:10" ht="33" customHeight="1">
      <c r="B99" s="48"/>
      <c r="C99" s="113" t="s">
        <v>405</v>
      </c>
      <c r="D99" s="80"/>
      <c r="E99" s="229"/>
      <c r="F99" s="229"/>
      <c r="G99" s="229"/>
      <c r="H99" s="229"/>
      <c r="I99" s="197"/>
      <c r="J99" s="197"/>
    </row>
    <row r="100" spans="2:10" ht="33" customHeight="1">
      <c r="B100" s="60" t="s">
        <v>536</v>
      </c>
      <c r="C100" s="388" t="s">
        <v>537</v>
      </c>
      <c r="D100" s="230"/>
      <c r="E100" s="229"/>
      <c r="F100" s="229"/>
      <c r="G100" s="229"/>
      <c r="H100" s="229"/>
      <c r="I100" s="197"/>
      <c r="J100" s="197"/>
    </row>
    <row r="101" spans="2:10" ht="33" customHeight="1">
      <c r="B101" s="61" t="s">
        <v>538</v>
      </c>
      <c r="C101" s="389" t="s">
        <v>539</v>
      </c>
      <c r="D101" s="230"/>
      <c r="E101" s="231"/>
      <c r="F101" s="231"/>
      <c r="G101" s="231"/>
      <c r="H101" s="231"/>
      <c r="I101" s="197"/>
      <c r="J101" s="197"/>
    </row>
    <row r="102" spans="2:10" ht="33" customHeight="1">
      <c r="B102" s="62" t="s">
        <v>540</v>
      </c>
      <c r="C102" s="389" t="s">
        <v>541</v>
      </c>
      <c r="D102" s="230"/>
      <c r="E102" s="229"/>
      <c r="F102" s="229"/>
      <c r="G102" s="229"/>
      <c r="H102" s="229"/>
      <c r="I102" s="197"/>
      <c r="J102" s="197"/>
    </row>
    <row r="103" spans="2:10" ht="33" customHeight="1">
      <c r="B103" s="62" t="s">
        <v>542</v>
      </c>
      <c r="C103" s="389" t="s">
        <v>543</v>
      </c>
      <c r="D103" s="230"/>
      <c r="E103" s="229"/>
      <c r="F103" s="229"/>
      <c r="G103" s="229"/>
      <c r="H103" s="229"/>
      <c r="I103" s="197"/>
      <c r="J103" s="197"/>
    </row>
    <row r="104" spans="2:10" ht="33" customHeight="1">
      <c r="B104" s="62" t="s">
        <v>544</v>
      </c>
      <c r="C104" s="390" t="s">
        <v>545</v>
      </c>
      <c r="D104" s="230"/>
      <c r="E104" s="229"/>
      <c r="F104" s="229"/>
      <c r="G104" s="229"/>
      <c r="H104" s="229"/>
      <c r="I104" s="197"/>
      <c r="J104" s="197"/>
    </row>
    <row r="105" spans="2:10" ht="33" customHeight="1">
      <c r="B105" s="61" t="s">
        <v>546</v>
      </c>
      <c r="C105" s="391" t="s">
        <v>547</v>
      </c>
      <c r="D105" s="230"/>
      <c r="E105" s="229"/>
      <c r="F105" s="229"/>
      <c r="G105" s="229"/>
      <c r="H105" s="229"/>
      <c r="I105" s="197"/>
      <c r="J105" s="197"/>
    </row>
    <row r="106" spans="2:10" ht="33" customHeight="1">
      <c r="B106" s="62" t="s">
        <v>548</v>
      </c>
      <c r="C106" s="392" t="s">
        <v>549</v>
      </c>
      <c r="D106" s="230"/>
      <c r="E106" s="229"/>
      <c r="F106" s="229"/>
      <c r="G106" s="229"/>
      <c r="H106" s="229"/>
      <c r="I106" s="197"/>
      <c r="J106" s="197"/>
    </row>
    <row r="107" spans="2:10" ht="33" customHeight="1">
      <c r="B107" s="62" t="s">
        <v>550</v>
      </c>
      <c r="C107" s="388" t="s">
        <v>551</v>
      </c>
      <c r="D107" s="230"/>
      <c r="E107" s="229"/>
      <c r="F107" s="229"/>
      <c r="G107" s="229"/>
      <c r="H107" s="229"/>
      <c r="I107" s="197"/>
      <c r="J107" s="197"/>
    </row>
    <row r="108" spans="2:10" ht="33" customHeight="1">
      <c r="B108" s="62" t="s">
        <v>552</v>
      </c>
      <c r="C108" s="393" t="s">
        <v>553</v>
      </c>
      <c r="D108" s="230"/>
      <c r="E108" s="229"/>
      <c r="F108" s="229"/>
      <c r="G108" s="229"/>
      <c r="H108" s="229"/>
      <c r="I108" s="197"/>
      <c r="J108" s="197"/>
    </row>
    <row r="109" spans="2:10" ht="33" customHeight="1">
      <c r="B109" s="63" t="s">
        <v>554</v>
      </c>
      <c r="C109" s="388" t="s">
        <v>555</v>
      </c>
      <c r="D109" s="230"/>
      <c r="E109" s="231"/>
      <c r="F109" s="231"/>
      <c r="G109" s="231"/>
      <c r="H109" s="231"/>
      <c r="I109" s="197"/>
      <c r="J109" s="197"/>
    </row>
    <row r="110" spans="2:10" ht="33" customHeight="1">
      <c r="B110" s="63" t="s">
        <v>556</v>
      </c>
      <c r="C110" s="394" t="s">
        <v>557</v>
      </c>
      <c r="D110" s="230"/>
      <c r="E110" s="231"/>
      <c r="F110" s="231"/>
      <c r="G110" s="231"/>
      <c r="H110" s="231"/>
      <c r="I110" s="197"/>
      <c r="J110" s="197"/>
    </row>
    <row r="111" spans="2:10" ht="33" customHeight="1">
      <c r="B111" s="64" t="s">
        <v>558</v>
      </c>
      <c r="C111" s="388" t="s">
        <v>559</v>
      </c>
      <c r="D111" s="230"/>
      <c r="E111" s="229"/>
      <c r="F111" s="229"/>
      <c r="G111" s="229"/>
      <c r="H111" s="229"/>
      <c r="I111" s="197"/>
      <c r="J111" s="197"/>
    </row>
    <row r="112" spans="2:10" ht="33" customHeight="1">
      <c r="B112" s="65" t="s">
        <v>560</v>
      </c>
      <c r="C112" s="395" t="s">
        <v>561</v>
      </c>
      <c r="D112" s="230"/>
      <c r="E112" s="229"/>
      <c r="F112" s="229"/>
      <c r="G112" s="229"/>
      <c r="H112" s="229"/>
      <c r="I112" s="197"/>
      <c r="J112" s="197"/>
    </row>
    <row r="113" spans="2:10" ht="33" customHeight="1">
      <c r="B113" s="66" t="s">
        <v>562</v>
      </c>
      <c r="C113" s="403" t="s">
        <v>563</v>
      </c>
      <c r="D113" s="232"/>
      <c r="E113" s="233"/>
      <c r="F113" s="233"/>
      <c r="G113" s="233"/>
      <c r="H113" s="233"/>
      <c r="I113" s="197"/>
      <c r="J113" s="197"/>
    </row>
    <row r="114" spans="2:10" ht="33" customHeight="1">
      <c r="B114" s="61" t="s">
        <v>564</v>
      </c>
      <c r="C114" s="404" t="s">
        <v>565</v>
      </c>
      <c r="D114" s="230"/>
      <c r="E114" s="234"/>
      <c r="F114" s="234"/>
      <c r="G114" s="234"/>
      <c r="H114" s="234"/>
      <c r="I114" s="197"/>
      <c r="J114" s="197"/>
    </row>
    <row r="115" spans="2:10" ht="33" customHeight="1">
      <c r="B115" s="62" t="s">
        <v>566</v>
      </c>
      <c r="C115" s="405" t="s">
        <v>567</v>
      </c>
      <c r="D115" s="232"/>
      <c r="E115" s="235"/>
      <c r="F115" s="235"/>
      <c r="G115" s="235"/>
      <c r="H115" s="235"/>
      <c r="I115" s="197"/>
      <c r="J115" s="197"/>
    </row>
    <row r="116" spans="2:10" ht="33" customHeight="1">
      <c r="B116" s="67" t="s">
        <v>568</v>
      </c>
      <c r="C116" s="396" t="s">
        <v>569</v>
      </c>
      <c r="D116" s="230"/>
      <c r="E116" s="229"/>
      <c r="F116" s="229"/>
      <c r="G116" s="229"/>
      <c r="H116" s="229"/>
      <c r="I116" s="197"/>
      <c r="J116" s="197"/>
    </row>
    <row r="117" spans="2:10" ht="33" customHeight="1">
      <c r="B117" s="68" t="s">
        <v>570</v>
      </c>
      <c r="C117" s="388" t="s">
        <v>571</v>
      </c>
      <c r="D117" s="230"/>
      <c r="E117" s="229"/>
      <c r="F117" s="229"/>
      <c r="G117" s="229"/>
      <c r="H117" s="229"/>
      <c r="I117" s="197"/>
      <c r="J117" s="197"/>
    </row>
    <row r="118" spans="2:10" ht="33" customHeight="1">
      <c r="B118" s="69" t="s">
        <v>572</v>
      </c>
      <c r="C118" s="116"/>
    </row>
    <row r="119" spans="2:10" ht="33" customHeight="1">
      <c r="B119" s="71" t="s">
        <v>573</v>
      </c>
      <c r="C119" s="397"/>
    </row>
    <row r="120" spans="2:10" ht="33" customHeight="1">
      <c r="B120" s="69" t="s">
        <v>574</v>
      </c>
      <c r="C120" s="117"/>
    </row>
    <row r="121" spans="2:10" ht="33" customHeight="1">
      <c r="B121" s="69" t="s">
        <v>575</v>
      </c>
      <c r="C121" s="398"/>
    </row>
    <row r="122" spans="2:10" ht="33" customHeight="1">
      <c r="B122" s="69" t="s">
        <v>576</v>
      </c>
      <c r="C122" s="230"/>
    </row>
    <row r="123" spans="2:10" ht="33" customHeight="1">
      <c r="B123" s="69" t="s">
        <v>577</v>
      </c>
      <c r="C123" s="399" t="e">
        <v>#N/A</v>
      </c>
    </row>
    <row r="124" spans="2:10" ht="33" customHeight="1">
      <c r="B124" s="69" t="s">
        <v>578</v>
      </c>
      <c r="C124" s="399" t="s">
        <v>405</v>
      </c>
    </row>
    <row r="125" spans="2:10" ht="33" customHeight="1">
      <c r="B125" s="69"/>
      <c r="C125" s="400" t="s">
        <v>405</v>
      </c>
    </row>
    <row r="126" spans="2:10" ht="33" customHeight="1">
      <c r="B126" s="48"/>
      <c r="C126" s="401" t="s">
        <v>579</v>
      </c>
    </row>
    <row r="127" spans="2:10" ht="33" customHeight="1">
      <c r="B127" s="48"/>
      <c r="C127" s="216" t="s">
        <v>5</v>
      </c>
    </row>
    <row r="128" spans="2:10" ht="33" customHeight="1">
      <c r="B128" s="69"/>
      <c r="C128" s="216" t="s">
        <v>399</v>
      </c>
    </row>
    <row r="129" spans="2:3" ht="33" customHeight="1">
      <c r="B129" s="71"/>
      <c r="C129" s="216" t="s">
        <v>401</v>
      </c>
    </row>
    <row r="130" spans="2:3" ht="33" customHeight="1">
      <c r="B130" s="69"/>
      <c r="C130" s="216" t="s">
        <v>402</v>
      </c>
    </row>
    <row r="131" spans="2:3" ht="33" customHeight="1">
      <c r="B131" s="69"/>
      <c r="C131" s="238" t="s">
        <v>403</v>
      </c>
    </row>
    <row r="132" spans="2:3" ht="33" customHeight="1">
      <c r="B132" s="48"/>
      <c r="C132" s="216" t="s">
        <v>412</v>
      </c>
    </row>
    <row r="133" spans="2:3" ht="33" customHeight="1">
      <c r="B133" s="48"/>
      <c r="C133" s="402">
        <v>45315</v>
      </c>
    </row>
    <row r="134" spans="2:3" ht="33" customHeight="1">
      <c r="B134" s="48"/>
      <c r="C134" s="402">
        <v>44817</v>
      </c>
    </row>
    <row r="135" spans="2:3" ht="33" customHeight="1">
      <c r="B135" s="48"/>
      <c r="C135" s="216" t="s">
        <v>432</v>
      </c>
    </row>
    <row r="136" spans="2:3" ht="33" customHeight="1">
      <c r="B136" s="48"/>
      <c r="C136" s="216" t="s">
        <v>2</v>
      </c>
    </row>
    <row r="137" spans="2:3" ht="33" customHeight="1">
      <c r="B137" s="48"/>
      <c r="C137" s="216" t="s">
        <v>436</v>
      </c>
    </row>
    <row r="138" spans="2:3" ht="33" customHeight="1">
      <c r="C138" s="216" t="s">
        <v>438</v>
      </c>
    </row>
    <row r="139" spans="2:3" ht="33" customHeight="1">
      <c r="C139" s="216" t="s">
        <v>440</v>
      </c>
    </row>
    <row r="140" spans="2:3" ht="33" customHeight="1">
      <c r="C140" s="216" t="s">
        <v>442</v>
      </c>
    </row>
    <row r="141" spans="2:3" ht="33" customHeight="1">
      <c r="C141" s="216">
        <v>0</v>
      </c>
    </row>
    <row r="142" spans="2:3" ht="33" customHeight="1">
      <c r="C142" s="216" t="s">
        <v>438</v>
      </c>
    </row>
    <row r="143" spans="2:3" ht="33" customHeight="1">
      <c r="C143" s="399" t="s">
        <v>405</v>
      </c>
    </row>
    <row r="144" spans="2:3" ht="33" customHeight="1">
      <c r="C144" s="399" t="s">
        <v>405</v>
      </c>
    </row>
    <row r="145" spans="3:3" ht="33" customHeight="1">
      <c r="C145" s="399" t="s">
        <v>405</v>
      </c>
    </row>
    <row r="146" spans="3:3" ht="33" customHeight="1">
      <c r="C146" s="399" t="s">
        <v>405</v>
      </c>
    </row>
    <row r="147" spans="3:3" ht="33" customHeight="1">
      <c r="C147" s="399" t="s">
        <v>405</v>
      </c>
    </row>
    <row r="148" spans="3:3" ht="33" customHeight="1">
      <c r="C148" s="117" t="s">
        <v>405</v>
      </c>
    </row>
    <row r="149" spans="3:3" ht="33" customHeight="1">
      <c r="C149" s="117" t="s">
        <v>405</v>
      </c>
    </row>
    <row r="150" spans="3:3" ht="33" customHeight="1">
      <c r="C150" s="117" t="s">
        <v>405</v>
      </c>
    </row>
    <row r="151" spans="3:3" ht="33" customHeight="1">
      <c r="C151" s="117" t="s">
        <v>405</v>
      </c>
    </row>
    <row r="152" spans="3:3" ht="33" customHeight="1">
      <c r="C152" s="117" t="s">
        <v>405</v>
      </c>
    </row>
    <row r="153" spans="3:3" ht="33" customHeight="1">
      <c r="C153" s="113" t="s">
        <v>405</v>
      </c>
    </row>
    <row r="154" spans="3:3" ht="33" customHeight="1">
      <c r="C154" s="113" t="s">
        <v>405</v>
      </c>
    </row>
    <row r="155" spans="3:3" ht="33" customHeight="1">
      <c r="C155" s="113" t="s">
        <v>405</v>
      </c>
    </row>
    <row r="156" spans="3:3" ht="33" customHeight="1">
      <c r="C156" s="113" t="s">
        <v>405</v>
      </c>
    </row>
    <row r="157" spans="3:3" ht="33" customHeight="1">
      <c r="C157" s="113" t="e">
        <v>#N/A</v>
      </c>
    </row>
    <row r="158" spans="3:3" ht="33" customHeight="1">
      <c r="C158" s="113" t="e">
        <v>#N/A</v>
      </c>
    </row>
    <row r="159" spans="3:3" ht="33" customHeight="1">
      <c r="C159" s="113" t="e">
        <v>#N/A</v>
      </c>
    </row>
    <row r="160" spans="3:3" ht="33" customHeight="1">
      <c r="C160" s="113" t="e">
        <v>#N/A</v>
      </c>
    </row>
    <row r="161" spans="3:3" ht="33" customHeight="1">
      <c r="C161" s="113" t="e">
        <v>#N/A</v>
      </c>
    </row>
    <row r="162" spans="3:3" ht="33" customHeight="1">
      <c r="C162" s="113" t="e">
        <v>#N/A</v>
      </c>
    </row>
    <row r="163" spans="3:3" ht="33" customHeight="1">
      <c r="C163" s="113" t="e">
        <v>#N/A</v>
      </c>
    </row>
    <row r="164" spans="3:3" ht="33" customHeight="1">
      <c r="C164" s="113" t="e">
        <v>#N/A</v>
      </c>
    </row>
    <row r="165" spans="3:3" ht="33" customHeight="1">
      <c r="C165" s="113" t="e">
        <v>#N/A</v>
      </c>
    </row>
    <row r="166" spans="3:3" ht="33" customHeight="1">
      <c r="C166" s="113" t="e">
        <v>#N/A</v>
      </c>
    </row>
    <row r="167" spans="3:3" ht="33" customHeight="1">
      <c r="C167" s="113" t="e">
        <v>#N/A</v>
      </c>
    </row>
    <row r="168" spans="3:3" ht="33" customHeight="1">
      <c r="C168" s="113" t="e">
        <v>#N/A</v>
      </c>
    </row>
    <row r="169" spans="3:3" ht="33" customHeight="1">
      <c r="C169" s="113" t="e">
        <v>#N/A</v>
      </c>
    </row>
    <row r="170" spans="3:3" ht="33" customHeight="1">
      <c r="C170" s="113" t="e">
        <v>#N/A</v>
      </c>
    </row>
    <row r="171" spans="3:3" ht="33" customHeight="1">
      <c r="C171" s="113" t="e">
        <v>#N/A</v>
      </c>
    </row>
    <row r="172" spans="3:3" ht="33" customHeight="1">
      <c r="C172" s="113" t="e">
        <v>#N/A</v>
      </c>
    </row>
    <row r="173" spans="3:3" ht="33" customHeight="1">
      <c r="C173" s="113" t="e">
        <v>#N/A</v>
      </c>
    </row>
    <row r="174" spans="3:3" ht="33" customHeight="1">
      <c r="C174" s="113" t="e">
        <v>#N/A</v>
      </c>
    </row>
    <row r="175" spans="3:3" ht="33" customHeight="1">
      <c r="C175" s="113" t="e">
        <v>#N/A</v>
      </c>
    </row>
    <row r="176" spans="3:3" ht="33" customHeight="1">
      <c r="C176" s="113" t="e">
        <v>#N/A</v>
      </c>
    </row>
    <row r="177" spans="3:3" ht="33" customHeight="1">
      <c r="C177" s="113" t="e">
        <v>#N/A</v>
      </c>
    </row>
    <row r="178" spans="3:3" ht="33" customHeight="1">
      <c r="C178" s="113" t="e">
        <v>#N/A</v>
      </c>
    </row>
    <row r="179" spans="3:3" ht="33" customHeight="1">
      <c r="C179" s="113" t="e">
        <v>#N/A</v>
      </c>
    </row>
    <row r="180" spans="3:3" ht="33" customHeight="1">
      <c r="C180" s="117" t="e">
        <v>#N/A</v>
      </c>
    </row>
    <row r="181" spans="3:3" ht="33" customHeight="1">
      <c r="C181" s="117" t="e">
        <v>#N/A</v>
      </c>
    </row>
    <row r="182" spans="3:3" ht="33" customHeight="1">
      <c r="C182" s="117" t="e">
        <v>#N/A</v>
      </c>
    </row>
    <row r="183" spans="3:3" ht="33" customHeight="1">
      <c r="C183" s="117"/>
    </row>
    <row r="184" spans="3:3" ht="33" customHeight="1">
      <c r="C184" s="117"/>
    </row>
    <row r="185" spans="3:3" ht="33" customHeight="1">
      <c r="C185" s="117"/>
    </row>
    <row r="186" spans="3:3" ht="33" customHeight="1">
      <c r="C186" s="117"/>
    </row>
    <row r="187" spans="3:3" ht="33" customHeight="1">
      <c r="C187" s="117"/>
    </row>
    <row r="188" spans="3:3" ht="33" customHeight="1">
      <c r="C188" s="117"/>
    </row>
    <row r="189" spans="3:3" ht="33" customHeight="1">
      <c r="C189" s="117"/>
    </row>
    <row r="190" spans="3:3" ht="33" customHeight="1">
      <c r="C190" s="117"/>
    </row>
    <row r="191" spans="3:3" ht="33" customHeight="1">
      <c r="C191" s="117"/>
    </row>
    <row r="192" spans="3:3" ht="33" customHeight="1">
      <c r="C192" s="117"/>
    </row>
    <row r="193" spans="3:3" ht="33" customHeight="1">
      <c r="C193" s="117"/>
    </row>
    <row r="194" spans="3:3" ht="33" customHeight="1">
      <c r="C194" s="117"/>
    </row>
    <row r="195" spans="3:3" ht="33" customHeight="1">
      <c r="C195" s="117"/>
    </row>
    <row r="196" spans="3:3" ht="33" customHeight="1">
      <c r="C196" s="117"/>
    </row>
    <row r="197" spans="3:3" ht="33" customHeight="1">
      <c r="C197" s="117"/>
    </row>
    <row r="198" spans="3:3" ht="33" customHeight="1">
      <c r="C198" s="117"/>
    </row>
    <row r="199" spans="3:3" ht="33" customHeight="1">
      <c r="C199" s="117"/>
    </row>
    <row r="200" spans="3:3" ht="33" customHeight="1">
      <c r="C200" s="117"/>
    </row>
    <row r="201" spans="3:3" ht="33" customHeight="1">
      <c r="C201" s="117"/>
    </row>
    <row r="202" spans="3:3" ht="33" customHeight="1">
      <c r="C202" s="117"/>
    </row>
    <row r="203" spans="3:3" ht="33" customHeight="1">
      <c r="C203" s="117"/>
    </row>
    <row r="204" spans="3:3" ht="33" customHeight="1">
      <c r="C204" s="117"/>
    </row>
    <row r="205" spans="3:3" ht="33" customHeight="1">
      <c r="C205" s="117"/>
    </row>
    <row r="206" spans="3:3" ht="33" customHeight="1">
      <c r="C206" s="117"/>
    </row>
    <row r="207" spans="3:3" ht="33" customHeight="1">
      <c r="C207" s="117"/>
    </row>
    <row r="208" spans="3:3" ht="33" customHeight="1">
      <c r="C208" s="117"/>
    </row>
    <row r="209" spans="3:3" ht="33" customHeight="1">
      <c r="C209" s="117"/>
    </row>
    <row r="210" spans="3:3" ht="33" customHeight="1">
      <c r="C210" s="117"/>
    </row>
    <row r="211" spans="3:3" ht="33" customHeight="1">
      <c r="C211" s="117"/>
    </row>
    <row r="212" spans="3:3" ht="33" customHeight="1">
      <c r="C212" s="117"/>
    </row>
    <row r="213" spans="3:3" ht="33" customHeight="1">
      <c r="C213" s="117"/>
    </row>
    <row r="214" spans="3:3" ht="33" customHeight="1">
      <c r="C214" s="117"/>
    </row>
    <row r="215" spans="3:3" ht="33" customHeight="1">
      <c r="C215" s="117"/>
    </row>
    <row r="216" spans="3:3" ht="33" customHeight="1">
      <c r="C216" s="117"/>
    </row>
    <row r="217" spans="3:3" ht="33" customHeight="1">
      <c r="C217" s="117"/>
    </row>
    <row r="218" spans="3:3" ht="33" customHeight="1">
      <c r="C218" s="117"/>
    </row>
    <row r="219" spans="3:3" ht="33" customHeight="1">
      <c r="C219" s="117"/>
    </row>
    <row r="220" spans="3:3" ht="33" customHeight="1">
      <c r="C220" s="117"/>
    </row>
    <row r="221" spans="3:3" ht="33" customHeight="1">
      <c r="C221" s="117"/>
    </row>
    <row r="222" spans="3:3" ht="33" customHeight="1">
      <c r="C222" s="117"/>
    </row>
    <row r="223" spans="3:3" ht="33" customHeight="1">
      <c r="C223" s="117"/>
    </row>
    <row r="224" spans="3:3" ht="33" customHeight="1">
      <c r="C224" s="117"/>
    </row>
    <row r="225" spans="3:3" ht="33" customHeight="1">
      <c r="C225" s="117"/>
    </row>
    <row r="226" spans="3:3" ht="33" customHeight="1">
      <c r="C226" s="117"/>
    </row>
    <row r="227" spans="3:3" ht="33" customHeight="1">
      <c r="C227" s="117"/>
    </row>
    <row r="228" spans="3:3" ht="33" customHeight="1">
      <c r="C228" s="117"/>
    </row>
    <row r="229" spans="3:3" ht="33" customHeight="1">
      <c r="C229" s="117"/>
    </row>
    <row r="230" spans="3:3" ht="33" customHeight="1">
      <c r="C230" s="117"/>
    </row>
    <row r="231" spans="3:3" ht="33" customHeight="1">
      <c r="C231" s="117"/>
    </row>
    <row r="232" spans="3:3" ht="33" customHeight="1">
      <c r="C232" s="117"/>
    </row>
    <row r="233" spans="3:3" ht="33" customHeight="1">
      <c r="C233" s="117"/>
    </row>
    <row r="234" spans="3:3" ht="33" customHeight="1">
      <c r="C234" s="117"/>
    </row>
    <row r="235" spans="3:3" ht="33" customHeight="1">
      <c r="C235" s="117"/>
    </row>
    <row r="236" spans="3:3" ht="33" customHeight="1">
      <c r="C236" s="117"/>
    </row>
    <row r="237" spans="3:3" ht="33" customHeight="1">
      <c r="C237" s="117"/>
    </row>
    <row r="238" spans="3:3" ht="33" customHeight="1">
      <c r="C238" s="117"/>
    </row>
  </sheetData>
  <mergeCells count="5">
    <mergeCell ref="A78:A93"/>
    <mergeCell ref="A11:A18"/>
    <mergeCell ref="A19:A22"/>
    <mergeCell ref="A27:A49"/>
    <mergeCell ref="D53:D77"/>
  </mergeCells>
  <pageMargins left="0.53" right="0.28000000000000003" top="0.2" bottom="0.3" header="0.16" footer="0.16"/>
  <pageSetup orientation="portrait" r:id="rId1"/>
  <headerFooter>
    <oddFooter>&amp;L&amp;P&amp;C&amp;A&amp;R&amp;F</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06FF8-8037-4F4F-95E6-10B9C3760423}">
  <sheetPr codeName="Sheet5"/>
  <dimension ref="A1:AI149"/>
  <sheetViews>
    <sheetView zoomScaleNormal="100" zoomScaleSheetLayoutView="100" workbookViewId="0">
      <pane xSplit="1" ySplit="1" topLeftCell="B2" activePane="bottomRight" state="frozen"/>
      <selection pane="topRight" activeCell="C205" sqref="C205"/>
      <selection pane="bottomLeft" activeCell="C205" sqref="C205"/>
      <selection pane="bottomRight" activeCell="A8" sqref="A8:G8"/>
    </sheetView>
  </sheetViews>
  <sheetFormatPr defaultRowHeight="12.75"/>
  <cols>
    <col min="1" max="1" width="4.5" style="197" customWidth="1"/>
    <col min="2" max="2" width="5.6640625" style="486" customWidth="1"/>
    <col min="3" max="3" width="8" style="481" customWidth="1"/>
    <col min="4" max="4" width="6.5" style="197" customWidth="1"/>
    <col min="5" max="5" width="41.83203125" style="197" customWidth="1"/>
    <col min="6" max="6" width="10.6640625" style="482" customWidth="1"/>
    <col min="7" max="7" width="3.5" style="197" customWidth="1"/>
    <col min="8" max="8" width="8.83203125" style="197" customWidth="1"/>
    <col min="9" max="9" width="7.5" style="197" customWidth="1"/>
    <col min="10" max="10" width="5.83203125" style="197" customWidth="1"/>
    <col min="11" max="11" width="10" style="484" customWidth="1"/>
    <col min="12" max="12" width="11" style="197" bestFit="1" customWidth="1"/>
    <col min="13" max="13" width="9" style="197" bestFit="1" customWidth="1"/>
    <col min="14" max="14" width="17.33203125" style="197" bestFit="1" customWidth="1"/>
    <col min="15" max="15" width="15.1640625" style="197" bestFit="1" customWidth="1"/>
    <col min="16" max="16" width="18" style="197" bestFit="1" customWidth="1"/>
    <col min="17" max="17" width="9.1640625" style="197" bestFit="1" customWidth="1"/>
    <col min="18" max="18" width="12.1640625" style="197" bestFit="1" customWidth="1"/>
    <col min="19" max="19" width="19.83203125" style="197" bestFit="1" customWidth="1"/>
    <col min="20" max="20" width="16.83203125" style="197" bestFit="1" customWidth="1"/>
    <col min="21" max="21" width="10.83203125" style="197" bestFit="1" customWidth="1"/>
    <col min="22" max="22" width="10.5" style="197" bestFit="1" customWidth="1"/>
    <col min="23" max="23" width="5.33203125" style="197" bestFit="1" customWidth="1"/>
    <col min="24" max="24" width="19.83203125" style="197" bestFit="1" customWidth="1"/>
    <col min="25" max="25" width="22.83203125" style="197" bestFit="1" customWidth="1"/>
    <col min="26" max="26" width="13.83203125" style="197" bestFit="1" customWidth="1"/>
    <col min="27" max="27" width="9.33203125" style="197"/>
    <col min="28" max="28" width="4.83203125" style="197" bestFit="1" customWidth="1"/>
    <col min="29" max="29" width="9.33203125" style="197" bestFit="1" customWidth="1"/>
    <col min="30" max="30" width="6" style="197" bestFit="1" customWidth="1"/>
    <col min="31" max="31" width="10.5" style="197" bestFit="1" customWidth="1"/>
    <col min="32" max="32" width="11.6640625" style="197" bestFit="1" customWidth="1"/>
    <col min="33" max="33" width="17.33203125" style="197" bestFit="1" customWidth="1"/>
    <col min="34" max="34" width="11.83203125" style="197" bestFit="1" customWidth="1"/>
    <col min="35" max="35" width="15" style="197" bestFit="1" customWidth="1"/>
    <col min="36" max="16384" width="9.33203125" style="197"/>
  </cols>
  <sheetData>
    <row r="1" spans="1:35" s="491" customFormat="1" ht="24.95" customHeight="1">
      <c r="A1" s="487" t="s">
        <v>228</v>
      </c>
      <c r="B1" s="488" t="s">
        <v>585</v>
      </c>
      <c r="C1" s="488" t="s">
        <v>581</v>
      </c>
      <c r="D1" s="487" t="s">
        <v>582</v>
      </c>
      <c r="E1" s="487" t="s">
        <v>583</v>
      </c>
      <c r="F1" s="489" t="s">
        <v>232</v>
      </c>
      <c r="G1" s="487" t="s">
        <v>231</v>
      </c>
      <c r="H1" s="487" t="s">
        <v>233</v>
      </c>
      <c r="I1" s="487" t="s">
        <v>584</v>
      </c>
      <c r="J1" s="487" t="s">
        <v>713</v>
      </c>
      <c r="K1" s="490" t="s">
        <v>714</v>
      </c>
      <c r="L1" s="487" t="s">
        <v>715</v>
      </c>
      <c r="M1" s="487" t="s">
        <v>716</v>
      </c>
      <c r="N1" s="487" t="s">
        <v>717</v>
      </c>
      <c r="O1" s="487" t="s">
        <v>718</v>
      </c>
      <c r="P1" s="487" t="s">
        <v>719</v>
      </c>
      <c r="Q1" s="487" t="s">
        <v>720</v>
      </c>
      <c r="R1" s="487" t="s">
        <v>721</v>
      </c>
      <c r="S1" s="487" t="s">
        <v>722</v>
      </c>
      <c r="T1" s="487" t="s">
        <v>723</v>
      </c>
      <c r="U1" s="487" t="s">
        <v>683</v>
      </c>
      <c r="V1" s="487" t="s">
        <v>724</v>
      </c>
      <c r="W1" s="487" t="s">
        <v>725</v>
      </c>
      <c r="X1" s="487" t="s">
        <v>726</v>
      </c>
      <c r="Y1" s="487" t="s">
        <v>727</v>
      </c>
      <c r="Z1" s="487" t="s">
        <v>728</v>
      </c>
      <c r="AA1" s="487" t="s">
        <v>729</v>
      </c>
      <c r="AB1" s="487" t="s">
        <v>730</v>
      </c>
      <c r="AC1" s="487" t="s">
        <v>731</v>
      </c>
      <c r="AD1" s="487" t="s">
        <v>732</v>
      </c>
      <c r="AE1" s="487" t="s">
        <v>586</v>
      </c>
      <c r="AF1" s="487" t="s">
        <v>733</v>
      </c>
      <c r="AG1" s="487" t="s">
        <v>734</v>
      </c>
      <c r="AH1" s="487" t="s">
        <v>735</v>
      </c>
      <c r="AI1" s="487" t="s">
        <v>736</v>
      </c>
    </row>
    <row r="2" spans="1:35">
      <c r="A2" s="479">
        <v>1</v>
      </c>
      <c r="B2" s="480" t="s">
        <v>587</v>
      </c>
      <c r="C2" s="481" t="s">
        <v>345</v>
      </c>
      <c r="D2" s="197" t="s">
        <v>346</v>
      </c>
      <c r="E2" s="197" t="s">
        <v>682</v>
      </c>
      <c r="F2" s="482">
        <v>1</v>
      </c>
      <c r="G2" s="197" t="s">
        <v>355</v>
      </c>
      <c r="H2" s="483">
        <v>0</v>
      </c>
      <c r="I2" s="483">
        <v>0</v>
      </c>
      <c r="J2" s="197">
        <v>0</v>
      </c>
      <c r="K2" s="484" t="s">
        <v>683</v>
      </c>
      <c r="L2" s="483">
        <v>0</v>
      </c>
      <c r="M2" s="483">
        <v>0</v>
      </c>
      <c r="N2" s="483">
        <v>0</v>
      </c>
      <c r="O2" s="483">
        <v>0</v>
      </c>
      <c r="P2" s="483">
        <v>0</v>
      </c>
      <c r="Q2" s="483">
        <v>0</v>
      </c>
      <c r="R2" s="483">
        <v>0</v>
      </c>
      <c r="S2" s="197" t="s">
        <v>684</v>
      </c>
      <c r="T2" s="197" t="s">
        <v>685</v>
      </c>
      <c r="U2" s="197" t="s">
        <v>686</v>
      </c>
      <c r="V2" s="197" t="s">
        <v>687</v>
      </c>
      <c r="X2" s="485">
        <v>45715</v>
      </c>
      <c r="Z2" s="483">
        <v>0</v>
      </c>
      <c r="AA2" s="197" t="s">
        <v>688</v>
      </c>
      <c r="AC2" s="483">
        <v>0</v>
      </c>
      <c r="AD2" s="197" t="s">
        <v>689</v>
      </c>
      <c r="AE2" s="197" t="s">
        <v>690</v>
      </c>
      <c r="AF2" s="483">
        <v>0</v>
      </c>
      <c r="AG2" s="483">
        <v>0</v>
      </c>
      <c r="AH2" s="197" t="s">
        <v>685</v>
      </c>
      <c r="AI2" s="483">
        <v>0</v>
      </c>
    </row>
    <row r="3" spans="1:35">
      <c r="A3" s="479">
        <v>2</v>
      </c>
      <c r="B3" s="480" t="s">
        <v>587</v>
      </c>
      <c r="C3" s="481" t="s">
        <v>345</v>
      </c>
      <c r="D3" s="197" t="s">
        <v>346</v>
      </c>
      <c r="E3" s="197" t="s">
        <v>682</v>
      </c>
      <c r="F3" s="482">
        <v>1</v>
      </c>
      <c r="G3" s="197" t="s">
        <v>355</v>
      </c>
      <c r="H3" s="483">
        <v>0</v>
      </c>
      <c r="I3" s="483">
        <v>0</v>
      </c>
      <c r="J3" s="197">
        <v>0</v>
      </c>
      <c r="K3" s="484" t="s">
        <v>683</v>
      </c>
      <c r="L3" s="483">
        <v>0</v>
      </c>
      <c r="M3" s="483">
        <v>0</v>
      </c>
      <c r="N3" s="483">
        <v>0</v>
      </c>
      <c r="O3" s="483">
        <v>0</v>
      </c>
      <c r="P3" s="483">
        <v>0</v>
      </c>
      <c r="Q3" s="483">
        <v>0</v>
      </c>
      <c r="R3" s="483">
        <v>0</v>
      </c>
      <c r="S3" s="197" t="s">
        <v>684</v>
      </c>
      <c r="T3" s="197" t="s">
        <v>685</v>
      </c>
      <c r="U3" s="197" t="s">
        <v>686</v>
      </c>
      <c r="V3" s="197" t="s">
        <v>687</v>
      </c>
      <c r="X3" s="485">
        <v>45715</v>
      </c>
      <c r="Z3" s="483">
        <v>0</v>
      </c>
      <c r="AA3" s="197" t="s">
        <v>688</v>
      </c>
      <c r="AC3" s="483">
        <v>0</v>
      </c>
      <c r="AD3" s="197" t="s">
        <v>689</v>
      </c>
      <c r="AE3" s="197" t="s">
        <v>690</v>
      </c>
      <c r="AF3" s="483">
        <v>0</v>
      </c>
      <c r="AG3" s="483">
        <v>0</v>
      </c>
      <c r="AH3" s="197" t="s">
        <v>685</v>
      </c>
      <c r="AI3" s="483">
        <v>0</v>
      </c>
    </row>
    <row r="4" spans="1:35">
      <c r="A4" s="479">
        <v>3</v>
      </c>
      <c r="B4" s="480" t="s">
        <v>587</v>
      </c>
      <c r="C4" s="481" t="s">
        <v>345</v>
      </c>
      <c r="D4" s="197" t="s">
        <v>346</v>
      </c>
      <c r="E4" s="197" t="s">
        <v>682</v>
      </c>
      <c r="F4" s="482">
        <v>1</v>
      </c>
      <c r="G4" s="197" t="s">
        <v>355</v>
      </c>
      <c r="H4" s="483">
        <v>0</v>
      </c>
      <c r="I4" s="483">
        <v>0</v>
      </c>
      <c r="J4" s="197">
        <v>0</v>
      </c>
      <c r="K4" s="484" t="s">
        <v>683</v>
      </c>
      <c r="L4" s="483">
        <v>0</v>
      </c>
      <c r="M4" s="483">
        <v>0</v>
      </c>
      <c r="N4" s="483">
        <v>0</v>
      </c>
      <c r="O4" s="483">
        <v>0</v>
      </c>
      <c r="P4" s="483">
        <v>0</v>
      </c>
      <c r="Q4" s="483">
        <v>0</v>
      </c>
      <c r="R4" s="483">
        <v>0</v>
      </c>
      <c r="S4" s="197" t="s">
        <v>684</v>
      </c>
      <c r="T4" s="197" t="s">
        <v>685</v>
      </c>
      <c r="U4" s="197" t="s">
        <v>686</v>
      </c>
      <c r="V4" s="197" t="s">
        <v>687</v>
      </c>
      <c r="X4" s="485">
        <v>45715</v>
      </c>
      <c r="Z4" s="483">
        <v>0</v>
      </c>
      <c r="AA4" s="197" t="s">
        <v>688</v>
      </c>
      <c r="AC4" s="483">
        <v>0</v>
      </c>
      <c r="AD4" s="197" t="s">
        <v>689</v>
      </c>
      <c r="AE4" s="197" t="s">
        <v>690</v>
      </c>
      <c r="AF4" s="483">
        <v>0</v>
      </c>
      <c r="AG4" s="483">
        <v>0</v>
      </c>
      <c r="AH4" s="197" t="s">
        <v>685</v>
      </c>
      <c r="AI4" s="483">
        <v>0</v>
      </c>
    </row>
    <row r="5" spans="1:35">
      <c r="A5" s="479">
        <v>4</v>
      </c>
      <c r="B5" s="480" t="s">
        <v>587</v>
      </c>
      <c r="C5" s="481" t="s">
        <v>345</v>
      </c>
      <c r="D5" s="197" t="s">
        <v>346</v>
      </c>
      <c r="E5" s="197" t="s">
        <v>682</v>
      </c>
      <c r="F5" s="482">
        <v>1</v>
      </c>
      <c r="G5" s="197" t="s">
        <v>355</v>
      </c>
      <c r="H5" s="483">
        <v>0</v>
      </c>
      <c r="I5" s="483">
        <v>0</v>
      </c>
      <c r="J5" s="197">
        <v>0</v>
      </c>
      <c r="K5" s="484" t="s">
        <v>683</v>
      </c>
      <c r="L5" s="483">
        <v>0</v>
      </c>
      <c r="M5" s="483">
        <v>0</v>
      </c>
      <c r="N5" s="483">
        <v>0</v>
      </c>
      <c r="O5" s="483">
        <v>0</v>
      </c>
      <c r="P5" s="483">
        <v>0</v>
      </c>
      <c r="Q5" s="483">
        <v>0</v>
      </c>
      <c r="R5" s="483">
        <v>0</v>
      </c>
      <c r="S5" s="197" t="s">
        <v>684</v>
      </c>
      <c r="T5" s="197" t="s">
        <v>685</v>
      </c>
      <c r="U5" s="197" t="s">
        <v>686</v>
      </c>
      <c r="V5" s="197" t="s">
        <v>687</v>
      </c>
      <c r="X5" s="485">
        <v>45715</v>
      </c>
      <c r="Z5" s="483">
        <v>0</v>
      </c>
      <c r="AA5" s="197" t="s">
        <v>688</v>
      </c>
      <c r="AC5" s="483">
        <v>0</v>
      </c>
      <c r="AD5" s="197" t="s">
        <v>689</v>
      </c>
      <c r="AE5" s="197" t="s">
        <v>690</v>
      </c>
      <c r="AF5" s="483">
        <v>0</v>
      </c>
      <c r="AG5" s="483">
        <v>0</v>
      </c>
      <c r="AH5" s="197" t="s">
        <v>685</v>
      </c>
      <c r="AI5" s="483">
        <v>0</v>
      </c>
    </row>
    <row r="6" spans="1:35">
      <c r="A6" s="479">
        <v>5</v>
      </c>
      <c r="B6" s="480" t="s">
        <v>587</v>
      </c>
      <c r="C6" s="481" t="s">
        <v>350</v>
      </c>
      <c r="D6" s="197" t="s">
        <v>346</v>
      </c>
      <c r="E6" s="197" t="s">
        <v>351</v>
      </c>
      <c r="F6" s="482">
        <v>1</v>
      </c>
      <c r="G6" s="197" t="s">
        <v>355</v>
      </c>
      <c r="H6" s="483">
        <v>0</v>
      </c>
      <c r="I6" s="483">
        <v>0</v>
      </c>
      <c r="J6" s="197">
        <v>0</v>
      </c>
      <c r="K6" s="484" t="s">
        <v>683</v>
      </c>
      <c r="L6" s="483">
        <v>0</v>
      </c>
      <c r="M6" s="483">
        <v>0</v>
      </c>
      <c r="N6" s="483">
        <v>0</v>
      </c>
      <c r="O6" s="483">
        <v>0</v>
      </c>
      <c r="P6" s="483">
        <v>0</v>
      </c>
      <c r="Q6" s="483">
        <v>0</v>
      </c>
      <c r="R6" s="483">
        <v>0</v>
      </c>
      <c r="S6" s="197" t="s">
        <v>684</v>
      </c>
      <c r="T6" s="197" t="s">
        <v>685</v>
      </c>
      <c r="U6" s="197" t="s">
        <v>686</v>
      </c>
      <c r="V6" s="197" t="s">
        <v>687</v>
      </c>
      <c r="X6" s="485">
        <v>45715</v>
      </c>
      <c r="Z6" s="483">
        <v>0</v>
      </c>
      <c r="AA6" s="197" t="s">
        <v>688</v>
      </c>
      <c r="AC6" s="483">
        <v>0</v>
      </c>
      <c r="AD6" s="197" t="s">
        <v>689</v>
      </c>
      <c r="AE6" s="197" t="s">
        <v>690</v>
      </c>
      <c r="AF6" s="483">
        <v>0</v>
      </c>
      <c r="AG6" s="483">
        <v>0</v>
      </c>
      <c r="AH6" s="197" t="s">
        <v>685</v>
      </c>
      <c r="AI6" s="483">
        <v>0</v>
      </c>
    </row>
    <row r="7" spans="1:35">
      <c r="A7" s="479">
        <v>6</v>
      </c>
      <c r="B7" s="480" t="s">
        <v>691</v>
      </c>
      <c r="C7" s="481" t="s">
        <v>352</v>
      </c>
      <c r="D7" s="197" t="s">
        <v>353</v>
      </c>
      <c r="E7" s="197" t="s">
        <v>354</v>
      </c>
      <c r="F7" s="482">
        <v>1</v>
      </c>
      <c r="G7" s="197" t="s">
        <v>355</v>
      </c>
      <c r="H7" s="483">
        <v>196.77</v>
      </c>
      <c r="I7" s="483">
        <v>196.77</v>
      </c>
      <c r="J7" s="197">
        <v>212.51</v>
      </c>
      <c r="K7" s="484" t="s">
        <v>692</v>
      </c>
      <c r="L7" s="483">
        <v>212.51</v>
      </c>
      <c r="M7" s="483">
        <v>15.74</v>
      </c>
      <c r="N7" s="483">
        <v>51.11</v>
      </c>
      <c r="O7" s="483">
        <v>24.63</v>
      </c>
      <c r="P7" s="483">
        <v>46.38</v>
      </c>
      <c r="Q7" s="483">
        <v>0</v>
      </c>
      <c r="R7" s="483">
        <v>74.650000000000006</v>
      </c>
      <c r="S7" s="197" t="s">
        <v>684</v>
      </c>
      <c r="T7" s="197" t="s">
        <v>685</v>
      </c>
      <c r="U7" s="197" t="s">
        <v>686</v>
      </c>
      <c r="V7" s="197" t="s">
        <v>687</v>
      </c>
      <c r="X7" s="485">
        <v>44176</v>
      </c>
      <c r="Z7" s="483">
        <v>0</v>
      </c>
      <c r="AA7" s="197" t="s">
        <v>688</v>
      </c>
      <c r="AC7" s="483">
        <v>0</v>
      </c>
      <c r="AD7" s="197" t="s">
        <v>689</v>
      </c>
      <c r="AE7" s="197" t="s">
        <v>693</v>
      </c>
      <c r="AF7" s="483">
        <v>0</v>
      </c>
      <c r="AG7" s="483">
        <v>0</v>
      </c>
      <c r="AH7" s="197" t="s">
        <v>685</v>
      </c>
      <c r="AI7" s="483">
        <v>0</v>
      </c>
    </row>
    <row r="8" spans="1:35">
      <c r="A8" s="479">
        <v>7</v>
      </c>
      <c r="B8" s="480" t="s">
        <v>694</v>
      </c>
      <c r="C8" s="481" t="s">
        <v>345</v>
      </c>
      <c r="D8" s="197" t="s">
        <v>357</v>
      </c>
      <c r="E8" s="197" t="s">
        <v>358</v>
      </c>
      <c r="F8" s="482">
        <v>20.56</v>
      </c>
      <c r="G8" s="197" t="s">
        <v>359</v>
      </c>
      <c r="H8" s="483">
        <v>66.27</v>
      </c>
      <c r="I8" s="483">
        <v>1362.51</v>
      </c>
      <c r="J8" s="197">
        <v>1471.51</v>
      </c>
      <c r="K8" s="484" t="s">
        <v>683</v>
      </c>
      <c r="L8" s="483">
        <v>1471.51</v>
      </c>
      <c r="M8" s="483">
        <v>109</v>
      </c>
      <c r="N8" s="483">
        <v>28.6</v>
      </c>
      <c r="O8" s="483">
        <v>13.42</v>
      </c>
      <c r="P8" s="483">
        <v>24.25</v>
      </c>
      <c r="Q8" s="483">
        <v>0</v>
      </c>
      <c r="R8" s="483">
        <v>0</v>
      </c>
      <c r="S8" s="197" t="s">
        <v>695</v>
      </c>
      <c r="T8" s="197" t="s">
        <v>685</v>
      </c>
      <c r="U8" s="197" t="s">
        <v>686</v>
      </c>
      <c r="V8" s="197" t="s">
        <v>687</v>
      </c>
      <c r="X8" s="485">
        <v>43138</v>
      </c>
      <c r="Z8" s="483">
        <v>0</v>
      </c>
      <c r="AA8" s="197" t="s">
        <v>688</v>
      </c>
      <c r="AC8" s="483">
        <v>0</v>
      </c>
      <c r="AD8" s="197" t="s">
        <v>689</v>
      </c>
      <c r="AE8" s="197" t="s">
        <v>696</v>
      </c>
      <c r="AF8" s="483">
        <v>0</v>
      </c>
      <c r="AG8" s="483">
        <v>0</v>
      </c>
      <c r="AH8" s="197" t="s">
        <v>685</v>
      </c>
      <c r="AI8" s="483">
        <v>0</v>
      </c>
    </row>
    <row r="9" spans="1:35">
      <c r="A9" s="479">
        <v>8</v>
      </c>
      <c r="B9" s="480" t="s">
        <v>694</v>
      </c>
      <c r="C9" s="481" t="s">
        <v>345</v>
      </c>
      <c r="D9" s="197" t="s">
        <v>365</v>
      </c>
      <c r="E9" s="197" t="s">
        <v>366</v>
      </c>
      <c r="F9" s="482">
        <v>1</v>
      </c>
      <c r="G9" s="197" t="s">
        <v>359</v>
      </c>
      <c r="H9" s="483">
        <v>53.83</v>
      </c>
      <c r="I9" s="483">
        <v>53.83</v>
      </c>
      <c r="J9" s="197">
        <v>58.14</v>
      </c>
      <c r="K9" s="484" t="s">
        <v>683</v>
      </c>
      <c r="L9" s="483">
        <v>58.14</v>
      </c>
      <c r="M9" s="483">
        <v>4.3099999999999996</v>
      </c>
      <c r="N9" s="483">
        <v>16.399999999999999</v>
      </c>
      <c r="O9" s="483">
        <v>9.1300000000000008</v>
      </c>
      <c r="P9" s="483">
        <v>28.3</v>
      </c>
      <c r="Q9" s="483">
        <v>0</v>
      </c>
      <c r="R9" s="483">
        <v>0</v>
      </c>
      <c r="S9" s="197" t="s">
        <v>695</v>
      </c>
      <c r="T9" s="197" t="s">
        <v>685</v>
      </c>
      <c r="U9" s="197" t="s">
        <v>686</v>
      </c>
      <c r="V9" s="197" t="s">
        <v>687</v>
      </c>
      <c r="X9" s="485">
        <v>45715</v>
      </c>
      <c r="Z9" s="483">
        <v>0</v>
      </c>
      <c r="AA9" s="197" t="s">
        <v>688</v>
      </c>
      <c r="AC9" s="483">
        <v>0</v>
      </c>
      <c r="AD9" s="197" t="s">
        <v>689</v>
      </c>
      <c r="AE9" s="197" t="s">
        <v>696</v>
      </c>
      <c r="AF9" s="483">
        <v>0</v>
      </c>
      <c r="AG9" s="483">
        <v>0</v>
      </c>
      <c r="AH9" s="197" t="s">
        <v>685</v>
      </c>
      <c r="AI9" s="483">
        <v>0</v>
      </c>
    </row>
    <row r="10" spans="1:35">
      <c r="A10" s="479">
        <v>9</v>
      </c>
      <c r="B10" s="480" t="s">
        <v>694</v>
      </c>
      <c r="C10" s="481" t="s">
        <v>345</v>
      </c>
      <c r="D10" s="197" t="s">
        <v>371</v>
      </c>
      <c r="E10" s="197" t="s">
        <v>372</v>
      </c>
      <c r="F10" s="482">
        <v>1640.62</v>
      </c>
      <c r="G10" s="197" t="s">
        <v>373</v>
      </c>
      <c r="H10" s="483">
        <v>0.22</v>
      </c>
      <c r="I10" s="483">
        <v>360.94</v>
      </c>
      <c r="J10" s="197">
        <v>389.82</v>
      </c>
      <c r="K10" s="484" t="s">
        <v>683</v>
      </c>
      <c r="L10" s="483">
        <v>389.82</v>
      </c>
      <c r="M10" s="483">
        <v>28.88</v>
      </c>
      <c r="N10" s="483">
        <v>0</v>
      </c>
      <c r="O10" s="483">
        <v>0</v>
      </c>
      <c r="P10" s="483">
        <v>0</v>
      </c>
      <c r="Q10" s="483">
        <v>0.22</v>
      </c>
      <c r="R10" s="483">
        <v>0</v>
      </c>
      <c r="S10" s="197" t="s">
        <v>684</v>
      </c>
      <c r="T10" s="197" t="s">
        <v>685</v>
      </c>
      <c r="U10" s="197" t="s">
        <v>686</v>
      </c>
      <c r="V10" s="197" t="s">
        <v>687</v>
      </c>
      <c r="X10" s="485">
        <v>43577</v>
      </c>
      <c r="Z10" s="483">
        <v>0</v>
      </c>
      <c r="AA10" s="197" t="s">
        <v>688</v>
      </c>
      <c r="AC10" s="483">
        <v>0</v>
      </c>
      <c r="AD10" s="197" t="s">
        <v>689</v>
      </c>
      <c r="AE10" s="197" t="s">
        <v>696</v>
      </c>
      <c r="AF10" s="483">
        <v>0</v>
      </c>
      <c r="AG10" s="483">
        <v>0</v>
      </c>
      <c r="AH10" s="197" t="s">
        <v>685</v>
      </c>
      <c r="AI10" s="483">
        <v>0</v>
      </c>
    </row>
    <row r="11" spans="1:35">
      <c r="A11" s="479">
        <v>10</v>
      </c>
      <c r="B11" s="480" t="s">
        <v>694</v>
      </c>
      <c r="C11" s="481" t="s">
        <v>345</v>
      </c>
      <c r="D11" s="197" t="s">
        <v>374</v>
      </c>
      <c r="E11" s="197" t="s">
        <v>375</v>
      </c>
      <c r="F11" s="482">
        <v>17.23</v>
      </c>
      <c r="G11" s="197" t="s">
        <v>376</v>
      </c>
      <c r="H11" s="483">
        <v>32.770000000000003</v>
      </c>
      <c r="I11" s="483">
        <v>564.63</v>
      </c>
      <c r="J11" s="197">
        <v>609.79999999999995</v>
      </c>
      <c r="K11" s="484" t="s">
        <v>683</v>
      </c>
      <c r="L11" s="483">
        <v>609.79999999999995</v>
      </c>
      <c r="M11" s="483">
        <v>45.17</v>
      </c>
      <c r="N11" s="483">
        <v>0</v>
      </c>
      <c r="O11" s="483">
        <v>0</v>
      </c>
      <c r="P11" s="483">
        <v>0</v>
      </c>
      <c r="Q11" s="483">
        <v>32.770000000000003</v>
      </c>
      <c r="R11" s="483">
        <v>0</v>
      </c>
      <c r="S11" s="197" t="s">
        <v>684</v>
      </c>
      <c r="T11" s="197" t="s">
        <v>685</v>
      </c>
      <c r="U11" s="197" t="s">
        <v>686</v>
      </c>
      <c r="V11" s="197" t="s">
        <v>687</v>
      </c>
      <c r="X11" s="485">
        <v>43577</v>
      </c>
      <c r="Z11" s="483">
        <v>0</v>
      </c>
      <c r="AA11" s="197" t="s">
        <v>688</v>
      </c>
      <c r="AC11" s="483">
        <v>0</v>
      </c>
      <c r="AD11" s="197" t="s">
        <v>689</v>
      </c>
      <c r="AE11" s="197" t="s">
        <v>696</v>
      </c>
      <c r="AF11" s="483">
        <v>0</v>
      </c>
      <c r="AG11" s="483">
        <v>0</v>
      </c>
      <c r="AH11" s="197" t="s">
        <v>685</v>
      </c>
      <c r="AI11" s="483">
        <v>0</v>
      </c>
    </row>
    <row r="12" spans="1:35">
      <c r="A12" s="479">
        <v>11</v>
      </c>
      <c r="B12" s="480" t="s">
        <v>694</v>
      </c>
      <c r="C12" s="481" t="s">
        <v>345</v>
      </c>
      <c r="D12" s="197" t="s">
        <v>377</v>
      </c>
      <c r="E12" s="197" t="s">
        <v>378</v>
      </c>
      <c r="F12" s="482">
        <v>80.39</v>
      </c>
      <c r="G12" s="197" t="s">
        <v>379</v>
      </c>
      <c r="H12" s="483">
        <v>2.91</v>
      </c>
      <c r="I12" s="483">
        <v>233.93</v>
      </c>
      <c r="J12" s="197">
        <v>252.64</v>
      </c>
      <c r="K12" s="484" t="s">
        <v>683</v>
      </c>
      <c r="L12" s="483">
        <v>252.64</v>
      </c>
      <c r="M12" s="483">
        <v>18.71</v>
      </c>
      <c r="N12" s="483">
        <v>0</v>
      </c>
      <c r="O12" s="483">
        <v>0</v>
      </c>
      <c r="P12" s="483">
        <v>0</v>
      </c>
      <c r="Q12" s="483">
        <v>2.91</v>
      </c>
      <c r="R12" s="483">
        <v>0</v>
      </c>
      <c r="S12" s="197" t="s">
        <v>684</v>
      </c>
      <c r="T12" s="197" t="s">
        <v>685</v>
      </c>
      <c r="U12" s="197" t="s">
        <v>686</v>
      </c>
      <c r="V12" s="197" t="s">
        <v>687</v>
      </c>
      <c r="X12" s="485">
        <v>43577</v>
      </c>
      <c r="Z12" s="483">
        <v>0</v>
      </c>
      <c r="AA12" s="197" t="s">
        <v>688</v>
      </c>
      <c r="AC12" s="483">
        <v>0</v>
      </c>
      <c r="AD12" s="197" t="s">
        <v>689</v>
      </c>
      <c r="AE12" s="197" t="s">
        <v>696</v>
      </c>
      <c r="AF12" s="483">
        <v>0</v>
      </c>
      <c r="AG12" s="483">
        <v>0</v>
      </c>
      <c r="AH12" s="197" t="s">
        <v>685</v>
      </c>
      <c r="AI12" s="483">
        <v>0</v>
      </c>
    </row>
    <row r="13" spans="1:35">
      <c r="A13" s="479">
        <v>12</v>
      </c>
      <c r="B13" s="480" t="s">
        <v>694</v>
      </c>
      <c r="C13" s="481" t="s">
        <v>345</v>
      </c>
      <c r="D13" s="197" t="s">
        <v>382</v>
      </c>
      <c r="E13" s="197" t="s">
        <v>383</v>
      </c>
      <c r="F13" s="482">
        <v>4</v>
      </c>
      <c r="G13" s="197" t="s">
        <v>384</v>
      </c>
      <c r="H13" s="483">
        <v>229</v>
      </c>
      <c r="I13" s="483">
        <v>916</v>
      </c>
      <c r="J13" s="197">
        <v>989.28</v>
      </c>
      <c r="K13" s="484" t="s">
        <v>683</v>
      </c>
      <c r="L13" s="483">
        <v>989.28</v>
      </c>
      <c r="M13" s="483">
        <v>73.28</v>
      </c>
      <c r="N13" s="483">
        <v>0</v>
      </c>
      <c r="O13" s="483">
        <v>0</v>
      </c>
      <c r="P13" s="483">
        <v>0</v>
      </c>
      <c r="Q13" s="483">
        <v>0</v>
      </c>
      <c r="R13" s="483">
        <v>229</v>
      </c>
      <c r="S13" s="197" t="s">
        <v>684</v>
      </c>
      <c r="T13" s="197" t="s">
        <v>685</v>
      </c>
      <c r="U13" s="197" t="s">
        <v>686</v>
      </c>
      <c r="V13" s="197" t="s">
        <v>687</v>
      </c>
      <c r="X13" s="485">
        <v>43015</v>
      </c>
      <c r="Z13" s="483">
        <v>0</v>
      </c>
      <c r="AA13" s="197" t="s">
        <v>688</v>
      </c>
      <c r="AC13" s="483">
        <v>0</v>
      </c>
      <c r="AD13" s="197" t="s">
        <v>689</v>
      </c>
      <c r="AE13" s="197" t="s">
        <v>696</v>
      </c>
      <c r="AF13" s="483">
        <v>0</v>
      </c>
      <c r="AG13" s="483">
        <v>0</v>
      </c>
      <c r="AH13" s="197" t="s">
        <v>685</v>
      </c>
      <c r="AI13" s="483">
        <v>0</v>
      </c>
    </row>
    <row r="14" spans="1:35">
      <c r="A14" s="479">
        <v>13</v>
      </c>
      <c r="B14" s="480" t="s">
        <v>694</v>
      </c>
      <c r="C14" s="481" t="s">
        <v>345</v>
      </c>
      <c r="D14" s="197" t="s">
        <v>385</v>
      </c>
      <c r="E14" s="197" t="s">
        <v>386</v>
      </c>
      <c r="F14" s="482">
        <v>2</v>
      </c>
      <c r="G14" s="197" t="s">
        <v>355</v>
      </c>
      <c r="H14" s="483">
        <v>220</v>
      </c>
      <c r="I14" s="483">
        <v>440</v>
      </c>
      <c r="J14" s="197">
        <v>475.2</v>
      </c>
      <c r="K14" s="484" t="s">
        <v>683</v>
      </c>
      <c r="L14" s="483">
        <v>475.2</v>
      </c>
      <c r="M14" s="483">
        <v>35.200000000000003</v>
      </c>
      <c r="N14" s="483">
        <v>0</v>
      </c>
      <c r="O14" s="483">
        <v>0</v>
      </c>
      <c r="P14" s="483">
        <v>0</v>
      </c>
      <c r="Q14" s="483">
        <v>0</v>
      </c>
      <c r="R14" s="483">
        <v>220</v>
      </c>
      <c r="S14" s="197" t="s">
        <v>684</v>
      </c>
      <c r="T14" s="197" t="s">
        <v>685</v>
      </c>
      <c r="U14" s="197" t="s">
        <v>686</v>
      </c>
      <c r="V14" s="197" t="s">
        <v>687</v>
      </c>
      <c r="X14" s="485">
        <v>43015</v>
      </c>
      <c r="Z14" s="483">
        <v>0</v>
      </c>
      <c r="AA14" s="197" t="s">
        <v>688</v>
      </c>
      <c r="AC14" s="483">
        <v>0</v>
      </c>
      <c r="AD14" s="197" t="s">
        <v>689</v>
      </c>
      <c r="AE14" s="197" t="s">
        <v>696</v>
      </c>
      <c r="AF14" s="483">
        <v>0</v>
      </c>
      <c r="AG14" s="483">
        <v>0</v>
      </c>
      <c r="AH14" s="197" t="s">
        <v>685</v>
      </c>
      <c r="AI14" s="483">
        <v>0</v>
      </c>
    </row>
    <row r="15" spans="1:35">
      <c r="A15" s="479">
        <v>14</v>
      </c>
      <c r="B15" s="480" t="s">
        <v>694</v>
      </c>
      <c r="C15" s="481" t="s">
        <v>345</v>
      </c>
      <c r="D15" s="197" t="s">
        <v>387</v>
      </c>
      <c r="E15" s="197" t="s">
        <v>388</v>
      </c>
      <c r="F15" s="482">
        <v>2</v>
      </c>
      <c r="G15" s="197" t="s">
        <v>355</v>
      </c>
      <c r="H15" s="483">
        <v>16.05</v>
      </c>
      <c r="I15" s="483">
        <v>32.1</v>
      </c>
      <c r="J15" s="197">
        <v>34.67</v>
      </c>
      <c r="K15" s="484" t="s">
        <v>683</v>
      </c>
      <c r="L15" s="483">
        <v>34.67</v>
      </c>
      <c r="M15" s="483">
        <v>2.57</v>
      </c>
      <c r="N15" s="483">
        <v>0</v>
      </c>
      <c r="O15" s="483">
        <v>0</v>
      </c>
      <c r="P15" s="483">
        <v>0</v>
      </c>
      <c r="Q15" s="483">
        <v>16.05</v>
      </c>
      <c r="R15" s="483">
        <v>0</v>
      </c>
      <c r="S15" s="197" t="s">
        <v>684</v>
      </c>
      <c r="T15" s="197" t="s">
        <v>685</v>
      </c>
      <c r="U15" s="197" t="s">
        <v>686</v>
      </c>
      <c r="V15" s="197" t="s">
        <v>687</v>
      </c>
      <c r="X15" s="485">
        <v>43577</v>
      </c>
      <c r="Z15" s="483">
        <v>0</v>
      </c>
      <c r="AA15" s="197" t="s">
        <v>688</v>
      </c>
      <c r="AC15" s="483">
        <v>0</v>
      </c>
      <c r="AD15" s="197" t="s">
        <v>689</v>
      </c>
      <c r="AE15" s="197" t="s">
        <v>696</v>
      </c>
      <c r="AF15" s="483">
        <v>0</v>
      </c>
      <c r="AG15" s="483">
        <v>0</v>
      </c>
      <c r="AH15" s="197" t="s">
        <v>685</v>
      </c>
      <c r="AI15" s="483">
        <v>0</v>
      </c>
    </row>
    <row r="16" spans="1:35">
      <c r="A16" s="479">
        <v>15</v>
      </c>
      <c r="B16" s="480" t="s">
        <v>694</v>
      </c>
      <c r="C16" s="481" t="s">
        <v>345</v>
      </c>
      <c r="D16" s="197" t="s">
        <v>389</v>
      </c>
      <c r="E16" s="197" t="s">
        <v>390</v>
      </c>
      <c r="F16" s="482">
        <v>459.37</v>
      </c>
      <c r="G16" s="197" t="s">
        <v>239</v>
      </c>
      <c r="H16" s="483">
        <v>1.07</v>
      </c>
      <c r="I16" s="483">
        <v>491.53</v>
      </c>
      <c r="J16" s="197">
        <v>530.85</v>
      </c>
      <c r="K16" s="484" t="s">
        <v>683</v>
      </c>
      <c r="L16" s="483">
        <v>530.85</v>
      </c>
      <c r="M16" s="483">
        <v>39.32</v>
      </c>
      <c r="N16" s="483">
        <v>0</v>
      </c>
      <c r="O16" s="483">
        <v>0</v>
      </c>
      <c r="P16" s="483">
        <v>0</v>
      </c>
      <c r="Q16" s="483">
        <v>0</v>
      </c>
      <c r="R16" s="483">
        <v>1.07</v>
      </c>
      <c r="S16" s="197" t="s">
        <v>684</v>
      </c>
      <c r="T16" s="197" t="s">
        <v>685</v>
      </c>
      <c r="U16" s="197" t="s">
        <v>686</v>
      </c>
      <c r="V16" s="197" t="s">
        <v>687</v>
      </c>
      <c r="X16" s="485">
        <v>43577</v>
      </c>
      <c r="Z16" s="483">
        <v>0</v>
      </c>
      <c r="AA16" s="197" t="s">
        <v>688</v>
      </c>
      <c r="AC16" s="483">
        <v>0</v>
      </c>
      <c r="AD16" s="197" t="s">
        <v>689</v>
      </c>
      <c r="AE16" s="197" t="s">
        <v>696</v>
      </c>
      <c r="AF16" s="483">
        <v>0</v>
      </c>
      <c r="AG16" s="483">
        <v>0</v>
      </c>
      <c r="AH16" s="197" t="s">
        <v>685</v>
      </c>
      <c r="AI16" s="483">
        <v>0</v>
      </c>
    </row>
    <row r="17" spans="1:35">
      <c r="A17" s="479">
        <v>16</v>
      </c>
      <c r="B17" s="480" t="s">
        <v>694</v>
      </c>
      <c r="C17" s="481" t="s">
        <v>345</v>
      </c>
      <c r="D17" s="197" t="s">
        <v>389</v>
      </c>
      <c r="E17" s="197" t="s">
        <v>390</v>
      </c>
      <c r="F17" s="482">
        <v>459.37</v>
      </c>
      <c r="G17" s="197" t="s">
        <v>239</v>
      </c>
      <c r="H17" s="483">
        <v>1.07</v>
      </c>
      <c r="I17" s="483">
        <v>491.53</v>
      </c>
      <c r="J17" s="197">
        <v>530.85</v>
      </c>
      <c r="K17" s="484" t="s">
        <v>683</v>
      </c>
      <c r="L17" s="483">
        <v>530.85</v>
      </c>
      <c r="M17" s="483">
        <v>39.32</v>
      </c>
      <c r="N17" s="483">
        <v>0</v>
      </c>
      <c r="O17" s="483">
        <v>0</v>
      </c>
      <c r="P17" s="483">
        <v>0</v>
      </c>
      <c r="Q17" s="483">
        <v>0</v>
      </c>
      <c r="R17" s="483">
        <v>1.07</v>
      </c>
      <c r="S17" s="197" t="s">
        <v>684</v>
      </c>
      <c r="T17" s="197" t="s">
        <v>685</v>
      </c>
      <c r="U17" s="197" t="s">
        <v>686</v>
      </c>
      <c r="V17" s="197" t="s">
        <v>687</v>
      </c>
      <c r="X17" s="485">
        <v>43577</v>
      </c>
      <c r="Z17" s="483">
        <v>0</v>
      </c>
      <c r="AA17" s="197" t="s">
        <v>688</v>
      </c>
      <c r="AC17" s="483">
        <v>0</v>
      </c>
      <c r="AD17" s="197" t="s">
        <v>689</v>
      </c>
      <c r="AE17" s="197" t="s">
        <v>696</v>
      </c>
      <c r="AF17" s="483">
        <v>0</v>
      </c>
      <c r="AG17" s="483">
        <v>0</v>
      </c>
      <c r="AH17" s="197" t="s">
        <v>685</v>
      </c>
      <c r="AI17" s="483">
        <v>0</v>
      </c>
    </row>
    <row r="18" spans="1:35">
      <c r="A18" s="479">
        <v>17</v>
      </c>
      <c r="B18" s="480" t="s">
        <v>694</v>
      </c>
      <c r="C18" s="481" t="s">
        <v>345</v>
      </c>
      <c r="D18" s="197" t="s">
        <v>389</v>
      </c>
      <c r="E18" s="197" t="s">
        <v>390</v>
      </c>
      <c r="F18" s="482">
        <v>459.37</v>
      </c>
      <c r="G18" s="197" t="s">
        <v>239</v>
      </c>
      <c r="H18" s="483">
        <v>1.07</v>
      </c>
      <c r="I18" s="483">
        <v>491.53</v>
      </c>
      <c r="J18" s="197">
        <v>530.85</v>
      </c>
      <c r="K18" s="484" t="s">
        <v>683</v>
      </c>
      <c r="L18" s="483">
        <v>530.85</v>
      </c>
      <c r="M18" s="483">
        <v>39.32</v>
      </c>
      <c r="N18" s="483">
        <v>0</v>
      </c>
      <c r="O18" s="483">
        <v>0</v>
      </c>
      <c r="P18" s="483">
        <v>0</v>
      </c>
      <c r="Q18" s="483">
        <v>0</v>
      </c>
      <c r="R18" s="483">
        <v>1.07</v>
      </c>
      <c r="S18" s="197" t="s">
        <v>684</v>
      </c>
      <c r="T18" s="197" t="s">
        <v>685</v>
      </c>
      <c r="U18" s="197" t="s">
        <v>686</v>
      </c>
      <c r="V18" s="197" t="s">
        <v>687</v>
      </c>
      <c r="X18" s="485">
        <v>43577</v>
      </c>
      <c r="Z18" s="483">
        <v>0</v>
      </c>
      <c r="AA18" s="197" t="s">
        <v>688</v>
      </c>
      <c r="AC18" s="483">
        <v>0</v>
      </c>
      <c r="AD18" s="197" t="s">
        <v>689</v>
      </c>
      <c r="AE18" s="197" t="s">
        <v>696</v>
      </c>
      <c r="AF18" s="483">
        <v>0</v>
      </c>
      <c r="AG18" s="483">
        <v>0</v>
      </c>
      <c r="AH18" s="197" t="s">
        <v>685</v>
      </c>
      <c r="AI18" s="483">
        <v>0</v>
      </c>
    </row>
    <row r="19" spans="1:35">
      <c r="A19" s="479">
        <v>18</v>
      </c>
      <c r="B19" s="480" t="s">
        <v>694</v>
      </c>
      <c r="C19" s="481" t="s">
        <v>345</v>
      </c>
      <c r="D19" s="197" t="s">
        <v>391</v>
      </c>
      <c r="E19" s="197" t="s">
        <v>392</v>
      </c>
      <c r="F19" s="482">
        <v>4</v>
      </c>
      <c r="G19" s="197" t="s">
        <v>355</v>
      </c>
      <c r="H19" s="483">
        <v>215.4</v>
      </c>
      <c r="I19" s="483">
        <v>861.6</v>
      </c>
      <c r="J19" s="197">
        <v>930.53</v>
      </c>
      <c r="K19" s="484" t="s">
        <v>683</v>
      </c>
      <c r="L19" s="483">
        <v>930.53</v>
      </c>
      <c r="M19" s="483">
        <v>68.930000000000007</v>
      </c>
      <c r="N19" s="483">
        <v>0</v>
      </c>
      <c r="O19" s="483">
        <v>0</v>
      </c>
      <c r="P19" s="483">
        <v>0</v>
      </c>
      <c r="Q19" s="483">
        <v>0</v>
      </c>
      <c r="R19" s="483">
        <v>215.4</v>
      </c>
      <c r="S19" s="197" t="s">
        <v>684</v>
      </c>
      <c r="T19" s="197" t="s">
        <v>685</v>
      </c>
      <c r="U19" s="197" t="s">
        <v>686</v>
      </c>
      <c r="V19" s="197" t="s">
        <v>687</v>
      </c>
      <c r="X19" s="485">
        <v>43577</v>
      </c>
      <c r="Z19" s="483">
        <v>0</v>
      </c>
      <c r="AA19" s="197" t="s">
        <v>688</v>
      </c>
      <c r="AC19" s="483">
        <v>0</v>
      </c>
      <c r="AD19" s="197" t="s">
        <v>689</v>
      </c>
      <c r="AE19" s="197" t="s">
        <v>696</v>
      </c>
      <c r="AF19" s="483">
        <v>0</v>
      </c>
      <c r="AG19" s="483">
        <v>0</v>
      </c>
      <c r="AH19" s="197" t="s">
        <v>685</v>
      </c>
      <c r="AI19" s="483">
        <v>0</v>
      </c>
    </row>
    <row r="20" spans="1:35">
      <c r="A20" s="479">
        <v>19</v>
      </c>
      <c r="B20" s="480" t="s">
        <v>694</v>
      </c>
      <c r="C20" s="481" t="s">
        <v>345</v>
      </c>
      <c r="D20" s="197" t="s">
        <v>393</v>
      </c>
      <c r="E20" s="197" t="s">
        <v>394</v>
      </c>
      <c r="F20" s="482">
        <v>2</v>
      </c>
      <c r="G20" s="197" t="s">
        <v>355</v>
      </c>
      <c r="H20" s="483">
        <v>140</v>
      </c>
      <c r="I20" s="483">
        <v>280</v>
      </c>
      <c r="J20" s="197">
        <v>302.39999999999998</v>
      </c>
      <c r="K20" s="484" t="s">
        <v>683</v>
      </c>
      <c r="L20" s="483">
        <v>302.39999999999998</v>
      </c>
      <c r="M20" s="483">
        <v>22.4</v>
      </c>
      <c r="N20" s="483">
        <v>0</v>
      </c>
      <c r="O20" s="483">
        <v>0</v>
      </c>
      <c r="P20" s="483">
        <v>0</v>
      </c>
      <c r="Q20" s="483">
        <v>0</v>
      </c>
      <c r="R20" s="483">
        <v>140</v>
      </c>
      <c r="S20" s="197" t="s">
        <v>684</v>
      </c>
      <c r="T20" s="197" t="s">
        <v>685</v>
      </c>
      <c r="U20" s="197" t="s">
        <v>686</v>
      </c>
      <c r="V20" s="197" t="s">
        <v>687</v>
      </c>
      <c r="X20" s="485">
        <v>43577</v>
      </c>
      <c r="Z20" s="483">
        <v>0</v>
      </c>
      <c r="AA20" s="197" t="s">
        <v>688</v>
      </c>
      <c r="AC20" s="483">
        <v>0</v>
      </c>
      <c r="AD20" s="197" t="s">
        <v>689</v>
      </c>
      <c r="AE20" s="197" t="s">
        <v>696</v>
      </c>
      <c r="AF20" s="483">
        <v>0</v>
      </c>
      <c r="AG20" s="483">
        <v>0</v>
      </c>
      <c r="AH20" s="197" t="s">
        <v>685</v>
      </c>
      <c r="AI20" s="483">
        <v>0</v>
      </c>
    </row>
    <row r="21" spans="1:35">
      <c r="A21" s="479">
        <v>20</v>
      </c>
      <c r="B21" s="480" t="s">
        <v>694</v>
      </c>
      <c r="C21" s="481" t="s">
        <v>365</v>
      </c>
      <c r="D21" s="197" t="s">
        <v>395</v>
      </c>
      <c r="E21" s="197" t="s">
        <v>396</v>
      </c>
      <c r="F21" s="482">
        <v>32</v>
      </c>
      <c r="G21" s="197" t="s">
        <v>359</v>
      </c>
      <c r="H21" s="483">
        <v>53.11</v>
      </c>
      <c r="I21" s="483">
        <v>1699.52</v>
      </c>
      <c r="J21" s="197">
        <v>1835.48</v>
      </c>
      <c r="K21" s="484" t="s">
        <v>683</v>
      </c>
      <c r="L21" s="483">
        <v>1835.48</v>
      </c>
      <c r="M21" s="483">
        <v>135.96</v>
      </c>
      <c r="N21" s="483">
        <v>25.28</v>
      </c>
      <c r="O21" s="483">
        <v>12.23</v>
      </c>
      <c r="P21" s="483">
        <v>15.6</v>
      </c>
      <c r="Q21" s="483">
        <v>0</v>
      </c>
      <c r="R21" s="483">
        <v>0</v>
      </c>
      <c r="S21" s="197" t="s">
        <v>684</v>
      </c>
      <c r="T21" s="197" t="s">
        <v>685</v>
      </c>
      <c r="U21" s="197" t="s">
        <v>686</v>
      </c>
      <c r="V21" s="197" t="s">
        <v>687</v>
      </c>
      <c r="X21" s="485">
        <v>44028</v>
      </c>
      <c r="Z21" s="483">
        <v>0</v>
      </c>
      <c r="AA21" s="197" t="s">
        <v>688</v>
      </c>
      <c r="AC21" s="483">
        <v>0</v>
      </c>
      <c r="AD21" s="197" t="s">
        <v>689</v>
      </c>
      <c r="AE21" s="197" t="s">
        <v>696</v>
      </c>
      <c r="AF21" s="483">
        <v>0</v>
      </c>
      <c r="AG21" s="483">
        <v>0</v>
      </c>
      <c r="AH21" s="197" t="s">
        <v>685</v>
      </c>
      <c r="AI21" s="483">
        <v>0</v>
      </c>
    </row>
    <row r="22" spans="1:35" s="495" customFormat="1" ht="15">
      <c r="A22" s="492">
        <v>21</v>
      </c>
      <c r="B22" s="493" t="s">
        <v>697</v>
      </c>
      <c r="C22" s="494" t="s">
        <v>737</v>
      </c>
      <c r="D22" s="495" t="s">
        <v>704</v>
      </c>
      <c r="E22" s="495" t="s">
        <v>738</v>
      </c>
      <c r="F22" s="496">
        <v>0</v>
      </c>
      <c r="G22" s="495" t="s">
        <v>355</v>
      </c>
      <c r="H22" s="497">
        <v>0</v>
      </c>
      <c r="I22" s="497">
        <v>0</v>
      </c>
      <c r="J22" s="495">
        <v>0</v>
      </c>
      <c r="K22" s="498" t="s">
        <v>683</v>
      </c>
      <c r="L22" s="497">
        <v>0</v>
      </c>
      <c r="M22" s="497">
        <v>0</v>
      </c>
      <c r="N22" s="497">
        <v>0</v>
      </c>
      <c r="O22" s="497">
        <v>0</v>
      </c>
      <c r="P22" s="497">
        <v>0</v>
      </c>
      <c r="Q22" s="497">
        <v>0</v>
      </c>
      <c r="R22" s="497">
        <v>0</v>
      </c>
      <c r="S22" s="495" t="s">
        <v>684</v>
      </c>
      <c r="T22" s="495" t="s">
        <v>685</v>
      </c>
      <c r="U22" s="495" t="s">
        <v>686</v>
      </c>
      <c r="V22" s="495" t="s">
        <v>687</v>
      </c>
      <c r="X22" s="499">
        <v>45715</v>
      </c>
      <c r="Z22" s="497">
        <v>0</v>
      </c>
      <c r="AA22" s="495" t="s">
        <v>688</v>
      </c>
      <c r="AC22" s="497">
        <v>0</v>
      </c>
      <c r="AD22" s="495" t="s">
        <v>689</v>
      </c>
      <c r="AE22" s="495" t="s">
        <v>592</v>
      </c>
      <c r="AF22" s="497">
        <v>0</v>
      </c>
      <c r="AG22" s="497">
        <v>0</v>
      </c>
      <c r="AH22" s="495" t="s">
        <v>685</v>
      </c>
      <c r="AI22" s="497">
        <v>0</v>
      </c>
    </row>
    <row r="23" spans="1:35">
      <c r="A23" s="479">
        <v>22</v>
      </c>
      <c r="B23" s="480" t="s">
        <v>697</v>
      </c>
      <c r="C23" s="481" t="s">
        <v>345</v>
      </c>
      <c r="D23" s="197" t="s">
        <v>588</v>
      </c>
      <c r="E23" s="197" t="s">
        <v>589</v>
      </c>
      <c r="F23" s="482">
        <v>52</v>
      </c>
      <c r="G23" s="197" t="s">
        <v>355</v>
      </c>
      <c r="H23" s="483">
        <v>2.93</v>
      </c>
      <c r="I23" s="483">
        <v>152.36000000000001</v>
      </c>
      <c r="J23" s="197">
        <v>164.55</v>
      </c>
      <c r="K23" s="484" t="s">
        <v>683</v>
      </c>
      <c r="L23" s="483">
        <v>164.55</v>
      </c>
      <c r="M23" s="483">
        <v>12.19</v>
      </c>
      <c r="N23" s="483">
        <v>0</v>
      </c>
      <c r="O23" s="483">
        <v>0</v>
      </c>
      <c r="P23" s="483">
        <v>0</v>
      </c>
      <c r="Q23" s="483">
        <v>2.93</v>
      </c>
      <c r="R23" s="483">
        <v>0</v>
      </c>
      <c r="S23" s="197" t="s">
        <v>684</v>
      </c>
      <c r="T23" s="197" t="s">
        <v>685</v>
      </c>
      <c r="U23" s="197" t="s">
        <v>686</v>
      </c>
      <c r="V23" s="197" t="s">
        <v>687</v>
      </c>
      <c r="X23" s="485">
        <v>44176</v>
      </c>
      <c r="Y23" s="197" t="s">
        <v>698</v>
      </c>
      <c r="Z23" s="483">
        <v>0</v>
      </c>
      <c r="AA23" s="197" t="s">
        <v>688</v>
      </c>
      <c r="AC23" s="483">
        <v>0</v>
      </c>
      <c r="AD23" s="197" t="s">
        <v>689</v>
      </c>
      <c r="AE23" s="197" t="s">
        <v>592</v>
      </c>
      <c r="AF23" s="483">
        <v>0</v>
      </c>
      <c r="AG23" s="483">
        <v>0</v>
      </c>
      <c r="AH23" s="197" t="s">
        <v>685</v>
      </c>
      <c r="AI23" s="483">
        <v>0</v>
      </c>
    </row>
    <row r="24" spans="1:35">
      <c r="A24" s="479">
        <v>23</v>
      </c>
      <c r="B24" s="480" t="s">
        <v>697</v>
      </c>
      <c r="C24" s="481" t="s">
        <v>345</v>
      </c>
      <c r="D24" s="197" t="s">
        <v>590</v>
      </c>
      <c r="E24" s="197" t="s">
        <v>591</v>
      </c>
      <c r="F24" s="482">
        <v>52</v>
      </c>
      <c r="G24" s="197" t="s">
        <v>355</v>
      </c>
      <c r="H24" s="483">
        <v>13.57</v>
      </c>
      <c r="I24" s="483">
        <v>705.64</v>
      </c>
      <c r="J24" s="197">
        <v>762.09</v>
      </c>
      <c r="K24" s="484" t="s">
        <v>683</v>
      </c>
      <c r="L24" s="483">
        <v>762.09</v>
      </c>
      <c r="M24" s="483">
        <v>56.45</v>
      </c>
      <c r="N24" s="483">
        <v>3.51</v>
      </c>
      <c r="O24" s="483">
        <v>1.88</v>
      </c>
      <c r="P24" s="483">
        <v>5.25</v>
      </c>
      <c r="Q24" s="483">
        <v>2.93</v>
      </c>
      <c r="R24" s="483">
        <v>0</v>
      </c>
      <c r="S24" s="197" t="s">
        <v>695</v>
      </c>
      <c r="T24" s="197" t="s">
        <v>685</v>
      </c>
      <c r="U24" s="197" t="s">
        <v>686</v>
      </c>
      <c r="V24" s="197" t="s">
        <v>687</v>
      </c>
      <c r="X24" s="485">
        <v>43939</v>
      </c>
      <c r="Y24" s="197" t="s">
        <v>698</v>
      </c>
      <c r="Z24" s="483">
        <v>0</v>
      </c>
      <c r="AA24" s="197" t="s">
        <v>688</v>
      </c>
      <c r="AC24" s="483">
        <v>0</v>
      </c>
      <c r="AD24" s="197" t="s">
        <v>689</v>
      </c>
      <c r="AE24" s="197" t="s">
        <v>592</v>
      </c>
      <c r="AF24" s="483">
        <v>0</v>
      </c>
      <c r="AG24" s="483">
        <v>0</v>
      </c>
      <c r="AH24" s="197" t="s">
        <v>685</v>
      </c>
      <c r="AI24" s="483">
        <v>0</v>
      </c>
    </row>
    <row r="25" spans="1:35">
      <c r="A25" s="479">
        <v>24</v>
      </c>
      <c r="B25" s="480" t="s">
        <v>697</v>
      </c>
      <c r="C25" s="481" t="s">
        <v>593</v>
      </c>
      <c r="D25" s="197" t="s">
        <v>594</v>
      </c>
      <c r="E25" s="197" t="s">
        <v>595</v>
      </c>
      <c r="F25" s="482">
        <v>52</v>
      </c>
      <c r="G25" s="197" t="s">
        <v>355</v>
      </c>
      <c r="H25" s="483">
        <v>51.73</v>
      </c>
      <c r="I25" s="483">
        <v>2689.96</v>
      </c>
      <c r="J25" s="197">
        <v>2905.16</v>
      </c>
      <c r="K25" s="484" t="s">
        <v>683</v>
      </c>
      <c r="L25" s="483">
        <v>2905.16</v>
      </c>
      <c r="M25" s="483">
        <v>215.2</v>
      </c>
      <c r="N25" s="483">
        <v>15.58</v>
      </c>
      <c r="O25" s="483">
        <v>8.67</v>
      </c>
      <c r="P25" s="483">
        <v>26.88</v>
      </c>
      <c r="Q25" s="483">
        <v>0.6</v>
      </c>
      <c r="R25" s="483">
        <v>0</v>
      </c>
      <c r="S25" s="197" t="s">
        <v>695</v>
      </c>
      <c r="T25" s="197" t="s">
        <v>685</v>
      </c>
      <c r="U25" s="197" t="s">
        <v>686</v>
      </c>
      <c r="V25" s="197" t="s">
        <v>687</v>
      </c>
      <c r="X25" s="485">
        <v>44176</v>
      </c>
      <c r="Y25" s="197" t="s">
        <v>698</v>
      </c>
      <c r="Z25" s="483">
        <v>0</v>
      </c>
      <c r="AA25" s="197" t="s">
        <v>688</v>
      </c>
      <c r="AC25" s="483">
        <v>0</v>
      </c>
      <c r="AD25" s="197" t="s">
        <v>689</v>
      </c>
      <c r="AE25" s="197" t="s">
        <v>592</v>
      </c>
      <c r="AF25" s="483">
        <v>0</v>
      </c>
      <c r="AG25" s="483">
        <v>0</v>
      </c>
      <c r="AH25" s="197" t="s">
        <v>685</v>
      </c>
      <c r="AI25" s="483">
        <v>0</v>
      </c>
    </row>
    <row r="26" spans="1:35">
      <c r="A26" s="479">
        <v>25</v>
      </c>
      <c r="B26" s="480" t="s">
        <v>697</v>
      </c>
      <c r="C26" s="481" t="s">
        <v>596</v>
      </c>
      <c r="D26" s="197" t="s">
        <v>365</v>
      </c>
      <c r="E26" s="197" t="s">
        <v>597</v>
      </c>
      <c r="F26" s="482">
        <v>10.4</v>
      </c>
      <c r="G26" s="197" t="s">
        <v>359</v>
      </c>
      <c r="H26" s="483">
        <v>53.11</v>
      </c>
      <c r="I26" s="483">
        <v>552.34</v>
      </c>
      <c r="J26" s="197">
        <v>596.53</v>
      </c>
      <c r="K26" s="484" t="s">
        <v>683</v>
      </c>
      <c r="L26" s="483">
        <v>596.53</v>
      </c>
      <c r="M26" s="483">
        <v>44.19</v>
      </c>
      <c r="N26" s="483">
        <v>25.28</v>
      </c>
      <c r="O26" s="483">
        <v>12.23</v>
      </c>
      <c r="P26" s="483">
        <v>15.6</v>
      </c>
      <c r="Q26" s="483">
        <v>0</v>
      </c>
      <c r="R26" s="483">
        <v>0</v>
      </c>
      <c r="S26" s="197" t="s">
        <v>699</v>
      </c>
      <c r="T26" s="197" t="s">
        <v>685</v>
      </c>
      <c r="U26" s="197" t="s">
        <v>686</v>
      </c>
      <c r="V26" s="197" t="s">
        <v>687</v>
      </c>
      <c r="X26" s="485">
        <v>44236</v>
      </c>
      <c r="Y26" s="197" t="s">
        <v>698</v>
      </c>
      <c r="Z26" s="483">
        <v>0</v>
      </c>
      <c r="AA26" s="197" t="s">
        <v>688</v>
      </c>
      <c r="AC26" s="483">
        <v>0</v>
      </c>
      <c r="AD26" s="197" t="s">
        <v>689</v>
      </c>
      <c r="AE26" s="197" t="s">
        <v>592</v>
      </c>
      <c r="AF26" s="483">
        <v>0</v>
      </c>
      <c r="AG26" s="483">
        <v>0</v>
      </c>
      <c r="AH26" s="197" t="s">
        <v>685</v>
      </c>
      <c r="AI26" s="483">
        <v>0</v>
      </c>
    </row>
    <row r="27" spans="1:35">
      <c r="A27" s="479">
        <v>26</v>
      </c>
      <c r="B27" s="480" t="s">
        <v>697</v>
      </c>
      <c r="C27" s="481" t="s">
        <v>596</v>
      </c>
      <c r="D27" s="197" t="s">
        <v>365</v>
      </c>
      <c r="E27" s="197" t="s">
        <v>597</v>
      </c>
      <c r="F27" s="482">
        <v>10.4</v>
      </c>
      <c r="G27" s="197" t="s">
        <v>359</v>
      </c>
      <c r="H27" s="483">
        <v>53.11</v>
      </c>
      <c r="I27" s="483">
        <v>552.34</v>
      </c>
      <c r="J27" s="197">
        <v>596.53</v>
      </c>
      <c r="K27" s="484" t="s">
        <v>683</v>
      </c>
      <c r="L27" s="483">
        <v>596.53</v>
      </c>
      <c r="M27" s="483">
        <v>44.19</v>
      </c>
      <c r="N27" s="483">
        <v>25.28</v>
      </c>
      <c r="O27" s="483">
        <v>12.23</v>
      </c>
      <c r="P27" s="483">
        <v>15.6</v>
      </c>
      <c r="Q27" s="483">
        <v>0</v>
      </c>
      <c r="R27" s="483">
        <v>0</v>
      </c>
      <c r="S27" s="197" t="s">
        <v>699</v>
      </c>
      <c r="T27" s="197" t="s">
        <v>685</v>
      </c>
      <c r="U27" s="197" t="s">
        <v>686</v>
      </c>
      <c r="V27" s="197" t="s">
        <v>687</v>
      </c>
      <c r="X27" s="485">
        <v>44236</v>
      </c>
      <c r="Y27" s="197" t="s">
        <v>698</v>
      </c>
      <c r="Z27" s="483">
        <v>0</v>
      </c>
      <c r="AA27" s="197" t="s">
        <v>688</v>
      </c>
      <c r="AC27" s="483">
        <v>0</v>
      </c>
      <c r="AD27" s="197" t="s">
        <v>689</v>
      </c>
      <c r="AE27" s="197" t="s">
        <v>592</v>
      </c>
      <c r="AF27" s="483">
        <v>0</v>
      </c>
      <c r="AG27" s="483">
        <v>0</v>
      </c>
      <c r="AH27" s="197" t="s">
        <v>685</v>
      </c>
      <c r="AI27" s="483">
        <v>0</v>
      </c>
    </row>
    <row r="28" spans="1:35">
      <c r="A28" s="479">
        <v>27</v>
      </c>
      <c r="B28" s="480" t="s">
        <v>697</v>
      </c>
      <c r="C28" s="481" t="s">
        <v>596</v>
      </c>
      <c r="D28" s="197" t="s">
        <v>365</v>
      </c>
      <c r="E28" s="197" t="s">
        <v>597</v>
      </c>
      <c r="F28" s="482">
        <v>10.4</v>
      </c>
      <c r="G28" s="197" t="s">
        <v>359</v>
      </c>
      <c r="H28" s="483">
        <v>53.11</v>
      </c>
      <c r="I28" s="483">
        <v>552.34</v>
      </c>
      <c r="J28" s="197">
        <v>596.53</v>
      </c>
      <c r="K28" s="484" t="s">
        <v>683</v>
      </c>
      <c r="L28" s="483">
        <v>596.53</v>
      </c>
      <c r="M28" s="483">
        <v>44.19</v>
      </c>
      <c r="N28" s="483">
        <v>25.28</v>
      </c>
      <c r="O28" s="483">
        <v>12.23</v>
      </c>
      <c r="P28" s="483">
        <v>15.6</v>
      </c>
      <c r="Q28" s="483">
        <v>0</v>
      </c>
      <c r="R28" s="483">
        <v>0</v>
      </c>
      <c r="S28" s="197" t="s">
        <v>699</v>
      </c>
      <c r="T28" s="197" t="s">
        <v>685</v>
      </c>
      <c r="U28" s="197" t="s">
        <v>686</v>
      </c>
      <c r="V28" s="197" t="s">
        <v>687</v>
      </c>
      <c r="X28" s="485">
        <v>44236</v>
      </c>
      <c r="Y28" s="197" t="s">
        <v>698</v>
      </c>
      <c r="Z28" s="483">
        <v>0</v>
      </c>
      <c r="AA28" s="197" t="s">
        <v>688</v>
      </c>
      <c r="AC28" s="483">
        <v>0</v>
      </c>
      <c r="AD28" s="197" t="s">
        <v>689</v>
      </c>
      <c r="AE28" s="197" t="s">
        <v>592</v>
      </c>
      <c r="AF28" s="483">
        <v>0</v>
      </c>
      <c r="AG28" s="483">
        <v>0</v>
      </c>
      <c r="AH28" s="197" t="s">
        <v>685</v>
      </c>
      <c r="AI28" s="483">
        <v>0</v>
      </c>
    </row>
    <row r="29" spans="1:35">
      <c r="A29" s="479">
        <v>28</v>
      </c>
      <c r="B29" s="480" t="s">
        <v>697</v>
      </c>
      <c r="C29" s="481" t="s">
        <v>596</v>
      </c>
      <c r="D29" s="197" t="s">
        <v>365</v>
      </c>
      <c r="E29" s="197" t="s">
        <v>597</v>
      </c>
      <c r="F29" s="482">
        <v>10.4</v>
      </c>
      <c r="G29" s="197" t="s">
        <v>359</v>
      </c>
      <c r="H29" s="483">
        <v>53.11</v>
      </c>
      <c r="I29" s="483">
        <v>552.34</v>
      </c>
      <c r="J29" s="197">
        <v>596.53</v>
      </c>
      <c r="K29" s="484" t="s">
        <v>683</v>
      </c>
      <c r="L29" s="483">
        <v>596.53</v>
      </c>
      <c r="M29" s="483">
        <v>44.19</v>
      </c>
      <c r="N29" s="483">
        <v>25.28</v>
      </c>
      <c r="O29" s="483">
        <v>12.23</v>
      </c>
      <c r="P29" s="483">
        <v>15.6</v>
      </c>
      <c r="Q29" s="483">
        <v>0</v>
      </c>
      <c r="R29" s="483">
        <v>0</v>
      </c>
      <c r="S29" s="197" t="s">
        <v>699</v>
      </c>
      <c r="T29" s="197" t="s">
        <v>685</v>
      </c>
      <c r="U29" s="197" t="s">
        <v>686</v>
      </c>
      <c r="V29" s="197" t="s">
        <v>687</v>
      </c>
      <c r="X29" s="485">
        <v>43823</v>
      </c>
      <c r="Y29" s="197" t="s">
        <v>698</v>
      </c>
      <c r="Z29" s="483">
        <v>0</v>
      </c>
      <c r="AA29" s="197" t="s">
        <v>688</v>
      </c>
      <c r="AC29" s="483">
        <v>0</v>
      </c>
      <c r="AD29" s="197" t="s">
        <v>689</v>
      </c>
      <c r="AE29" s="197" t="s">
        <v>592</v>
      </c>
      <c r="AF29" s="483">
        <v>0</v>
      </c>
      <c r="AG29" s="483">
        <v>0</v>
      </c>
      <c r="AH29" s="197" t="s">
        <v>685</v>
      </c>
      <c r="AI29" s="483">
        <v>0</v>
      </c>
    </row>
    <row r="30" spans="1:35">
      <c r="A30" s="479">
        <v>29</v>
      </c>
      <c r="B30" s="480" t="s">
        <v>697</v>
      </c>
      <c r="C30" s="481" t="s">
        <v>596</v>
      </c>
      <c r="D30" s="197" t="s">
        <v>365</v>
      </c>
      <c r="E30" s="197" t="s">
        <v>597</v>
      </c>
      <c r="F30" s="482">
        <v>2.6</v>
      </c>
      <c r="G30" s="197" t="s">
        <v>359</v>
      </c>
      <c r="H30" s="483">
        <v>53.11</v>
      </c>
      <c r="I30" s="483">
        <v>138.09</v>
      </c>
      <c r="J30" s="197">
        <v>149.13999999999999</v>
      </c>
      <c r="K30" s="484" t="s">
        <v>683</v>
      </c>
      <c r="L30" s="483">
        <v>149.13999999999999</v>
      </c>
      <c r="M30" s="483">
        <v>11.05</v>
      </c>
      <c r="N30" s="483">
        <v>25.28</v>
      </c>
      <c r="O30" s="483">
        <v>12.23</v>
      </c>
      <c r="P30" s="483">
        <v>15.6</v>
      </c>
      <c r="Q30" s="483">
        <v>0</v>
      </c>
      <c r="R30" s="483">
        <v>0</v>
      </c>
      <c r="S30" s="197" t="s">
        <v>699</v>
      </c>
      <c r="T30" s="197" t="s">
        <v>685</v>
      </c>
      <c r="U30" s="197" t="s">
        <v>686</v>
      </c>
      <c r="V30" s="197" t="s">
        <v>687</v>
      </c>
      <c r="X30" s="485">
        <v>43823</v>
      </c>
      <c r="Y30" s="197" t="s">
        <v>698</v>
      </c>
      <c r="Z30" s="483">
        <v>0</v>
      </c>
      <c r="AA30" s="197" t="s">
        <v>688</v>
      </c>
      <c r="AC30" s="483">
        <v>0</v>
      </c>
      <c r="AD30" s="197" t="s">
        <v>689</v>
      </c>
      <c r="AE30" s="197" t="s">
        <v>592</v>
      </c>
      <c r="AF30" s="483">
        <v>0</v>
      </c>
      <c r="AG30" s="483">
        <v>0</v>
      </c>
      <c r="AH30" s="197" t="s">
        <v>685</v>
      </c>
      <c r="AI30" s="483">
        <v>0</v>
      </c>
    </row>
    <row r="31" spans="1:35">
      <c r="A31" s="479">
        <v>30</v>
      </c>
      <c r="B31" s="480" t="s">
        <v>697</v>
      </c>
      <c r="C31" s="481" t="s">
        <v>596</v>
      </c>
      <c r="D31" s="197" t="s">
        <v>365</v>
      </c>
      <c r="E31" s="197" t="s">
        <v>597</v>
      </c>
      <c r="F31" s="482">
        <v>0.52</v>
      </c>
      <c r="G31" s="197" t="s">
        <v>359</v>
      </c>
      <c r="H31" s="483">
        <v>53.11</v>
      </c>
      <c r="I31" s="483">
        <v>27.62</v>
      </c>
      <c r="J31" s="197">
        <v>29.83</v>
      </c>
      <c r="K31" s="484" t="s">
        <v>683</v>
      </c>
      <c r="L31" s="483">
        <v>29.83</v>
      </c>
      <c r="M31" s="483">
        <v>2.21</v>
      </c>
      <c r="N31" s="483">
        <v>25.28</v>
      </c>
      <c r="O31" s="483">
        <v>12.23</v>
      </c>
      <c r="P31" s="483">
        <v>15.6</v>
      </c>
      <c r="Q31" s="483">
        <v>0</v>
      </c>
      <c r="R31" s="483">
        <v>0</v>
      </c>
      <c r="S31" s="197" t="s">
        <v>699</v>
      </c>
      <c r="T31" s="197" t="s">
        <v>685</v>
      </c>
      <c r="U31" s="197" t="s">
        <v>686</v>
      </c>
      <c r="V31" s="197" t="s">
        <v>687</v>
      </c>
      <c r="X31" s="485">
        <v>44228</v>
      </c>
      <c r="Y31" s="197" t="s">
        <v>698</v>
      </c>
      <c r="Z31" s="483">
        <v>0</v>
      </c>
      <c r="AA31" s="197" t="s">
        <v>688</v>
      </c>
      <c r="AC31" s="483">
        <v>0</v>
      </c>
      <c r="AD31" s="197" t="s">
        <v>689</v>
      </c>
      <c r="AE31" s="197" t="s">
        <v>592</v>
      </c>
      <c r="AF31" s="483">
        <v>0</v>
      </c>
      <c r="AG31" s="483">
        <v>0</v>
      </c>
      <c r="AH31" s="197" t="s">
        <v>685</v>
      </c>
      <c r="AI31" s="483">
        <v>0</v>
      </c>
    </row>
    <row r="32" spans="1:35" s="495" customFormat="1" ht="15">
      <c r="A32" s="492">
        <v>31</v>
      </c>
      <c r="B32" s="493" t="s">
        <v>700</v>
      </c>
      <c r="C32" s="494" t="s">
        <v>737</v>
      </c>
      <c r="D32" s="495" t="s">
        <v>704</v>
      </c>
      <c r="E32" s="495" t="s">
        <v>739</v>
      </c>
      <c r="F32" s="496">
        <v>0</v>
      </c>
      <c r="G32" s="495" t="s">
        <v>355</v>
      </c>
      <c r="H32" s="497">
        <v>0</v>
      </c>
      <c r="I32" s="497">
        <v>0</v>
      </c>
      <c r="J32" s="495">
        <v>0</v>
      </c>
      <c r="K32" s="498" t="s">
        <v>683</v>
      </c>
      <c r="L32" s="497">
        <v>0</v>
      </c>
      <c r="M32" s="497">
        <v>0</v>
      </c>
      <c r="N32" s="497">
        <v>0</v>
      </c>
      <c r="O32" s="497">
        <v>0</v>
      </c>
      <c r="P32" s="497">
        <v>0</v>
      </c>
      <c r="Q32" s="497">
        <v>0</v>
      </c>
      <c r="R32" s="497">
        <v>0</v>
      </c>
      <c r="S32" s="495" t="s">
        <v>684</v>
      </c>
      <c r="T32" s="495" t="s">
        <v>685</v>
      </c>
      <c r="U32" s="495" t="s">
        <v>686</v>
      </c>
      <c r="V32" s="495" t="s">
        <v>687</v>
      </c>
      <c r="X32" s="499">
        <v>45715</v>
      </c>
      <c r="Z32" s="497">
        <v>0</v>
      </c>
      <c r="AA32" s="495" t="s">
        <v>688</v>
      </c>
      <c r="AC32" s="497">
        <v>0</v>
      </c>
      <c r="AD32" s="495" t="s">
        <v>689</v>
      </c>
      <c r="AE32" s="495" t="s">
        <v>601</v>
      </c>
      <c r="AF32" s="497">
        <v>0</v>
      </c>
      <c r="AG32" s="497">
        <v>0</v>
      </c>
      <c r="AH32" s="495" t="s">
        <v>685</v>
      </c>
      <c r="AI32" s="497">
        <v>0</v>
      </c>
    </row>
    <row r="33" spans="1:35">
      <c r="A33" s="479">
        <v>32</v>
      </c>
      <c r="B33" s="480" t="s">
        <v>700</v>
      </c>
      <c r="C33" s="481" t="s">
        <v>345</v>
      </c>
      <c r="D33" s="197" t="s">
        <v>580</v>
      </c>
      <c r="E33" s="197" t="s">
        <v>598</v>
      </c>
      <c r="F33" s="482">
        <v>332</v>
      </c>
      <c r="G33" s="197" t="s">
        <v>355</v>
      </c>
      <c r="H33" s="483">
        <v>3.87</v>
      </c>
      <c r="I33" s="483">
        <v>1284.8399999999999</v>
      </c>
      <c r="J33" s="197">
        <v>1387.63</v>
      </c>
      <c r="K33" s="484" t="s">
        <v>683</v>
      </c>
      <c r="L33" s="483">
        <v>1387.63</v>
      </c>
      <c r="M33" s="483">
        <v>102.79</v>
      </c>
      <c r="N33" s="483">
        <v>0</v>
      </c>
      <c r="O33" s="483">
        <v>0</v>
      </c>
      <c r="P33" s="483">
        <v>0</v>
      </c>
      <c r="Q33" s="483">
        <v>3.87</v>
      </c>
      <c r="R33" s="483">
        <v>0</v>
      </c>
      <c r="S33" s="197" t="s">
        <v>684</v>
      </c>
      <c r="T33" s="197" t="s">
        <v>685</v>
      </c>
      <c r="U33" s="197" t="s">
        <v>686</v>
      </c>
      <c r="V33" s="197" t="s">
        <v>687</v>
      </c>
      <c r="X33" s="485">
        <v>43939</v>
      </c>
      <c r="Y33" s="197" t="s">
        <v>698</v>
      </c>
      <c r="Z33" s="483">
        <v>0</v>
      </c>
      <c r="AA33" s="197" t="s">
        <v>688</v>
      </c>
      <c r="AC33" s="483">
        <v>0</v>
      </c>
      <c r="AD33" s="197" t="s">
        <v>689</v>
      </c>
      <c r="AE33" s="197" t="s">
        <v>601</v>
      </c>
      <c r="AF33" s="483">
        <v>0</v>
      </c>
      <c r="AG33" s="483">
        <v>0</v>
      </c>
      <c r="AH33" s="197" t="s">
        <v>685</v>
      </c>
      <c r="AI33" s="483">
        <v>0</v>
      </c>
    </row>
    <row r="34" spans="1:35">
      <c r="A34" s="479">
        <v>33</v>
      </c>
      <c r="B34" s="480" t="s">
        <v>700</v>
      </c>
      <c r="C34" s="481" t="s">
        <v>345</v>
      </c>
      <c r="D34" s="197" t="s">
        <v>599</v>
      </c>
      <c r="E34" s="197" t="s">
        <v>600</v>
      </c>
      <c r="F34" s="482">
        <v>332</v>
      </c>
      <c r="G34" s="197" t="s">
        <v>355</v>
      </c>
      <c r="H34" s="483">
        <v>16.63</v>
      </c>
      <c r="I34" s="483">
        <v>5521.16</v>
      </c>
      <c r="J34" s="197">
        <v>5962.85</v>
      </c>
      <c r="K34" s="484" t="s">
        <v>683</v>
      </c>
      <c r="L34" s="483">
        <v>5962.85</v>
      </c>
      <c r="M34" s="483">
        <v>441.69</v>
      </c>
      <c r="N34" s="483">
        <v>4.21</v>
      </c>
      <c r="O34" s="483">
        <v>2.25</v>
      </c>
      <c r="P34" s="483">
        <v>6.3</v>
      </c>
      <c r="Q34" s="483">
        <v>3.87</v>
      </c>
      <c r="R34" s="483">
        <v>0</v>
      </c>
      <c r="S34" s="197" t="s">
        <v>695</v>
      </c>
      <c r="T34" s="197" t="s">
        <v>685</v>
      </c>
      <c r="U34" s="197" t="s">
        <v>686</v>
      </c>
      <c r="V34" s="197" t="s">
        <v>687</v>
      </c>
      <c r="X34" s="485">
        <v>43939</v>
      </c>
      <c r="Y34" s="197" t="s">
        <v>698</v>
      </c>
      <c r="Z34" s="483">
        <v>0</v>
      </c>
      <c r="AA34" s="197" t="s">
        <v>688</v>
      </c>
      <c r="AC34" s="483">
        <v>0</v>
      </c>
      <c r="AD34" s="197" t="s">
        <v>689</v>
      </c>
      <c r="AE34" s="197" t="s">
        <v>601</v>
      </c>
      <c r="AF34" s="483">
        <v>0</v>
      </c>
      <c r="AG34" s="483">
        <v>0</v>
      </c>
      <c r="AH34" s="197" t="s">
        <v>685</v>
      </c>
      <c r="AI34" s="483">
        <v>0</v>
      </c>
    </row>
    <row r="35" spans="1:35">
      <c r="A35" s="479">
        <v>34</v>
      </c>
      <c r="B35" s="480" t="s">
        <v>700</v>
      </c>
      <c r="C35" s="481" t="s">
        <v>593</v>
      </c>
      <c r="D35" s="197" t="s">
        <v>602</v>
      </c>
      <c r="E35" s="197" t="s">
        <v>603</v>
      </c>
      <c r="F35" s="482">
        <v>332</v>
      </c>
      <c r="G35" s="197" t="s">
        <v>355</v>
      </c>
      <c r="H35" s="483">
        <v>62.04</v>
      </c>
      <c r="I35" s="483">
        <v>20597.28</v>
      </c>
      <c r="J35" s="197">
        <v>22245.06</v>
      </c>
      <c r="K35" s="484" t="s">
        <v>683</v>
      </c>
      <c r="L35" s="483">
        <v>22245.06</v>
      </c>
      <c r="M35" s="483">
        <v>1647.78</v>
      </c>
      <c r="N35" s="483">
        <v>18.7</v>
      </c>
      <c r="O35" s="483">
        <v>10.41</v>
      </c>
      <c r="P35" s="483">
        <v>32.26</v>
      </c>
      <c r="Q35" s="483">
        <v>0.67</v>
      </c>
      <c r="R35" s="483">
        <v>0</v>
      </c>
      <c r="S35" s="197" t="s">
        <v>695</v>
      </c>
      <c r="T35" s="197" t="s">
        <v>685</v>
      </c>
      <c r="U35" s="197" t="s">
        <v>686</v>
      </c>
      <c r="V35" s="197" t="s">
        <v>687</v>
      </c>
      <c r="X35" s="485">
        <v>43939</v>
      </c>
      <c r="Y35" s="197" t="s">
        <v>698</v>
      </c>
      <c r="Z35" s="483">
        <v>0</v>
      </c>
      <c r="AA35" s="197" t="s">
        <v>688</v>
      </c>
      <c r="AC35" s="483">
        <v>0</v>
      </c>
      <c r="AD35" s="197" t="s">
        <v>689</v>
      </c>
      <c r="AE35" s="197" t="s">
        <v>601</v>
      </c>
      <c r="AF35" s="483">
        <v>0</v>
      </c>
      <c r="AG35" s="483">
        <v>0</v>
      </c>
      <c r="AH35" s="197" t="s">
        <v>685</v>
      </c>
      <c r="AI35" s="483">
        <v>0</v>
      </c>
    </row>
    <row r="36" spans="1:35">
      <c r="A36" s="479">
        <v>35</v>
      </c>
      <c r="B36" s="480" t="s">
        <v>700</v>
      </c>
      <c r="C36" s="481" t="s">
        <v>596</v>
      </c>
      <c r="D36" s="197" t="s">
        <v>365</v>
      </c>
      <c r="E36" s="197" t="s">
        <v>597</v>
      </c>
      <c r="F36" s="482">
        <v>99.6</v>
      </c>
      <c r="G36" s="197" t="s">
        <v>359</v>
      </c>
      <c r="H36" s="483">
        <v>53.11</v>
      </c>
      <c r="I36" s="483">
        <v>5289.76</v>
      </c>
      <c r="J36" s="197">
        <v>5712.94</v>
      </c>
      <c r="K36" s="484" t="s">
        <v>683</v>
      </c>
      <c r="L36" s="483">
        <v>5712.94</v>
      </c>
      <c r="M36" s="483">
        <v>423.18</v>
      </c>
      <c r="N36" s="483">
        <v>25.28</v>
      </c>
      <c r="O36" s="483">
        <v>12.23</v>
      </c>
      <c r="P36" s="483">
        <v>15.6</v>
      </c>
      <c r="Q36" s="483">
        <v>0</v>
      </c>
      <c r="R36" s="483">
        <v>0</v>
      </c>
      <c r="S36" s="197" t="s">
        <v>699</v>
      </c>
      <c r="T36" s="197" t="s">
        <v>685</v>
      </c>
      <c r="U36" s="197" t="s">
        <v>686</v>
      </c>
      <c r="V36" s="197" t="s">
        <v>687</v>
      </c>
      <c r="X36" s="485">
        <v>44228</v>
      </c>
      <c r="Y36" s="197" t="s">
        <v>698</v>
      </c>
      <c r="Z36" s="483">
        <v>0</v>
      </c>
      <c r="AA36" s="197" t="s">
        <v>688</v>
      </c>
      <c r="AC36" s="483">
        <v>0</v>
      </c>
      <c r="AD36" s="197" t="s">
        <v>689</v>
      </c>
      <c r="AE36" s="197" t="s">
        <v>601</v>
      </c>
      <c r="AF36" s="483">
        <v>0</v>
      </c>
      <c r="AG36" s="483">
        <v>0</v>
      </c>
      <c r="AH36" s="197" t="s">
        <v>685</v>
      </c>
      <c r="AI36" s="483">
        <v>0</v>
      </c>
    </row>
    <row r="37" spans="1:35">
      <c r="A37" s="479">
        <v>36</v>
      </c>
      <c r="B37" s="480" t="s">
        <v>700</v>
      </c>
      <c r="C37" s="481" t="s">
        <v>596</v>
      </c>
      <c r="D37" s="197" t="s">
        <v>365</v>
      </c>
      <c r="E37" s="197" t="s">
        <v>597</v>
      </c>
      <c r="F37" s="482">
        <v>99.6</v>
      </c>
      <c r="G37" s="197" t="s">
        <v>359</v>
      </c>
      <c r="H37" s="483">
        <v>53.11</v>
      </c>
      <c r="I37" s="483">
        <v>5289.76</v>
      </c>
      <c r="J37" s="197">
        <v>5712.94</v>
      </c>
      <c r="K37" s="484" t="s">
        <v>683</v>
      </c>
      <c r="L37" s="483">
        <v>5712.94</v>
      </c>
      <c r="M37" s="483">
        <v>423.18</v>
      </c>
      <c r="N37" s="483">
        <v>25.28</v>
      </c>
      <c r="O37" s="483">
        <v>12.23</v>
      </c>
      <c r="P37" s="483">
        <v>15.6</v>
      </c>
      <c r="Q37" s="483">
        <v>0</v>
      </c>
      <c r="R37" s="483">
        <v>0</v>
      </c>
      <c r="S37" s="197" t="s">
        <v>699</v>
      </c>
      <c r="T37" s="197" t="s">
        <v>685</v>
      </c>
      <c r="U37" s="197" t="s">
        <v>686</v>
      </c>
      <c r="V37" s="197" t="s">
        <v>687</v>
      </c>
      <c r="X37" s="485">
        <v>44228</v>
      </c>
      <c r="Y37" s="197" t="s">
        <v>698</v>
      </c>
      <c r="Z37" s="483">
        <v>0</v>
      </c>
      <c r="AA37" s="197" t="s">
        <v>688</v>
      </c>
      <c r="AC37" s="483">
        <v>0</v>
      </c>
      <c r="AD37" s="197" t="s">
        <v>689</v>
      </c>
      <c r="AE37" s="197" t="s">
        <v>601</v>
      </c>
      <c r="AF37" s="483">
        <v>0</v>
      </c>
      <c r="AG37" s="483">
        <v>0</v>
      </c>
      <c r="AH37" s="197" t="s">
        <v>685</v>
      </c>
      <c r="AI37" s="483">
        <v>0</v>
      </c>
    </row>
    <row r="38" spans="1:35">
      <c r="A38" s="479">
        <v>37</v>
      </c>
      <c r="B38" s="480" t="s">
        <v>700</v>
      </c>
      <c r="C38" s="481" t="s">
        <v>596</v>
      </c>
      <c r="D38" s="197" t="s">
        <v>365</v>
      </c>
      <c r="E38" s="197" t="s">
        <v>597</v>
      </c>
      <c r="F38" s="482">
        <v>99.6</v>
      </c>
      <c r="G38" s="197" t="s">
        <v>359</v>
      </c>
      <c r="H38" s="483">
        <v>53.11</v>
      </c>
      <c r="I38" s="483">
        <v>5289.76</v>
      </c>
      <c r="J38" s="197">
        <v>5712.94</v>
      </c>
      <c r="K38" s="484" t="s">
        <v>683</v>
      </c>
      <c r="L38" s="483">
        <v>5712.94</v>
      </c>
      <c r="M38" s="483">
        <v>423.18</v>
      </c>
      <c r="N38" s="483">
        <v>25.28</v>
      </c>
      <c r="O38" s="483">
        <v>12.23</v>
      </c>
      <c r="P38" s="483">
        <v>15.6</v>
      </c>
      <c r="Q38" s="483">
        <v>0</v>
      </c>
      <c r="R38" s="483">
        <v>0</v>
      </c>
      <c r="S38" s="197" t="s">
        <v>699</v>
      </c>
      <c r="T38" s="197" t="s">
        <v>685</v>
      </c>
      <c r="U38" s="197" t="s">
        <v>686</v>
      </c>
      <c r="V38" s="197" t="s">
        <v>687</v>
      </c>
      <c r="X38" s="485">
        <v>44228</v>
      </c>
      <c r="Y38" s="197" t="s">
        <v>698</v>
      </c>
      <c r="Z38" s="483">
        <v>0</v>
      </c>
      <c r="AA38" s="197" t="s">
        <v>688</v>
      </c>
      <c r="AC38" s="483">
        <v>0</v>
      </c>
      <c r="AD38" s="197" t="s">
        <v>689</v>
      </c>
      <c r="AE38" s="197" t="s">
        <v>601</v>
      </c>
      <c r="AF38" s="483">
        <v>0</v>
      </c>
      <c r="AG38" s="483">
        <v>0</v>
      </c>
      <c r="AH38" s="197" t="s">
        <v>685</v>
      </c>
      <c r="AI38" s="483">
        <v>0</v>
      </c>
    </row>
    <row r="39" spans="1:35">
      <c r="A39" s="479">
        <v>38</v>
      </c>
      <c r="B39" s="480" t="s">
        <v>700</v>
      </c>
      <c r="C39" s="481" t="s">
        <v>596</v>
      </c>
      <c r="D39" s="197" t="s">
        <v>365</v>
      </c>
      <c r="E39" s="197" t="s">
        <v>597</v>
      </c>
      <c r="F39" s="482">
        <v>99.6</v>
      </c>
      <c r="G39" s="197" t="s">
        <v>359</v>
      </c>
      <c r="H39" s="483">
        <v>53.11</v>
      </c>
      <c r="I39" s="483">
        <v>5289.76</v>
      </c>
      <c r="J39" s="197">
        <v>5712.94</v>
      </c>
      <c r="K39" s="484" t="s">
        <v>683</v>
      </c>
      <c r="L39" s="483">
        <v>5712.94</v>
      </c>
      <c r="M39" s="483">
        <v>423.18</v>
      </c>
      <c r="N39" s="483">
        <v>25.28</v>
      </c>
      <c r="O39" s="483">
        <v>12.23</v>
      </c>
      <c r="P39" s="483">
        <v>15.6</v>
      </c>
      <c r="Q39" s="483">
        <v>0</v>
      </c>
      <c r="R39" s="483">
        <v>0</v>
      </c>
      <c r="S39" s="197" t="s">
        <v>699</v>
      </c>
      <c r="T39" s="197" t="s">
        <v>685</v>
      </c>
      <c r="U39" s="197" t="s">
        <v>686</v>
      </c>
      <c r="V39" s="197" t="s">
        <v>687</v>
      </c>
      <c r="X39" s="485">
        <v>44228</v>
      </c>
      <c r="Y39" s="197" t="s">
        <v>698</v>
      </c>
      <c r="Z39" s="483">
        <v>0</v>
      </c>
      <c r="AA39" s="197" t="s">
        <v>688</v>
      </c>
      <c r="AC39" s="483">
        <v>0</v>
      </c>
      <c r="AD39" s="197" t="s">
        <v>689</v>
      </c>
      <c r="AE39" s="197" t="s">
        <v>601</v>
      </c>
      <c r="AF39" s="483">
        <v>0</v>
      </c>
      <c r="AG39" s="483">
        <v>0</v>
      </c>
      <c r="AH39" s="197" t="s">
        <v>685</v>
      </c>
      <c r="AI39" s="483">
        <v>0</v>
      </c>
    </row>
    <row r="40" spans="1:35">
      <c r="A40" s="479">
        <v>39</v>
      </c>
      <c r="B40" s="480" t="s">
        <v>700</v>
      </c>
      <c r="C40" s="481" t="s">
        <v>596</v>
      </c>
      <c r="D40" s="197" t="s">
        <v>365</v>
      </c>
      <c r="E40" s="197" t="s">
        <v>597</v>
      </c>
      <c r="F40" s="482">
        <v>16.93</v>
      </c>
      <c r="G40" s="197" t="s">
        <v>359</v>
      </c>
      <c r="H40" s="483">
        <v>53.11</v>
      </c>
      <c r="I40" s="483">
        <v>899.15</v>
      </c>
      <c r="J40" s="197">
        <v>971.08</v>
      </c>
      <c r="K40" s="484" t="s">
        <v>683</v>
      </c>
      <c r="L40" s="483">
        <v>971.08</v>
      </c>
      <c r="M40" s="483">
        <v>71.930000000000007</v>
      </c>
      <c r="N40" s="483">
        <v>25.28</v>
      </c>
      <c r="O40" s="483">
        <v>12.23</v>
      </c>
      <c r="P40" s="483">
        <v>15.6</v>
      </c>
      <c r="Q40" s="483">
        <v>0</v>
      </c>
      <c r="R40" s="483">
        <v>0</v>
      </c>
      <c r="S40" s="197" t="s">
        <v>699</v>
      </c>
      <c r="T40" s="197" t="s">
        <v>685</v>
      </c>
      <c r="U40" s="197" t="s">
        <v>686</v>
      </c>
      <c r="V40" s="197" t="s">
        <v>687</v>
      </c>
      <c r="X40" s="485">
        <v>44228</v>
      </c>
      <c r="Y40" s="197" t="s">
        <v>698</v>
      </c>
      <c r="Z40" s="483">
        <v>0</v>
      </c>
      <c r="AA40" s="197" t="s">
        <v>688</v>
      </c>
      <c r="AC40" s="483">
        <v>0</v>
      </c>
      <c r="AD40" s="197" t="s">
        <v>689</v>
      </c>
      <c r="AE40" s="197" t="s">
        <v>601</v>
      </c>
      <c r="AF40" s="483">
        <v>0</v>
      </c>
      <c r="AG40" s="483">
        <v>0</v>
      </c>
      <c r="AH40" s="197" t="s">
        <v>685</v>
      </c>
      <c r="AI40" s="483">
        <v>0</v>
      </c>
    </row>
    <row r="41" spans="1:35">
      <c r="A41" s="479">
        <v>40</v>
      </c>
      <c r="B41" s="480" t="s">
        <v>700</v>
      </c>
      <c r="C41" s="481" t="s">
        <v>596</v>
      </c>
      <c r="D41" s="197" t="s">
        <v>365</v>
      </c>
      <c r="E41" s="197" t="s">
        <v>597</v>
      </c>
      <c r="F41" s="482">
        <v>3.32</v>
      </c>
      <c r="G41" s="197" t="s">
        <v>359</v>
      </c>
      <c r="H41" s="483">
        <v>53.11</v>
      </c>
      <c r="I41" s="483">
        <v>176.33</v>
      </c>
      <c r="J41" s="197">
        <v>190.44</v>
      </c>
      <c r="K41" s="484" t="s">
        <v>683</v>
      </c>
      <c r="L41" s="483">
        <v>190.44</v>
      </c>
      <c r="M41" s="483">
        <v>14.11</v>
      </c>
      <c r="N41" s="483">
        <v>25.28</v>
      </c>
      <c r="O41" s="483">
        <v>12.23</v>
      </c>
      <c r="P41" s="483">
        <v>15.6</v>
      </c>
      <c r="Q41" s="483">
        <v>0</v>
      </c>
      <c r="R41" s="483">
        <v>0</v>
      </c>
      <c r="S41" s="197" t="s">
        <v>699</v>
      </c>
      <c r="T41" s="197" t="s">
        <v>685</v>
      </c>
      <c r="U41" s="197" t="s">
        <v>686</v>
      </c>
      <c r="V41" s="197" t="s">
        <v>687</v>
      </c>
      <c r="X41" s="485">
        <v>44228</v>
      </c>
      <c r="Y41" s="197" t="s">
        <v>698</v>
      </c>
      <c r="Z41" s="483">
        <v>0</v>
      </c>
      <c r="AA41" s="197" t="s">
        <v>688</v>
      </c>
      <c r="AC41" s="483">
        <v>0</v>
      </c>
      <c r="AD41" s="197" t="s">
        <v>689</v>
      </c>
      <c r="AE41" s="197" t="s">
        <v>601</v>
      </c>
      <c r="AF41" s="483">
        <v>0</v>
      </c>
      <c r="AG41" s="483">
        <v>0</v>
      </c>
      <c r="AH41" s="197" t="s">
        <v>685</v>
      </c>
      <c r="AI41" s="483">
        <v>0</v>
      </c>
    </row>
    <row r="42" spans="1:35" s="495" customFormat="1" ht="15">
      <c r="A42" s="492">
        <v>41</v>
      </c>
      <c r="B42" s="493" t="s">
        <v>608</v>
      </c>
      <c r="C42" s="494" t="s">
        <v>737</v>
      </c>
      <c r="D42" s="495" t="s">
        <v>704</v>
      </c>
      <c r="E42" s="495" t="s">
        <v>740</v>
      </c>
      <c r="F42" s="496">
        <v>0</v>
      </c>
      <c r="G42" s="495" t="s">
        <v>355</v>
      </c>
      <c r="H42" s="497">
        <v>0</v>
      </c>
      <c r="I42" s="497">
        <v>0</v>
      </c>
      <c r="J42" s="495">
        <v>0</v>
      </c>
      <c r="K42" s="498" t="s">
        <v>683</v>
      </c>
      <c r="L42" s="497">
        <v>0</v>
      </c>
      <c r="M42" s="497">
        <v>0</v>
      </c>
      <c r="N42" s="497">
        <v>0</v>
      </c>
      <c r="O42" s="497">
        <v>0</v>
      </c>
      <c r="P42" s="497">
        <v>0</v>
      </c>
      <c r="Q42" s="497">
        <v>0</v>
      </c>
      <c r="R42" s="497">
        <v>0</v>
      </c>
      <c r="S42" s="495" t="s">
        <v>684</v>
      </c>
      <c r="T42" s="495" t="s">
        <v>685</v>
      </c>
      <c r="U42" s="495" t="s">
        <v>686</v>
      </c>
      <c r="V42" s="495" t="s">
        <v>687</v>
      </c>
      <c r="X42" s="499">
        <v>45715</v>
      </c>
      <c r="Z42" s="497">
        <v>0</v>
      </c>
      <c r="AA42" s="495" t="s">
        <v>688</v>
      </c>
      <c r="AC42" s="497">
        <v>0</v>
      </c>
      <c r="AD42" s="495" t="s">
        <v>689</v>
      </c>
      <c r="AE42" s="495" t="s">
        <v>609</v>
      </c>
      <c r="AF42" s="497">
        <v>0</v>
      </c>
      <c r="AG42" s="497">
        <v>0</v>
      </c>
      <c r="AH42" s="495" t="s">
        <v>685</v>
      </c>
      <c r="AI42" s="497">
        <v>0</v>
      </c>
    </row>
    <row r="43" spans="1:35">
      <c r="A43" s="479">
        <v>42</v>
      </c>
      <c r="B43" s="480" t="s">
        <v>608</v>
      </c>
      <c r="C43" s="481" t="s">
        <v>345</v>
      </c>
      <c r="D43" s="197" t="s">
        <v>604</v>
      </c>
      <c r="E43" s="197" t="s">
        <v>605</v>
      </c>
      <c r="F43" s="482">
        <v>9</v>
      </c>
      <c r="G43" s="197" t="s">
        <v>355</v>
      </c>
      <c r="H43" s="483">
        <v>5.23</v>
      </c>
      <c r="I43" s="483">
        <v>47.07</v>
      </c>
      <c r="J43" s="197">
        <v>50.84</v>
      </c>
      <c r="K43" s="484" t="s">
        <v>683</v>
      </c>
      <c r="L43" s="483">
        <v>50.84</v>
      </c>
      <c r="M43" s="483">
        <v>3.77</v>
      </c>
      <c r="N43" s="483">
        <v>0</v>
      </c>
      <c r="O43" s="483">
        <v>0</v>
      </c>
      <c r="P43" s="483">
        <v>0</v>
      </c>
      <c r="Q43" s="483">
        <v>5.23</v>
      </c>
      <c r="R43" s="483">
        <v>0</v>
      </c>
      <c r="S43" s="197" t="s">
        <v>684</v>
      </c>
      <c r="T43" s="197" t="s">
        <v>685</v>
      </c>
      <c r="U43" s="197" t="s">
        <v>686</v>
      </c>
      <c r="V43" s="197" t="s">
        <v>687</v>
      </c>
      <c r="X43" s="485">
        <v>43825</v>
      </c>
      <c r="Y43" s="197" t="s">
        <v>698</v>
      </c>
      <c r="Z43" s="483">
        <v>0</v>
      </c>
      <c r="AA43" s="197" t="s">
        <v>688</v>
      </c>
      <c r="AC43" s="483">
        <v>0</v>
      </c>
      <c r="AD43" s="197" t="s">
        <v>689</v>
      </c>
      <c r="AE43" s="197" t="s">
        <v>609</v>
      </c>
      <c r="AF43" s="483">
        <v>0</v>
      </c>
      <c r="AG43" s="483">
        <v>0</v>
      </c>
      <c r="AH43" s="197" t="s">
        <v>685</v>
      </c>
      <c r="AI43" s="483">
        <v>0</v>
      </c>
    </row>
    <row r="44" spans="1:35">
      <c r="A44" s="479">
        <v>43</v>
      </c>
      <c r="B44" s="480" t="s">
        <v>608</v>
      </c>
      <c r="C44" s="481" t="s">
        <v>345</v>
      </c>
      <c r="D44" s="197" t="s">
        <v>606</v>
      </c>
      <c r="E44" s="197" t="s">
        <v>607</v>
      </c>
      <c r="F44" s="482">
        <v>9</v>
      </c>
      <c r="G44" s="197" t="s">
        <v>355</v>
      </c>
      <c r="H44" s="483">
        <v>21.17</v>
      </c>
      <c r="I44" s="483">
        <v>190.53</v>
      </c>
      <c r="J44" s="197">
        <v>205.77</v>
      </c>
      <c r="K44" s="484" t="s">
        <v>683</v>
      </c>
      <c r="L44" s="483">
        <v>205.77</v>
      </c>
      <c r="M44" s="483">
        <v>15.24</v>
      </c>
      <c r="N44" s="483">
        <v>5.26</v>
      </c>
      <c r="O44" s="483">
        <v>2.81</v>
      </c>
      <c r="P44" s="483">
        <v>7.87</v>
      </c>
      <c r="Q44" s="483">
        <v>5.23</v>
      </c>
      <c r="R44" s="483">
        <v>0</v>
      </c>
      <c r="S44" s="197" t="s">
        <v>695</v>
      </c>
      <c r="T44" s="197" t="s">
        <v>685</v>
      </c>
      <c r="U44" s="197" t="s">
        <v>686</v>
      </c>
      <c r="V44" s="197" t="s">
        <v>687</v>
      </c>
      <c r="X44" s="485">
        <v>43825</v>
      </c>
      <c r="Y44" s="197" t="s">
        <v>698</v>
      </c>
      <c r="Z44" s="483">
        <v>0</v>
      </c>
      <c r="AA44" s="197" t="s">
        <v>688</v>
      </c>
      <c r="AC44" s="483">
        <v>0</v>
      </c>
      <c r="AD44" s="197" t="s">
        <v>689</v>
      </c>
      <c r="AE44" s="197" t="s">
        <v>609</v>
      </c>
      <c r="AF44" s="483">
        <v>0</v>
      </c>
      <c r="AG44" s="483">
        <v>0</v>
      </c>
      <c r="AH44" s="197" t="s">
        <v>685</v>
      </c>
      <c r="AI44" s="483">
        <v>0</v>
      </c>
    </row>
    <row r="45" spans="1:35">
      <c r="A45" s="479">
        <v>44</v>
      </c>
      <c r="B45" s="480" t="s">
        <v>608</v>
      </c>
      <c r="C45" s="481" t="s">
        <v>593</v>
      </c>
      <c r="D45" s="197" t="s">
        <v>610</v>
      </c>
      <c r="E45" s="197" t="s">
        <v>611</v>
      </c>
      <c r="F45" s="482">
        <v>9</v>
      </c>
      <c r="G45" s="197" t="s">
        <v>355</v>
      </c>
      <c r="H45" s="483">
        <v>77.52</v>
      </c>
      <c r="I45" s="483">
        <v>697.68</v>
      </c>
      <c r="J45" s="197">
        <v>753.49</v>
      </c>
      <c r="K45" s="484" t="s">
        <v>683</v>
      </c>
      <c r="L45" s="483">
        <v>753.49</v>
      </c>
      <c r="M45" s="483">
        <v>55.81</v>
      </c>
      <c r="N45" s="483">
        <v>23.38</v>
      </c>
      <c r="O45" s="483">
        <v>13.02</v>
      </c>
      <c r="P45" s="483">
        <v>40.35</v>
      </c>
      <c r="Q45" s="483">
        <v>0.77</v>
      </c>
      <c r="R45" s="483">
        <v>0</v>
      </c>
      <c r="S45" s="197" t="s">
        <v>695</v>
      </c>
      <c r="T45" s="197" t="s">
        <v>685</v>
      </c>
      <c r="U45" s="197" t="s">
        <v>686</v>
      </c>
      <c r="V45" s="197" t="s">
        <v>687</v>
      </c>
      <c r="X45" s="485">
        <v>43836</v>
      </c>
      <c r="Y45" s="197" t="s">
        <v>698</v>
      </c>
      <c r="Z45" s="483">
        <v>0</v>
      </c>
      <c r="AA45" s="197" t="s">
        <v>688</v>
      </c>
      <c r="AC45" s="483">
        <v>0</v>
      </c>
      <c r="AD45" s="197" t="s">
        <v>689</v>
      </c>
      <c r="AE45" s="197" t="s">
        <v>609</v>
      </c>
      <c r="AF45" s="483">
        <v>0</v>
      </c>
      <c r="AG45" s="483">
        <v>0</v>
      </c>
      <c r="AH45" s="197" t="s">
        <v>685</v>
      </c>
      <c r="AI45" s="483">
        <v>0</v>
      </c>
    </row>
    <row r="46" spans="1:35">
      <c r="A46" s="479">
        <v>45</v>
      </c>
      <c r="B46" s="480" t="s">
        <v>608</v>
      </c>
      <c r="C46" s="481" t="s">
        <v>596</v>
      </c>
      <c r="D46" s="197" t="s">
        <v>365</v>
      </c>
      <c r="E46" s="197" t="s">
        <v>597</v>
      </c>
      <c r="F46" s="482">
        <v>4.5</v>
      </c>
      <c r="G46" s="197" t="s">
        <v>359</v>
      </c>
      <c r="H46" s="483">
        <v>53.11</v>
      </c>
      <c r="I46" s="483">
        <v>239</v>
      </c>
      <c r="J46" s="197">
        <v>258.12</v>
      </c>
      <c r="K46" s="484" t="s">
        <v>683</v>
      </c>
      <c r="L46" s="483">
        <v>258.12</v>
      </c>
      <c r="M46" s="483">
        <v>19.12</v>
      </c>
      <c r="N46" s="483">
        <v>25.28</v>
      </c>
      <c r="O46" s="483">
        <v>12.23</v>
      </c>
      <c r="P46" s="483">
        <v>15.6</v>
      </c>
      <c r="Q46" s="483">
        <v>0</v>
      </c>
      <c r="R46" s="483">
        <v>0</v>
      </c>
      <c r="S46" s="197" t="s">
        <v>699</v>
      </c>
      <c r="T46" s="197" t="s">
        <v>685</v>
      </c>
      <c r="U46" s="197" t="s">
        <v>686</v>
      </c>
      <c r="V46" s="197" t="s">
        <v>687</v>
      </c>
      <c r="X46" s="485">
        <v>45180</v>
      </c>
      <c r="Y46" s="197" t="s">
        <v>698</v>
      </c>
      <c r="Z46" s="483">
        <v>0</v>
      </c>
      <c r="AA46" s="197" t="s">
        <v>688</v>
      </c>
      <c r="AC46" s="483">
        <v>0</v>
      </c>
      <c r="AD46" s="197" t="s">
        <v>689</v>
      </c>
      <c r="AE46" s="197" t="s">
        <v>609</v>
      </c>
      <c r="AF46" s="483">
        <v>0</v>
      </c>
      <c r="AG46" s="483">
        <v>0</v>
      </c>
      <c r="AH46" s="197" t="s">
        <v>685</v>
      </c>
      <c r="AI46" s="483">
        <v>0</v>
      </c>
    </row>
    <row r="47" spans="1:35">
      <c r="A47" s="479">
        <v>46</v>
      </c>
      <c r="B47" s="480" t="s">
        <v>608</v>
      </c>
      <c r="C47" s="481" t="s">
        <v>596</v>
      </c>
      <c r="D47" s="197" t="s">
        <v>365</v>
      </c>
      <c r="E47" s="197" t="s">
        <v>597</v>
      </c>
      <c r="F47" s="482">
        <v>4.5</v>
      </c>
      <c r="G47" s="197" t="s">
        <v>359</v>
      </c>
      <c r="H47" s="483">
        <v>53.11</v>
      </c>
      <c r="I47" s="483">
        <v>239</v>
      </c>
      <c r="J47" s="197">
        <v>258.12</v>
      </c>
      <c r="K47" s="484" t="s">
        <v>683</v>
      </c>
      <c r="L47" s="483">
        <v>258.12</v>
      </c>
      <c r="M47" s="483">
        <v>19.12</v>
      </c>
      <c r="N47" s="483">
        <v>25.28</v>
      </c>
      <c r="O47" s="483">
        <v>12.23</v>
      </c>
      <c r="P47" s="483">
        <v>15.6</v>
      </c>
      <c r="Q47" s="483">
        <v>0</v>
      </c>
      <c r="R47" s="483">
        <v>0</v>
      </c>
      <c r="S47" s="197" t="s">
        <v>699</v>
      </c>
      <c r="T47" s="197" t="s">
        <v>685</v>
      </c>
      <c r="U47" s="197" t="s">
        <v>686</v>
      </c>
      <c r="V47" s="197" t="s">
        <v>687</v>
      </c>
      <c r="X47" s="485">
        <v>43823</v>
      </c>
      <c r="Y47" s="197" t="s">
        <v>698</v>
      </c>
      <c r="Z47" s="483">
        <v>0</v>
      </c>
      <c r="AA47" s="197" t="s">
        <v>688</v>
      </c>
      <c r="AC47" s="483">
        <v>0</v>
      </c>
      <c r="AD47" s="197" t="s">
        <v>689</v>
      </c>
      <c r="AE47" s="197" t="s">
        <v>609</v>
      </c>
      <c r="AF47" s="483">
        <v>0</v>
      </c>
      <c r="AG47" s="483">
        <v>0</v>
      </c>
      <c r="AH47" s="197" t="s">
        <v>685</v>
      </c>
      <c r="AI47" s="483">
        <v>0</v>
      </c>
    </row>
    <row r="48" spans="1:35">
      <c r="A48" s="479">
        <v>47</v>
      </c>
      <c r="B48" s="480" t="s">
        <v>608</v>
      </c>
      <c r="C48" s="481" t="s">
        <v>596</v>
      </c>
      <c r="D48" s="197" t="s">
        <v>365</v>
      </c>
      <c r="E48" s="197" t="s">
        <v>597</v>
      </c>
      <c r="F48" s="482">
        <v>4.5</v>
      </c>
      <c r="G48" s="197" t="s">
        <v>359</v>
      </c>
      <c r="H48" s="483">
        <v>53.11</v>
      </c>
      <c r="I48" s="483">
        <v>239</v>
      </c>
      <c r="J48" s="197">
        <v>258.12</v>
      </c>
      <c r="K48" s="484" t="s">
        <v>683</v>
      </c>
      <c r="L48" s="483">
        <v>258.12</v>
      </c>
      <c r="M48" s="483">
        <v>19.12</v>
      </c>
      <c r="N48" s="483">
        <v>25.28</v>
      </c>
      <c r="O48" s="483">
        <v>12.23</v>
      </c>
      <c r="P48" s="483">
        <v>15.6</v>
      </c>
      <c r="Q48" s="483">
        <v>0</v>
      </c>
      <c r="R48" s="483">
        <v>0</v>
      </c>
      <c r="S48" s="197" t="s">
        <v>699</v>
      </c>
      <c r="T48" s="197" t="s">
        <v>685</v>
      </c>
      <c r="U48" s="197" t="s">
        <v>686</v>
      </c>
      <c r="V48" s="197" t="s">
        <v>687</v>
      </c>
      <c r="X48" s="485">
        <v>43823</v>
      </c>
      <c r="Y48" s="197" t="s">
        <v>698</v>
      </c>
      <c r="Z48" s="483">
        <v>0</v>
      </c>
      <c r="AA48" s="197" t="s">
        <v>688</v>
      </c>
      <c r="AC48" s="483">
        <v>0</v>
      </c>
      <c r="AD48" s="197" t="s">
        <v>689</v>
      </c>
      <c r="AE48" s="197" t="s">
        <v>609</v>
      </c>
      <c r="AF48" s="483">
        <v>0</v>
      </c>
      <c r="AG48" s="483">
        <v>0</v>
      </c>
      <c r="AH48" s="197" t="s">
        <v>685</v>
      </c>
      <c r="AI48" s="483">
        <v>0</v>
      </c>
    </row>
    <row r="49" spans="1:35">
      <c r="A49" s="479">
        <v>48</v>
      </c>
      <c r="B49" s="480" t="s">
        <v>608</v>
      </c>
      <c r="C49" s="481" t="s">
        <v>596</v>
      </c>
      <c r="D49" s="197" t="s">
        <v>365</v>
      </c>
      <c r="E49" s="197" t="s">
        <v>597</v>
      </c>
      <c r="F49" s="482">
        <v>4.5</v>
      </c>
      <c r="G49" s="197" t="s">
        <v>359</v>
      </c>
      <c r="H49" s="483">
        <v>53.11</v>
      </c>
      <c r="I49" s="483">
        <v>239</v>
      </c>
      <c r="J49" s="197">
        <v>258.12</v>
      </c>
      <c r="K49" s="484" t="s">
        <v>683</v>
      </c>
      <c r="L49" s="483">
        <v>258.12</v>
      </c>
      <c r="M49" s="483">
        <v>19.12</v>
      </c>
      <c r="N49" s="483">
        <v>25.28</v>
      </c>
      <c r="O49" s="483">
        <v>12.23</v>
      </c>
      <c r="P49" s="483">
        <v>15.6</v>
      </c>
      <c r="Q49" s="483">
        <v>0</v>
      </c>
      <c r="R49" s="483">
        <v>0</v>
      </c>
      <c r="S49" s="197" t="s">
        <v>699</v>
      </c>
      <c r="T49" s="197" t="s">
        <v>685</v>
      </c>
      <c r="U49" s="197" t="s">
        <v>686</v>
      </c>
      <c r="V49" s="197" t="s">
        <v>687</v>
      </c>
      <c r="X49" s="485">
        <v>43823</v>
      </c>
      <c r="Y49" s="197" t="s">
        <v>698</v>
      </c>
      <c r="Z49" s="483">
        <v>0</v>
      </c>
      <c r="AA49" s="197" t="s">
        <v>688</v>
      </c>
      <c r="AC49" s="483">
        <v>0</v>
      </c>
      <c r="AD49" s="197" t="s">
        <v>689</v>
      </c>
      <c r="AE49" s="197" t="s">
        <v>609</v>
      </c>
      <c r="AF49" s="483">
        <v>0</v>
      </c>
      <c r="AG49" s="483">
        <v>0</v>
      </c>
      <c r="AH49" s="197" t="s">
        <v>685</v>
      </c>
      <c r="AI49" s="483">
        <v>0</v>
      </c>
    </row>
    <row r="50" spans="1:35">
      <c r="A50" s="479">
        <v>49</v>
      </c>
      <c r="B50" s="480" t="s">
        <v>608</v>
      </c>
      <c r="C50" s="481" t="s">
        <v>596</v>
      </c>
      <c r="D50" s="197" t="s">
        <v>365</v>
      </c>
      <c r="E50" s="197" t="s">
        <v>597</v>
      </c>
      <c r="F50" s="482">
        <v>0.9</v>
      </c>
      <c r="G50" s="197" t="s">
        <v>359</v>
      </c>
      <c r="H50" s="483">
        <v>53.11</v>
      </c>
      <c r="I50" s="483">
        <v>47.8</v>
      </c>
      <c r="J50" s="197">
        <v>51.62</v>
      </c>
      <c r="K50" s="484" t="s">
        <v>683</v>
      </c>
      <c r="L50" s="483">
        <v>51.62</v>
      </c>
      <c r="M50" s="483">
        <v>3.82</v>
      </c>
      <c r="N50" s="483">
        <v>25.28</v>
      </c>
      <c r="O50" s="483">
        <v>12.23</v>
      </c>
      <c r="P50" s="483">
        <v>15.6</v>
      </c>
      <c r="Q50" s="483">
        <v>0</v>
      </c>
      <c r="R50" s="483">
        <v>0</v>
      </c>
      <c r="S50" s="197" t="s">
        <v>699</v>
      </c>
      <c r="T50" s="197" t="s">
        <v>685</v>
      </c>
      <c r="U50" s="197" t="s">
        <v>686</v>
      </c>
      <c r="V50" s="197" t="s">
        <v>687</v>
      </c>
      <c r="X50" s="485">
        <v>43823</v>
      </c>
      <c r="Y50" s="197" t="s">
        <v>698</v>
      </c>
      <c r="Z50" s="483">
        <v>0</v>
      </c>
      <c r="AA50" s="197" t="s">
        <v>688</v>
      </c>
      <c r="AC50" s="483">
        <v>0</v>
      </c>
      <c r="AD50" s="197" t="s">
        <v>689</v>
      </c>
      <c r="AE50" s="197" t="s">
        <v>609</v>
      </c>
      <c r="AF50" s="483">
        <v>0</v>
      </c>
      <c r="AG50" s="483">
        <v>0</v>
      </c>
      <c r="AH50" s="197" t="s">
        <v>685</v>
      </c>
      <c r="AI50" s="483">
        <v>0</v>
      </c>
    </row>
    <row r="51" spans="1:35">
      <c r="A51" s="479">
        <v>50</v>
      </c>
      <c r="B51" s="480" t="s">
        <v>608</v>
      </c>
      <c r="C51" s="481" t="s">
        <v>596</v>
      </c>
      <c r="D51" s="197" t="s">
        <v>365</v>
      </c>
      <c r="E51" s="197" t="s">
        <v>597</v>
      </c>
      <c r="F51" s="482">
        <v>0.9</v>
      </c>
      <c r="G51" s="197" t="s">
        <v>359</v>
      </c>
      <c r="H51" s="483">
        <v>53.11</v>
      </c>
      <c r="I51" s="483">
        <v>47.8</v>
      </c>
      <c r="J51" s="197">
        <v>51.62</v>
      </c>
      <c r="K51" s="484" t="s">
        <v>683</v>
      </c>
      <c r="L51" s="483">
        <v>51.62</v>
      </c>
      <c r="M51" s="483">
        <v>3.82</v>
      </c>
      <c r="N51" s="483">
        <v>25.28</v>
      </c>
      <c r="O51" s="483">
        <v>12.23</v>
      </c>
      <c r="P51" s="483">
        <v>15.6</v>
      </c>
      <c r="Q51" s="483">
        <v>0</v>
      </c>
      <c r="R51" s="483">
        <v>0</v>
      </c>
      <c r="S51" s="197" t="s">
        <v>699</v>
      </c>
      <c r="T51" s="197" t="s">
        <v>685</v>
      </c>
      <c r="U51" s="197" t="s">
        <v>686</v>
      </c>
      <c r="V51" s="197" t="s">
        <v>687</v>
      </c>
      <c r="X51" s="485">
        <v>44228</v>
      </c>
      <c r="Y51" s="197" t="s">
        <v>698</v>
      </c>
      <c r="Z51" s="483">
        <v>0</v>
      </c>
      <c r="AA51" s="197" t="s">
        <v>688</v>
      </c>
      <c r="AC51" s="483">
        <v>0</v>
      </c>
      <c r="AD51" s="197" t="s">
        <v>689</v>
      </c>
      <c r="AE51" s="197" t="s">
        <v>609</v>
      </c>
      <c r="AF51" s="483">
        <v>0</v>
      </c>
      <c r="AG51" s="483">
        <v>0</v>
      </c>
      <c r="AH51" s="197" t="s">
        <v>685</v>
      </c>
      <c r="AI51" s="483">
        <v>0</v>
      </c>
    </row>
    <row r="52" spans="1:35" s="495" customFormat="1" ht="15">
      <c r="A52" s="492">
        <v>51</v>
      </c>
      <c r="B52" s="493" t="s">
        <v>616</v>
      </c>
      <c r="C52" s="494" t="s">
        <v>737</v>
      </c>
      <c r="D52" s="495" t="s">
        <v>704</v>
      </c>
      <c r="E52" s="495" t="s">
        <v>741</v>
      </c>
      <c r="F52" s="496">
        <v>0</v>
      </c>
      <c r="G52" s="495" t="s">
        <v>355</v>
      </c>
      <c r="H52" s="497">
        <v>0</v>
      </c>
      <c r="I52" s="497">
        <v>0</v>
      </c>
      <c r="J52" s="495">
        <v>0</v>
      </c>
      <c r="K52" s="498" t="s">
        <v>683</v>
      </c>
      <c r="L52" s="497">
        <v>0</v>
      </c>
      <c r="M52" s="497">
        <v>0</v>
      </c>
      <c r="N52" s="497">
        <v>0</v>
      </c>
      <c r="O52" s="497">
        <v>0</v>
      </c>
      <c r="P52" s="497">
        <v>0</v>
      </c>
      <c r="Q52" s="497">
        <v>0</v>
      </c>
      <c r="R52" s="497">
        <v>0</v>
      </c>
      <c r="S52" s="495" t="s">
        <v>684</v>
      </c>
      <c r="T52" s="495" t="s">
        <v>685</v>
      </c>
      <c r="U52" s="495" t="s">
        <v>686</v>
      </c>
      <c r="V52" s="495" t="s">
        <v>687</v>
      </c>
      <c r="X52" s="499">
        <v>45715</v>
      </c>
      <c r="Z52" s="497">
        <v>0</v>
      </c>
      <c r="AA52" s="495" t="s">
        <v>688</v>
      </c>
      <c r="AC52" s="497">
        <v>0</v>
      </c>
      <c r="AD52" s="495" t="s">
        <v>689</v>
      </c>
      <c r="AE52" s="495" t="s">
        <v>617</v>
      </c>
      <c r="AF52" s="497">
        <v>0</v>
      </c>
      <c r="AG52" s="497">
        <v>0</v>
      </c>
      <c r="AH52" s="495" t="s">
        <v>685</v>
      </c>
      <c r="AI52" s="497">
        <v>0</v>
      </c>
    </row>
    <row r="53" spans="1:35">
      <c r="A53" s="479">
        <v>52</v>
      </c>
      <c r="B53" s="480" t="s">
        <v>616</v>
      </c>
      <c r="C53" s="481" t="s">
        <v>345</v>
      </c>
      <c r="D53" s="197" t="s">
        <v>612</v>
      </c>
      <c r="E53" s="197" t="s">
        <v>613</v>
      </c>
      <c r="F53" s="482">
        <v>14.5</v>
      </c>
      <c r="G53" s="197" t="s">
        <v>355</v>
      </c>
      <c r="H53" s="483">
        <v>5.31</v>
      </c>
      <c r="I53" s="483">
        <v>77</v>
      </c>
      <c r="J53" s="197">
        <v>83.16</v>
      </c>
      <c r="K53" s="484" t="s">
        <v>683</v>
      </c>
      <c r="L53" s="483">
        <v>83.16</v>
      </c>
      <c r="M53" s="483">
        <v>6.16</v>
      </c>
      <c r="N53" s="483">
        <v>0</v>
      </c>
      <c r="O53" s="483">
        <v>0</v>
      </c>
      <c r="P53" s="483">
        <v>0</v>
      </c>
      <c r="Q53" s="483">
        <v>5.31</v>
      </c>
      <c r="R53" s="483">
        <v>0</v>
      </c>
      <c r="S53" s="197" t="s">
        <v>684</v>
      </c>
      <c r="T53" s="197" t="s">
        <v>685</v>
      </c>
      <c r="U53" s="197" t="s">
        <v>686</v>
      </c>
      <c r="V53" s="197" t="s">
        <v>687</v>
      </c>
      <c r="X53" s="485">
        <v>43976</v>
      </c>
      <c r="Z53" s="483">
        <v>0</v>
      </c>
      <c r="AA53" s="197" t="s">
        <v>688</v>
      </c>
      <c r="AC53" s="483">
        <v>0</v>
      </c>
      <c r="AD53" s="197" t="s">
        <v>689</v>
      </c>
      <c r="AE53" s="197" t="s">
        <v>617</v>
      </c>
      <c r="AF53" s="483">
        <v>0</v>
      </c>
      <c r="AG53" s="483">
        <v>0</v>
      </c>
      <c r="AH53" s="197" t="s">
        <v>685</v>
      </c>
      <c r="AI53" s="483">
        <v>0</v>
      </c>
    </row>
    <row r="54" spans="1:35">
      <c r="A54" s="479">
        <v>53</v>
      </c>
      <c r="B54" s="480" t="s">
        <v>616</v>
      </c>
      <c r="C54" s="481" t="s">
        <v>345</v>
      </c>
      <c r="D54" s="197" t="s">
        <v>614</v>
      </c>
      <c r="E54" s="197" t="s">
        <v>615</v>
      </c>
      <c r="F54" s="482">
        <v>14.5</v>
      </c>
      <c r="G54" s="197" t="s">
        <v>355</v>
      </c>
      <c r="H54" s="483">
        <v>8.57</v>
      </c>
      <c r="I54" s="483">
        <v>124.27</v>
      </c>
      <c r="J54" s="197">
        <v>134.21</v>
      </c>
      <c r="K54" s="484" t="s">
        <v>683</v>
      </c>
      <c r="L54" s="483">
        <v>134.21</v>
      </c>
      <c r="M54" s="483">
        <v>9.94</v>
      </c>
      <c r="N54" s="483">
        <v>0</v>
      </c>
      <c r="O54" s="483">
        <v>0</v>
      </c>
      <c r="P54" s="483">
        <v>0</v>
      </c>
      <c r="Q54" s="483">
        <v>8.57</v>
      </c>
      <c r="R54" s="483">
        <v>0</v>
      </c>
      <c r="S54" s="197" t="s">
        <v>684</v>
      </c>
      <c r="T54" s="197" t="s">
        <v>685</v>
      </c>
      <c r="U54" s="197" t="s">
        <v>686</v>
      </c>
      <c r="V54" s="197" t="s">
        <v>687</v>
      </c>
      <c r="X54" s="485">
        <v>43976</v>
      </c>
      <c r="Z54" s="483">
        <v>0</v>
      </c>
      <c r="AA54" s="197" t="s">
        <v>688</v>
      </c>
      <c r="AC54" s="483">
        <v>0</v>
      </c>
      <c r="AD54" s="197" t="s">
        <v>689</v>
      </c>
      <c r="AE54" s="197" t="s">
        <v>617</v>
      </c>
      <c r="AF54" s="483">
        <v>0</v>
      </c>
      <c r="AG54" s="483">
        <v>0</v>
      </c>
      <c r="AH54" s="197" t="s">
        <v>685</v>
      </c>
      <c r="AI54" s="483">
        <v>0</v>
      </c>
    </row>
    <row r="55" spans="1:35">
      <c r="A55" s="479">
        <v>54</v>
      </c>
      <c r="B55" s="480" t="s">
        <v>616</v>
      </c>
      <c r="C55" s="481" t="s">
        <v>345</v>
      </c>
      <c r="D55" s="197" t="s">
        <v>618</v>
      </c>
      <c r="E55" s="197" t="s">
        <v>619</v>
      </c>
      <c r="F55" s="482">
        <v>14.5</v>
      </c>
      <c r="G55" s="197" t="s">
        <v>355</v>
      </c>
      <c r="H55" s="483">
        <v>18.260000000000002</v>
      </c>
      <c r="I55" s="483">
        <v>264.77</v>
      </c>
      <c r="J55" s="197">
        <v>285.95</v>
      </c>
      <c r="K55" s="484" t="s">
        <v>683</v>
      </c>
      <c r="L55" s="483">
        <v>285.95</v>
      </c>
      <c r="M55" s="483">
        <v>21.18</v>
      </c>
      <c r="N55" s="483">
        <v>0</v>
      </c>
      <c r="O55" s="483">
        <v>0</v>
      </c>
      <c r="P55" s="483">
        <v>0</v>
      </c>
      <c r="Q55" s="483">
        <v>18.260000000000002</v>
      </c>
      <c r="R55" s="483">
        <v>0</v>
      </c>
      <c r="S55" s="197" t="s">
        <v>684</v>
      </c>
      <c r="T55" s="197" t="s">
        <v>685</v>
      </c>
      <c r="U55" s="197" t="s">
        <v>686</v>
      </c>
      <c r="V55" s="197" t="s">
        <v>687</v>
      </c>
      <c r="X55" s="485">
        <v>43976</v>
      </c>
      <c r="Z55" s="483">
        <v>0</v>
      </c>
      <c r="AA55" s="197" t="s">
        <v>688</v>
      </c>
      <c r="AC55" s="483">
        <v>0</v>
      </c>
      <c r="AD55" s="197" t="s">
        <v>689</v>
      </c>
      <c r="AE55" s="197" t="s">
        <v>617</v>
      </c>
      <c r="AF55" s="483">
        <v>0</v>
      </c>
      <c r="AG55" s="483">
        <v>0</v>
      </c>
      <c r="AH55" s="197" t="s">
        <v>685</v>
      </c>
      <c r="AI55" s="483">
        <v>0</v>
      </c>
    </row>
    <row r="56" spans="1:35">
      <c r="A56" s="479">
        <v>55</v>
      </c>
      <c r="B56" s="480" t="s">
        <v>616</v>
      </c>
      <c r="C56" s="481" t="s">
        <v>345</v>
      </c>
      <c r="D56" s="197" t="s">
        <v>620</v>
      </c>
      <c r="E56" s="197" t="s">
        <v>621</v>
      </c>
      <c r="F56" s="482">
        <v>29</v>
      </c>
      <c r="G56" s="197" t="s">
        <v>355</v>
      </c>
      <c r="H56" s="483">
        <v>28.64</v>
      </c>
      <c r="I56" s="483">
        <v>830.56</v>
      </c>
      <c r="J56" s="197">
        <v>897</v>
      </c>
      <c r="K56" s="484" t="s">
        <v>683</v>
      </c>
      <c r="L56" s="483">
        <v>897</v>
      </c>
      <c r="M56" s="483">
        <v>66.44</v>
      </c>
      <c r="N56" s="483">
        <v>7</v>
      </c>
      <c r="O56" s="483">
        <v>3.74</v>
      </c>
      <c r="P56" s="483">
        <v>10.5</v>
      </c>
      <c r="Q56" s="483">
        <v>7.4</v>
      </c>
      <c r="R56" s="483">
        <v>0</v>
      </c>
      <c r="S56" s="197" t="s">
        <v>695</v>
      </c>
      <c r="T56" s="197" t="s">
        <v>685</v>
      </c>
      <c r="U56" s="197" t="s">
        <v>686</v>
      </c>
      <c r="V56" s="197" t="s">
        <v>687</v>
      </c>
      <c r="X56" s="485">
        <v>43999</v>
      </c>
      <c r="Z56" s="483">
        <v>0</v>
      </c>
      <c r="AA56" s="197" t="s">
        <v>688</v>
      </c>
      <c r="AC56" s="483">
        <v>0</v>
      </c>
      <c r="AD56" s="197" t="s">
        <v>689</v>
      </c>
      <c r="AE56" s="197" t="s">
        <v>617</v>
      </c>
      <c r="AF56" s="483">
        <v>0</v>
      </c>
      <c r="AG56" s="483">
        <v>0</v>
      </c>
      <c r="AH56" s="197" t="s">
        <v>685</v>
      </c>
      <c r="AI56" s="483">
        <v>0</v>
      </c>
    </row>
    <row r="57" spans="1:35">
      <c r="A57" s="479">
        <v>56</v>
      </c>
      <c r="B57" s="480" t="s">
        <v>616</v>
      </c>
      <c r="C57" s="481" t="s">
        <v>593</v>
      </c>
      <c r="D57" s="197" t="s">
        <v>622</v>
      </c>
      <c r="E57" s="197" t="s">
        <v>623</v>
      </c>
      <c r="F57" s="482">
        <v>29</v>
      </c>
      <c r="G57" s="197" t="s">
        <v>355</v>
      </c>
      <c r="H57" s="483">
        <v>103.15</v>
      </c>
      <c r="I57" s="483">
        <v>2991.35</v>
      </c>
      <c r="J57" s="197">
        <v>3230.66</v>
      </c>
      <c r="K57" s="484" t="s">
        <v>683</v>
      </c>
      <c r="L57" s="483">
        <v>3230.66</v>
      </c>
      <c r="M57" s="483">
        <v>239.31</v>
      </c>
      <c r="N57" s="483">
        <v>31.15</v>
      </c>
      <c r="O57" s="483">
        <v>17.34</v>
      </c>
      <c r="P57" s="483">
        <v>53.76</v>
      </c>
      <c r="Q57" s="483">
        <v>0.9</v>
      </c>
      <c r="R57" s="483">
        <v>0</v>
      </c>
      <c r="S57" s="197" t="s">
        <v>695</v>
      </c>
      <c r="T57" s="197" t="s">
        <v>685</v>
      </c>
      <c r="U57" s="197" t="s">
        <v>686</v>
      </c>
      <c r="V57" s="197" t="s">
        <v>687</v>
      </c>
      <c r="X57" s="485">
        <v>44237</v>
      </c>
      <c r="Y57" s="197" t="s">
        <v>698</v>
      </c>
      <c r="Z57" s="483">
        <v>0</v>
      </c>
      <c r="AA57" s="197" t="s">
        <v>688</v>
      </c>
      <c r="AC57" s="483">
        <v>0</v>
      </c>
      <c r="AD57" s="197" t="s">
        <v>689</v>
      </c>
      <c r="AE57" s="197" t="s">
        <v>617</v>
      </c>
      <c r="AF57" s="483">
        <v>0</v>
      </c>
      <c r="AG57" s="483">
        <v>0</v>
      </c>
      <c r="AH57" s="197" t="s">
        <v>685</v>
      </c>
      <c r="AI57" s="483">
        <v>0</v>
      </c>
    </row>
    <row r="58" spans="1:35">
      <c r="A58" s="479">
        <v>57</v>
      </c>
      <c r="B58" s="480" t="s">
        <v>616</v>
      </c>
      <c r="C58" s="481" t="s">
        <v>596</v>
      </c>
      <c r="D58" s="197" t="s">
        <v>365</v>
      </c>
      <c r="E58" s="197" t="s">
        <v>597</v>
      </c>
      <c r="F58" s="482">
        <v>34.799999999999997</v>
      </c>
      <c r="G58" s="197" t="s">
        <v>359</v>
      </c>
      <c r="H58" s="483">
        <v>53.11</v>
      </c>
      <c r="I58" s="483">
        <v>1848.23</v>
      </c>
      <c r="J58" s="197">
        <v>1996.09</v>
      </c>
      <c r="K58" s="484" t="s">
        <v>683</v>
      </c>
      <c r="L58" s="483">
        <v>1996.09</v>
      </c>
      <c r="M58" s="483">
        <v>147.86000000000001</v>
      </c>
      <c r="N58" s="483">
        <v>25.28</v>
      </c>
      <c r="O58" s="483">
        <v>12.23</v>
      </c>
      <c r="P58" s="483">
        <v>15.6</v>
      </c>
      <c r="Q58" s="483">
        <v>0</v>
      </c>
      <c r="R58" s="483">
        <v>0</v>
      </c>
      <c r="S58" s="197" t="s">
        <v>699</v>
      </c>
      <c r="T58" s="197" t="s">
        <v>685</v>
      </c>
      <c r="U58" s="197" t="s">
        <v>686</v>
      </c>
      <c r="V58" s="197" t="s">
        <v>687</v>
      </c>
      <c r="X58" s="485">
        <v>43823</v>
      </c>
      <c r="Y58" s="197" t="s">
        <v>698</v>
      </c>
      <c r="Z58" s="483">
        <v>0</v>
      </c>
      <c r="AA58" s="197" t="s">
        <v>688</v>
      </c>
      <c r="AC58" s="483">
        <v>0</v>
      </c>
      <c r="AD58" s="197" t="s">
        <v>689</v>
      </c>
      <c r="AE58" s="197" t="s">
        <v>617</v>
      </c>
      <c r="AF58" s="483">
        <v>0</v>
      </c>
      <c r="AG58" s="483">
        <v>0</v>
      </c>
      <c r="AH58" s="197" t="s">
        <v>685</v>
      </c>
      <c r="AI58" s="483">
        <v>0</v>
      </c>
    </row>
    <row r="59" spans="1:35">
      <c r="A59" s="479">
        <v>58</v>
      </c>
      <c r="B59" s="480" t="s">
        <v>616</v>
      </c>
      <c r="C59" s="481" t="s">
        <v>596</v>
      </c>
      <c r="D59" s="197" t="s">
        <v>365</v>
      </c>
      <c r="E59" s="197" t="s">
        <v>597</v>
      </c>
      <c r="F59" s="482">
        <v>34.799999999999997</v>
      </c>
      <c r="G59" s="197" t="s">
        <v>359</v>
      </c>
      <c r="H59" s="483">
        <v>53.11</v>
      </c>
      <c r="I59" s="483">
        <v>1848.23</v>
      </c>
      <c r="J59" s="197">
        <v>1996.09</v>
      </c>
      <c r="K59" s="484" t="s">
        <v>683</v>
      </c>
      <c r="L59" s="483">
        <v>1996.09</v>
      </c>
      <c r="M59" s="483">
        <v>147.86000000000001</v>
      </c>
      <c r="N59" s="483">
        <v>25.28</v>
      </c>
      <c r="O59" s="483">
        <v>12.23</v>
      </c>
      <c r="P59" s="483">
        <v>15.6</v>
      </c>
      <c r="Q59" s="483">
        <v>0</v>
      </c>
      <c r="R59" s="483">
        <v>0</v>
      </c>
      <c r="S59" s="197" t="s">
        <v>699</v>
      </c>
      <c r="T59" s="197" t="s">
        <v>685</v>
      </c>
      <c r="U59" s="197" t="s">
        <v>686</v>
      </c>
      <c r="V59" s="197" t="s">
        <v>687</v>
      </c>
      <c r="X59" s="485">
        <v>43823</v>
      </c>
      <c r="Y59" s="197" t="s">
        <v>698</v>
      </c>
      <c r="Z59" s="483">
        <v>0</v>
      </c>
      <c r="AA59" s="197" t="s">
        <v>688</v>
      </c>
      <c r="AC59" s="483">
        <v>0</v>
      </c>
      <c r="AD59" s="197" t="s">
        <v>689</v>
      </c>
      <c r="AE59" s="197" t="s">
        <v>617</v>
      </c>
      <c r="AF59" s="483">
        <v>0</v>
      </c>
      <c r="AG59" s="483">
        <v>0</v>
      </c>
      <c r="AH59" s="197" t="s">
        <v>685</v>
      </c>
      <c r="AI59" s="483">
        <v>0</v>
      </c>
    </row>
    <row r="60" spans="1:35">
      <c r="A60" s="479">
        <v>59</v>
      </c>
      <c r="B60" s="480" t="s">
        <v>616</v>
      </c>
      <c r="C60" s="481" t="s">
        <v>596</v>
      </c>
      <c r="D60" s="197" t="s">
        <v>365</v>
      </c>
      <c r="E60" s="197" t="s">
        <v>597</v>
      </c>
      <c r="F60" s="482">
        <v>34.799999999999997</v>
      </c>
      <c r="G60" s="197" t="s">
        <v>359</v>
      </c>
      <c r="H60" s="483">
        <v>53.11</v>
      </c>
      <c r="I60" s="483">
        <v>1848.23</v>
      </c>
      <c r="J60" s="197">
        <v>1996.09</v>
      </c>
      <c r="K60" s="484" t="s">
        <v>683</v>
      </c>
      <c r="L60" s="483">
        <v>1996.09</v>
      </c>
      <c r="M60" s="483">
        <v>147.86000000000001</v>
      </c>
      <c r="N60" s="483">
        <v>25.28</v>
      </c>
      <c r="O60" s="483">
        <v>12.23</v>
      </c>
      <c r="P60" s="483">
        <v>15.6</v>
      </c>
      <c r="Q60" s="483">
        <v>0</v>
      </c>
      <c r="R60" s="483">
        <v>0</v>
      </c>
      <c r="S60" s="197" t="s">
        <v>699</v>
      </c>
      <c r="T60" s="197" t="s">
        <v>685</v>
      </c>
      <c r="U60" s="197" t="s">
        <v>686</v>
      </c>
      <c r="V60" s="197" t="s">
        <v>687</v>
      </c>
      <c r="X60" s="485">
        <v>43823</v>
      </c>
      <c r="Y60" s="197" t="s">
        <v>698</v>
      </c>
      <c r="Z60" s="483">
        <v>0</v>
      </c>
      <c r="AA60" s="197" t="s">
        <v>688</v>
      </c>
      <c r="AC60" s="483">
        <v>0</v>
      </c>
      <c r="AD60" s="197" t="s">
        <v>689</v>
      </c>
      <c r="AE60" s="197" t="s">
        <v>617</v>
      </c>
      <c r="AF60" s="483">
        <v>0</v>
      </c>
      <c r="AG60" s="483">
        <v>0</v>
      </c>
      <c r="AH60" s="197" t="s">
        <v>685</v>
      </c>
      <c r="AI60" s="483">
        <v>0</v>
      </c>
    </row>
    <row r="61" spans="1:35">
      <c r="A61" s="479">
        <v>60</v>
      </c>
      <c r="B61" s="480" t="s">
        <v>616</v>
      </c>
      <c r="C61" s="481" t="s">
        <v>596</v>
      </c>
      <c r="D61" s="197" t="s">
        <v>365</v>
      </c>
      <c r="E61" s="197" t="s">
        <v>597</v>
      </c>
      <c r="F61" s="482">
        <v>34.799999999999997</v>
      </c>
      <c r="G61" s="197" t="s">
        <v>359</v>
      </c>
      <c r="H61" s="483">
        <v>53.11</v>
      </c>
      <c r="I61" s="483">
        <v>1848.23</v>
      </c>
      <c r="J61" s="197">
        <v>1996.09</v>
      </c>
      <c r="K61" s="484" t="s">
        <v>683</v>
      </c>
      <c r="L61" s="483">
        <v>1996.09</v>
      </c>
      <c r="M61" s="483">
        <v>147.86000000000001</v>
      </c>
      <c r="N61" s="483">
        <v>25.28</v>
      </c>
      <c r="O61" s="483">
        <v>12.23</v>
      </c>
      <c r="P61" s="483">
        <v>15.6</v>
      </c>
      <c r="Q61" s="483">
        <v>0</v>
      </c>
      <c r="R61" s="483">
        <v>0</v>
      </c>
      <c r="S61" s="197" t="s">
        <v>699</v>
      </c>
      <c r="T61" s="197" t="s">
        <v>685</v>
      </c>
      <c r="U61" s="197" t="s">
        <v>686</v>
      </c>
      <c r="V61" s="197" t="s">
        <v>687</v>
      </c>
      <c r="X61" s="485">
        <v>43823</v>
      </c>
      <c r="Y61" s="197" t="s">
        <v>698</v>
      </c>
      <c r="Z61" s="483">
        <v>0</v>
      </c>
      <c r="AA61" s="197" t="s">
        <v>688</v>
      </c>
      <c r="AC61" s="483">
        <v>0</v>
      </c>
      <c r="AD61" s="197" t="s">
        <v>689</v>
      </c>
      <c r="AE61" s="197" t="s">
        <v>617</v>
      </c>
      <c r="AF61" s="483">
        <v>0</v>
      </c>
      <c r="AG61" s="483">
        <v>0</v>
      </c>
      <c r="AH61" s="197" t="s">
        <v>685</v>
      </c>
      <c r="AI61" s="483">
        <v>0</v>
      </c>
    </row>
    <row r="62" spans="1:35">
      <c r="A62" s="479">
        <v>61</v>
      </c>
      <c r="B62" s="480" t="s">
        <v>616</v>
      </c>
      <c r="C62" s="481" t="s">
        <v>352</v>
      </c>
      <c r="D62" s="197" t="s">
        <v>365</v>
      </c>
      <c r="E62" s="197" t="s">
        <v>624</v>
      </c>
      <c r="F62" s="482">
        <v>2.9</v>
      </c>
      <c r="G62" s="197" t="s">
        <v>359</v>
      </c>
      <c r="H62" s="483">
        <v>61.24</v>
      </c>
      <c r="I62" s="483">
        <v>177.6</v>
      </c>
      <c r="J62" s="197">
        <v>191.81</v>
      </c>
      <c r="K62" s="484" t="s">
        <v>692</v>
      </c>
      <c r="L62" s="483">
        <v>191.81</v>
      </c>
      <c r="M62" s="483">
        <v>14.21</v>
      </c>
      <c r="N62" s="483">
        <v>25.63</v>
      </c>
      <c r="O62" s="483">
        <v>12.35</v>
      </c>
      <c r="P62" s="483">
        <v>23.26</v>
      </c>
      <c r="Q62" s="483">
        <v>0</v>
      </c>
      <c r="R62" s="483">
        <v>0</v>
      </c>
      <c r="S62" s="197" t="s">
        <v>684</v>
      </c>
      <c r="T62" s="197" t="s">
        <v>685</v>
      </c>
      <c r="U62" s="197" t="s">
        <v>686</v>
      </c>
      <c r="V62" s="197" t="s">
        <v>687</v>
      </c>
      <c r="X62" s="485">
        <v>44617</v>
      </c>
      <c r="Y62" s="197" t="s">
        <v>698</v>
      </c>
      <c r="Z62" s="483">
        <v>0</v>
      </c>
      <c r="AA62" s="197" t="s">
        <v>688</v>
      </c>
      <c r="AC62" s="483">
        <v>0</v>
      </c>
      <c r="AD62" s="197" t="s">
        <v>689</v>
      </c>
      <c r="AE62" s="197" t="s">
        <v>617</v>
      </c>
      <c r="AF62" s="483">
        <v>0</v>
      </c>
      <c r="AG62" s="483">
        <v>0</v>
      </c>
      <c r="AH62" s="197" t="s">
        <v>685</v>
      </c>
      <c r="AI62" s="483">
        <v>0</v>
      </c>
    </row>
    <row r="63" spans="1:35">
      <c r="A63" s="479">
        <v>62</v>
      </c>
      <c r="B63" s="480" t="s">
        <v>616</v>
      </c>
      <c r="C63" s="481" t="s">
        <v>596</v>
      </c>
      <c r="D63" s="197" t="s">
        <v>365</v>
      </c>
      <c r="E63" s="197" t="s">
        <v>597</v>
      </c>
      <c r="F63" s="482">
        <v>2.9</v>
      </c>
      <c r="G63" s="197" t="s">
        <v>359</v>
      </c>
      <c r="H63" s="483">
        <v>53.11</v>
      </c>
      <c r="I63" s="483">
        <v>154.02000000000001</v>
      </c>
      <c r="J63" s="197">
        <v>166.34</v>
      </c>
      <c r="K63" s="484" t="s">
        <v>683</v>
      </c>
      <c r="L63" s="483">
        <v>166.34</v>
      </c>
      <c r="M63" s="483">
        <v>12.32</v>
      </c>
      <c r="N63" s="483">
        <v>25.28</v>
      </c>
      <c r="O63" s="483">
        <v>12.23</v>
      </c>
      <c r="P63" s="483">
        <v>15.6</v>
      </c>
      <c r="Q63" s="483">
        <v>0</v>
      </c>
      <c r="R63" s="483">
        <v>0</v>
      </c>
      <c r="S63" s="197" t="s">
        <v>699</v>
      </c>
      <c r="T63" s="197" t="s">
        <v>685</v>
      </c>
      <c r="U63" s="197" t="s">
        <v>686</v>
      </c>
      <c r="V63" s="197" t="s">
        <v>687</v>
      </c>
      <c r="X63" s="485">
        <v>44228</v>
      </c>
      <c r="Y63" s="197" t="s">
        <v>698</v>
      </c>
      <c r="Z63" s="483">
        <v>0</v>
      </c>
      <c r="AA63" s="197" t="s">
        <v>688</v>
      </c>
      <c r="AC63" s="483">
        <v>0</v>
      </c>
      <c r="AD63" s="197" t="s">
        <v>689</v>
      </c>
      <c r="AE63" s="197" t="s">
        <v>617</v>
      </c>
      <c r="AF63" s="483">
        <v>0</v>
      </c>
      <c r="AG63" s="483">
        <v>0</v>
      </c>
      <c r="AH63" s="197" t="s">
        <v>685</v>
      </c>
      <c r="AI63" s="483">
        <v>0</v>
      </c>
    </row>
    <row r="64" spans="1:35" s="495" customFormat="1" ht="15">
      <c r="A64" s="492">
        <v>63</v>
      </c>
      <c r="B64" s="493" t="s">
        <v>627</v>
      </c>
      <c r="C64" s="494" t="s">
        <v>737</v>
      </c>
      <c r="D64" s="495" t="s">
        <v>704</v>
      </c>
      <c r="E64" s="495" t="s">
        <v>742</v>
      </c>
      <c r="F64" s="496">
        <v>0</v>
      </c>
      <c r="G64" s="495" t="s">
        <v>355</v>
      </c>
      <c r="H64" s="497">
        <v>0</v>
      </c>
      <c r="I64" s="497">
        <v>0</v>
      </c>
      <c r="J64" s="495">
        <v>0</v>
      </c>
      <c r="K64" s="498" t="s">
        <v>683</v>
      </c>
      <c r="L64" s="497">
        <v>0</v>
      </c>
      <c r="M64" s="497">
        <v>0</v>
      </c>
      <c r="N64" s="497">
        <v>0</v>
      </c>
      <c r="O64" s="497">
        <v>0</v>
      </c>
      <c r="P64" s="497">
        <v>0</v>
      </c>
      <c r="Q64" s="497">
        <v>0</v>
      </c>
      <c r="R64" s="497">
        <v>0</v>
      </c>
      <c r="S64" s="495" t="s">
        <v>684</v>
      </c>
      <c r="T64" s="495" t="s">
        <v>685</v>
      </c>
      <c r="U64" s="495" t="s">
        <v>686</v>
      </c>
      <c r="V64" s="495" t="s">
        <v>687</v>
      </c>
      <c r="X64" s="499">
        <v>45715</v>
      </c>
      <c r="Z64" s="497">
        <v>0</v>
      </c>
      <c r="AA64" s="495" t="s">
        <v>688</v>
      </c>
      <c r="AC64" s="497">
        <v>0</v>
      </c>
      <c r="AD64" s="495" t="s">
        <v>689</v>
      </c>
      <c r="AE64" s="495" t="s">
        <v>628</v>
      </c>
      <c r="AF64" s="497">
        <v>0</v>
      </c>
      <c r="AG64" s="497">
        <v>0</v>
      </c>
      <c r="AH64" s="495" t="s">
        <v>685</v>
      </c>
      <c r="AI64" s="497">
        <v>0</v>
      </c>
    </row>
    <row r="65" spans="1:35">
      <c r="A65" s="479">
        <v>64</v>
      </c>
      <c r="B65" s="480" t="s">
        <v>627</v>
      </c>
      <c r="C65" s="481" t="s">
        <v>345</v>
      </c>
      <c r="D65" s="197" t="s">
        <v>625</v>
      </c>
      <c r="E65" s="197" t="s">
        <v>626</v>
      </c>
      <c r="F65" s="482">
        <v>9</v>
      </c>
      <c r="G65" s="197" t="s">
        <v>355</v>
      </c>
      <c r="H65" s="483">
        <v>10.08</v>
      </c>
      <c r="I65" s="483">
        <v>90.72</v>
      </c>
      <c r="J65" s="197">
        <v>97.98</v>
      </c>
      <c r="K65" s="484" t="s">
        <v>683</v>
      </c>
      <c r="L65" s="483">
        <v>97.98</v>
      </c>
      <c r="M65" s="483">
        <v>7.26</v>
      </c>
      <c r="N65" s="483">
        <v>0</v>
      </c>
      <c r="O65" s="483">
        <v>0</v>
      </c>
      <c r="P65" s="483">
        <v>0</v>
      </c>
      <c r="Q65" s="483">
        <v>10.08</v>
      </c>
      <c r="R65" s="483">
        <v>0</v>
      </c>
      <c r="S65" s="197" t="s">
        <v>684</v>
      </c>
      <c r="T65" s="197" t="s">
        <v>685</v>
      </c>
      <c r="U65" s="197" t="s">
        <v>686</v>
      </c>
      <c r="V65" s="197" t="s">
        <v>687</v>
      </c>
      <c r="X65" s="485">
        <v>44580</v>
      </c>
      <c r="Y65" s="197" t="s">
        <v>698</v>
      </c>
      <c r="Z65" s="483">
        <v>0</v>
      </c>
      <c r="AA65" s="197" t="s">
        <v>688</v>
      </c>
      <c r="AC65" s="483">
        <v>0</v>
      </c>
      <c r="AD65" s="197" t="s">
        <v>689</v>
      </c>
      <c r="AE65" s="197" t="s">
        <v>628</v>
      </c>
      <c r="AF65" s="483">
        <v>0</v>
      </c>
      <c r="AG65" s="483">
        <v>0</v>
      </c>
      <c r="AH65" s="197" t="s">
        <v>685</v>
      </c>
      <c r="AI65" s="483">
        <v>0</v>
      </c>
    </row>
    <row r="66" spans="1:35">
      <c r="A66" s="479">
        <v>65</v>
      </c>
      <c r="B66" s="480" t="s">
        <v>627</v>
      </c>
      <c r="C66" s="481" t="s">
        <v>345</v>
      </c>
      <c r="D66" s="197" t="s">
        <v>599</v>
      </c>
      <c r="E66" s="197" t="s">
        <v>600</v>
      </c>
      <c r="F66" s="482">
        <v>9</v>
      </c>
      <c r="G66" s="197" t="s">
        <v>355</v>
      </c>
      <c r="H66" s="483">
        <v>16.63</v>
      </c>
      <c r="I66" s="483">
        <v>149.66999999999999</v>
      </c>
      <c r="J66" s="197">
        <v>161.63999999999999</v>
      </c>
      <c r="K66" s="484" t="s">
        <v>683</v>
      </c>
      <c r="L66" s="483">
        <v>161.63999999999999</v>
      </c>
      <c r="M66" s="483">
        <v>11.97</v>
      </c>
      <c r="N66" s="483">
        <v>4.21</v>
      </c>
      <c r="O66" s="483">
        <v>2.25</v>
      </c>
      <c r="P66" s="483">
        <v>6.3</v>
      </c>
      <c r="Q66" s="483">
        <v>3.87</v>
      </c>
      <c r="R66" s="483">
        <v>0</v>
      </c>
      <c r="S66" s="197" t="s">
        <v>695</v>
      </c>
      <c r="T66" s="197" t="s">
        <v>685</v>
      </c>
      <c r="U66" s="197" t="s">
        <v>686</v>
      </c>
      <c r="V66" s="197" t="s">
        <v>687</v>
      </c>
      <c r="X66" s="485">
        <v>43939</v>
      </c>
      <c r="Y66" s="197" t="s">
        <v>698</v>
      </c>
      <c r="Z66" s="483">
        <v>0</v>
      </c>
      <c r="AA66" s="197" t="s">
        <v>688</v>
      </c>
      <c r="AC66" s="483">
        <v>0</v>
      </c>
      <c r="AD66" s="197" t="s">
        <v>689</v>
      </c>
      <c r="AE66" s="197" t="s">
        <v>628</v>
      </c>
      <c r="AF66" s="483">
        <v>0</v>
      </c>
      <c r="AG66" s="483">
        <v>0</v>
      </c>
      <c r="AH66" s="197" t="s">
        <v>685</v>
      </c>
      <c r="AI66" s="483">
        <v>0</v>
      </c>
    </row>
    <row r="67" spans="1:35">
      <c r="A67" s="479">
        <v>66</v>
      </c>
      <c r="B67" s="480" t="s">
        <v>627</v>
      </c>
      <c r="C67" s="481" t="s">
        <v>593</v>
      </c>
      <c r="D67" s="197" t="s">
        <v>602</v>
      </c>
      <c r="E67" s="197" t="s">
        <v>603</v>
      </c>
      <c r="F67" s="482">
        <v>9</v>
      </c>
      <c r="G67" s="197" t="s">
        <v>355</v>
      </c>
      <c r="H67" s="483">
        <v>62.04</v>
      </c>
      <c r="I67" s="483">
        <v>558.36</v>
      </c>
      <c r="J67" s="197">
        <v>603.03</v>
      </c>
      <c r="K67" s="484" t="s">
        <v>683</v>
      </c>
      <c r="L67" s="483">
        <v>603.03</v>
      </c>
      <c r="M67" s="483">
        <v>44.67</v>
      </c>
      <c r="N67" s="483">
        <v>18.7</v>
      </c>
      <c r="O67" s="483">
        <v>10.41</v>
      </c>
      <c r="P67" s="483">
        <v>32.26</v>
      </c>
      <c r="Q67" s="483">
        <v>0.67</v>
      </c>
      <c r="R67" s="483">
        <v>0</v>
      </c>
      <c r="S67" s="197" t="s">
        <v>695</v>
      </c>
      <c r="T67" s="197" t="s">
        <v>685</v>
      </c>
      <c r="U67" s="197" t="s">
        <v>686</v>
      </c>
      <c r="V67" s="197" t="s">
        <v>687</v>
      </c>
      <c r="X67" s="485">
        <v>43939</v>
      </c>
      <c r="Y67" s="197" t="s">
        <v>698</v>
      </c>
      <c r="Z67" s="483">
        <v>0</v>
      </c>
      <c r="AA67" s="197" t="s">
        <v>688</v>
      </c>
      <c r="AC67" s="483">
        <v>0</v>
      </c>
      <c r="AD67" s="197" t="s">
        <v>689</v>
      </c>
      <c r="AE67" s="197" t="s">
        <v>628</v>
      </c>
      <c r="AF67" s="483">
        <v>0</v>
      </c>
      <c r="AG67" s="483">
        <v>0</v>
      </c>
      <c r="AH67" s="197" t="s">
        <v>685</v>
      </c>
      <c r="AI67" s="483">
        <v>0</v>
      </c>
    </row>
    <row r="68" spans="1:35">
      <c r="A68" s="479">
        <v>67</v>
      </c>
      <c r="B68" s="480" t="s">
        <v>627</v>
      </c>
      <c r="C68" s="481" t="s">
        <v>596</v>
      </c>
      <c r="D68" s="197" t="s">
        <v>365</v>
      </c>
      <c r="E68" s="197" t="s">
        <v>597</v>
      </c>
      <c r="F68" s="482">
        <v>2.7</v>
      </c>
      <c r="G68" s="197" t="s">
        <v>359</v>
      </c>
      <c r="H68" s="483">
        <v>53.11</v>
      </c>
      <c r="I68" s="483">
        <v>143.4</v>
      </c>
      <c r="J68" s="197">
        <v>154.87</v>
      </c>
      <c r="K68" s="484" t="s">
        <v>683</v>
      </c>
      <c r="L68" s="483">
        <v>154.87</v>
      </c>
      <c r="M68" s="483">
        <v>11.47</v>
      </c>
      <c r="N68" s="483">
        <v>25.28</v>
      </c>
      <c r="O68" s="483">
        <v>12.23</v>
      </c>
      <c r="P68" s="483">
        <v>15.6</v>
      </c>
      <c r="Q68" s="483">
        <v>0</v>
      </c>
      <c r="R68" s="483">
        <v>0</v>
      </c>
      <c r="S68" s="197" t="s">
        <v>699</v>
      </c>
      <c r="T68" s="197" t="s">
        <v>685</v>
      </c>
      <c r="U68" s="197" t="s">
        <v>686</v>
      </c>
      <c r="V68" s="197" t="s">
        <v>687</v>
      </c>
      <c r="X68" s="485">
        <v>44228</v>
      </c>
      <c r="Y68" s="197" t="s">
        <v>698</v>
      </c>
      <c r="Z68" s="483">
        <v>0</v>
      </c>
      <c r="AA68" s="197" t="s">
        <v>688</v>
      </c>
      <c r="AC68" s="483">
        <v>0</v>
      </c>
      <c r="AD68" s="197" t="s">
        <v>689</v>
      </c>
      <c r="AE68" s="197" t="s">
        <v>628</v>
      </c>
      <c r="AF68" s="483">
        <v>0</v>
      </c>
      <c r="AG68" s="483">
        <v>0</v>
      </c>
      <c r="AH68" s="197" t="s">
        <v>685</v>
      </c>
      <c r="AI68" s="483">
        <v>0</v>
      </c>
    </row>
    <row r="69" spans="1:35">
      <c r="A69" s="479">
        <v>68</v>
      </c>
      <c r="B69" s="480" t="s">
        <v>627</v>
      </c>
      <c r="C69" s="481" t="s">
        <v>596</v>
      </c>
      <c r="D69" s="197" t="s">
        <v>365</v>
      </c>
      <c r="E69" s="197" t="s">
        <v>597</v>
      </c>
      <c r="F69" s="482">
        <v>2.7</v>
      </c>
      <c r="G69" s="197" t="s">
        <v>359</v>
      </c>
      <c r="H69" s="483">
        <v>53.11</v>
      </c>
      <c r="I69" s="483">
        <v>143.4</v>
      </c>
      <c r="J69" s="197">
        <v>154.87</v>
      </c>
      <c r="K69" s="484" t="s">
        <v>683</v>
      </c>
      <c r="L69" s="483">
        <v>154.87</v>
      </c>
      <c r="M69" s="483">
        <v>11.47</v>
      </c>
      <c r="N69" s="483">
        <v>25.28</v>
      </c>
      <c r="O69" s="483">
        <v>12.23</v>
      </c>
      <c r="P69" s="483">
        <v>15.6</v>
      </c>
      <c r="Q69" s="483">
        <v>0</v>
      </c>
      <c r="R69" s="483">
        <v>0</v>
      </c>
      <c r="S69" s="197" t="s">
        <v>699</v>
      </c>
      <c r="T69" s="197" t="s">
        <v>685</v>
      </c>
      <c r="U69" s="197" t="s">
        <v>686</v>
      </c>
      <c r="V69" s="197" t="s">
        <v>687</v>
      </c>
      <c r="X69" s="485">
        <v>44228</v>
      </c>
      <c r="Y69" s="197" t="s">
        <v>698</v>
      </c>
      <c r="Z69" s="483">
        <v>0</v>
      </c>
      <c r="AA69" s="197" t="s">
        <v>688</v>
      </c>
      <c r="AC69" s="483">
        <v>0</v>
      </c>
      <c r="AD69" s="197" t="s">
        <v>689</v>
      </c>
      <c r="AE69" s="197" t="s">
        <v>628</v>
      </c>
      <c r="AF69" s="483">
        <v>0</v>
      </c>
      <c r="AG69" s="483">
        <v>0</v>
      </c>
      <c r="AH69" s="197" t="s">
        <v>685</v>
      </c>
      <c r="AI69" s="483">
        <v>0</v>
      </c>
    </row>
    <row r="70" spans="1:35">
      <c r="A70" s="479">
        <v>69</v>
      </c>
      <c r="B70" s="480" t="s">
        <v>627</v>
      </c>
      <c r="C70" s="481" t="s">
        <v>596</v>
      </c>
      <c r="D70" s="197" t="s">
        <v>365</v>
      </c>
      <c r="E70" s="197" t="s">
        <v>597</v>
      </c>
      <c r="F70" s="482">
        <v>2.7</v>
      </c>
      <c r="G70" s="197" t="s">
        <v>359</v>
      </c>
      <c r="H70" s="483">
        <v>53.11</v>
      </c>
      <c r="I70" s="483">
        <v>143.4</v>
      </c>
      <c r="J70" s="197">
        <v>154.87</v>
      </c>
      <c r="K70" s="484" t="s">
        <v>683</v>
      </c>
      <c r="L70" s="483">
        <v>154.87</v>
      </c>
      <c r="M70" s="483">
        <v>11.47</v>
      </c>
      <c r="N70" s="483">
        <v>25.28</v>
      </c>
      <c r="O70" s="483">
        <v>12.23</v>
      </c>
      <c r="P70" s="483">
        <v>15.6</v>
      </c>
      <c r="Q70" s="483">
        <v>0</v>
      </c>
      <c r="R70" s="483">
        <v>0</v>
      </c>
      <c r="S70" s="197" t="s">
        <v>699</v>
      </c>
      <c r="T70" s="197" t="s">
        <v>685</v>
      </c>
      <c r="U70" s="197" t="s">
        <v>686</v>
      </c>
      <c r="V70" s="197" t="s">
        <v>687</v>
      </c>
      <c r="X70" s="485">
        <v>44228</v>
      </c>
      <c r="Y70" s="197" t="s">
        <v>698</v>
      </c>
      <c r="Z70" s="483">
        <v>0</v>
      </c>
      <c r="AA70" s="197" t="s">
        <v>688</v>
      </c>
      <c r="AC70" s="483">
        <v>0</v>
      </c>
      <c r="AD70" s="197" t="s">
        <v>689</v>
      </c>
      <c r="AE70" s="197" t="s">
        <v>628</v>
      </c>
      <c r="AF70" s="483">
        <v>0</v>
      </c>
      <c r="AG70" s="483">
        <v>0</v>
      </c>
      <c r="AH70" s="197" t="s">
        <v>685</v>
      </c>
      <c r="AI70" s="483">
        <v>0</v>
      </c>
    </row>
    <row r="71" spans="1:35">
      <c r="A71" s="479">
        <v>70</v>
      </c>
      <c r="B71" s="480" t="s">
        <v>627</v>
      </c>
      <c r="C71" s="481" t="s">
        <v>596</v>
      </c>
      <c r="D71" s="197" t="s">
        <v>365</v>
      </c>
      <c r="E71" s="197" t="s">
        <v>597</v>
      </c>
      <c r="F71" s="482">
        <v>2.7</v>
      </c>
      <c r="G71" s="197" t="s">
        <v>359</v>
      </c>
      <c r="H71" s="483">
        <v>53.11</v>
      </c>
      <c r="I71" s="483">
        <v>143.4</v>
      </c>
      <c r="J71" s="197">
        <v>154.87</v>
      </c>
      <c r="K71" s="484" t="s">
        <v>683</v>
      </c>
      <c r="L71" s="483">
        <v>154.87</v>
      </c>
      <c r="M71" s="483">
        <v>11.47</v>
      </c>
      <c r="N71" s="483">
        <v>25.28</v>
      </c>
      <c r="O71" s="483">
        <v>12.23</v>
      </c>
      <c r="P71" s="483">
        <v>15.6</v>
      </c>
      <c r="Q71" s="483">
        <v>0</v>
      </c>
      <c r="R71" s="483">
        <v>0</v>
      </c>
      <c r="S71" s="197" t="s">
        <v>699</v>
      </c>
      <c r="T71" s="197" t="s">
        <v>685</v>
      </c>
      <c r="U71" s="197" t="s">
        <v>686</v>
      </c>
      <c r="V71" s="197" t="s">
        <v>687</v>
      </c>
      <c r="X71" s="485">
        <v>44228</v>
      </c>
      <c r="Y71" s="197" t="s">
        <v>698</v>
      </c>
      <c r="Z71" s="483">
        <v>0</v>
      </c>
      <c r="AA71" s="197" t="s">
        <v>688</v>
      </c>
      <c r="AC71" s="483">
        <v>0</v>
      </c>
      <c r="AD71" s="197" t="s">
        <v>689</v>
      </c>
      <c r="AE71" s="197" t="s">
        <v>628</v>
      </c>
      <c r="AF71" s="483">
        <v>0</v>
      </c>
      <c r="AG71" s="483">
        <v>0</v>
      </c>
      <c r="AH71" s="197" t="s">
        <v>685</v>
      </c>
      <c r="AI71" s="483">
        <v>0</v>
      </c>
    </row>
    <row r="72" spans="1:35">
      <c r="A72" s="479">
        <v>71</v>
      </c>
      <c r="B72" s="480" t="s">
        <v>627</v>
      </c>
      <c r="C72" s="481" t="s">
        <v>352</v>
      </c>
      <c r="D72" s="197" t="s">
        <v>365</v>
      </c>
      <c r="E72" s="197" t="s">
        <v>624</v>
      </c>
      <c r="F72" s="482">
        <v>0.9</v>
      </c>
      <c r="G72" s="197" t="s">
        <v>359</v>
      </c>
      <c r="H72" s="483">
        <v>61.24</v>
      </c>
      <c r="I72" s="483">
        <v>55.12</v>
      </c>
      <c r="J72" s="197">
        <v>59.53</v>
      </c>
      <c r="K72" s="484" t="s">
        <v>692</v>
      </c>
      <c r="L72" s="483">
        <v>59.53</v>
      </c>
      <c r="M72" s="483">
        <v>4.41</v>
      </c>
      <c r="N72" s="483">
        <v>25.63</v>
      </c>
      <c r="O72" s="483">
        <v>12.35</v>
      </c>
      <c r="P72" s="483">
        <v>23.26</v>
      </c>
      <c r="Q72" s="483">
        <v>0</v>
      </c>
      <c r="R72" s="483">
        <v>0</v>
      </c>
      <c r="S72" s="197" t="s">
        <v>684</v>
      </c>
      <c r="T72" s="197" t="s">
        <v>685</v>
      </c>
      <c r="U72" s="197" t="s">
        <v>686</v>
      </c>
      <c r="V72" s="197" t="s">
        <v>687</v>
      </c>
      <c r="X72" s="485">
        <v>44617</v>
      </c>
      <c r="Y72" s="197" t="s">
        <v>698</v>
      </c>
      <c r="Z72" s="483">
        <v>0</v>
      </c>
      <c r="AA72" s="197" t="s">
        <v>688</v>
      </c>
      <c r="AC72" s="483">
        <v>0</v>
      </c>
      <c r="AD72" s="197" t="s">
        <v>689</v>
      </c>
      <c r="AE72" s="197" t="s">
        <v>628</v>
      </c>
      <c r="AF72" s="483">
        <v>0</v>
      </c>
      <c r="AG72" s="483">
        <v>0</v>
      </c>
      <c r="AH72" s="197" t="s">
        <v>685</v>
      </c>
      <c r="AI72" s="483">
        <v>0</v>
      </c>
    </row>
    <row r="73" spans="1:35">
      <c r="A73" s="479">
        <v>72</v>
      </c>
      <c r="B73" s="480" t="s">
        <v>627</v>
      </c>
      <c r="C73" s="481" t="s">
        <v>596</v>
      </c>
      <c r="D73" s="197" t="s">
        <v>365</v>
      </c>
      <c r="E73" s="197" t="s">
        <v>597</v>
      </c>
      <c r="F73" s="482">
        <v>0.09</v>
      </c>
      <c r="G73" s="197" t="s">
        <v>359</v>
      </c>
      <c r="H73" s="483">
        <v>53.11</v>
      </c>
      <c r="I73" s="483">
        <v>4.78</v>
      </c>
      <c r="J73" s="197">
        <v>5.16</v>
      </c>
      <c r="K73" s="484" t="s">
        <v>683</v>
      </c>
      <c r="L73" s="483">
        <v>5.16</v>
      </c>
      <c r="M73" s="483">
        <v>0.38</v>
      </c>
      <c r="N73" s="483">
        <v>25.28</v>
      </c>
      <c r="O73" s="483">
        <v>12.23</v>
      </c>
      <c r="P73" s="483">
        <v>15.6</v>
      </c>
      <c r="Q73" s="483">
        <v>0</v>
      </c>
      <c r="R73" s="483">
        <v>0</v>
      </c>
      <c r="S73" s="197" t="s">
        <v>699</v>
      </c>
      <c r="T73" s="197" t="s">
        <v>685</v>
      </c>
      <c r="U73" s="197" t="s">
        <v>686</v>
      </c>
      <c r="V73" s="197" t="s">
        <v>687</v>
      </c>
      <c r="X73" s="485">
        <v>44228</v>
      </c>
      <c r="Y73" s="197" t="s">
        <v>698</v>
      </c>
      <c r="Z73" s="483">
        <v>0</v>
      </c>
      <c r="AA73" s="197" t="s">
        <v>688</v>
      </c>
      <c r="AC73" s="483">
        <v>0</v>
      </c>
      <c r="AD73" s="197" t="s">
        <v>689</v>
      </c>
      <c r="AE73" s="197" t="s">
        <v>628</v>
      </c>
      <c r="AF73" s="483">
        <v>0</v>
      </c>
      <c r="AG73" s="483">
        <v>0</v>
      </c>
      <c r="AH73" s="197" t="s">
        <v>685</v>
      </c>
      <c r="AI73" s="483">
        <v>0</v>
      </c>
    </row>
    <row r="74" spans="1:35" s="495" customFormat="1" ht="15">
      <c r="A74" s="492">
        <v>73</v>
      </c>
      <c r="B74" s="493" t="s">
        <v>631</v>
      </c>
      <c r="C74" s="494" t="s">
        <v>737</v>
      </c>
      <c r="D74" s="495" t="s">
        <v>704</v>
      </c>
      <c r="E74" s="495" t="s">
        <v>743</v>
      </c>
      <c r="F74" s="496">
        <v>0</v>
      </c>
      <c r="G74" s="495" t="s">
        <v>355</v>
      </c>
      <c r="H74" s="497">
        <v>0</v>
      </c>
      <c r="I74" s="497">
        <v>0</v>
      </c>
      <c r="J74" s="495">
        <v>0</v>
      </c>
      <c r="K74" s="498" t="s">
        <v>683</v>
      </c>
      <c r="L74" s="497">
        <v>0</v>
      </c>
      <c r="M74" s="497">
        <v>0</v>
      </c>
      <c r="N74" s="497">
        <v>0</v>
      </c>
      <c r="O74" s="497">
        <v>0</v>
      </c>
      <c r="P74" s="497">
        <v>0</v>
      </c>
      <c r="Q74" s="497">
        <v>0</v>
      </c>
      <c r="R74" s="497">
        <v>0</v>
      </c>
      <c r="S74" s="495" t="s">
        <v>684</v>
      </c>
      <c r="T74" s="495" t="s">
        <v>685</v>
      </c>
      <c r="U74" s="495" t="s">
        <v>686</v>
      </c>
      <c r="V74" s="495" t="s">
        <v>687</v>
      </c>
      <c r="X74" s="499">
        <v>45715</v>
      </c>
      <c r="Z74" s="497">
        <v>0</v>
      </c>
      <c r="AA74" s="495" t="s">
        <v>688</v>
      </c>
      <c r="AC74" s="497">
        <v>0</v>
      </c>
      <c r="AD74" s="495" t="s">
        <v>689</v>
      </c>
      <c r="AE74" s="495" t="s">
        <v>632</v>
      </c>
      <c r="AF74" s="497">
        <v>0</v>
      </c>
      <c r="AG74" s="497">
        <v>0</v>
      </c>
      <c r="AH74" s="495" t="s">
        <v>685</v>
      </c>
      <c r="AI74" s="497">
        <v>0</v>
      </c>
    </row>
    <row r="75" spans="1:35">
      <c r="A75" s="479">
        <v>74</v>
      </c>
      <c r="B75" s="480" t="s">
        <v>631</v>
      </c>
      <c r="C75" s="481" t="s">
        <v>345</v>
      </c>
      <c r="D75" s="197" t="s">
        <v>629</v>
      </c>
      <c r="E75" s="197" t="s">
        <v>630</v>
      </c>
      <c r="F75" s="482">
        <v>11</v>
      </c>
      <c r="G75" s="197" t="s">
        <v>355</v>
      </c>
      <c r="H75" s="483">
        <v>7.99</v>
      </c>
      <c r="I75" s="483">
        <v>87.89</v>
      </c>
      <c r="J75" s="197">
        <v>94.92</v>
      </c>
      <c r="K75" s="484" t="s">
        <v>683</v>
      </c>
      <c r="L75" s="483">
        <v>94.92</v>
      </c>
      <c r="M75" s="483">
        <v>7.03</v>
      </c>
      <c r="N75" s="483">
        <v>0</v>
      </c>
      <c r="O75" s="483">
        <v>0</v>
      </c>
      <c r="P75" s="483">
        <v>0</v>
      </c>
      <c r="Q75" s="483">
        <v>7.99</v>
      </c>
      <c r="R75" s="483">
        <v>0</v>
      </c>
      <c r="S75" s="197" t="s">
        <v>684</v>
      </c>
      <c r="T75" s="197" t="s">
        <v>685</v>
      </c>
      <c r="U75" s="197" t="s">
        <v>686</v>
      </c>
      <c r="V75" s="197" t="s">
        <v>687</v>
      </c>
      <c r="X75" s="485">
        <v>43976</v>
      </c>
      <c r="Z75" s="483">
        <v>0</v>
      </c>
      <c r="AA75" s="197" t="s">
        <v>688</v>
      </c>
      <c r="AC75" s="483">
        <v>0</v>
      </c>
      <c r="AD75" s="197" t="s">
        <v>689</v>
      </c>
      <c r="AE75" s="197" t="s">
        <v>632</v>
      </c>
      <c r="AF75" s="483">
        <v>0</v>
      </c>
      <c r="AG75" s="483">
        <v>0</v>
      </c>
      <c r="AH75" s="197" t="s">
        <v>685</v>
      </c>
      <c r="AI75" s="483">
        <v>0</v>
      </c>
    </row>
    <row r="76" spans="1:35">
      <c r="A76" s="479">
        <v>75</v>
      </c>
      <c r="B76" s="480" t="s">
        <v>631</v>
      </c>
      <c r="C76" s="481" t="s">
        <v>345</v>
      </c>
      <c r="D76" s="197" t="s">
        <v>599</v>
      </c>
      <c r="E76" s="197" t="s">
        <v>600</v>
      </c>
      <c r="F76" s="482">
        <v>11</v>
      </c>
      <c r="G76" s="197" t="s">
        <v>355</v>
      </c>
      <c r="H76" s="483">
        <v>16.63</v>
      </c>
      <c r="I76" s="483">
        <v>182.93</v>
      </c>
      <c r="J76" s="197">
        <v>197.56</v>
      </c>
      <c r="K76" s="484" t="s">
        <v>683</v>
      </c>
      <c r="L76" s="483">
        <v>197.56</v>
      </c>
      <c r="M76" s="483">
        <v>14.63</v>
      </c>
      <c r="N76" s="483">
        <v>4.21</v>
      </c>
      <c r="O76" s="483">
        <v>2.25</v>
      </c>
      <c r="P76" s="483">
        <v>6.3</v>
      </c>
      <c r="Q76" s="483">
        <v>3.87</v>
      </c>
      <c r="R76" s="483">
        <v>0</v>
      </c>
      <c r="S76" s="197" t="s">
        <v>695</v>
      </c>
      <c r="T76" s="197" t="s">
        <v>685</v>
      </c>
      <c r="U76" s="197" t="s">
        <v>686</v>
      </c>
      <c r="V76" s="197" t="s">
        <v>687</v>
      </c>
      <c r="X76" s="485">
        <v>43939</v>
      </c>
      <c r="Y76" s="197" t="s">
        <v>698</v>
      </c>
      <c r="Z76" s="483">
        <v>0</v>
      </c>
      <c r="AA76" s="197" t="s">
        <v>688</v>
      </c>
      <c r="AC76" s="483">
        <v>0</v>
      </c>
      <c r="AD76" s="197" t="s">
        <v>689</v>
      </c>
      <c r="AE76" s="197" t="s">
        <v>632</v>
      </c>
      <c r="AF76" s="483">
        <v>0</v>
      </c>
      <c r="AG76" s="483">
        <v>0</v>
      </c>
      <c r="AH76" s="197" t="s">
        <v>685</v>
      </c>
      <c r="AI76" s="483">
        <v>0</v>
      </c>
    </row>
    <row r="77" spans="1:35">
      <c r="A77" s="479">
        <v>76</v>
      </c>
      <c r="B77" s="480" t="s">
        <v>631</v>
      </c>
      <c r="C77" s="481" t="s">
        <v>633</v>
      </c>
      <c r="D77" s="197" t="s">
        <v>634</v>
      </c>
      <c r="E77" s="197" t="s">
        <v>635</v>
      </c>
      <c r="F77" s="482">
        <v>11</v>
      </c>
      <c r="G77" s="197" t="s">
        <v>355</v>
      </c>
      <c r="H77" s="483">
        <v>24.9</v>
      </c>
      <c r="I77" s="483">
        <v>273.89999999999998</v>
      </c>
      <c r="J77" s="197">
        <v>295.81</v>
      </c>
      <c r="K77" s="484" t="s">
        <v>683</v>
      </c>
      <c r="L77" s="483">
        <v>295.81</v>
      </c>
      <c r="M77" s="483">
        <v>21.91</v>
      </c>
      <c r="N77" s="483">
        <v>7.48</v>
      </c>
      <c r="O77" s="483">
        <v>4.17</v>
      </c>
      <c r="P77" s="483">
        <v>12.91</v>
      </c>
      <c r="Q77" s="483">
        <v>0.34</v>
      </c>
      <c r="R77" s="483">
        <v>0</v>
      </c>
      <c r="S77" s="197" t="s">
        <v>695</v>
      </c>
      <c r="T77" s="197" t="s">
        <v>685</v>
      </c>
      <c r="U77" s="197" t="s">
        <v>686</v>
      </c>
      <c r="V77" s="197" t="s">
        <v>687</v>
      </c>
      <c r="X77" s="485">
        <v>44237</v>
      </c>
      <c r="Z77" s="483">
        <v>0</v>
      </c>
      <c r="AA77" s="197" t="s">
        <v>688</v>
      </c>
      <c r="AC77" s="483">
        <v>0</v>
      </c>
      <c r="AD77" s="197" t="s">
        <v>689</v>
      </c>
      <c r="AE77" s="197" t="s">
        <v>632</v>
      </c>
      <c r="AF77" s="483">
        <v>0</v>
      </c>
      <c r="AG77" s="483">
        <v>0</v>
      </c>
      <c r="AH77" s="197" t="s">
        <v>685</v>
      </c>
      <c r="AI77" s="483">
        <v>0</v>
      </c>
    </row>
    <row r="78" spans="1:35">
      <c r="A78" s="479">
        <v>77</v>
      </c>
      <c r="B78" s="480" t="s">
        <v>631</v>
      </c>
      <c r="C78" s="481" t="s">
        <v>596</v>
      </c>
      <c r="D78" s="197" t="s">
        <v>365</v>
      </c>
      <c r="E78" s="197" t="s">
        <v>597</v>
      </c>
      <c r="F78" s="482">
        <v>3.3</v>
      </c>
      <c r="G78" s="197" t="s">
        <v>359</v>
      </c>
      <c r="H78" s="483">
        <v>53.11</v>
      </c>
      <c r="I78" s="483">
        <v>175.26</v>
      </c>
      <c r="J78" s="197">
        <v>189.28</v>
      </c>
      <c r="K78" s="484" t="s">
        <v>683</v>
      </c>
      <c r="L78" s="483">
        <v>189.28</v>
      </c>
      <c r="M78" s="483">
        <v>14.02</v>
      </c>
      <c r="N78" s="483">
        <v>25.28</v>
      </c>
      <c r="O78" s="483">
        <v>12.23</v>
      </c>
      <c r="P78" s="483">
        <v>15.6</v>
      </c>
      <c r="Q78" s="483">
        <v>0</v>
      </c>
      <c r="R78" s="483">
        <v>0</v>
      </c>
      <c r="S78" s="197" t="s">
        <v>699</v>
      </c>
      <c r="T78" s="197" t="s">
        <v>685</v>
      </c>
      <c r="U78" s="197" t="s">
        <v>686</v>
      </c>
      <c r="V78" s="197" t="s">
        <v>687</v>
      </c>
      <c r="X78" s="485">
        <v>44228</v>
      </c>
      <c r="Y78" s="197" t="s">
        <v>698</v>
      </c>
      <c r="Z78" s="483">
        <v>0</v>
      </c>
      <c r="AA78" s="197" t="s">
        <v>688</v>
      </c>
      <c r="AC78" s="483">
        <v>0</v>
      </c>
      <c r="AD78" s="197" t="s">
        <v>689</v>
      </c>
      <c r="AE78" s="197" t="s">
        <v>632</v>
      </c>
      <c r="AF78" s="483">
        <v>0</v>
      </c>
      <c r="AG78" s="483">
        <v>0</v>
      </c>
      <c r="AH78" s="197" t="s">
        <v>685</v>
      </c>
      <c r="AI78" s="483">
        <v>0</v>
      </c>
    </row>
    <row r="79" spans="1:35">
      <c r="A79" s="479">
        <v>78</v>
      </c>
      <c r="B79" s="480" t="s">
        <v>631</v>
      </c>
      <c r="C79" s="481" t="s">
        <v>596</v>
      </c>
      <c r="D79" s="197" t="s">
        <v>365</v>
      </c>
      <c r="E79" s="197" t="s">
        <v>597</v>
      </c>
      <c r="F79" s="482">
        <v>3.3</v>
      </c>
      <c r="G79" s="197" t="s">
        <v>359</v>
      </c>
      <c r="H79" s="483">
        <v>53.11</v>
      </c>
      <c r="I79" s="483">
        <v>175.26</v>
      </c>
      <c r="J79" s="197">
        <v>189.28</v>
      </c>
      <c r="K79" s="484" t="s">
        <v>683</v>
      </c>
      <c r="L79" s="483">
        <v>189.28</v>
      </c>
      <c r="M79" s="483">
        <v>14.02</v>
      </c>
      <c r="N79" s="483">
        <v>25.28</v>
      </c>
      <c r="O79" s="483">
        <v>12.23</v>
      </c>
      <c r="P79" s="483">
        <v>15.6</v>
      </c>
      <c r="Q79" s="483">
        <v>0</v>
      </c>
      <c r="R79" s="483">
        <v>0</v>
      </c>
      <c r="S79" s="197" t="s">
        <v>699</v>
      </c>
      <c r="T79" s="197" t="s">
        <v>685</v>
      </c>
      <c r="U79" s="197" t="s">
        <v>686</v>
      </c>
      <c r="V79" s="197" t="s">
        <v>687</v>
      </c>
      <c r="X79" s="485">
        <v>44228</v>
      </c>
      <c r="Y79" s="197" t="s">
        <v>698</v>
      </c>
      <c r="Z79" s="483">
        <v>0</v>
      </c>
      <c r="AA79" s="197" t="s">
        <v>688</v>
      </c>
      <c r="AC79" s="483">
        <v>0</v>
      </c>
      <c r="AD79" s="197" t="s">
        <v>689</v>
      </c>
      <c r="AE79" s="197" t="s">
        <v>632</v>
      </c>
      <c r="AF79" s="483">
        <v>0</v>
      </c>
      <c r="AG79" s="483">
        <v>0</v>
      </c>
      <c r="AH79" s="197" t="s">
        <v>685</v>
      </c>
      <c r="AI79" s="483">
        <v>0</v>
      </c>
    </row>
    <row r="80" spans="1:35">
      <c r="A80" s="479">
        <v>79</v>
      </c>
      <c r="B80" s="480" t="s">
        <v>631</v>
      </c>
      <c r="C80" s="481" t="s">
        <v>596</v>
      </c>
      <c r="D80" s="197" t="s">
        <v>365</v>
      </c>
      <c r="E80" s="197" t="s">
        <v>597</v>
      </c>
      <c r="F80" s="482">
        <v>3.3</v>
      </c>
      <c r="G80" s="197" t="s">
        <v>359</v>
      </c>
      <c r="H80" s="483">
        <v>53.11</v>
      </c>
      <c r="I80" s="483">
        <v>175.26</v>
      </c>
      <c r="J80" s="197">
        <v>189.28</v>
      </c>
      <c r="K80" s="484" t="s">
        <v>683</v>
      </c>
      <c r="L80" s="483">
        <v>189.28</v>
      </c>
      <c r="M80" s="483">
        <v>14.02</v>
      </c>
      <c r="N80" s="483">
        <v>25.28</v>
      </c>
      <c r="O80" s="483">
        <v>12.23</v>
      </c>
      <c r="P80" s="483">
        <v>15.6</v>
      </c>
      <c r="Q80" s="483">
        <v>0</v>
      </c>
      <c r="R80" s="483">
        <v>0</v>
      </c>
      <c r="S80" s="197" t="s">
        <v>699</v>
      </c>
      <c r="T80" s="197" t="s">
        <v>685</v>
      </c>
      <c r="U80" s="197" t="s">
        <v>686</v>
      </c>
      <c r="V80" s="197" t="s">
        <v>687</v>
      </c>
      <c r="X80" s="485">
        <v>44228</v>
      </c>
      <c r="Y80" s="197" t="s">
        <v>698</v>
      </c>
      <c r="Z80" s="483">
        <v>0</v>
      </c>
      <c r="AA80" s="197" t="s">
        <v>688</v>
      </c>
      <c r="AC80" s="483">
        <v>0</v>
      </c>
      <c r="AD80" s="197" t="s">
        <v>689</v>
      </c>
      <c r="AE80" s="197" t="s">
        <v>632</v>
      </c>
      <c r="AF80" s="483">
        <v>0</v>
      </c>
      <c r="AG80" s="483">
        <v>0</v>
      </c>
      <c r="AH80" s="197" t="s">
        <v>685</v>
      </c>
      <c r="AI80" s="483">
        <v>0</v>
      </c>
    </row>
    <row r="81" spans="1:35">
      <c r="A81" s="479">
        <v>80</v>
      </c>
      <c r="B81" s="480" t="s">
        <v>631</v>
      </c>
      <c r="C81" s="481" t="s">
        <v>596</v>
      </c>
      <c r="D81" s="197" t="s">
        <v>365</v>
      </c>
      <c r="E81" s="197" t="s">
        <v>597</v>
      </c>
      <c r="F81" s="482">
        <v>3.3</v>
      </c>
      <c r="G81" s="197" t="s">
        <v>359</v>
      </c>
      <c r="H81" s="483">
        <v>53.11</v>
      </c>
      <c r="I81" s="483">
        <v>175.26</v>
      </c>
      <c r="J81" s="197">
        <v>189.28</v>
      </c>
      <c r="K81" s="484" t="s">
        <v>683</v>
      </c>
      <c r="L81" s="483">
        <v>189.28</v>
      </c>
      <c r="M81" s="483">
        <v>14.02</v>
      </c>
      <c r="N81" s="483">
        <v>25.28</v>
      </c>
      <c r="O81" s="483">
        <v>12.23</v>
      </c>
      <c r="P81" s="483">
        <v>15.6</v>
      </c>
      <c r="Q81" s="483">
        <v>0</v>
      </c>
      <c r="R81" s="483">
        <v>0</v>
      </c>
      <c r="S81" s="197" t="s">
        <v>699</v>
      </c>
      <c r="T81" s="197" t="s">
        <v>685</v>
      </c>
      <c r="U81" s="197" t="s">
        <v>686</v>
      </c>
      <c r="V81" s="197" t="s">
        <v>687</v>
      </c>
      <c r="X81" s="485">
        <v>44228</v>
      </c>
      <c r="Y81" s="197" t="s">
        <v>698</v>
      </c>
      <c r="Z81" s="483">
        <v>0</v>
      </c>
      <c r="AA81" s="197" t="s">
        <v>688</v>
      </c>
      <c r="AC81" s="483">
        <v>0</v>
      </c>
      <c r="AD81" s="197" t="s">
        <v>689</v>
      </c>
      <c r="AE81" s="197" t="s">
        <v>632</v>
      </c>
      <c r="AF81" s="483">
        <v>0</v>
      </c>
      <c r="AG81" s="483">
        <v>0</v>
      </c>
      <c r="AH81" s="197" t="s">
        <v>685</v>
      </c>
      <c r="AI81" s="483">
        <v>0</v>
      </c>
    </row>
    <row r="82" spans="1:35">
      <c r="A82" s="479">
        <v>81</v>
      </c>
      <c r="B82" s="480" t="s">
        <v>631</v>
      </c>
      <c r="C82" s="481" t="s">
        <v>352</v>
      </c>
      <c r="D82" s="197" t="s">
        <v>365</v>
      </c>
      <c r="E82" s="197" t="s">
        <v>624</v>
      </c>
      <c r="F82" s="482">
        <v>1.1000000000000001</v>
      </c>
      <c r="G82" s="197" t="s">
        <v>359</v>
      </c>
      <c r="H82" s="483">
        <v>61.24</v>
      </c>
      <c r="I82" s="483">
        <v>67.36</v>
      </c>
      <c r="J82" s="197">
        <v>72.75</v>
      </c>
      <c r="K82" s="484" t="s">
        <v>692</v>
      </c>
      <c r="L82" s="483">
        <v>72.75</v>
      </c>
      <c r="M82" s="483">
        <v>5.39</v>
      </c>
      <c r="N82" s="483">
        <v>25.63</v>
      </c>
      <c r="O82" s="483">
        <v>12.35</v>
      </c>
      <c r="P82" s="483">
        <v>23.26</v>
      </c>
      <c r="Q82" s="483">
        <v>0</v>
      </c>
      <c r="R82" s="483">
        <v>0</v>
      </c>
      <c r="S82" s="197" t="s">
        <v>684</v>
      </c>
      <c r="T82" s="197" t="s">
        <v>685</v>
      </c>
      <c r="U82" s="197" t="s">
        <v>686</v>
      </c>
      <c r="V82" s="197" t="s">
        <v>687</v>
      </c>
      <c r="X82" s="485">
        <v>44617</v>
      </c>
      <c r="Y82" s="197" t="s">
        <v>698</v>
      </c>
      <c r="Z82" s="483">
        <v>0</v>
      </c>
      <c r="AA82" s="197" t="s">
        <v>688</v>
      </c>
      <c r="AC82" s="483">
        <v>0</v>
      </c>
      <c r="AD82" s="197" t="s">
        <v>689</v>
      </c>
      <c r="AE82" s="197" t="s">
        <v>632</v>
      </c>
      <c r="AF82" s="483">
        <v>0</v>
      </c>
      <c r="AG82" s="483">
        <v>0</v>
      </c>
      <c r="AH82" s="197" t="s">
        <v>685</v>
      </c>
      <c r="AI82" s="483">
        <v>0</v>
      </c>
    </row>
    <row r="83" spans="1:35">
      <c r="A83" s="479">
        <v>82</v>
      </c>
      <c r="B83" s="480" t="s">
        <v>631</v>
      </c>
      <c r="C83" s="481" t="s">
        <v>596</v>
      </c>
      <c r="D83" s="197" t="s">
        <v>365</v>
      </c>
      <c r="E83" s="197" t="s">
        <v>597</v>
      </c>
      <c r="F83" s="482">
        <v>0.11</v>
      </c>
      <c r="G83" s="197" t="s">
        <v>359</v>
      </c>
      <c r="H83" s="483">
        <v>53.11</v>
      </c>
      <c r="I83" s="483">
        <v>5.84</v>
      </c>
      <c r="J83" s="197">
        <v>6.31</v>
      </c>
      <c r="K83" s="484" t="s">
        <v>683</v>
      </c>
      <c r="L83" s="483">
        <v>6.31</v>
      </c>
      <c r="M83" s="483">
        <v>0.47</v>
      </c>
      <c r="N83" s="483">
        <v>25.28</v>
      </c>
      <c r="O83" s="483">
        <v>12.23</v>
      </c>
      <c r="P83" s="483">
        <v>15.6</v>
      </c>
      <c r="Q83" s="483">
        <v>0</v>
      </c>
      <c r="R83" s="483">
        <v>0</v>
      </c>
      <c r="S83" s="197" t="s">
        <v>699</v>
      </c>
      <c r="T83" s="197" t="s">
        <v>685</v>
      </c>
      <c r="U83" s="197" t="s">
        <v>686</v>
      </c>
      <c r="V83" s="197" t="s">
        <v>687</v>
      </c>
      <c r="X83" s="485">
        <v>44228</v>
      </c>
      <c r="Y83" s="197" t="s">
        <v>698</v>
      </c>
      <c r="Z83" s="483">
        <v>0</v>
      </c>
      <c r="AA83" s="197" t="s">
        <v>688</v>
      </c>
      <c r="AC83" s="483">
        <v>0</v>
      </c>
      <c r="AD83" s="197" t="s">
        <v>689</v>
      </c>
      <c r="AE83" s="197" t="s">
        <v>632</v>
      </c>
      <c r="AF83" s="483">
        <v>0</v>
      </c>
      <c r="AG83" s="483">
        <v>0</v>
      </c>
      <c r="AH83" s="197" t="s">
        <v>685</v>
      </c>
      <c r="AI83" s="483">
        <v>0</v>
      </c>
    </row>
    <row r="84" spans="1:35" s="495" customFormat="1" ht="15">
      <c r="A84" s="492">
        <v>83</v>
      </c>
      <c r="B84" s="493" t="s">
        <v>638</v>
      </c>
      <c r="C84" s="494" t="s">
        <v>737</v>
      </c>
      <c r="D84" s="495" t="s">
        <v>704</v>
      </c>
      <c r="E84" s="495" t="s">
        <v>744</v>
      </c>
      <c r="F84" s="496">
        <v>0</v>
      </c>
      <c r="G84" s="495" t="s">
        <v>355</v>
      </c>
      <c r="H84" s="497">
        <v>0</v>
      </c>
      <c r="I84" s="497">
        <v>0</v>
      </c>
      <c r="J84" s="495">
        <v>0</v>
      </c>
      <c r="K84" s="498" t="s">
        <v>683</v>
      </c>
      <c r="L84" s="497">
        <v>0</v>
      </c>
      <c r="M84" s="497">
        <v>0</v>
      </c>
      <c r="N84" s="497">
        <v>0</v>
      </c>
      <c r="O84" s="497">
        <v>0</v>
      </c>
      <c r="P84" s="497">
        <v>0</v>
      </c>
      <c r="Q84" s="497">
        <v>0</v>
      </c>
      <c r="R84" s="497">
        <v>0</v>
      </c>
      <c r="S84" s="495" t="s">
        <v>684</v>
      </c>
      <c r="T84" s="495" t="s">
        <v>685</v>
      </c>
      <c r="U84" s="495" t="s">
        <v>686</v>
      </c>
      <c r="V84" s="495" t="s">
        <v>687</v>
      </c>
      <c r="X84" s="499">
        <v>45715</v>
      </c>
      <c r="Z84" s="497">
        <v>0</v>
      </c>
      <c r="AA84" s="495" t="s">
        <v>688</v>
      </c>
      <c r="AC84" s="497">
        <v>0</v>
      </c>
      <c r="AD84" s="495" t="s">
        <v>689</v>
      </c>
      <c r="AE84" s="495" t="s">
        <v>639</v>
      </c>
      <c r="AF84" s="497">
        <v>0</v>
      </c>
      <c r="AG84" s="497">
        <v>0</v>
      </c>
      <c r="AH84" s="495" t="s">
        <v>685</v>
      </c>
      <c r="AI84" s="497">
        <v>0</v>
      </c>
    </row>
    <row r="85" spans="1:35">
      <c r="A85" s="479">
        <v>84</v>
      </c>
      <c r="B85" s="480" t="s">
        <v>638</v>
      </c>
      <c r="C85" s="481" t="s">
        <v>345</v>
      </c>
      <c r="D85" s="197" t="s">
        <v>636</v>
      </c>
      <c r="E85" s="197" t="s">
        <v>637</v>
      </c>
      <c r="F85" s="482">
        <v>1.33</v>
      </c>
      <c r="G85" s="197" t="s">
        <v>355</v>
      </c>
      <c r="H85" s="483">
        <v>27.34</v>
      </c>
      <c r="I85" s="483">
        <v>36.36</v>
      </c>
      <c r="J85" s="197">
        <v>39.270000000000003</v>
      </c>
      <c r="K85" s="484" t="s">
        <v>683</v>
      </c>
      <c r="L85" s="483">
        <v>39.270000000000003</v>
      </c>
      <c r="M85" s="483">
        <v>2.91</v>
      </c>
      <c r="N85" s="483">
        <v>0</v>
      </c>
      <c r="O85" s="483">
        <v>0</v>
      </c>
      <c r="P85" s="483">
        <v>0</v>
      </c>
      <c r="Q85" s="483">
        <v>27.34</v>
      </c>
      <c r="R85" s="483">
        <v>0</v>
      </c>
      <c r="S85" s="197" t="s">
        <v>684</v>
      </c>
      <c r="T85" s="197" t="s">
        <v>685</v>
      </c>
      <c r="U85" s="197" t="s">
        <v>686</v>
      </c>
      <c r="V85" s="197" t="s">
        <v>687</v>
      </c>
      <c r="X85" s="485">
        <v>43976</v>
      </c>
      <c r="Z85" s="483">
        <v>0</v>
      </c>
      <c r="AA85" s="197" t="s">
        <v>688</v>
      </c>
      <c r="AC85" s="483">
        <v>0</v>
      </c>
      <c r="AD85" s="197" t="s">
        <v>689</v>
      </c>
      <c r="AE85" s="197" t="s">
        <v>639</v>
      </c>
      <c r="AF85" s="483">
        <v>0</v>
      </c>
      <c r="AG85" s="483">
        <v>0</v>
      </c>
      <c r="AH85" s="197" t="s">
        <v>685</v>
      </c>
      <c r="AI85" s="483">
        <v>0</v>
      </c>
    </row>
    <row r="86" spans="1:35">
      <c r="A86" s="479">
        <v>85</v>
      </c>
      <c r="B86" s="480" t="s">
        <v>638</v>
      </c>
      <c r="C86" s="481" t="s">
        <v>345</v>
      </c>
      <c r="D86" s="197" t="s">
        <v>599</v>
      </c>
      <c r="E86" s="197" t="s">
        <v>600</v>
      </c>
      <c r="F86" s="482">
        <v>1.33</v>
      </c>
      <c r="G86" s="197" t="s">
        <v>355</v>
      </c>
      <c r="H86" s="483">
        <v>16.63</v>
      </c>
      <c r="I86" s="483">
        <v>22.12</v>
      </c>
      <c r="J86" s="197">
        <v>23.89</v>
      </c>
      <c r="K86" s="484" t="s">
        <v>683</v>
      </c>
      <c r="L86" s="483">
        <v>23.89</v>
      </c>
      <c r="M86" s="483">
        <v>1.77</v>
      </c>
      <c r="N86" s="483">
        <v>4.21</v>
      </c>
      <c r="O86" s="483">
        <v>2.25</v>
      </c>
      <c r="P86" s="483">
        <v>6.3</v>
      </c>
      <c r="Q86" s="483">
        <v>3.87</v>
      </c>
      <c r="R86" s="483">
        <v>0</v>
      </c>
      <c r="S86" s="197" t="s">
        <v>695</v>
      </c>
      <c r="T86" s="197" t="s">
        <v>685</v>
      </c>
      <c r="U86" s="197" t="s">
        <v>686</v>
      </c>
      <c r="V86" s="197" t="s">
        <v>687</v>
      </c>
      <c r="X86" s="485">
        <v>43939</v>
      </c>
      <c r="Y86" s="197" t="s">
        <v>698</v>
      </c>
      <c r="Z86" s="483">
        <v>0</v>
      </c>
      <c r="AA86" s="197" t="s">
        <v>688</v>
      </c>
      <c r="AC86" s="483">
        <v>0</v>
      </c>
      <c r="AD86" s="197" t="s">
        <v>689</v>
      </c>
      <c r="AE86" s="197" t="s">
        <v>639</v>
      </c>
      <c r="AF86" s="483">
        <v>0</v>
      </c>
      <c r="AG86" s="483">
        <v>0</v>
      </c>
      <c r="AH86" s="197" t="s">
        <v>685</v>
      </c>
      <c r="AI86" s="483">
        <v>0</v>
      </c>
    </row>
    <row r="87" spans="1:35">
      <c r="A87" s="479">
        <v>86</v>
      </c>
      <c r="B87" s="480" t="s">
        <v>638</v>
      </c>
      <c r="C87" s="481" t="s">
        <v>593</v>
      </c>
      <c r="D87" s="197" t="s">
        <v>602</v>
      </c>
      <c r="E87" s="197" t="s">
        <v>603</v>
      </c>
      <c r="F87" s="482">
        <v>1.33</v>
      </c>
      <c r="G87" s="197" t="s">
        <v>355</v>
      </c>
      <c r="H87" s="483">
        <v>62.04</v>
      </c>
      <c r="I87" s="483">
        <v>82.51</v>
      </c>
      <c r="J87" s="197">
        <v>89.11</v>
      </c>
      <c r="K87" s="484" t="s">
        <v>683</v>
      </c>
      <c r="L87" s="483">
        <v>89.11</v>
      </c>
      <c r="M87" s="483">
        <v>6.6</v>
      </c>
      <c r="N87" s="483">
        <v>18.7</v>
      </c>
      <c r="O87" s="483">
        <v>10.41</v>
      </c>
      <c r="P87" s="483">
        <v>32.26</v>
      </c>
      <c r="Q87" s="483">
        <v>0.67</v>
      </c>
      <c r="R87" s="483">
        <v>0</v>
      </c>
      <c r="S87" s="197" t="s">
        <v>695</v>
      </c>
      <c r="T87" s="197" t="s">
        <v>685</v>
      </c>
      <c r="U87" s="197" t="s">
        <v>686</v>
      </c>
      <c r="V87" s="197" t="s">
        <v>687</v>
      </c>
      <c r="X87" s="485">
        <v>43939</v>
      </c>
      <c r="Y87" s="197" t="s">
        <v>698</v>
      </c>
      <c r="Z87" s="483">
        <v>0</v>
      </c>
      <c r="AA87" s="197" t="s">
        <v>688</v>
      </c>
      <c r="AC87" s="483">
        <v>0</v>
      </c>
      <c r="AD87" s="197" t="s">
        <v>689</v>
      </c>
      <c r="AE87" s="197" t="s">
        <v>639</v>
      </c>
      <c r="AF87" s="483">
        <v>0</v>
      </c>
      <c r="AG87" s="483">
        <v>0</v>
      </c>
      <c r="AH87" s="197" t="s">
        <v>685</v>
      </c>
      <c r="AI87" s="483">
        <v>0</v>
      </c>
    </row>
    <row r="88" spans="1:35">
      <c r="A88" s="479">
        <v>87</v>
      </c>
      <c r="B88" s="480" t="s">
        <v>638</v>
      </c>
      <c r="C88" s="481" t="s">
        <v>596</v>
      </c>
      <c r="D88" s="197" t="s">
        <v>365</v>
      </c>
      <c r="E88" s="197" t="s">
        <v>597</v>
      </c>
      <c r="F88" s="482">
        <v>0.4</v>
      </c>
      <c r="G88" s="197" t="s">
        <v>359</v>
      </c>
      <c r="H88" s="483">
        <v>53.11</v>
      </c>
      <c r="I88" s="483">
        <v>21.24</v>
      </c>
      <c r="J88" s="197">
        <v>22.94</v>
      </c>
      <c r="K88" s="484" t="s">
        <v>683</v>
      </c>
      <c r="L88" s="483">
        <v>22.94</v>
      </c>
      <c r="M88" s="483">
        <v>1.7</v>
      </c>
      <c r="N88" s="483">
        <v>25.28</v>
      </c>
      <c r="O88" s="483">
        <v>12.23</v>
      </c>
      <c r="P88" s="483">
        <v>15.6</v>
      </c>
      <c r="Q88" s="483">
        <v>0</v>
      </c>
      <c r="R88" s="483">
        <v>0</v>
      </c>
      <c r="S88" s="197" t="s">
        <v>699</v>
      </c>
      <c r="T88" s="197" t="s">
        <v>685</v>
      </c>
      <c r="U88" s="197" t="s">
        <v>686</v>
      </c>
      <c r="V88" s="197" t="s">
        <v>687</v>
      </c>
      <c r="X88" s="485">
        <v>44228</v>
      </c>
      <c r="Y88" s="197" t="s">
        <v>698</v>
      </c>
      <c r="Z88" s="483">
        <v>0</v>
      </c>
      <c r="AA88" s="197" t="s">
        <v>688</v>
      </c>
      <c r="AC88" s="483">
        <v>0</v>
      </c>
      <c r="AD88" s="197" t="s">
        <v>689</v>
      </c>
      <c r="AE88" s="197" t="s">
        <v>639</v>
      </c>
      <c r="AF88" s="483">
        <v>0</v>
      </c>
      <c r="AG88" s="483">
        <v>0</v>
      </c>
      <c r="AH88" s="197" t="s">
        <v>685</v>
      </c>
      <c r="AI88" s="483">
        <v>0</v>
      </c>
    </row>
    <row r="89" spans="1:35">
      <c r="A89" s="479">
        <v>88</v>
      </c>
      <c r="B89" s="480" t="s">
        <v>638</v>
      </c>
      <c r="C89" s="481" t="s">
        <v>596</v>
      </c>
      <c r="D89" s="197" t="s">
        <v>365</v>
      </c>
      <c r="E89" s="197" t="s">
        <v>597</v>
      </c>
      <c r="F89" s="482">
        <v>0.4</v>
      </c>
      <c r="G89" s="197" t="s">
        <v>359</v>
      </c>
      <c r="H89" s="483">
        <v>53.11</v>
      </c>
      <c r="I89" s="483">
        <v>21.24</v>
      </c>
      <c r="J89" s="197">
        <v>22.94</v>
      </c>
      <c r="K89" s="484" t="s">
        <v>683</v>
      </c>
      <c r="L89" s="483">
        <v>22.94</v>
      </c>
      <c r="M89" s="483">
        <v>1.7</v>
      </c>
      <c r="N89" s="483">
        <v>25.28</v>
      </c>
      <c r="O89" s="483">
        <v>12.23</v>
      </c>
      <c r="P89" s="483">
        <v>15.6</v>
      </c>
      <c r="Q89" s="483">
        <v>0</v>
      </c>
      <c r="R89" s="483">
        <v>0</v>
      </c>
      <c r="S89" s="197" t="s">
        <v>699</v>
      </c>
      <c r="T89" s="197" t="s">
        <v>685</v>
      </c>
      <c r="U89" s="197" t="s">
        <v>686</v>
      </c>
      <c r="V89" s="197" t="s">
        <v>687</v>
      </c>
      <c r="X89" s="485">
        <v>44228</v>
      </c>
      <c r="Y89" s="197" t="s">
        <v>698</v>
      </c>
      <c r="Z89" s="483">
        <v>0</v>
      </c>
      <c r="AA89" s="197" t="s">
        <v>688</v>
      </c>
      <c r="AC89" s="483">
        <v>0</v>
      </c>
      <c r="AD89" s="197" t="s">
        <v>689</v>
      </c>
      <c r="AE89" s="197" t="s">
        <v>639</v>
      </c>
      <c r="AF89" s="483">
        <v>0</v>
      </c>
      <c r="AG89" s="483">
        <v>0</v>
      </c>
      <c r="AH89" s="197" t="s">
        <v>685</v>
      </c>
      <c r="AI89" s="483">
        <v>0</v>
      </c>
    </row>
    <row r="90" spans="1:35">
      <c r="A90" s="479">
        <v>89</v>
      </c>
      <c r="B90" s="480" t="s">
        <v>638</v>
      </c>
      <c r="C90" s="481" t="s">
        <v>596</v>
      </c>
      <c r="D90" s="197" t="s">
        <v>365</v>
      </c>
      <c r="E90" s="197" t="s">
        <v>597</v>
      </c>
      <c r="F90" s="482">
        <v>0.4</v>
      </c>
      <c r="G90" s="197" t="s">
        <v>359</v>
      </c>
      <c r="H90" s="483">
        <v>53.11</v>
      </c>
      <c r="I90" s="483">
        <v>21.24</v>
      </c>
      <c r="J90" s="197">
        <v>22.94</v>
      </c>
      <c r="K90" s="484" t="s">
        <v>683</v>
      </c>
      <c r="L90" s="483">
        <v>22.94</v>
      </c>
      <c r="M90" s="483">
        <v>1.7</v>
      </c>
      <c r="N90" s="483">
        <v>25.28</v>
      </c>
      <c r="O90" s="483">
        <v>12.23</v>
      </c>
      <c r="P90" s="483">
        <v>15.6</v>
      </c>
      <c r="Q90" s="483">
        <v>0</v>
      </c>
      <c r="R90" s="483">
        <v>0</v>
      </c>
      <c r="S90" s="197" t="s">
        <v>699</v>
      </c>
      <c r="T90" s="197" t="s">
        <v>685</v>
      </c>
      <c r="U90" s="197" t="s">
        <v>686</v>
      </c>
      <c r="V90" s="197" t="s">
        <v>687</v>
      </c>
      <c r="X90" s="485">
        <v>44228</v>
      </c>
      <c r="Y90" s="197" t="s">
        <v>698</v>
      </c>
      <c r="Z90" s="483">
        <v>0</v>
      </c>
      <c r="AA90" s="197" t="s">
        <v>688</v>
      </c>
      <c r="AC90" s="483">
        <v>0</v>
      </c>
      <c r="AD90" s="197" t="s">
        <v>689</v>
      </c>
      <c r="AE90" s="197" t="s">
        <v>639</v>
      </c>
      <c r="AF90" s="483">
        <v>0</v>
      </c>
      <c r="AG90" s="483">
        <v>0</v>
      </c>
      <c r="AH90" s="197" t="s">
        <v>685</v>
      </c>
      <c r="AI90" s="483">
        <v>0</v>
      </c>
    </row>
    <row r="91" spans="1:35">
      <c r="A91" s="479">
        <v>90</v>
      </c>
      <c r="B91" s="480" t="s">
        <v>638</v>
      </c>
      <c r="C91" s="481" t="s">
        <v>596</v>
      </c>
      <c r="D91" s="197" t="s">
        <v>365</v>
      </c>
      <c r="E91" s="197" t="s">
        <v>597</v>
      </c>
      <c r="F91" s="482">
        <v>0.4</v>
      </c>
      <c r="G91" s="197" t="s">
        <v>359</v>
      </c>
      <c r="H91" s="483">
        <v>53.11</v>
      </c>
      <c r="I91" s="483">
        <v>21.24</v>
      </c>
      <c r="J91" s="197">
        <v>22.94</v>
      </c>
      <c r="K91" s="484" t="s">
        <v>683</v>
      </c>
      <c r="L91" s="483">
        <v>22.94</v>
      </c>
      <c r="M91" s="483">
        <v>1.7</v>
      </c>
      <c r="N91" s="483">
        <v>25.28</v>
      </c>
      <c r="O91" s="483">
        <v>12.23</v>
      </c>
      <c r="P91" s="483">
        <v>15.6</v>
      </c>
      <c r="Q91" s="483">
        <v>0</v>
      </c>
      <c r="R91" s="483">
        <v>0</v>
      </c>
      <c r="S91" s="197" t="s">
        <v>699</v>
      </c>
      <c r="T91" s="197" t="s">
        <v>685</v>
      </c>
      <c r="U91" s="197" t="s">
        <v>686</v>
      </c>
      <c r="V91" s="197" t="s">
        <v>687</v>
      </c>
      <c r="X91" s="485">
        <v>44228</v>
      </c>
      <c r="Y91" s="197" t="s">
        <v>698</v>
      </c>
      <c r="Z91" s="483">
        <v>0</v>
      </c>
      <c r="AA91" s="197" t="s">
        <v>688</v>
      </c>
      <c r="AC91" s="483">
        <v>0</v>
      </c>
      <c r="AD91" s="197" t="s">
        <v>689</v>
      </c>
      <c r="AE91" s="197" t="s">
        <v>639</v>
      </c>
      <c r="AF91" s="483">
        <v>0</v>
      </c>
      <c r="AG91" s="483">
        <v>0</v>
      </c>
      <c r="AH91" s="197" t="s">
        <v>685</v>
      </c>
      <c r="AI91" s="483">
        <v>0</v>
      </c>
    </row>
    <row r="92" spans="1:35">
      <c r="A92" s="479">
        <v>91</v>
      </c>
      <c r="B92" s="480" t="s">
        <v>638</v>
      </c>
      <c r="C92" s="481" t="s">
        <v>352</v>
      </c>
      <c r="D92" s="197" t="s">
        <v>365</v>
      </c>
      <c r="E92" s="197" t="s">
        <v>624</v>
      </c>
      <c r="F92" s="482">
        <v>0.13</v>
      </c>
      <c r="G92" s="197" t="s">
        <v>359</v>
      </c>
      <c r="H92" s="483">
        <v>61.24</v>
      </c>
      <c r="I92" s="483">
        <v>7.96</v>
      </c>
      <c r="J92" s="197">
        <v>8.6</v>
      </c>
      <c r="K92" s="484" t="s">
        <v>692</v>
      </c>
      <c r="L92" s="483">
        <v>8.6</v>
      </c>
      <c r="M92" s="483">
        <v>0.64</v>
      </c>
      <c r="N92" s="483">
        <v>25.63</v>
      </c>
      <c r="O92" s="483">
        <v>12.35</v>
      </c>
      <c r="P92" s="483">
        <v>23.26</v>
      </c>
      <c r="Q92" s="483">
        <v>0</v>
      </c>
      <c r="R92" s="483">
        <v>0</v>
      </c>
      <c r="S92" s="197" t="s">
        <v>684</v>
      </c>
      <c r="T92" s="197" t="s">
        <v>685</v>
      </c>
      <c r="U92" s="197" t="s">
        <v>686</v>
      </c>
      <c r="V92" s="197" t="s">
        <v>687</v>
      </c>
      <c r="X92" s="485">
        <v>44617</v>
      </c>
      <c r="Y92" s="197" t="s">
        <v>698</v>
      </c>
      <c r="Z92" s="483">
        <v>0</v>
      </c>
      <c r="AA92" s="197" t="s">
        <v>688</v>
      </c>
      <c r="AC92" s="483">
        <v>0</v>
      </c>
      <c r="AD92" s="197" t="s">
        <v>689</v>
      </c>
      <c r="AE92" s="197" t="s">
        <v>639</v>
      </c>
      <c r="AF92" s="483">
        <v>0</v>
      </c>
      <c r="AG92" s="483">
        <v>0</v>
      </c>
      <c r="AH92" s="197" t="s">
        <v>685</v>
      </c>
      <c r="AI92" s="483">
        <v>0</v>
      </c>
    </row>
    <row r="93" spans="1:35">
      <c r="A93" s="479">
        <v>92</v>
      </c>
      <c r="B93" s="480" t="s">
        <v>638</v>
      </c>
      <c r="C93" s="481" t="s">
        <v>596</v>
      </c>
      <c r="D93" s="197" t="s">
        <v>365</v>
      </c>
      <c r="E93" s="197" t="s">
        <v>597</v>
      </c>
      <c r="F93" s="482">
        <v>0.01</v>
      </c>
      <c r="G93" s="197" t="s">
        <v>359</v>
      </c>
      <c r="H93" s="483">
        <v>53.11</v>
      </c>
      <c r="I93" s="483">
        <v>0.53</v>
      </c>
      <c r="J93" s="197">
        <v>0.56999999999999995</v>
      </c>
      <c r="K93" s="484" t="s">
        <v>683</v>
      </c>
      <c r="L93" s="483">
        <v>0.56999999999999995</v>
      </c>
      <c r="M93" s="483">
        <v>0.04</v>
      </c>
      <c r="N93" s="483">
        <v>25.28</v>
      </c>
      <c r="O93" s="483">
        <v>12.23</v>
      </c>
      <c r="P93" s="483">
        <v>15.6</v>
      </c>
      <c r="Q93" s="483">
        <v>0</v>
      </c>
      <c r="R93" s="483">
        <v>0</v>
      </c>
      <c r="S93" s="197" t="s">
        <v>699</v>
      </c>
      <c r="T93" s="197" t="s">
        <v>685</v>
      </c>
      <c r="U93" s="197" t="s">
        <v>686</v>
      </c>
      <c r="V93" s="197" t="s">
        <v>687</v>
      </c>
      <c r="X93" s="485">
        <v>44228</v>
      </c>
      <c r="Y93" s="197" t="s">
        <v>698</v>
      </c>
      <c r="Z93" s="483">
        <v>0</v>
      </c>
      <c r="AA93" s="197" t="s">
        <v>688</v>
      </c>
      <c r="AC93" s="483">
        <v>0</v>
      </c>
      <c r="AD93" s="197" t="s">
        <v>689</v>
      </c>
      <c r="AE93" s="197" t="s">
        <v>639</v>
      </c>
      <c r="AF93" s="483">
        <v>0</v>
      </c>
      <c r="AG93" s="483">
        <v>0</v>
      </c>
      <c r="AH93" s="197" t="s">
        <v>685</v>
      </c>
      <c r="AI93" s="483">
        <v>0</v>
      </c>
    </row>
    <row r="94" spans="1:35" s="495" customFormat="1" ht="15">
      <c r="A94" s="492">
        <v>93</v>
      </c>
      <c r="B94" s="493" t="s">
        <v>642</v>
      </c>
      <c r="C94" s="494" t="s">
        <v>737</v>
      </c>
      <c r="D94" s="495" t="s">
        <v>704</v>
      </c>
      <c r="E94" s="495" t="s">
        <v>745</v>
      </c>
      <c r="F94" s="496">
        <v>0</v>
      </c>
      <c r="G94" s="495" t="s">
        <v>355</v>
      </c>
      <c r="H94" s="497">
        <v>0</v>
      </c>
      <c r="I94" s="497">
        <v>0</v>
      </c>
      <c r="J94" s="495">
        <v>0</v>
      </c>
      <c r="K94" s="498" t="s">
        <v>683</v>
      </c>
      <c r="L94" s="497">
        <v>0</v>
      </c>
      <c r="M94" s="497">
        <v>0</v>
      </c>
      <c r="N94" s="497">
        <v>0</v>
      </c>
      <c r="O94" s="497">
        <v>0</v>
      </c>
      <c r="P94" s="497">
        <v>0</v>
      </c>
      <c r="Q94" s="497">
        <v>0</v>
      </c>
      <c r="R94" s="497">
        <v>0</v>
      </c>
      <c r="S94" s="495" t="s">
        <v>684</v>
      </c>
      <c r="T94" s="495" t="s">
        <v>685</v>
      </c>
      <c r="U94" s="495" t="s">
        <v>686</v>
      </c>
      <c r="V94" s="495" t="s">
        <v>687</v>
      </c>
      <c r="X94" s="499">
        <v>45715</v>
      </c>
      <c r="Z94" s="497">
        <v>0</v>
      </c>
      <c r="AA94" s="495" t="s">
        <v>688</v>
      </c>
      <c r="AC94" s="497">
        <v>0</v>
      </c>
      <c r="AD94" s="495" t="s">
        <v>689</v>
      </c>
      <c r="AE94" s="495" t="s">
        <v>102</v>
      </c>
      <c r="AF94" s="497">
        <v>0</v>
      </c>
      <c r="AG94" s="497">
        <v>0</v>
      </c>
      <c r="AH94" s="495" t="s">
        <v>685</v>
      </c>
      <c r="AI94" s="497">
        <v>0</v>
      </c>
    </row>
    <row r="95" spans="1:35">
      <c r="A95" s="479">
        <v>94</v>
      </c>
      <c r="B95" s="480" t="s">
        <v>642</v>
      </c>
      <c r="C95" s="481" t="s">
        <v>345</v>
      </c>
      <c r="D95" s="197" t="s">
        <v>640</v>
      </c>
      <c r="E95" s="197" t="s">
        <v>641</v>
      </c>
      <c r="F95" s="482">
        <v>1.75</v>
      </c>
      <c r="G95" s="197" t="s">
        <v>355</v>
      </c>
      <c r="H95" s="483">
        <v>26.74</v>
      </c>
      <c r="I95" s="483">
        <v>46.8</v>
      </c>
      <c r="J95" s="197">
        <v>50.54</v>
      </c>
      <c r="K95" s="484" t="s">
        <v>683</v>
      </c>
      <c r="L95" s="483">
        <v>50.54</v>
      </c>
      <c r="M95" s="483">
        <v>3.74</v>
      </c>
      <c r="N95" s="483">
        <v>0</v>
      </c>
      <c r="O95" s="483">
        <v>0</v>
      </c>
      <c r="P95" s="483">
        <v>0</v>
      </c>
      <c r="Q95" s="483">
        <v>26.74</v>
      </c>
      <c r="R95" s="483">
        <v>0</v>
      </c>
      <c r="S95" s="197" t="s">
        <v>684</v>
      </c>
      <c r="T95" s="197" t="s">
        <v>685</v>
      </c>
      <c r="U95" s="197" t="s">
        <v>686</v>
      </c>
      <c r="V95" s="197" t="s">
        <v>687</v>
      </c>
      <c r="X95" s="485">
        <v>43976</v>
      </c>
      <c r="Z95" s="483">
        <v>0</v>
      </c>
      <c r="AA95" s="197" t="s">
        <v>688</v>
      </c>
      <c r="AC95" s="483">
        <v>0</v>
      </c>
      <c r="AD95" s="197" t="s">
        <v>689</v>
      </c>
      <c r="AE95" s="197" t="s">
        <v>102</v>
      </c>
      <c r="AF95" s="483">
        <v>0</v>
      </c>
      <c r="AG95" s="483">
        <v>0</v>
      </c>
      <c r="AH95" s="197" t="s">
        <v>685</v>
      </c>
      <c r="AI95" s="483">
        <v>0</v>
      </c>
    </row>
    <row r="96" spans="1:35">
      <c r="A96" s="479">
        <v>95</v>
      </c>
      <c r="B96" s="480" t="s">
        <v>642</v>
      </c>
      <c r="C96" s="481" t="s">
        <v>345</v>
      </c>
      <c r="D96" s="197" t="s">
        <v>606</v>
      </c>
      <c r="E96" s="197" t="s">
        <v>607</v>
      </c>
      <c r="F96" s="482">
        <v>1.75</v>
      </c>
      <c r="G96" s="197" t="s">
        <v>355</v>
      </c>
      <c r="H96" s="483">
        <v>21.17</v>
      </c>
      <c r="I96" s="483">
        <v>37.049999999999997</v>
      </c>
      <c r="J96" s="197">
        <v>40.01</v>
      </c>
      <c r="K96" s="484" t="s">
        <v>683</v>
      </c>
      <c r="L96" s="483">
        <v>40.01</v>
      </c>
      <c r="M96" s="483">
        <v>2.96</v>
      </c>
      <c r="N96" s="483">
        <v>5.26</v>
      </c>
      <c r="O96" s="483">
        <v>2.81</v>
      </c>
      <c r="P96" s="483">
        <v>7.87</v>
      </c>
      <c r="Q96" s="483">
        <v>5.23</v>
      </c>
      <c r="R96" s="483">
        <v>0</v>
      </c>
      <c r="S96" s="197" t="s">
        <v>695</v>
      </c>
      <c r="T96" s="197" t="s">
        <v>685</v>
      </c>
      <c r="U96" s="197" t="s">
        <v>686</v>
      </c>
      <c r="V96" s="197" t="s">
        <v>687</v>
      </c>
      <c r="X96" s="485">
        <v>43825</v>
      </c>
      <c r="Y96" s="197" t="s">
        <v>698</v>
      </c>
      <c r="Z96" s="483">
        <v>0</v>
      </c>
      <c r="AA96" s="197" t="s">
        <v>688</v>
      </c>
      <c r="AC96" s="483">
        <v>0</v>
      </c>
      <c r="AD96" s="197" t="s">
        <v>689</v>
      </c>
      <c r="AE96" s="197" t="s">
        <v>102</v>
      </c>
      <c r="AF96" s="483">
        <v>0</v>
      </c>
      <c r="AG96" s="483">
        <v>0</v>
      </c>
      <c r="AH96" s="197" t="s">
        <v>685</v>
      </c>
      <c r="AI96" s="483">
        <v>0</v>
      </c>
    </row>
    <row r="97" spans="1:35">
      <c r="A97" s="479">
        <v>96</v>
      </c>
      <c r="B97" s="480" t="s">
        <v>642</v>
      </c>
      <c r="C97" s="481" t="s">
        <v>593</v>
      </c>
      <c r="D97" s="197" t="s">
        <v>610</v>
      </c>
      <c r="E97" s="197" t="s">
        <v>611</v>
      </c>
      <c r="F97" s="482">
        <v>1.75</v>
      </c>
      <c r="G97" s="197" t="s">
        <v>355</v>
      </c>
      <c r="H97" s="483">
        <v>77.52</v>
      </c>
      <c r="I97" s="483">
        <v>135.66</v>
      </c>
      <c r="J97" s="197">
        <v>146.51</v>
      </c>
      <c r="K97" s="484" t="s">
        <v>683</v>
      </c>
      <c r="L97" s="483">
        <v>146.51</v>
      </c>
      <c r="M97" s="483">
        <v>10.85</v>
      </c>
      <c r="N97" s="483">
        <v>23.38</v>
      </c>
      <c r="O97" s="483">
        <v>13.02</v>
      </c>
      <c r="P97" s="483">
        <v>40.35</v>
      </c>
      <c r="Q97" s="483">
        <v>0.77</v>
      </c>
      <c r="R97" s="483">
        <v>0</v>
      </c>
      <c r="S97" s="197" t="s">
        <v>695</v>
      </c>
      <c r="T97" s="197" t="s">
        <v>685</v>
      </c>
      <c r="U97" s="197" t="s">
        <v>686</v>
      </c>
      <c r="V97" s="197" t="s">
        <v>687</v>
      </c>
      <c r="X97" s="485">
        <v>43836</v>
      </c>
      <c r="Y97" s="197" t="s">
        <v>698</v>
      </c>
      <c r="Z97" s="483">
        <v>0</v>
      </c>
      <c r="AA97" s="197" t="s">
        <v>688</v>
      </c>
      <c r="AC97" s="483">
        <v>0</v>
      </c>
      <c r="AD97" s="197" t="s">
        <v>689</v>
      </c>
      <c r="AE97" s="197" t="s">
        <v>102</v>
      </c>
      <c r="AF97" s="483">
        <v>0</v>
      </c>
      <c r="AG97" s="483">
        <v>0</v>
      </c>
      <c r="AH97" s="197" t="s">
        <v>685</v>
      </c>
      <c r="AI97" s="483">
        <v>0</v>
      </c>
    </row>
    <row r="98" spans="1:35">
      <c r="A98" s="479">
        <v>97</v>
      </c>
      <c r="B98" s="480" t="s">
        <v>642</v>
      </c>
      <c r="C98" s="481" t="s">
        <v>643</v>
      </c>
      <c r="D98" s="197" t="s">
        <v>644</v>
      </c>
      <c r="E98" s="197" t="s">
        <v>645</v>
      </c>
      <c r="F98" s="482">
        <v>0.88</v>
      </c>
      <c r="G98" s="197" t="s">
        <v>359</v>
      </c>
      <c r="H98" s="483">
        <v>53.83</v>
      </c>
      <c r="I98" s="483">
        <v>47.37</v>
      </c>
      <c r="J98" s="197">
        <v>51.16</v>
      </c>
      <c r="K98" s="484" t="s">
        <v>683</v>
      </c>
      <c r="L98" s="483">
        <v>51.16</v>
      </c>
      <c r="M98" s="483">
        <v>3.79</v>
      </c>
      <c r="N98" s="483">
        <v>16.399999999999999</v>
      </c>
      <c r="O98" s="483">
        <v>9.1300000000000008</v>
      </c>
      <c r="P98" s="483">
        <v>28.3</v>
      </c>
      <c r="Q98" s="483">
        <v>0</v>
      </c>
      <c r="R98" s="483">
        <v>0</v>
      </c>
      <c r="S98" s="197" t="s">
        <v>695</v>
      </c>
      <c r="T98" s="197" t="s">
        <v>685</v>
      </c>
      <c r="U98" s="197" t="s">
        <v>686</v>
      </c>
      <c r="V98" s="197" t="s">
        <v>687</v>
      </c>
      <c r="X98" s="485">
        <v>45179</v>
      </c>
      <c r="Y98" s="197" t="s">
        <v>698</v>
      </c>
      <c r="Z98" s="483">
        <v>0</v>
      </c>
      <c r="AA98" s="197" t="s">
        <v>688</v>
      </c>
      <c r="AC98" s="483">
        <v>0</v>
      </c>
      <c r="AD98" s="197" t="s">
        <v>689</v>
      </c>
      <c r="AE98" s="197" t="s">
        <v>102</v>
      </c>
      <c r="AF98" s="483">
        <v>0</v>
      </c>
      <c r="AG98" s="483">
        <v>0</v>
      </c>
      <c r="AH98" s="197" t="s">
        <v>685</v>
      </c>
      <c r="AI98" s="483">
        <v>0</v>
      </c>
    </row>
    <row r="99" spans="1:35">
      <c r="A99" s="479">
        <v>98</v>
      </c>
      <c r="B99" s="480" t="s">
        <v>642</v>
      </c>
      <c r="C99" s="481" t="s">
        <v>596</v>
      </c>
      <c r="D99" s="197" t="s">
        <v>365</v>
      </c>
      <c r="E99" s="197" t="s">
        <v>597</v>
      </c>
      <c r="F99" s="482">
        <v>0.88</v>
      </c>
      <c r="G99" s="197" t="s">
        <v>359</v>
      </c>
      <c r="H99" s="483">
        <v>53.11</v>
      </c>
      <c r="I99" s="483">
        <v>46.74</v>
      </c>
      <c r="J99" s="197">
        <v>50.48</v>
      </c>
      <c r="K99" s="484" t="s">
        <v>683</v>
      </c>
      <c r="L99" s="483">
        <v>50.48</v>
      </c>
      <c r="M99" s="483">
        <v>3.74</v>
      </c>
      <c r="N99" s="483">
        <v>25.28</v>
      </c>
      <c r="O99" s="483">
        <v>12.23</v>
      </c>
      <c r="P99" s="483">
        <v>15.6</v>
      </c>
      <c r="Q99" s="483">
        <v>0</v>
      </c>
      <c r="R99" s="483">
        <v>0</v>
      </c>
      <c r="S99" s="197" t="s">
        <v>699</v>
      </c>
      <c r="T99" s="197" t="s">
        <v>685</v>
      </c>
      <c r="U99" s="197" t="s">
        <v>686</v>
      </c>
      <c r="V99" s="197" t="s">
        <v>687</v>
      </c>
      <c r="X99" s="485">
        <v>43823</v>
      </c>
      <c r="Y99" s="197" t="s">
        <v>698</v>
      </c>
      <c r="Z99" s="483">
        <v>0</v>
      </c>
      <c r="AA99" s="197" t="s">
        <v>688</v>
      </c>
      <c r="AC99" s="483">
        <v>0</v>
      </c>
      <c r="AD99" s="197" t="s">
        <v>689</v>
      </c>
      <c r="AE99" s="197" t="s">
        <v>102</v>
      </c>
      <c r="AF99" s="483">
        <v>0</v>
      </c>
      <c r="AG99" s="483">
        <v>0</v>
      </c>
      <c r="AH99" s="197" t="s">
        <v>685</v>
      </c>
      <c r="AI99" s="483">
        <v>0</v>
      </c>
    </row>
    <row r="100" spans="1:35">
      <c r="A100" s="479">
        <v>99</v>
      </c>
      <c r="B100" s="480" t="s">
        <v>642</v>
      </c>
      <c r="C100" s="481" t="s">
        <v>596</v>
      </c>
      <c r="D100" s="197" t="s">
        <v>365</v>
      </c>
      <c r="E100" s="197" t="s">
        <v>597</v>
      </c>
      <c r="F100" s="482">
        <v>0.88</v>
      </c>
      <c r="G100" s="197" t="s">
        <v>359</v>
      </c>
      <c r="H100" s="483">
        <v>53.11</v>
      </c>
      <c r="I100" s="483">
        <v>46.74</v>
      </c>
      <c r="J100" s="197">
        <v>50.48</v>
      </c>
      <c r="K100" s="484" t="s">
        <v>683</v>
      </c>
      <c r="L100" s="483">
        <v>50.48</v>
      </c>
      <c r="M100" s="483">
        <v>3.74</v>
      </c>
      <c r="N100" s="483">
        <v>25.28</v>
      </c>
      <c r="O100" s="483">
        <v>12.23</v>
      </c>
      <c r="P100" s="483">
        <v>15.6</v>
      </c>
      <c r="Q100" s="483">
        <v>0</v>
      </c>
      <c r="R100" s="483">
        <v>0</v>
      </c>
      <c r="S100" s="197" t="s">
        <v>699</v>
      </c>
      <c r="T100" s="197" t="s">
        <v>685</v>
      </c>
      <c r="U100" s="197" t="s">
        <v>686</v>
      </c>
      <c r="V100" s="197" t="s">
        <v>687</v>
      </c>
      <c r="X100" s="485">
        <v>43823</v>
      </c>
      <c r="Y100" s="197" t="s">
        <v>698</v>
      </c>
      <c r="Z100" s="483">
        <v>0</v>
      </c>
      <c r="AA100" s="197" t="s">
        <v>688</v>
      </c>
      <c r="AC100" s="483">
        <v>0</v>
      </c>
      <c r="AD100" s="197" t="s">
        <v>689</v>
      </c>
      <c r="AE100" s="197" t="s">
        <v>102</v>
      </c>
      <c r="AF100" s="483">
        <v>0</v>
      </c>
      <c r="AG100" s="483">
        <v>0</v>
      </c>
      <c r="AH100" s="197" t="s">
        <v>685</v>
      </c>
      <c r="AI100" s="483">
        <v>0</v>
      </c>
    </row>
    <row r="101" spans="1:35">
      <c r="A101" s="479">
        <v>100</v>
      </c>
      <c r="B101" s="480" t="s">
        <v>642</v>
      </c>
      <c r="C101" s="481" t="s">
        <v>596</v>
      </c>
      <c r="D101" s="197" t="s">
        <v>365</v>
      </c>
      <c r="E101" s="197" t="s">
        <v>597</v>
      </c>
      <c r="F101" s="482">
        <v>0.88</v>
      </c>
      <c r="G101" s="197" t="s">
        <v>359</v>
      </c>
      <c r="H101" s="483">
        <v>53.11</v>
      </c>
      <c r="I101" s="483">
        <v>46.74</v>
      </c>
      <c r="J101" s="197">
        <v>50.48</v>
      </c>
      <c r="K101" s="484" t="s">
        <v>683</v>
      </c>
      <c r="L101" s="483">
        <v>50.48</v>
      </c>
      <c r="M101" s="483">
        <v>3.74</v>
      </c>
      <c r="N101" s="483">
        <v>25.28</v>
      </c>
      <c r="O101" s="483">
        <v>12.23</v>
      </c>
      <c r="P101" s="483">
        <v>15.6</v>
      </c>
      <c r="Q101" s="483">
        <v>0</v>
      </c>
      <c r="R101" s="483">
        <v>0</v>
      </c>
      <c r="S101" s="197" t="s">
        <v>699</v>
      </c>
      <c r="T101" s="197" t="s">
        <v>685</v>
      </c>
      <c r="U101" s="197" t="s">
        <v>686</v>
      </c>
      <c r="V101" s="197" t="s">
        <v>687</v>
      </c>
      <c r="X101" s="485">
        <v>43823</v>
      </c>
      <c r="Y101" s="197" t="s">
        <v>698</v>
      </c>
      <c r="Z101" s="483">
        <v>0</v>
      </c>
      <c r="AA101" s="197" t="s">
        <v>688</v>
      </c>
      <c r="AC101" s="483">
        <v>0</v>
      </c>
      <c r="AD101" s="197" t="s">
        <v>689</v>
      </c>
      <c r="AE101" s="197" t="s">
        <v>102</v>
      </c>
      <c r="AF101" s="483">
        <v>0</v>
      </c>
      <c r="AG101" s="483">
        <v>0</v>
      </c>
      <c r="AH101" s="197" t="s">
        <v>685</v>
      </c>
      <c r="AI101" s="483">
        <v>0</v>
      </c>
    </row>
    <row r="102" spans="1:35">
      <c r="A102" s="479">
        <v>101</v>
      </c>
      <c r="B102" s="480" t="s">
        <v>642</v>
      </c>
      <c r="C102" s="481" t="s">
        <v>596</v>
      </c>
      <c r="D102" s="197" t="s">
        <v>365</v>
      </c>
      <c r="E102" s="197" t="s">
        <v>597</v>
      </c>
      <c r="F102" s="482">
        <v>0.18</v>
      </c>
      <c r="G102" s="197" t="s">
        <v>359</v>
      </c>
      <c r="H102" s="483">
        <v>53.11</v>
      </c>
      <c r="I102" s="483">
        <v>9.56</v>
      </c>
      <c r="J102" s="197">
        <v>10.32</v>
      </c>
      <c r="K102" s="484" t="s">
        <v>683</v>
      </c>
      <c r="L102" s="483">
        <v>10.32</v>
      </c>
      <c r="M102" s="483">
        <v>0.76</v>
      </c>
      <c r="N102" s="483">
        <v>25.28</v>
      </c>
      <c r="O102" s="483">
        <v>12.23</v>
      </c>
      <c r="P102" s="483">
        <v>15.6</v>
      </c>
      <c r="Q102" s="483">
        <v>0</v>
      </c>
      <c r="R102" s="483">
        <v>0</v>
      </c>
      <c r="S102" s="197" t="s">
        <v>699</v>
      </c>
      <c r="T102" s="197" t="s">
        <v>685</v>
      </c>
      <c r="U102" s="197" t="s">
        <v>686</v>
      </c>
      <c r="V102" s="197" t="s">
        <v>687</v>
      </c>
      <c r="X102" s="485">
        <v>43823</v>
      </c>
      <c r="Y102" s="197" t="s">
        <v>698</v>
      </c>
      <c r="Z102" s="483">
        <v>0</v>
      </c>
      <c r="AA102" s="197" t="s">
        <v>688</v>
      </c>
      <c r="AC102" s="483">
        <v>0</v>
      </c>
      <c r="AD102" s="197" t="s">
        <v>689</v>
      </c>
      <c r="AE102" s="197" t="s">
        <v>102</v>
      </c>
      <c r="AF102" s="483">
        <v>0</v>
      </c>
      <c r="AG102" s="483">
        <v>0</v>
      </c>
      <c r="AH102" s="197" t="s">
        <v>685</v>
      </c>
      <c r="AI102" s="483">
        <v>0</v>
      </c>
    </row>
    <row r="103" spans="1:35">
      <c r="A103" s="479">
        <v>102</v>
      </c>
      <c r="B103" s="480" t="s">
        <v>642</v>
      </c>
      <c r="C103" s="481" t="s">
        <v>596</v>
      </c>
      <c r="D103" s="197" t="s">
        <v>365</v>
      </c>
      <c r="E103" s="197" t="s">
        <v>597</v>
      </c>
      <c r="F103" s="482">
        <v>0.18</v>
      </c>
      <c r="G103" s="197" t="s">
        <v>359</v>
      </c>
      <c r="H103" s="483">
        <v>53.11</v>
      </c>
      <c r="I103" s="483">
        <v>9.56</v>
      </c>
      <c r="J103" s="197">
        <v>10.32</v>
      </c>
      <c r="K103" s="484" t="s">
        <v>683</v>
      </c>
      <c r="L103" s="483">
        <v>10.32</v>
      </c>
      <c r="M103" s="483">
        <v>0.76</v>
      </c>
      <c r="N103" s="483">
        <v>25.28</v>
      </c>
      <c r="O103" s="483">
        <v>12.23</v>
      </c>
      <c r="P103" s="483">
        <v>15.6</v>
      </c>
      <c r="Q103" s="483">
        <v>0</v>
      </c>
      <c r="R103" s="483">
        <v>0</v>
      </c>
      <c r="S103" s="197" t="s">
        <v>699</v>
      </c>
      <c r="T103" s="197" t="s">
        <v>685</v>
      </c>
      <c r="U103" s="197" t="s">
        <v>686</v>
      </c>
      <c r="V103" s="197" t="s">
        <v>687</v>
      </c>
      <c r="X103" s="485">
        <v>44228</v>
      </c>
      <c r="Y103" s="197" t="s">
        <v>698</v>
      </c>
      <c r="Z103" s="483">
        <v>0</v>
      </c>
      <c r="AA103" s="197" t="s">
        <v>688</v>
      </c>
      <c r="AC103" s="483">
        <v>0</v>
      </c>
      <c r="AD103" s="197" t="s">
        <v>689</v>
      </c>
      <c r="AE103" s="197" t="s">
        <v>102</v>
      </c>
      <c r="AF103" s="483">
        <v>0</v>
      </c>
      <c r="AG103" s="483">
        <v>0</v>
      </c>
      <c r="AH103" s="197" t="s">
        <v>685</v>
      </c>
      <c r="AI103" s="483">
        <v>0</v>
      </c>
    </row>
    <row r="104" spans="1:35" s="495" customFormat="1" ht="15">
      <c r="A104" s="492">
        <v>103</v>
      </c>
      <c r="B104" s="493" t="s">
        <v>648</v>
      </c>
      <c r="C104" s="494" t="s">
        <v>737</v>
      </c>
      <c r="D104" s="495" t="s">
        <v>704</v>
      </c>
      <c r="E104" s="495" t="s">
        <v>746</v>
      </c>
      <c r="F104" s="496">
        <v>0</v>
      </c>
      <c r="G104" s="495" t="s">
        <v>355</v>
      </c>
      <c r="H104" s="497">
        <v>0</v>
      </c>
      <c r="I104" s="497">
        <v>0</v>
      </c>
      <c r="J104" s="495">
        <v>0</v>
      </c>
      <c r="K104" s="498" t="s">
        <v>683</v>
      </c>
      <c r="L104" s="497">
        <v>0</v>
      </c>
      <c r="M104" s="497">
        <v>0</v>
      </c>
      <c r="N104" s="497">
        <v>0</v>
      </c>
      <c r="O104" s="497">
        <v>0</v>
      </c>
      <c r="P104" s="497">
        <v>0</v>
      </c>
      <c r="Q104" s="497">
        <v>0</v>
      </c>
      <c r="R104" s="497">
        <v>0</v>
      </c>
      <c r="S104" s="495" t="s">
        <v>684</v>
      </c>
      <c r="T104" s="495" t="s">
        <v>685</v>
      </c>
      <c r="U104" s="495" t="s">
        <v>686</v>
      </c>
      <c r="V104" s="495" t="s">
        <v>687</v>
      </c>
      <c r="X104" s="499">
        <v>45715</v>
      </c>
      <c r="Z104" s="497">
        <v>0</v>
      </c>
      <c r="AA104" s="495" t="s">
        <v>688</v>
      </c>
      <c r="AC104" s="497">
        <v>0</v>
      </c>
      <c r="AD104" s="495" t="s">
        <v>689</v>
      </c>
      <c r="AE104" s="495" t="s">
        <v>103</v>
      </c>
      <c r="AF104" s="497">
        <v>0</v>
      </c>
      <c r="AG104" s="497">
        <v>0</v>
      </c>
      <c r="AH104" s="495" t="s">
        <v>685</v>
      </c>
      <c r="AI104" s="497">
        <v>0</v>
      </c>
    </row>
    <row r="105" spans="1:35">
      <c r="A105" s="479">
        <v>104</v>
      </c>
      <c r="B105" s="480" t="s">
        <v>648</v>
      </c>
      <c r="C105" s="481" t="s">
        <v>345</v>
      </c>
      <c r="D105" s="197" t="s">
        <v>646</v>
      </c>
      <c r="E105" s="197" t="s">
        <v>647</v>
      </c>
      <c r="F105" s="482">
        <v>4</v>
      </c>
      <c r="G105" s="197" t="s">
        <v>355</v>
      </c>
      <c r="H105" s="483">
        <v>34.590000000000003</v>
      </c>
      <c r="I105" s="483">
        <v>138.36000000000001</v>
      </c>
      <c r="J105" s="197">
        <v>149.43</v>
      </c>
      <c r="K105" s="484" t="s">
        <v>683</v>
      </c>
      <c r="L105" s="483">
        <v>149.43</v>
      </c>
      <c r="M105" s="483">
        <v>11.07</v>
      </c>
      <c r="N105" s="483">
        <v>0</v>
      </c>
      <c r="O105" s="483">
        <v>0</v>
      </c>
      <c r="P105" s="483">
        <v>0</v>
      </c>
      <c r="Q105" s="483">
        <v>34.590000000000003</v>
      </c>
      <c r="R105" s="483">
        <v>0</v>
      </c>
      <c r="S105" s="197" t="s">
        <v>684</v>
      </c>
      <c r="T105" s="197" t="s">
        <v>685</v>
      </c>
      <c r="U105" s="197" t="s">
        <v>686</v>
      </c>
      <c r="V105" s="197" t="s">
        <v>687</v>
      </c>
      <c r="X105" s="485">
        <v>43976</v>
      </c>
      <c r="Z105" s="483">
        <v>0</v>
      </c>
      <c r="AA105" s="197" t="s">
        <v>688</v>
      </c>
      <c r="AC105" s="483">
        <v>0</v>
      </c>
      <c r="AD105" s="197" t="s">
        <v>689</v>
      </c>
      <c r="AE105" s="197" t="s">
        <v>103</v>
      </c>
      <c r="AF105" s="483">
        <v>0</v>
      </c>
      <c r="AG105" s="483">
        <v>0</v>
      </c>
      <c r="AH105" s="197" t="s">
        <v>685</v>
      </c>
      <c r="AI105" s="483">
        <v>0</v>
      </c>
    </row>
    <row r="106" spans="1:35">
      <c r="A106" s="479">
        <v>105</v>
      </c>
      <c r="B106" s="480" t="s">
        <v>648</v>
      </c>
      <c r="C106" s="481" t="s">
        <v>345</v>
      </c>
      <c r="D106" s="197" t="s">
        <v>620</v>
      </c>
      <c r="E106" s="197" t="s">
        <v>621</v>
      </c>
      <c r="F106" s="482">
        <v>4</v>
      </c>
      <c r="G106" s="197" t="s">
        <v>355</v>
      </c>
      <c r="H106" s="483">
        <v>28.64</v>
      </c>
      <c r="I106" s="483">
        <v>114.56</v>
      </c>
      <c r="J106" s="197">
        <v>123.72</v>
      </c>
      <c r="K106" s="484" t="s">
        <v>683</v>
      </c>
      <c r="L106" s="483">
        <v>123.72</v>
      </c>
      <c r="M106" s="483">
        <v>9.16</v>
      </c>
      <c r="N106" s="483">
        <v>7</v>
      </c>
      <c r="O106" s="483">
        <v>3.74</v>
      </c>
      <c r="P106" s="483">
        <v>10.5</v>
      </c>
      <c r="Q106" s="483">
        <v>7.4</v>
      </c>
      <c r="R106" s="483">
        <v>0</v>
      </c>
      <c r="S106" s="197" t="s">
        <v>695</v>
      </c>
      <c r="T106" s="197" t="s">
        <v>685</v>
      </c>
      <c r="U106" s="197" t="s">
        <v>686</v>
      </c>
      <c r="V106" s="197" t="s">
        <v>687</v>
      </c>
      <c r="X106" s="485">
        <v>43999</v>
      </c>
      <c r="Z106" s="483">
        <v>0</v>
      </c>
      <c r="AA106" s="197" t="s">
        <v>688</v>
      </c>
      <c r="AC106" s="483">
        <v>0</v>
      </c>
      <c r="AD106" s="197" t="s">
        <v>689</v>
      </c>
      <c r="AE106" s="197" t="s">
        <v>103</v>
      </c>
      <c r="AF106" s="483">
        <v>0</v>
      </c>
      <c r="AG106" s="483">
        <v>0</v>
      </c>
      <c r="AH106" s="197" t="s">
        <v>685</v>
      </c>
      <c r="AI106" s="483">
        <v>0</v>
      </c>
    </row>
    <row r="107" spans="1:35">
      <c r="A107" s="479">
        <v>106</v>
      </c>
      <c r="B107" s="480" t="s">
        <v>648</v>
      </c>
      <c r="C107" s="481" t="s">
        <v>350</v>
      </c>
      <c r="D107" s="197" t="s">
        <v>649</v>
      </c>
      <c r="E107" s="197" t="s">
        <v>650</v>
      </c>
      <c r="F107" s="482">
        <v>4</v>
      </c>
      <c r="G107" s="197" t="s">
        <v>355</v>
      </c>
      <c r="H107" s="483">
        <v>67.19</v>
      </c>
      <c r="I107" s="483">
        <v>268.76</v>
      </c>
      <c r="J107" s="197">
        <v>290.26</v>
      </c>
      <c r="K107" s="484" t="s">
        <v>683</v>
      </c>
      <c r="L107" s="483">
        <v>290.26</v>
      </c>
      <c r="M107" s="483">
        <v>21.5</v>
      </c>
      <c r="N107" s="483">
        <v>25.46</v>
      </c>
      <c r="O107" s="483">
        <v>12.25</v>
      </c>
      <c r="P107" s="483">
        <v>24.78</v>
      </c>
      <c r="Q107" s="483">
        <v>4.7</v>
      </c>
      <c r="R107" s="483">
        <v>0</v>
      </c>
      <c r="S107" s="197" t="s">
        <v>695</v>
      </c>
      <c r="T107" s="197" t="s">
        <v>685</v>
      </c>
      <c r="U107" s="197" t="s">
        <v>686</v>
      </c>
      <c r="V107" s="197" t="s">
        <v>687</v>
      </c>
      <c r="X107" s="485">
        <v>44237</v>
      </c>
      <c r="Y107" s="197" t="s">
        <v>698</v>
      </c>
      <c r="Z107" s="483">
        <v>0</v>
      </c>
      <c r="AA107" s="197" t="s">
        <v>688</v>
      </c>
      <c r="AC107" s="483">
        <v>0</v>
      </c>
      <c r="AD107" s="197" t="s">
        <v>689</v>
      </c>
      <c r="AE107" s="197" t="s">
        <v>103</v>
      </c>
      <c r="AF107" s="483">
        <v>0</v>
      </c>
      <c r="AG107" s="483">
        <v>0</v>
      </c>
      <c r="AH107" s="197" t="s">
        <v>685</v>
      </c>
      <c r="AI107" s="483">
        <v>0</v>
      </c>
    </row>
    <row r="108" spans="1:35">
      <c r="A108" s="479">
        <v>107</v>
      </c>
      <c r="B108" s="480" t="s">
        <v>648</v>
      </c>
      <c r="C108" s="481" t="s">
        <v>596</v>
      </c>
      <c r="D108" s="197" t="s">
        <v>365</v>
      </c>
      <c r="E108" s="197" t="s">
        <v>597</v>
      </c>
      <c r="F108" s="482">
        <v>4.8</v>
      </c>
      <c r="G108" s="197" t="s">
        <v>359</v>
      </c>
      <c r="H108" s="483">
        <v>53.11</v>
      </c>
      <c r="I108" s="483">
        <v>254.93</v>
      </c>
      <c r="J108" s="197">
        <v>275.32</v>
      </c>
      <c r="K108" s="484" t="s">
        <v>683</v>
      </c>
      <c r="L108" s="483">
        <v>275.32</v>
      </c>
      <c r="M108" s="483">
        <v>20.39</v>
      </c>
      <c r="N108" s="483">
        <v>25.28</v>
      </c>
      <c r="O108" s="483">
        <v>12.23</v>
      </c>
      <c r="P108" s="483">
        <v>15.6</v>
      </c>
      <c r="Q108" s="483">
        <v>0</v>
      </c>
      <c r="R108" s="483">
        <v>0</v>
      </c>
      <c r="S108" s="197" t="s">
        <v>699</v>
      </c>
      <c r="T108" s="197" t="s">
        <v>685</v>
      </c>
      <c r="U108" s="197" t="s">
        <v>686</v>
      </c>
      <c r="V108" s="197" t="s">
        <v>687</v>
      </c>
      <c r="X108" s="485">
        <v>43823</v>
      </c>
      <c r="Y108" s="197" t="s">
        <v>698</v>
      </c>
      <c r="Z108" s="483">
        <v>0</v>
      </c>
      <c r="AA108" s="197" t="s">
        <v>688</v>
      </c>
      <c r="AC108" s="483">
        <v>0</v>
      </c>
      <c r="AD108" s="197" t="s">
        <v>689</v>
      </c>
      <c r="AE108" s="197" t="s">
        <v>103</v>
      </c>
      <c r="AF108" s="483">
        <v>0</v>
      </c>
      <c r="AG108" s="483">
        <v>0</v>
      </c>
      <c r="AH108" s="197" t="s">
        <v>685</v>
      </c>
      <c r="AI108" s="483">
        <v>0</v>
      </c>
    </row>
    <row r="109" spans="1:35">
      <c r="A109" s="479">
        <v>108</v>
      </c>
      <c r="B109" s="480" t="s">
        <v>648</v>
      </c>
      <c r="C109" s="481" t="s">
        <v>596</v>
      </c>
      <c r="D109" s="197" t="s">
        <v>365</v>
      </c>
      <c r="E109" s="197" t="s">
        <v>597</v>
      </c>
      <c r="F109" s="482">
        <v>4.8</v>
      </c>
      <c r="G109" s="197" t="s">
        <v>359</v>
      </c>
      <c r="H109" s="483">
        <v>53.11</v>
      </c>
      <c r="I109" s="483">
        <v>254.93</v>
      </c>
      <c r="J109" s="197">
        <v>275.32</v>
      </c>
      <c r="K109" s="484" t="s">
        <v>683</v>
      </c>
      <c r="L109" s="483">
        <v>275.32</v>
      </c>
      <c r="M109" s="483">
        <v>20.39</v>
      </c>
      <c r="N109" s="483">
        <v>25.28</v>
      </c>
      <c r="O109" s="483">
        <v>12.23</v>
      </c>
      <c r="P109" s="483">
        <v>15.6</v>
      </c>
      <c r="Q109" s="483">
        <v>0</v>
      </c>
      <c r="R109" s="483">
        <v>0</v>
      </c>
      <c r="S109" s="197" t="s">
        <v>699</v>
      </c>
      <c r="T109" s="197" t="s">
        <v>685</v>
      </c>
      <c r="U109" s="197" t="s">
        <v>686</v>
      </c>
      <c r="V109" s="197" t="s">
        <v>687</v>
      </c>
      <c r="X109" s="485">
        <v>43823</v>
      </c>
      <c r="Y109" s="197" t="s">
        <v>698</v>
      </c>
      <c r="Z109" s="483">
        <v>0</v>
      </c>
      <c r="AA109" s="197" t="s">
        <v>688</v>
      </c>
      <c r="AC109" s="483">
        <v>0</v>
      </c>
      <c r="AD109" s="197" t="s">
        <v>689</v>
      </c>
      <c r="AE109" s="197" t="s">
        <v>103</v>
      </c>
      <c r="AF109" s="483">
        <v>0</v>
      </c>
      <c r="AG109" s="483">
        <v>0</v>
      </c>
      <c r="AH109" s="197" t="s">
        <v>685</v>
      </c>
      <c r="AI109" s="483">
        <v>0</v>
      </c>
    </row>
    <row r="110" spans="1:35">
      <c r="A110" s="479">
        <v>109</v>
      </c>
      <c r="B110" s="480" t="s">
        <v>648</v>
      </c>
      <c r="C110" s="481" t="s">
        <v>596</v>
      </c>
      <c r="D110" s="197" t="s">
        <v>365</v>
      </c>
      <c r="E110" s="197" t="s">
        <v>597</v>
      </c>
      <c r="F110" s="482">
        <v>4.8</v>
      </c>
      <c r="G110" s="197" t="s">
        <v>359</v>
      </c>
      <c r="H110" s="483">
        <v>53.11</v>
      </c>
      <c r="I110" s="483">
        <v>254.93</v>
      </c>
      <c r="J110" s="197">
        <v>275.32</v>
      </c>
      <c r="K110" s="484" t="s">
        <v>683</v>
      </c>
      <c r="L110" s="483">
        <v>275.32</v>
      </c>
      <c r="M110" s="483">
        <v>20.39</v>
      </c>
      <c r="N110" s="483">
        <v>25.28</v>
      </c>
      <c r="O110" s="483">
        <v>12.23</v>
      </c>
      <c r="P110" s="483">
        <v>15.6</v>
      </c>
      <c r="Q110" s="483">
        <v>0</v>
      </c>
      <c r="R110" s="483">
        <v>0</v>
      </c>
      <c r="S110" s="197" t="s">
        <v>699</v>
      </c>
      <c r="T110" s="197" t="s">
        <v>685</v>
      </c>
      <c r="U110" s="197" t="s">
        <v>686</v>
      </c>
      <c r="V110" s="197" t="s">
        <v>687</v>
      </c>
      <c r="X110" s="485">
        <v>43823</v>
      </c>
      <c r="Y110" s="197" t="s">
        <v>698</v>
      </c>
      <c r="Z110" s="483">
        <v>0</v>
      </c>
      <c r="AA110" s="197" t="s">
        <v>688</v>
      </c>
      <c r="AC110" s="483">
        <v>0</v>
      </c>
      <c r="AD110" s="197" t="s">
        <v>689</v>
      </c>
      <c r="AE110" s="197" t="s">
        <v>103</v>
      </c>
      <c r="AF110" s="483">
        <v>0</v>
      </c>
      <c r="AG110" s="483">
        <v>0</v>
      </c>
      <c r="AH110" s="197" t="s">
        <v>685</v>
      </c>
      <c r="AI110" s="483">
        <v>0</v>
      </c>
    </row>
    <row r="111" spans="1:35">
      <c r="A111" s="479">
        <v>110</v>
      </c>
      <c r="B111" s="480" t="s">
        <v>648</v>
      </c>
      <c r="C111" s="481" t="s">
        <v>596</v>
      </c>
      <c r="D111" s="197" t="s">
        <v>365</v>
      </c>
      <c r="E111" s="197" t="s">
        <v>597</v>
      </c>
      <c r="F111" s="482">
        <v>4.8</v>
      </c>
      <c r="G111" s="197" t="s">
        <v>359</v>
      </c>
      <c r="H111" s="483">
        <v>53.11</v>
      </c>
      <c r="I111" s="483">
        <v>254.93</v>
      </c>
      <c r="J111" s="197">
        <v>275.32</v>
      </c>
      <c r="K111" s="484" t="s">
        <v>683</v>
      </c>
      <c r="L111" s="483">
        <v>275.32</v>
      </c>
      <c r="M111" s="483">
        <v>20.39</v>
      </c>
      <c r="N111" s="483">
        <v>25.28</v>
      </c>
      <c r="O111" s="483">
        <v>12.23</v>
      </c>
      <c r="P111" s="483">
        <v>15.6</v>
      </c>
      <c r="Q111" s="483">
        <v>0</v>
      </c>
      <c r="R111" s="483">
        <v>0</v>
      </c>
      <c r="S111" s="197" t="s">
        <v>699</v>
      </c>
      <c r="T111" s="197" t="s">
        <v>685</v>
      </c>
      <c r="U111" s="197" t="s">
        <v>686</v>
      </c>
      <c r="V111" s="197" t="s">
        <v>687</v>
      </c>
      <c r="X111" s="485">
        <v>43823</v>
      </c>
      <c r="Y111" s="197" t="s">
        <v>698</v>
      </c>
      <c r="Z111" s="483">
        <v>0</v>
      </c>
      <c r="AA111" s="197" t="s">
        <v>688</v>
      </c>
      <c r="AC111" s="483">
        <v>0</v>
      </c>
      <c r="AD111" s="197" t="s">
        <v>689</v>
      </c>
      <c r="AE111" s="197" t="s">
        <v>103</v>
      </c>
      <c r="AF111" s="483">
        <v>0</v>
      </c>
      <c r="AG111" s="483">
        <v>0</v>
      </c>
      <c r="AH111" s="197" t="s">
        <v>685</v>
      </c>
      <c r="AI111" s="483">
        <v>0</v>
      </c>
    </row>
    <row r="112" spans="1:35">
      <c r="A112" s="479">
        <v>111</v>
      </c>
      <c r="B112" s="480" t="s">
        <v>648</v>
      </c>
      <c r="C112" s="481" t="s">
        <v>352</v>
      </c>
      <c r="D112" s="197" t="s">
        <v>365</v>
      </c>
      <c r="E112" s="197" t="s">
        <v>624</v>
      </c>
      <c r="F112" s="482">
        <v>0.4</v>
      </c>
      <c r="G112" s="197" t="s">
        <v>359</v>
      </c>
      <c r="H112" s="483">
        <v>61.24</v>
      </c>
      <c r="I112" s="483">
        <v>24.5</v>
      </c>
      <c r="J112" s="197">
        <v>26.46</v>
      </c>
      <c r="K112" s="484" t="s">
        <v>692</v>
      </c>
      <c r="L112" s="483">
        <v>26.46</v>
      </c>
      <c r="M112" s="483">
        <v>1.96</v>
      </c>
      <c r="N112" s="483">
        <v>25.63</v>
      </c>
      <c r="O112" s="483">
        <v>12.35</v>
      </c>
      <c r="P112" s="483">
        <v>23.26</v>
      </c>
      <c r="Q112" s="483">
        <v>0</v>
      </c>
      <c r="R112" s="483">
        <v>0</v>
      </c>
      <c r="S112" s="197" t="s">
        <v>684</v>
      </c>
      <c r="T112" s="197" t="s">
        <v>685</v>
      </c>
      <c r="U112" s="197" t="s">
        <v>686</v>
      </c>
      <c r="V112" s="197" t="s">
        <v>687</v>
      </c>
      <c r="X112" s="485">
        <v>44617</v>
      </c>
      <c r="Y112" s="197" t="s">
        <v>698</v>
      </c>
      <c r="Z112" s="483">
        <v>0</v>
      </c>
      <c r="AA112" s="197" t="s">
        <v>688</v>
      </c>
      <c r="AC112" s="483">
        <v>0</v>
      </c>
      <c r="AD112" s="197" t="s">
        <v>689</v>
      </c>
      <c r="AE112" s="197" t="s">
        <v>103</v>
      </c>
      <c r="AF112" s="483">
        <v>0</v>
      </c>
      <c r="AG112" s="483">
        <v>0</v>
      </c>
      <c r="AH112" s="197" t="s">
        <v>685</v>
      </c>
      <c r="AI112" s="483">
        <v>0</v>
      </c>
    </row>
    <row r="113" spans="1:35">
      <c r="A113" s="479">
        <v>112</v>
      </c>
      <c r="B113" s="480" t="s">
        <v>648</v>
      </c>
      <c r="C113" s="481" t="s">
        <v>596</v>
      </c>
      <c r="D113" s="197" t="s">
        <v>365</v>
      </c>
      <c r="E113" s="197" t="s">
        <v>597</v>
      </c>
      <c r="F113" s="482">
        <v>0.4</v>
      </c>
      <c r="G113" s="197" t="s">
        <v>359</v>
      </c>
      <c r="H113" s="483">
        <v>53.11</v>
      </c>
      <c r="I113" s="483">
        <v>21.24</v>
      </c>
      <c r="J113" s="197">
        <v>22.94</v>
      </c>
      <c r="K113" s="484" t="s">
        <v>683</v>
      </c>
      <c r="L113" s="483">
        <v>22.94</v>
      </c>
      <c r="M113" s="483">
        <v>1.7</v>
      </c>
      <c r="N113" s="483">
        <v>25.28</v>
      </c>
      <c r="O113" s="483">
        <v>12.23</v>
      </c>
      <c r="P113" s="483">
        <v>15.6</v>
      </c>
      <c r="Q113" s="483">
        <v>0</v>
      </c>
      <c r="R113" s="483">
        <v>0</v>
      </c>
      <c r="S113" s="197" t="s">
        <v>699</v>
      </c>
      <c r="T113" s="197" t="s">
        <v>685</v>
      </c>
      <c r="U113" s="197" t="s">
        <v>686</v>
      </c>
      <c r="V113" s="197" t="s">
        <v>687</v>
      </c>
      <c r="X113" s="485">
        <v>44228</v>
      </c>
      <c r="Y113" s="197" t="s">
        <v>698</v>
      </c>
      <c r="Z113" s="483">
        <v>0</v>
      </c>
      <c r="AA113" s="197" t="s">
        <v>688</v>
      </c>
      <c r="AC113" s="483">
        <v>0</v>
      </c>
      <c r="AD113" s="197" t="s">
        <v>689</v>
      </c>
      <c r="AE113" s="197" t="s">
        <v>103</v>
      </c>
      <c r="AF113" s="483">
        <v>0</v>
      </c>
      <c r="AG113" s="483">
        <v>0</v>
      </c>
      <c r="AH113" s="197" t="s">
        <v>685</v>
      </c>
      <c r="AI113" s="483">
        <v>0</v>
      </c>
    </row>
    <row r="114" spans="1:35" s="495" customFormat="1" ht="15">
      <c r="A114" s="492">
        <v>113</v>
      </c>
      <c r="B114" s="493" t="s">
        <v>655</v>
      </c>
      <c r="C114" s="494" t="s">
        <v>737</v>
      </c>
      <c r="D114" s="495" t="s">
        <v>704</v>
      </c>
      <c r="E114" s="495" t="s">
        <v>747</v>
      </c>
      <c r="F114" s="496">
        <v>0</v>
      </c>
      <c r="G114" s="495" t="s">
        <v>355</v>
      </c>
      <c r="H114" s="497">
        <v>0</v>
      </c>
      <c r="I114" s="497">
        <v>0</v>
      </c>
      <c r="J114" s="495">
        <v>0</v>
      </c>
      <c r="K114" s="498" t="s">
        <v>683</v>
      </c>
      <c r="L114" s="497">
        <v>0</v>
      </c>
      <c r="M114" s="497">
        <v>0</v>
      </c>
      <c r="N114" s="497">
        <v>0</v>
      </c>
      <c r="O114" s="497">
        <v>0</v>
      </c>
      <c r="P114" s="497">
        <v>0</v>
      </c>
      <c r="Q114" s="497">
        <v>0</v>
      </c>
      <c r="R114" s="497">
        <v>0</v>
      </c>
      <c r="S114" s="495" t="s">
        <v>684</v>
      </c>
      <c r="T114" s="495" t="s">
        <v>685</v>
      </c>
      <c r="U114" s="495" t="s">
        <v>686</v>
      </c>
      <c r="V114" s="495" t="s">
        <v>687</v>
      </c>
      <c r="X114" s="499">
        <v>45715</v>
      </c>
      <c r="Z114" s="497">
        <v>0</v>
      </c>
      <c r="AA114" s="495" t="s">
        <v>688</v>
      </c>
      <c r="AC114" s="497">
        <v>0</v>
      </c>
      <c r="AD114" s="495" t="s">
        <v>689</v>
      </c>
      <c r="AE114" s="495" t="s">
        <v>104</v>
      </c>
      <c r="AF114" s="497">
        <v>0</v>
      </c>
      <c r="AG114" s="497">
        <v>0</v>
      </c>
      <c r="AH114" s="495" t="s">
        <v>685</v>
      </c>
      <c r="AI114" s="497">
        <v>0</v>
      </c>
    </row>
    <row r="115" spans="1:35">
      <c r="A115" s="479">
        <v>114</v>
      </c>
      <c r="B115" s="480" t="s">
        <v>655</v>
      </c>
      <c r="C115" s="481" t="s">
        <v>345</v>
      </c>
      <c r="D115" s="197" t="s">
        <v>651</v>
      </c>
      <c r="E115" s="197" t="s">
        <v>652</v>
      </c>
      <c r="F115" s="482">
        <v>2.58</v>
      </c>
      <c r="G115" s="197" t="s">
        <v>355</v>
      </c>
      <c r="H115" s="483">
        <v>19.12</v>
      </c>
      <c r="I115" s="483">
        <v>49.33</v>
      </c>
      <c r="J115" s="197">
        <v>53.28</v>
      </c>
      <c r="K115" s="484" t="s">
        <v>683</v>
      </c>
      <c r="L115" s="483">
        <v>53.28</v>
      </c>
      <c r="M115" s="483">
        <v>3.95</v>
      </c>
      <c r="N115" s="483">
        <v>0</v>
      </c>
      <c r="O115" s="483">
        <v>0</v>
      </c>
      <c r="P115" s="483">
        <v>0</v>
      </c>
      <c r="Q115" s="483">
        <v>19.12</v>
      </c>
      <c r="R115" s="483">
        <v>0</v>
      </c>
      <c r="S115" s="197" t="s">
        <v>684</v>
      </c>
      <c r="T115" s="197" t="s">
        <v>685</v>
      </c>
      <c r="U115" s="197" t="s">
        <v>686</v>
      </c>
      <c r="V115" s="197" t="s">
        <v>687</v>
      </c>
      <c r="X115" s="485">
        <v>43996</v>
      </c>
      <c r="Z115" s="483">
        <v>0</v>
      </c>
      <c r="AA115" s="197" t="s">
        <v>688</v>
      </c>
      <c r="AC115" s="483">
        <v>0</v>
      </c>
      <c r="AD115" s="197" t="s">
        <v>689</v>
      </c>
      <c r="AE115" s="197" t="s">
        <v>104</v>
      </c>
      <c r="AF115" s="483">
        <v>0</v>
      </c>
      <c r="AG115" s="483">
        <v>0</v>
      </c>
      <c r="AH115" s="197" t="s">
        <v>685</v>
      </c>
      <c r="AI115" s="483">
        <v>0</v>
      </c>
    </row>
    <row r="116" spans="1:35">
      <c r="A116" s="479">
        <v>115</v>
      </c>
      <c r="B116" s="480" t="s">
        <v>655</v>
      </c>
      <c r="C116" s="481" t="s">
        <v>345</v>
      </c>
      <c r="D116" s="197" t="s">
        <v>653</v>
      </c>
      <c r="E116" s="197" t="s">
        <v>654</v>
      </c>
      <c r="F116" s="482">
        <v>2.58</v>
      </c>
      <c r="G116" s="197" t="s">
        <v>355</v>
      </c>
      <c r="H116" s="483">
        <v>27.43</v>
      </c>
      <c r="I116" s="483">
        <v>70.77</v>
      </c>
      <c r="J116" s="197">
        <v>76.430000000000007</v>
      </c>
      <c r="K116" s="484" t="s">
        <v>683</v>
      </c>
      <c r="L116" s="483">
        <v>76.430000000000007</v>
      </c>
      <c r="M116" s="483">
        <v>5.66</v>
      </c>
      <c r="N116" s="483">
        <v>2.74</v>
      </c>
      <c r="O116" s="483">
        <v>1.46</v>
      </c>
      <c r="P116" s="483">
        <v>4.1100000000000003</v>
      </c>
      <c r="Q116" s="483">
        <v>19.12</v>
      </c>
      <c r="R116" s="483">
        <v>0</v>
      </c>
      <c r="S116" s="197" t="s">
        <v>695</v>
      </c>
      <c r="T116" s="197" t="s">
        <v>685</v>
      </c>
      <c r="U116" s="197" t="s">
        <v>686</v>
      </c>
      <c r="V116" s="197" t="s">
        <v>687</v>
      </c>
      <c r="X116" s="485">
        <v>43999</v>
      </c>
      <c r="Y116" s="197" t="s">
        <v>698</v>
      </c>
      <c r="Z116" s="483">
        <v>0</v>
      </c>
      <c r="AA116" s="197" t="s">
        <v>688</v>
      </c>
      <c r="AC116" s="483">
        <v>0</v>
      </c>
      <c r="AD116" s="197" t="s">
        <v>689</v>
      </c>
      <c r="AE116" s="197" t="s">
        <v>104</v>
      </c>
      <c r="AF116" s="483">
        <v>0</v>
      </c>
      <c r="AG116" s="483">
        <v>0</v>
      </c>
      <c r="AH116" s="197" t="s">
        <v>685</v>
      </c>
      <c r="AI116" s="483">
        <v>0</v>
      </c>
    </row>
    <row r="117" spans="1:35">
      <c r="A117" s="479">
        <v>116</v>
      </c>
      <c r="B117" s="480" t="s">
        <v>655</v>
      </c>
      <c r="C117" s="481" t="s">
        <v>593</v>
      </c>
      <c r="D117" s="197" t="s">
        <v>656</v>
      </c>
      <c r="E117" s="197" t="s">
        <v>657</v>
      </c>
      <c r="F117" s="482">
        <v>2.58</v>
      </c>
      <c r="G117" s="197" t="s">
        <v>355</v>
      </c>
      <c r="H117" s="483">
        <v>27.54</v>
      </c>
      <c r="I117" s="483">
        <v>71.05</v>
      </c>
      <c r="J117" s="197">
        <v>76.73</v>
      </c>
      <c r="K117" s="484" t="s">
        <v>683</v>
      </c>
      <c r="L117" s="483">
        <v>76.73</v>
      </c>
      <c r="M117" s="483">
        <v>5.68</v>
      </c>
      <c r="N117" s="483">
        <v>8.1199999999999992</v>
      </c>
      <c r="O117" s="483">
        <v>4.5199999999999996</v>
      </c>
      <c r="P117" s="483">
        <v>14.02</v>
      </c>
      <c r="Q117" s="483">
        <v>0.88</v>
      </c>
      <c r="R117" s="483">
        <v>0</v>
      </c>
      <c r="S117" s="197" t="s">
        <v>695</v>
      </c>
      <c r="T117" s="197" t="s">
        <v>685</v>
      </c>
      <c r="U117" s="197" t="s">
        <v>686</v>
      </c>
      <c r="V117" s="197" t="s">
        <v>687</v>
      </c>
      <c r="X117" s="485">
        <v>44176</v>
      </c>
      <c r="Z117" s="483">
        <v>0</v>
      </c>
      <c r="AA117" s="197" t="s">
        <v>688</v>
      </c>
      <c r="AC117" s="483">
        <v>0</v>
      </c>
      <c r="AD117" s="197" t="s">
        <v>689</v>
      </c>
      <c r="AE117" s="197" t="s">
        <v>104</v>
      </c>
      <c r="AF117" s="483">
        <v>0</v>
      </c>
      <c r="AG117" s="483">
        <v>0</v>
      </c>
      <c r="AH117" s="197" t="s">
        <v>685</v>
      </c>
      <c r="AI117" s="483">
        <v>0</v>
      </c>
    </row>
    <row r="118" spans="1:35">
      <c r="A118" s="479">
        <v>117</v>
      </c>
      <c r="B118" s="480" t="s">
        <v>655</v>
      </c>
      <c r="C118" s="481" t="s">
        <v>596</v>
      </c>
      <c r="D118" s="197" t="s">
        <v>365</v>
      </c>
      <c r="E118" s="197" t="s">
        <v>597</v>
      </c>
      <c r="F118" s="482">
        <v>0.78</v>
      </c>
      <c r="G118" s="197" t="s">
        <v>359</v>
      </c>
      <c r="H118" s="483">
        <v>53.11</v>
      </c>
      <c r="I118" s="483">
        <v>41.43</v>
      </c>
      <c r="J118" s="197">
        <v>44.74</v>
      </c>
      <c r="K118" s="484" t="s">
        <v>683</v>
      </c>
      <c r="L118" s="483">
        <v>44.74</v>
      </c>
      <c r="M118" s="483">
        <v>3.31</v>
      </c>
      <c r="N118" s="483">
        <v>25.28</v>
      </c>
      <c r="O118" s="483">
        <v>12.23</v>
      </c>
      <c r="P118" s="483">
        <v>15.6</v>
      </c>
      <c r="Q118" s="483">
        <v>0</v>
      </c>
      <c r="R118" s="483">
        <v>0</v>
      </c>
      <c r="S118" s="197" t="s">
        <v>699</v>
      </c>
      <c r="T118" s="197" t="s">
        <v>685</v>
      </c>
      <c r="U118" s="197" t="s">
        <v>686</v>
      </c>
      <c r="V118" s="197" t="s">
        <v>687</v>
      </c>
      <c r="X118" s="485">
        <v>44228</v>
      </c>
      <c r="Y118" s="197" t="s">
        <v>698</v>
      </c>
      <c r="Z118" s="483">
        <v>0</v>
      </c>
      <c r="AA118" s="197" t="s">
        <v>688</v>
      </c>
      <c r="AC118" s="483">
        <v>0</v>
      </c>
      <c r="AD118" s="197" t="s">
        <v>689</v>
      </c>
      <c r="AE118" s="197" t="s">
        <v>104</v>
      </c>
      <c r="AF118" s="483">
        <v>0</v>
      </c>
      <c r="AG118" s="483">
        <v>0</v>
      </c>
      <c r="AH118" s="197" t="s">
        <v>685</v>
      </c>
      <c r="AI118" s="483">
        <v>0</v>
      </c>
    </row>
    <row r="119" spans="1:35">
      <c r="A119" s="479">
        <v>118</v>
      </c>
      <c r="B119" s="480" t="s">
        <v>655</v>
      </c>
      <c r="C119" s="481" t="s">
        <v>596</v>
      </c>
      <c r="D119" s="197" t="s">
        <v>365</v>
      </c>
      <c r="E119" s="197" t="s">
        <v>597</v>
      </c>
      <c r="F119" s="482">
        <v>0.78</v>
      </c>
      <c r="G119" s="197" t="s">
        <v>359</v>
      </c>
      <c r="H119" s="483">
        <v>53.11</v>
      </c>
      <c r="I119" s="483">
        <v>41.43</v>
      </c>
      <c r="J119" s="197">
        <v>44.74</v>
      </c>
      <c r="K119" s="484" t="s">
        <v>683</v>
      </c>
      <c r="L119" s="483">
        <v>44.74</v>
      </c>
      <c r="M119" s="483">
        <v>3.31</v>
      </c>
      <c r="N119" s="483">
        <v>25.28</v>
      </c>
      <c r="O119" s="483">
        <v>12.23</v>
      </c>
      <c r="P119" s="483">
        <v>15.6</v>
      </c>
      <c r="Q119" s="483">
        <v>0</v>
      </c>
      <c r="R119" s="483">
        <v>0</v>
      </c>
      <c r="S119" s="197" t="s">
        <v>699</v>
      </c>
      <c r="T119" s="197" t="s">
        <v>685</v>
      </c>
      <c r="U119" s="197" t="s">
        <v>686</v>
      </c>
      <c r="V119" s="197" t="s">
        <v>687</v>
      </c>
      <c r="X119" s="485">
        <v>44228</v>
      </c>
      <c r="Y119" s="197" t="s">
        <v>698</v>
      </c>
      <c r="Z119" s="483">
        <v>0</v>
      </c>
      <c r="AA119" s="197" t="s">
        <v>688</v>
      </c>
      <c r="AC119" s="483">
        <v>0</v>
      </c>
      <c r="AD119" s="197" t="s">
        <v>689</v>
      </c>
      <c r="AE119" s="197" t="s">
        <v>104</v>
      </c>
      <c r="AF119" s="483">
        <v>0</v>
      </c>
      <c r="AG119" s="483">
        <v>0</v>
      </c>
      <c r="AH119" s="197" t="s">
        <v>685</v>
      </c>
      <c r="AI119" s="483">
        <v>0</v>
      </c>
    </row>
    <row r="120" spans="1:35">
      <c r="A120" s="479">
        <v>119</v>
      </c>
      <c r="B120" s="480" t="s">
        <v>655</v>
      </c>
      <c r="C120" s="481" t="s">
        <v>596</v>
      </c>
      <c r="D120" s="197" t="s">
        <v>365</v>
      </c>
      <c r="E120" s="197" t="s">
        <v>597</v>
      </c>
      <c r="F120" s="482">
        <v>0.78</v>
      </c>
      <c r="G120" s="197" t="s">
        <v>359</v>
      </c>
      <c r="H120" s="483">
        <v>53.11</v>
      </c>
      <c r="I120" s="483">
        <v>41.43</v>
      </c>
      <c r="J120" s="197">
        <v>44.74</v>
      </c>
      <c r="K120" s="484" t="s">
        <v>683</v>
      </c>
      <c r="L120" s="483">
        <v>44.74</v>
      </c>
      <c r="M120" s="483">
        <v>3.31</v>
      </c>
      <c r="N120" s="483">
        <v>25.28</v>
      </c>
      <c r="O120" s="483">
        <v>12.23</v>
      </c>
      <c r="P120" s="483">
        <v>15.6</v>
      </c>
      <c r="Q120" s="483">
        <v>0</v>
      </c>
      <c r="R120" s="483">
        <v>0</v>
      </c>
      <c r="S120" s="197" t="s">
        <v>699</v>
      </c>
      <c r="T120" s="197" t="s">
        <v>685</v>
      </c>
      <c r="U120" s="197" t="s">
        <v>686</v>
      </c>
      <c r="V120" s="197" t="s">
        <v>687</v>
      </c>
      <c r="X120" s="485">
        <v>44228</v>
      </c>
      <c r="Y120" s="197" t="s">
        <v>698</v>
      </c>
      <c r="Z120" s="483">
        <v>0</v>
      </c>
      <c r="AA120" s="197" t="s">
        <v>688</v>
      </c>
      <c r="AC120" s="483">
        <v>0</v>
      </c>
      <c r="AD120" s="197" t="s">
        <v>689</v>
      </c>
      <c r="AE120" s="197" t="s">
        <v>104</v>
      </c>
      <c r="AF120" s="483">
        <v>0</v>
      </c>
      <c r="AG120" s="483">
        <v>0</v>
      </c>
      <c r="AH120" s="197" t="s">
        <v>685</v>
      </c>
      <c r="AI120" s="483">
        <v>0</v>
      </c>
    </row>
    <row r="121" spans="1:35">
      <c r="A121" s="479">
        <v>120</v>
      </c>
      <c r="B121" s="480" t="s">
        <v>655</v>
      </c>
      <c r="C121" s="481" t="s">
        <v>596</v>
      </c>
      <c r="D121" s="197" t="s">
        <v>365</v>
      </c>
      <c r="E121" s="197" t="s">
        <v>597</v>
      </c>
      <c r="F121" s="482">
        <v>0.78</v>
      </c>
      <c r="G121" s="197" t="s">
        <v>359</v>
      </c>
      <c r="H121" s="483">
        <v>53.11</v>
      </c>
      <c r="I121" s="483">
        <v>41.43</v>
      </c>
      <c r="J121" s="197">
        <v>44.74</v>
      </c>
      <c r="K121" s="484" t="s">
        <v>683</v>
      </c>
      <c r="L121" s="483">
        <v>44.74</v>
      </c>
      <c r="M121" s="483">
        <v>3.31</v>
      </c>
      <c r="N121" s="483">
        <v>25.28</v>
      </c>
      <c r="O121" s="483">
        <v>12.23</v>
      </c>
      <c r="P121" s="483">
        <v>15.6</v>
      </c>
      <c r="Q121" s="483">
        <v>0</v>
      </c>
      <c r="R121" s="483">
        <v>0</v>
      </c>
      <c r="S121" s="197" t="s">
        <v>699</v>
      </c>
      <c r="T121" s="197" t="s">
        <v>685</v>
      </c>
      <c r="U121" s="197" t="s">
        <v>686</v>
      </c>
      <c r="V121" s="197" t="s">
        <v>687</v>
      </c>
      <c r="X121" s="485">
        <v>44228</v>
      </c>
      <c r="Y121" s="197" t="s">
        <v>698</v>
      </c>
      <c r="Z121" s="483">
        <v>0</v>
      </c>
      <c r="AA121" s="197" t="s">
        <v>688</v>
      </c>
      <c r="AC121" s="483">
        <v>0</v>
      </c>
      <c r="AD121" s="197" t="s">
        <v>689</v>
      </c>
      <c r="AE121" s="197" t="s">
        <v>104</v>
      </c>
      <c r="AF121" s="483">
        <v>0</v>
      </c>
      <c r="AG121" s="483">
        <v>0</v>
      </c>
      <c r="AH121" s="197" t="s">
        <v>685</v>
      </c>
      <c r="AI121" s="483">
        <v>0</v>
      </c>
    </row>
    <row r="122" spans="1:35">
      <c r="A122" s="479">
        <v>121</v>
      </c>
      <c r="B122" s="480" t="s">
        <v>655</v>
      </c>
      <c r="C122" s="481" t="s">
        <v>596</v>
      </c>
      <c r="D122" s="197" t="s">
        <v>365</v>
      </c>
      <c r="E122" s="197" t="s">
        <v>597</v>
      </c>
      <c r="F122" s="482">
        <v>0.26</v>
      </c>
      <c r="G122" s="197" t="s">
        <v>359</v>
      </c>
      <c r="H122" s="483">
        <v>53.11</v>
      </c>
      <c r="I122" s="483">
        <v>13.81</v>
      </c>
      <c r="J122" s="197">
        <v>14.91</v>
      </c>
      <c r="K122" s="484" t="s">
        <v>683</v>
      </c>
      <c r="L122" s="483">
        <v>14.91</v>
      </c>
      <c r="M122" s="483">
        <v>1.1000000000000001</v>
      </c>
      <c r="N122" s="483">
        <v>25.28</v>
      </c>
      <c r="O122" s="483">
        <v>12.23</v>
      </c>
      <c r="P122" s="483">
        <v>15.6</v>
      </c>
      <c r="Q122" s="483">
        <v>0</v>
      </c>
      <c r="R122" s="483">
        <v>0</v>
      </c>
      <c r="S122" s="197" t="s">
        <v>699</v>
      </c>
      <c r="T122" s="197" t="s">
        <v>685</v>
      </c>
      <c r="U122" s="197" t="s">
        <v>686</v>
      </c>
      <c r="V122" s="197" t="s">
        <v>687</v>
      </c>
      <c r="X122" s="485">
        <v>44228</v>
      </c>
      <c r="Y122" s="197" t="s">
        <v>698</v>
      </c>
      <c r="Z122" s="483">
        <v>0</v>
      </c>
      <c r="AA122" s="197" t="s">
        <v>688</v>
      </c>
      <c r="AC122" s="483">
        <v>0</v>
      </c>
      <c r="AD122" s="197" t="s">
        <v>689</v>
      </c>
      <c r="AE122" s="197" t="s">
        <v>104</v>
      </c>
      <c r="AF122" s="483">
        <v>0</v>
      </c>
      <c r="AG122" s="483">
        <v>0</v>
      </c>
      <c r="AH122" s="197" t="s">
        <v>685</v>
      </c>
      <c r="AI122" s="483">
        <v>0</v>
      </c>
    </row>
    <row r="123" spans="1:35">
      <c r="A123" s="479">
        <v>122</v>
      </c>
      <c r="B123" s="480" t="s">
        <v>655</v>
      </c>
      <c r="C123" s="481" t="s">
        <v>596</v>
      </c>
      <c r="D123" s="197" t="s">
        <v>365</v>
      </c>
      <c r="E123" s="197" t="s">
        <v>597</v>
      </c>
      <c r="F123" s="482">
        <v>0.03</v>
      </c>
      <c r="G123" s="197" t="s">
        <v>359</v>
      </c>
      <c r="H123" s="483">
        <v>53.11</v>
      </c>
      <c r="I123" s="483">
        <v>1.59</v>
      </c>
      <c r="J123" s="197">
        <v>1.72</v>
      </c>
      <c r="K123" s="484" t="s">
        <v>683</v>
      </c>
      <c r="L123" s="483">
        <v>1.72</v>
      </c>
      <c r="M123" s="483">
        <v>0.13</v>
      </c>
      <c r="N123" s="483">
        <v>25.28</v>
      </c>
      <c r="O123" s="483">
        <v>12.23</v>
      </c>
      <c r="P123" s="483">
        <v>15.6</v>
      </c>
      <c r="Q123" s="483">
        <v>0</v>
      </c>
      <c r="R123" s="483">
        <v>0</v>
      </c>
      <c r="S123" s="197" t="s">
        <v>699</v>
      </c>
      <c r="T123" s="197" t="s">
        <v>685</v>
      </c>
      <c r="U123" s="197" t="s">
        <v>686</v>
      </c>
      <c r="V123" s="197" t="s">
        <v>687</v>
      </c>
      <c r="X123" s="485">
        <v>44228</v>
      </c>
      <c r="Y123" s="197" t="s">
        <v>698</v>
      </c>
      <c r="Z123" s="483">
        <v>0</v>
      </c>
      <c r="AA123" s="197" t="s">
        <v>688</v>
      </c>
      <c r="AC123" s="483">
        <v>0</v>
      </c>
      <c r="AD123" s="197" t="s">
        <v>689</v>
      </c>
      <c r="AE123" s="197" t="s">
        <v>104</v>
      </c>
      <c r="AF123" s="483">
        <v>0</v>
      </c>
      <c r="AG123" s="483">
        <v>0</v>
      </c>
      <c r="AH123" s="197" t="s">
        <v>685</v>
      </c>
      <c r="AI123" s="483">
        <v>0</v>
      </c>
    </row>
    <row r="124" spans="1:35" s="495" customFormat="1" ht="15">
      <c r="A124" s="492">
        <v>123</v>
      </c>
      <c r="B124" s="493" t="s">
        <v>662</v>
      </c>
      <c r="C124" s="494" t="s">
        <v>737</v>
      </c>
      <c r="D124" s="495" t="s">
        <v>704</v>
      </c>
      <c r="E124" s="495" t="s">
        <v>748</v>
      </c>
      <c r="F124" s="496">
        <v>0</v>
      </c>
      <c r="G124" s="495" t="s">
        <v>355</v>
      </c>
      <c r="H124" s="497">
        <v>0</v>
      </c>
      <c r="I124" s="497">
        <v>0</v>
      </c>
      <c r="J124" s="495">
        <v>0</v>
      </c>
      <c r="K124" s="498" t="s">
        <v>683</v>
      </c>
      <c r="L124" s="497">
        <v>0</v>
      </c>
      <c r="M124" s="497">
        <v>0</v>
      </c>
      <c r="N124" s="497">
        <v>0</v>
      </c>
      <c r="O124" s="497">
        <v>0</v>
      </c>
      <c r="P124" s="497">
        <v>0</v>
      </c>
      <c r="Q124" s="497">
        <v>0</v>
      </c>
      <c r="R124" s="497">
        <v>0</v>
      </c>
      <c r="S124" s="495" t="s">
        <v>684</v>
      </c>
      <c r="T124" s="495" t="s">
        <v>685</v>
      </c>
      <c r="U124" s="495" t="s">
        <v>686</v>
      </c>
      <c r="V124" s="495" t="s">
        <v>687</v>
      </c>
      <c r="X124" s="499">
        <v>45715</v>
      </c>
      <c r="Z124" s="497">
        <v>0</v>
      </c>
      <c r="AA124" s="495" t="s">
        <v>688</v>
      </c>
      <c r="AC124" s="497">
        <v>0</v>
      </c>
      <c r="AD124" s="495" t="s">
        <v>689</v>
      </c>
      <c r="AE124" s="495" t="s">
        <v>105</v>
      </c>
      <c r="AF124" s="497">
        <v>0</v>
      </c>
      <c r="AG124" s="497">
        <v>0</v>
      </c>
      <c r="AH124" s="495" t="s">
        <v>685</v>
      </c>
      <c r="AI124" s="497">
        <v>0</v>
      </c>
    </row>
    <row r="125" spans="1:35">
      <c r="A125" s="479">
        <v>124</v>
      </c>
      <c r="B125" s="480" t="s">
        <v>662</v>
      </c>
      <c r="C125" s="481" t="s">
        <v>345</v>
      </c>
      <c r="D125" s="197" t="s">
        <v>658</v>
      </c>
      <c r="E125" s="197" t="s">
        <v>659</v>
      </c>
      <c r="F125" s="482">
        <v>2</v>
      </c>
      <c r="G125" s="197" t="s">
        <v>355</v>
      </c>
      <c r="H125" s="483">
        <v>8.81</v>
      </c>
      <c r="I125" s="483">
        <v>17.62</v>
      </c>
      <c r="J125" s="197">
        <v>19.03</v>
      </c>
      <c r="K125" s="484" t="s">
        <v>683</v>
      </c>
      <c r="L125" s="483">
        <v>19.03</v>
      </c>
      <c r="M125" s="483">
        <v>1.41</v>
      </c>
      <c r="N125" s="483">
        <v>0</v>
      </c>
      <c r="O125" s="483">
        <v>0</v>
      </c>
      <c r="P125" s="483">
        <v>0</v>
      </c>
      <c r="Q125" s="483">
        <v>8.81</v>
      </c>
      <c r="R125" s="483">
        <v>0</v>
      </c>
      <c r="S125" s="197" t="s">
        <v>684</v>
      </c>
      <c r="T125" s="197" t="s">
        <v>685</v>
      </c>
      <c r="U125" s="197" t="s">
        <v>686</v>
      </c>
      <c r="V125" s="197" t="s">
        <v>687</v>
      </c>
      <c r="X125" s="485">
        <v>44176</v>
      </c>
      <c r="Z125" s="483">
        <v>0</v>
      </c>
      <c r="AA125" s="197" t="s">
        <v>688</v>
      </c>
      <c r="AC125" s="483">
        <v>0</v>
      </c>
      <c r="AD125" s="197" t="s">
        <v>689</v>
      </c>
      <c r="AE125" s="197" t="s">
        <v>105</v>
      </c>
      <c r="AF125" s="483">
        <v>0</v>
      </c>
      <c r="AG125" s="483">
        <v>0</v>
      </c>
      <c r="AH125" s="197" t="s">
        <v>685</v>
      </c>
      <c r="AI125" s="483">
        <v>0</v>
      </c>
    </row>
    <row r="126" spans="1:35">
      <c r="A126" s="479">
        <v>125</v>
      </c>
      <c r="B126" s="480" t="s">
        <v>662</v>
      </c>
      <c r="C126" s="481" t="s">
        <v>345</v>
      </c>
      <c r="D126" s="197" t="s">
        <v>660</v>
      </c>
      <c r="E126" s="197" t="s">
        <v>661</v>
      </c>
      <c r="F126" s="482">
        <v>2</v>
      </c>
      <c r="G126" s="197" t="s">
        <v>355</v>
      </c>
      <c r="H126" s="483">
        <v>19.27</v>
      </c>
      <c r="I126" s="483">
        <v>38.54</v>
      </c>
      <c r="J126" s="197">
        <v>41.62</v>
      </c>
      <c r="K126" s="484" t="s">
        <v>683</v>
      </c>
      <c r="L126" s="483">
        <v>41.62</v>
      </c>
      <c r="M126" s="483">
        <v>3.08</v>
      </c>
      <c r="N126" s="483">
        <v>3.45</v>
      </c>
      <c r="O126" s="483">
        <v>1.84</v>
      </c>
      <c r="P126" s="483">
        <v>5.17</v>
      </c>
      <c r="Q126" s="483">
        <v>8.81</v>
      </c>
      <c r="R126" s="483">
        <v>0</v>
      </c>
      <c r="S126" s="197" t="s">
        <v>695</v>
      </c>
      <c r="T126" s="197" t="s">
        <v>685</v>
      </c>
      <c r="U126" s="197" t="s">
        <v>686</v>
      </c>
      <c r="V126" s="197" t="s">
        <v>687</v>
      </c>
      <c r="X126" s="485">
        <v>44176</v>
      </c>
      <c r="Z126" s="483">
        <v>0</v>
      </c>
      <c r="AA126" s="197" t="s">
        <v>688</v>
      </c>
      <c r="AC126" s="483">
        <v>0</v>
      </c>
      <c r="AD126" s="197" t="s">
        <v>689</v>
      </c>
      <c r="AE126" s="197" t="s">
        <v>105</v>
      </c>
      <c r="AF126" s="483">
        <v>0</v>
      </c>
      <c r="AG126" s="483">
        <v>0</v>
      </c>
      <c r="AH126" s="197" t="s">
        <v>685</v>
      </c>
      <c r="AI126" s="483">
        <v>0</v>
      </c>
    </row>
    <row r="127" spans="1:35">
      <c r="A127" s="479">
        <v>126</v>
      </c>
      <c r="B127" s="480" t="s">
        <v>662</v>
      </c>
      <c r="C127" s="481" t="s">
        <v>593</v>
      </c>
      <c r="D127" s="197" t="s">
        <v>663</v>
      </c>
      <c r="E127" s="197" t="s">
        <v>664</v>
      </c>
      <c r="F127" s="482">
        <v>2</v>
      </c>
      <c r="G127" s="197" t="s">
        <v>355</v>
      </c>
      <c r="H127" s="483">
        <v>32.51</v>
      </c>
      <c r="I127" s="483">
        <v>65.02</v>
      </c>
      <c r="J127" s="197">
        <v>70.22</v>
      </c>
      <c r="K127" s="484" t="s">
        <v>683</v>
      </c>
      <c r="L127" s="483">
        <v>70.22</v>
      </c>
      <c r="M127" s="483">
        <v>5.2</v>
      </c>
      <c r="N127" s="483">
        <v>9.64</v>
      </c>
      <c r="O127" s="483">
        <v>5.36</v>
      </c>
      <c r="P127" s="483">
        <v>16.63</v>
      </c>
      <c r="Q127" s="483">
        <v>0.88</v>
      </c>
      <c r="R127" s="483">
        <v>0</v>
      </c>
      <c r="S127" s="197" t="s">
        <v>695</v>
      </c>
      <c r="T127" s="197" t="s">
        <v>685</v>
      </c>
      <c r="U127" s="197" t="s">
        <v>686</v>
      </c>
      <c r="V127" s="197" t="s">
        <v>687</v>
      </c>
      <c r="X127" s="485">
        <v>44176</v>
      </c>
      <c r="Z127" s="483">
        <v>0</v>
      </c>
      <c r="AA127" s="197" t="s">
        <v>688</v>
      </c>
      <c r="AC127" s="483">
        <v>0</v>
      </c>
      <c r="AD127" s="197" t="s">
        <v>689</v>
      </c>
      <c r="AE127" s="197" t="s">
        <v>105</v>
      </c>
      <c r="AF127" s="483">
        <v>0</v>
      </c>
      <c r="AG127" s="483">
        <v>0</v>
      </c>
      <c r="AH127" s="197" t="s">
        <v>685</v>
      </c>
      <c r="AI127" s="483">
        <v>0</v>
      </c>
    </row>
    <row r="128" spans="1:35">
      <c r="A128" s="479">
        <v>127</v>
      </c>
      <c r="B128" s="480" t="s">
        <v>662</v>
      </c>
      <c r="C128" s="481" t="s">
        <v>596</v>
      </c>
      <c r="D128" s="197" t="s">
        <v>365</v>
      </c>
      <c r="E128" s="197" t="s">
        <v>597</v>
      </c>
      <c r="F128" s="482">
        <v>0.6</v>
      </c>
      <c r="G128" s="197" t="s">
        <v>359</v>
      </c>
      <c r="H128" s="483">
        <v>53.11</v>
      </c>
      <c r="I128" s="483">
        <v>31.87</v>
      </c>
      <c r="J128" s="197">
        <v>34.42</v>
      </c>
      <c r="K128" s="484" t="s">
        <v>683</v>
      </c>
      <c r="L128" s="483">
        <v>34.42</v>
      </c>
      <c r="M128" s="483">
        <v>2.5499999999999998</v>
      </c>
      <c r="N128" s="483">
        <v>25.28</v>
      </c>
      <c r="O128" s="483">
        <v>12.23</v>
      </c>
      <c r="P128" s="483">
        <v>15.6</v>
      </c>
      <c r="Q128" s="483">
        <v>0</v>
      </c>
      <c r="R128" s="483">
        <v>0</v>
      </c>
      <c r="S128" s="197" t="s">
        <v>699</v>
      </c>
      <c r="T128" s="197" t="s">
        <v>685</v>
      </c>
      <c r="U128" s="197" t="s">
        <v>686</v>
      </c>
      <c r="V128" s="197" t="s">
        <v>687</v>
      </c>
      <c r="X128" s="485">
        <v>44228</v>
      </c>
      <c r="Y128" s="197" t="s">
        <v>698</v>
      </c>
      <c r="Z128" s="483">
        <v>0</v>
      </c>
      <c r="AA128" s="197" t="s">
        <v>688</v>
      </c>
      <c r="AC128" s="483">
        <v>0</v>
      </c>
      <c r="AD128" s="197" t="s">
        <v>689</v>
      </c>
      <c r="AE128" s="197" t="s">
        <v>105</v>
      </c>
      <c r="AF128" s="483">
        <v>0</v>
      </c>
      <c r="AG128" s="483">
        <v>0</v>
      </c>
      <c r="AH128" s="197" t="s">
        <v>685</v>
      </c>
      <c r="AI128" s="483">
        <v>0</v>
      </c>
    </row>
    <row r="129" spans="1:35">
      <c r="A129" s="479">
        <v>128</v>
      </c>
      <c r="B129" s="480" t="s">
        <v>662</v>
      </c>
      <c r="C129" s="481" t="s">
        <v>596</v>
      </c>
      <c r="D129" s="197" t="s">
        <v>365</v>
      </c>
      <c r="E129" s="197" t="s">
        <v>597</v>
      </c>
      <c r="F129" s="482">
        <v>0.6</v>
      </c>
      <c r="G129" s="197" t="s">
        <v>359</v>
      </c>
      <c r="H129" s="483">
        <v>53.11</v>
      </c>
      <c r="I129" s="483">
        <v>31.87</v>
      </c>
      <c r="J129" s="197">
        <v>34.42</v>
      </c>
      <c r="K129" s="484" t="s">
        <v>683</v>
      </c>
      <c r="L129" s="483">
        <v>34.42</v>
      </c>
      <c r="M129" s="483">
        <v>2.5499999999999998</v>
      </c>
      <c r="N129" s="483">
        <v>25.28</v>
      </c>
      <c r="O129" s="483">
        <v>12.23</v>
      </c>
      <c r="P129" s="483">
        <v>15.6</v>
      </c>
      <c r="Q129" s="483">
        <v>0</v>
      </c>
      <c r="R129" s="483">
        <v>0</v>
      </c>
      <c r="S129" s="197" t="s">
        <v>699</v>
      </c>
      <c r="T129" s="197" t="s">
        <v>685</v>
      </c>
      <c r="U129" s="197" t="s">
        <v>686</v>
      </c>
      <c r="V129" s="197" t="s">
        <v>687</v>
      </c>
      <c r="X129" s="485">
        <v>44228</v>
      </c>
      <c r="Y129" s="197" t="s">
        <v>698</v>
      </c>
      <c r="Z129" s="483">
        <v>0</v>
      </c>
      <c r="AA129" s="197" t="s">
        <v>688</v>
      </c>
      <c r="AC129" s="483">
        <v>0</v>
      </c>
      <c r="AD129" s="197" t="s">
        <v>689</v>
      </c>
      <c r="AE129" s="197" t="s">
        <v>105</v>
      </c>
      <c r="AF129" s="483">
        <v>0</v>
      </c>
      <c r="AG129" s="483">
        <v>0</v>
      </c>
      <c r="AH129" s="197" t="s">
        <v>685</v>
      </c>
      <c r="AI129" s="483">
        <v>0</v>
      </c>
    </row>
    <row r="130" spans="1:35">
      <c r="A130" s="479">
        <v>129</v>
      </c>
      <c r="B130" s="480" t="s">
        <v>662</v>
      </c>
      <c r="C130" s="481" t="s">
        <v>596</v>
      </c>
      <c r="D130" s="197" t="s">
        <v>365</v>
      </c>
      <c r="E130" s="197" t="s">
        <v>597</v>
      </c>
      <c r="F130" s="482">
        <v>0.6</v>
      </c>
      <c r="G130" s="197" t="s">
        <v>359</v>
      </c>
      <c r="H130" s="483">
        <v>53.11</v>
      </c>
      <c r="I130" s="483">
        <v>31.87</v>
      </c>
      <c r="J130" s="197">
        <v>34.42</v>
      </c>
      <c r="K130" s="484" t="s">
        <v>683</v>
      </c>
      <c r="L130" s="483">
        <v>34.42</v>
      </c>
      <c r="M130" s="483">
        <v>2.5499999999999998</v>
      </c>
      <c r="N130" s="483">
        <v>25.28</v>
      </c>
      <c r="O130" s="483">
        <v>12.23</v>
      </c>
      <c r="P130" s="483">
        <v>15.6</v>
      </c>
      <c r="Q130" s="483">
        <v>0</v>
      </c>
      <c r="R130" s="483">
        <v>0</v>
      </c>
      <c r="S130" s="197" t="s">
        <v>699</v>
      </c>
      <c r="T130" s="197" t="s">
        <v>685</v>
      </c>
      <c r="U130" s="197" t="s">
        <v>686</v>
      </c>
      <c r="V130" s="197" t="s">
        <v>687</v>
      </c>
      <c r="X130" s="485">
        <v>44228</v>
      </c>
      <c r="Y130" s="197" t="s">
        <v>698</v>
      </c>
      <c r="Z130" s="483">
        <v>0</v>
      </c>
      <c r="AA130" s="197" t="s">
        <v>688</v>
      </c>
      <c r="AC130" s="483">
        <v>0</v>
      </c>
      <c r="AD130" s="197" t="s">
        <v>689</v>
      </c>
      <c r="AE130" s="197" t="s">
        <v>105</v>
      </c>
      <c r="AF130" s="483">
        <v>0</v>
      </c>
      <c r="AG130" s="483">
        <v>0</v>
      </c>
      <c r="AH130" s="197" t="s">
        <v>685</v>
      </c>
      <c r="AI130" s="483">
        <v>0</v>
      </c>
    </row>
    <row r="131" spans="1:35">
      <c r="A131" s="479">
        <v>130</v>
      </c>
      <c r="B131" s="480" t="s">
        <v>662</v>
      </c>
      <c r="C131" s="481" t="s">
        <v>596</v>
      </c>
      <c r="D131" s="197" t="s">
        <v>365</v>
      </c>
      <c r="E131" s="197" t="s">
        <v>597</v>
      </c>
      <c r="F131" s="482">
        <v>0.6</v>
      </c>
      <c r="G131" s="197" t="s">
        <v>359</v>
      </c>
      <c r="H131" s="483">
        <v>53.11</v>
      </c>
      <c r="I131" s="483">
        <v>31.87</v>
      </c>
      <c r="J131" s="197">
        <v>34.42</v>
      </c>
      <c r="K131" s="484" t="s">
        <v>683</v>
      </c>
      <c r="L131" s="483">
        <v>34.42</v>
      </c>
      <c r="M131" s="483">
        <v>2.5499999999999998</v>
      </c>
      <c r="N131" s="483">
        <v>25.28</v>
      </c>
      <c r="O131" s="483">
        <v>12.23</v>
      </c>
      <c r="P131" s="483">
        <v>15.6</v>
      </c>
      <c r="Q131" s="483">
        <v>0</v>
      </c>
      <c r="R131" s="483">
        <v>0</v>
      </c>
      <c r="S131" s="197" t="s">
        <v>699</v>
      </c>
      <c r="T131" s="197" t="s">
        <v>685</v>
      </c>
      <c r="U131" s="197" t="s">
        <v>686</v>
      </c>
      <c r="V131" s="197" t="s">
        <v>687</v>
      </c>
      <c r="X131" s="485">
        <v>44228</v>
      </c>
      <c r="Y131" s="197" t="s">
        <v>698</v>
      </c>
      <c r="Z131" s="483">
        <v>0</v>
      </c>
      <c r="AA131" s="197" t="s">
        <v>688</v>
      </c>
      <c r="AC131" s="483">
        <v>0</v>
      </c>
      <c r="AD131" s="197" t="s">
        <v>689</v>
      </c>
      <c r="AE131" s="197" t="s">
        <v>105</v>
      </c>
      <c r="AF131" s="483">
        <v>0</v>
      </c>
      <c r="AG131" s="483">
        <v>0</v>
      </c>
      <c r="AH131" s="197" t="s">
        <v>685</v>
      </c>
      <c r="AI131" s="483">
        <v>0</v>
      </c>
    </row>
    <row r="132" spans="1:35">
      <c r="A132" s="479">
        <v>131</v>
      </c>
      <c r="B132" s="480" t="s">
        <v>662</v>
      </c>
      <c r="C132" s="481" t="s">
        <v>596</v>
      </c>
      <c r="D132" s="197" t="s">
        <v>365</v>
      </c>
      <c r="E132" s="197" t="s">
        <v>597</v>
      </c>
      <c r="F132" s="482">
        <v>0.2</v>
      </c>
      <c r="G132" s="197" t="s">
        <v>359</v>
      </c>
      <c r="H132" s="483">
        <v>53.11</v>
      </c>
      <c r="I132" s="483">
        <v>10.62</v>
      </c>
      <c r="J132" s="197">
        <v>11.47</v>
      </c>
      <c r="K132" s="484" t="s">
        <v>683</v>
      </c>
      <c r="L132" s="483">
        <v>11.47</v>
      </c>
      <c r="M132" s="483">
        <v>0.85</v>
      </c>
      <c r="N132" s="483">
        <v>25.28</v>
      </c>
      <c r="O132" s="483">
        <v>12.23</v>
      </c>
      <c r="P132" s="483">
        <v>15.6</v>
      </c>
      <c r="Q132" s="483">
        <v>0</v>
      </c>
      <c r="R132" s="483">
        <v>0</v>
      </c>
      <c r="S132" s="197" t="s">
        <v>699</v>
      </c>
      <c r="T132" s="197" t="s">
        <v>685</v>
      </c>
      <c r="U132" s="197" t="s">
        <v>686</v>
      </c>
      <c r="V132" s="197" t="s">
        <v>687</v>
      </c>
      <c r="X132" s="485">
        <v>44228</v>
      </c>
      <c r="Y132" s="197" t="s">
        <v>698</v>
      </c>
      <c r="Z132" s="483">
        <v>0</v>
      </c>
      <c r="AA132" s="197" t="s">
        <v>688</v>
      </c>
      <c r="AC132" s="483">
        <v>0</v>
      </c>
      <c r="AD132" s="197" t="s">
        <v>689</v>
      </c>
      <c r="AE132" s="197" t="s">
        <v>105</v>
      </c>
      <c r="AF132" s="483">
        <v>0</v>
      </c>
      <c r="AG132" s="483">
        <v>0</v>
      </c>
      <c r="AH132" s="197" t="s">
        <v>685</v>
      </c>
      <c r="AI132" s="483">
        <v>0</v>
      </c>
    </row>
    <row r="133" spans="1:35">
      <c r="A133" s="479">
        <v>132</v>
      </c>
      <c r="B133" s="480" t="s">
        <v>662</v>
      </c>
      <c r="C133" s="481" t="s">
        <v>596</v>
      </c>
      <c r="D133" s="197" t="s">
        <v>365</v>
      </c>
      <c r="E133" s="197" t="s">
        <v>597</v>
      </c>
      <c r="F133" s="482">
        <v>0.02</v>
      </c>
      <c r="G133" s="197" t="s">
        <v>359</v>
      </c>
      <c r="H133" s="483">
        <v>53.11</v>
      </c>
      <c r="I133" s="483">
        <v>1.06</v>
      </c>
      <c r="J133" s="197">
        <v>1.1399999999999999</v>
      </c>
      <c r="K133" s="484" t="s">
        <v>683</v>
      </c>
      <c r="L133" s="483">
        <v>1.1399999999999999</v>
      </c>
      <c r="M133" s="483">
        <v>0.08</v>
      </c>
      <c r="N133" s="483">
        <v>25.28</v>
      </c>
      <c r="O133" s="483">
        <v>12.23</v>
      </c>
      <c r="P133" s="483">
        <v>15.6</v>
      </c>
      <c r="Q133" s="483">
        <v>0</v>
      </c>
      <c r="R133" s="483">
        <v>0</v>
      </c>
      <c r="S133" s="197" t="s">
        <v>699</v>
      </c>
      <c r="T133" s="197" t="s">
        <v>685</v>
      </c>
      <c r="U133" s="197" t="s">
        <v>686</v>
      </c>
      <c r="V133" s="197" t="s">
        <v>687</v>
      </c>
      <c r="X133" s="485">
        <v>44228</v>
      </c>
      <c r="Y133" s="197" t="s">
        <v>698</v>
      </c>
      <c r="Z133" s="483">
        <v>0</v>
      </c>
      <c r="AA133" s="197" t="s">
        <v>688</v>
      </c>
      <c r="AC133" s="483">
        <v>0</v>
      </c>
      <c r="AD133" s="197" t="s">
        <v>689</v>
      </c>
      <c r="AE133" s="197" t="s">
        <v>105</v>
      </c>
      <c r="AF133" s="483">
        <v>0</v>
      </c>
      <c r="AG133" s="483">
        <v>0</v>
      </c>
      <c r="AH133" s="197" t="s">
        <v>685</v>
      </c>
      <c r="AI133" s="483">
        <v>0</v>
      </c>
    </row>
    <row r="134" spans="1:35">
      <c r="A134" s="479">
        <v>133</v>
      </c>
      <c r="B134" s="480" t="s">
        <v>667</v>
      </c>
      <c r="C134" s="481" t="s">
        <v>345</v>
      </c>
      <c r="D134" s="197" t="s">
        <v>580</v>
      </c>
      <c r="E134" s="197" t="s">
        <v>598</v>
      </c>
      <c r="F134" s="482">
        <v>3</v>
      </c>
      <c r="G134" s="197" t="s">
        <v>355</v>
      </c>
      <c r="H134" s="483">
        <v>3.87</v>
      </c>
      <c r="I134" s="483">
        <v>11.61</v>
      </c>
      <c r="J134" s="197">
        <v>12.54</v>
      </c>
      <c r="K134" s="484" t="s">
        <v>683</v>
      </c>
      <c r="L134" s="483">
        <v>12.54</v>
      </c>
      <c r="M134" s="483">
        <v>0.93</v>
      </c>
      <c r="N134" s="483">
        <v>0</v>
      </c>
      <c r="O134" s="483">
        <v>0</v>
      </c>
      <c r="P134" s="483">
        <v>0</v>
      </c>
      <c r="Q134" s="483">
        <v>3.87</v>
      </c>
      <c r="R134" s="483">
        <v>0</v>
      </c>
      <c r="S134" s="197" t="s">
        <v>684</v>
      </c>
      <c r="T134" s="197" t="s">
        <v>685</v>
      </c>
      <c r="U134" s="197" t="s">
        <v>686</v>
      </c>
      <c r="V134" s="197" t="s">
        <v>687</v>
      </c>
      <c r="X134" s="485">
        <v>43939</v>
      </c>
      <c r="Y134" s="197" t="s">
        <v>698</v>
      </c>
      <c r="Z134" s="483">
        <v>0</v>
      </c>
      <c r="AA134" s="197" t="s">
        <v>688</v>
      </c>
      <c r="AC134" s="483">
        <v>0</v>
      </c>
      <c r="AD134" s="197" t="s">
        <v>689</v>
      </c>
      <c r="AE134" s="197" t="s">
        <v>106</v>
      </c>
      <c r="AF134" s="483">
        <v>0</v>
      </c>
      <c r="AG134" s="483">
        <v>0</v>
      </c>
      <c r="AH134" s="197" t="s">
        <v>685</v>
      </c>
      <c r="AI134" s="483">
        <v>0</v>
      </c>
    </row>
    <row r="135" spans="1:35">
      <c r="A135" s="479">
        <v>134</v>
      </c>
      <c r="B135" s="480" t="s">
        <v>667</v>
      </c>
      <c r="C135" s="481" t="s">
        <v>345</v>
      </c>
      <c r="D135" s="197" t="s">
        <v>665</v>
      </c>
      <c r="E135" s="197" t="s">
        <v>666</v>
      </c>
      <c r="F135" s="482">
        <v>3</v>
      </c>
      <c r="G135" s="197" t="s">
        <v>355</v>
      </c>
      <c r="H135" s="483">
        <v>9.1300000000000008</v>
      </c>
      <c r="I135" s="483">
        <v>27.39</v>
      </c>
      <c r="J135" s="197">
        <v>29.58</v>
      </c>
      <c r="K135" s="484" t="s">
        <v>683</v>
      </c>
      <c r="L135" s="483">
        <v>29.58</v>
      </c>
      <c r="M135" s="483">
        <v>2.19</v>
      </c>
      <c r="N135" s="483">
        <v>1.89</v>
      </c>
      <c r="O135" s="483">
        <v>1.01</v>
      </c>
      <c r="P135" s="483">
        <v>2.84</v>
      </c>
      <c r="Q135" s="483">
        <v>3.39</v>
      </c>
      <c r="R135" s="483">
        <v>0</v>
      </c>
      <c r="S135" s="197" t="s">
        <v>695</v>
      </c>
      <c r="T135" s="197" t="s">
        <v>685</v>
      </c>
      <c r="U135" s="197" t="s">
        <v>686</v>
      </c>
      <c r="V135" s="197" t="s">
        <v>687</v>
      </c>
      <c r="X135" s="485">
        <v>44176</v>
      </c>
      <c r="Y135" s="197" t="s">
        <v>698</v>
      </c>
      <c r="Z135" s="483">
        <v>0</v>
      </c>
      <c r="AA135" s="197" t="s">
        <v>688</v>
      </c>
      <c r="AC135" s="483">
        <v>0</v>
      </c>
      <c r="AD135" s="197" t="s">
        <v>689</v>
      </c>
      <c r="AE135" s="197" t="s">
        <v>106</v>
      </c>
      <c r="AF135" s="483">
        <v>0</v>
      </c>
      <c r="AG135" s="483">
        <v>0</v>
      </c>
      <c r="AH135" s="197" t="s">
        <v>685</v>
      </c>
      <c r="AI135" s="483">
        <v>0</v>
      </c>
    </row>
    <row r="136" spans="1:35">
      <c r="A136" s="479">
        <v>135</v>
      </c>
      <c r="B136" s="480" t="s">
        <v>667</v>
      </c>
      <c r="C136" s="481" t="s">
        <v>593</v>
      </c>
      <c r="D136" s="197" t="s">
        <v>701</v>
      </c>
      <c r="E136" s="197" t="s">
        <v>702</v>
      </c>
      <c r="F136" s="482">
        <v>3</v>
      </c>
      <c r="G136" s="197" t="s">
        <v>355</v>
      </c>
      <c r="H136" s="483">
        <v>28.37</v>
      </c>
      <c r="I136" s="483">
        <v>85.11</v>
      </c>
      <c r="J136" s="197">
        <v>91.92</v>
      </c>
      <c r="K136" s="484" t="s">
        <v>683</v>
      </c>
      <c r="L136" s="483">
        <v>91.92</v>
      </c>
      <c r="M136" s="483">
        <v>6.81</v>
      </c>
      <c r="N136" s="483">
        <v>8.41</v>
      </c>
      <c r="O136" s="483">
        <v>4.68</v>
      </c>
      <c r="P136" s="483">
        <v>14.52</v>
      </c>
      <c r="Q136" s="483">
        <v>0.76</v>
      </c>
      <c r="R136" s="483">
        <v>0</v>
      </c>
      <c r="S136" s="197" t="s">
        <v>695</v>
      </c>
      <c r="T136" s="197" t="s">
        <v>685</v>
      </c>
      <c r="U136" s="197" t="s">
        <v>686</v>
      </c>
      <c r="V136" s="197" t="s">
        <v>687</v>
      </c>
      <c r="X136" s="485">
        <v>45711</v>
      </c>
      <c r="Z136" s="483">
        <v>0</v>
      </c>
      <c r="AA136" s="197" t="s">
        <v>688</v>
      </c>
      <c r="AC136" s="483">
        <v>0</v>
      </c>
      <c r="AD136" s="197" t="s">
        <v>689</v>
      </c>
      <c r="AE136" s="197" t="s">
        <v>106</v>
      </c>
      <c r="AF136" s="483">
        <v>0</v>
      </c>
      <c r="AG136" s="483">
        <v>0</v>
      </c>
      <c r="AH136" s="197" t="s">
        <v>685</v>
      </c>
      <c r="AI136" s="483">
        <v>0</v>
      </c>
    </row>
    <row r="137" spans="1:35">
      <c r="A137" s="479">
        <v>136</v>
      </c>
      <c r="B137" s="480" t="s">
        <v>667</v>
      </c>
      <c r="C137" s="481" t="s">
        <v>596</v>
      </c>
      <c r="D137" s="197" t="s">
        <v>365</v>
      </c>
      <c r="E137" s="197" t="s">
        <v>597</v>
      </c>
      <c r="F137" s="482">
        <v>0.9</v>
      </c>
      <c r="G137" s="197" t="s">
        <v>359</v>
      </c>
      <c r="H137" s="483">
        <v>53.11</v>
      </c>
      <c r="I137" s="483">
        <v>47.8</v>
      </c>
      <c r="J137" s="197">
        <v>51.62</v>
      </c>
      <c r="K137" s="484" t="s">
        <v>683</v>
      </c>
      <c r="L137" s="483">
        <v>51.62</v>
      </c>
      <c r="M137" s="483">
        <v>3.82</v>
      </c>
      <c r="N137" s="483">
        <v>25.28</v>
      </c>
      <c r="O137" s="483">
        <v>12.23</v>
      </c>
      <c r="P137" s="483">
        <v>15.6</v>
      </c>
      <c r="Q137" s="483">
        <v>0</v>
      </c>
      <c r="R137" s="483">
        <v>0</v>
      </c>
      <c r="S137" s="197" t="s">
        <v>699</v>
      </c>
      <c r="T137" s="197" t="s">
        <v>685</v>
      </c>
      <c r="U137" s="197" t="s">
        <v>686</v>
      </c>
      <c r="V137" s="197" t="s">
        <v>687</v>
      </c>
      <c r="X137" s="485">
        <v>44228</v>
      </c>
      <c r="Y137" s="197" t="s">
        <v>698</v>
      </c>
      <c r="Z137" s="483">
        <v>0</v>
      </c>
      <c r="AA137" s="197" t="s">
        <v>688</v>
      </c>
      <c r="AC137" s="483">
        <v>0</v>
      </c>
      <c r="AD137" s="197" t="s">
        <v>689</v>
      </c>
      <c r="AE137" s="197" t="s">
        <v>106</v>
      </c>
      <c r="AF137" s="483">
        <v>0</v>
      </c>
      <c r="AG137" s="483">
        <v>0</v>
      </c>
      <c r="AH137" s="197" t="s">
        <v>685</v>
      </c>
      <c r="AI137" s="483">
        <v>0</v>
      </c>
    </row>
    <row r="138" spans="1:35">
      <c r="A138" s="479">
        <v>137</v>
      </c>
      <c r="B138" s="480" t="s">
        <v>667</v>
      </c>
      <c r="C138" s="481" t="s">
        <v>596</v>
      </c>
      <c r="D138" s="197" t="s">
        <v>365</v>
      </c>
      <c r="E138" s="197" t="s">
        <v>597</v>
      </c>
      <c r="F138" s="482">
        <v>0.9</v>
      </c>
      <c r="G138" s="197" t="s">
        <v>359</v>
      </c>
      <c r="H138" s="483">
        <v>53.11</v>
      </c>
      <c r="I138" s="483">
        <v>47.8</v>
      </c>
      <c r="J138" s="197">
        <v>51.62</v>
      </c>
      <c r="K138" s="484" t="s">
        <v>683</v>
      </c>
      <c r="L138" s="483">
        <v>51.62</v>
      </c>
      <c r="M138" s="483">
        <v>3.82</v>
      </c>
      <c r="N138" s="483">
        <v>25.28</v>
      </c>
      <c r="O138" s="483">
        <v>12.23</v>
      </c>
      <c r="P138" s="483">
        <v>15.6</v>
      </c>
      <c r="Q138" s="483">
        <v>0</v>
      </c>
      <c r="R138" s="483">
        <v>0</v>
      </c>
      <c r="S138" s="197" t="s">
        <v>699</v>
      </c>
      <c r="T138" s="197" t="s">
        <v>685</v>
      </c>
      <c r="U138" s="197" t="s">
        <v>686</v>
      </c>
      <c r="V138" s="197" t="s">
        <v>687</v>
      </c>
      <c r="X138" s="485">
        <v>44228</v>
      </c>
      <c r="Y138" s="197" t="s">
        <v>698</v>
      </c>
      <c r="Z138" s="483">
        <v>0</v>
      </c>
      <c r="AA138" s="197" t="s">
        <v>688</v>
      </c>
      <c r="AC138" s="483">
        <v>0</v>
      </c>
      <c r="AD138" s="197" t="s">
        <v>689</v>
      </c>
      <c r="AE138" s="197" t="s">
        <v>106</v>
      </c>
      <c r="AF138" s="483">
        <v>0</v>
      </c>
      <c r="AG138" s="483">
        <v>0</v>
      </c>
      <c r="AH138" s="197" t="s">
        <v>685</v>
      </c>
      <c r="AI138" s="483">
        <v>0</v>
      </c>
    </row>
    <row r="139" spans="1:35">
      <c r="A139" s="479">
        <v>138</v>
      </c>
      <c r="B139" s="480" t="s">
        <v>667</v>
      </c>
      <c r="C139" s="481" t="s">
        <v>596</v>
      </c>
      <c r="D139" s="197" t="s">
        <v>365</v>
      </c>
      <c r="E139" s="197" t="s">
        <v>597</v>
      </c>
      <c r="F139" s="482">
        <v>0.9</v>
      </c>
      <c r="G139" s="197" t="s">
        <v>359</v>
      </c>
      <c r="H139" s="483">
        <v>53.11</v>
      </c>
      <c r="I139" s="483">
        <v>47.8</v>
      </c>
      <c r="J139" s="197">
        <v>51.62</v>
      </c>
      <c r="K139" s="484" t="s">
        <v>683</v>
      </c>
      <c r="L139" s="483">
        <v>51.62</v>
      </c>
      <c r="M139" s="483">
        <v>3.82</v>
      </c>
      <c r="N139" s="483">
        <v>25.28</v>
      </c>
      <c r="O139" s="483">
        <v>12.23</v>
      </c>
      <c r="P139" s="483">
        <v>15.6</v>
      </c>
      <c r="Q139" s="483">
        <v>0</v>
      </c>
      <c r="R139" s="483">
        <v>0</v>
      </c>
      <c r="S139" s="197" t="s">
        <v>699</v>
      </c>
      <c r="T139" s="197" t="s">
        <v>685</v>
      </c>
      <c r="U139" s="197" t="s">
        <v>686</v>
      </c>
      <c r="V139" s="197" t="s">
        <v>687</v>
      </c>
      <c r="X139" s="485">
        <v>44228</v>
      </c>
      <c r="Y139" s="197" t="s">
        <v>698</v>
      </c>
      <c r="Z139" s="483">
        <v>0</v>
      </c>
      <c r="AA139" s="197" t="s">
        <v>688</v>
      </c>
      <c r="AC139" s="483">
        <v>0</v>
      </c>
      <c r="AD139" s="197" t="s">
        <v>689</v>
      </c>
      <c r="AE139" s="197" t="s">
        <v>106</v>
      </c>
      <c r="AF139" s="483">
        <v>0</v>
      </c>
      <c r="AG139" s="483">
        <v>0</v>
      </c>
      <c r="AH139" s="197" t="s">
        <v>685</v>
      </c>
      <c r="AI139" s="483">
        <v>0</v>
      </c>
    </row>
    <row r="140" spans="1:35">
      <c r="A140" s="479">
        <v>139</v>
      </c>
      <c r="B140" s="480" t="s">
        <v>667</v>
      </c>
      <c r="C140" s="481" t="s">
        <v>596</v>
      </c>
      <c r="D140" s="197" t="s">
        <v>365</v>
      </c>
      <c r="E140" s="197" t="s">
        <v>597</v>
      </c>
      <c r="F140" s="482">
        <v>0.9</v>
      </c>
      <c r="G140" s="197" t="s">
        <v>359</v>
      </c>
      <c r="H140" s="483">
        <v>53.11</v>
      </c>
      <c r="I140" s="483">
        <v>47.8</v>
      </c>
      <c r="J140" s="197">
        <v>51.62</v>
      </c>
      <c r="K140" s="484" t="s">
        <v>683</v>
      </c>
      <c r="L140" s="483">
        <v>51.62</v>
      </c>
      <c r="M140" s="483">
        <v>3.82</v>
      </c>
      <c r="N140" s="483">
        <v>25.28</v>
      </c>
      <c r="O140" s="483">
        <v>12.23</v>
      </c>
      <c r="P140" s="483">
        <v>15.6</v>
      </c>
      <c r="Q140" s="483">
        <v>0</v>
      </c>
      <c r="R140" s="483">
        <v>0</v>
      </c>
      <c r="S140" s="197" t="s">
        <v>699</v>
      </c>
      <c r="T140" s="197" t="s">
        <v>685</v>
      </c>
      <c r="U140" s="197" t="s">
        <v>686</v>
      </c>
      <c r="V140" s="197" t="s">
        <v>687</v>
      </c>
      <c r="X140" s="485">
        <v>44228</v>
      </c>
      <c r="Y140" s="197" t="s">
        <v>698</v>
      </c>
      <c r="Z140" s="483">
        <v>0</v>
      </c>
      <c r="AA140" s="197" t="s">
        <v>688</v>
      </c>
      <c r="AC140" s="483">
        <v>0</v>
      </c>
      <c r="AD140" s="197" t="s">
        <v>689</v>
      </c>
      <c r="AE140" s="197" t="s">
        <v>106</v>
      </c>
      <c r="AF140" s="483">
        <v>0</v>
      </c>
      <c r="AG140" s="483">
        <v>0</v>
      </c>
      <c r="AH140" s="197" t="s">
        <v>685</v>
      </c>
      <c r="AI140" s="483">
        <v>0</v>
      </c>
    </row>
    <row r="141" spans="1:35">
      <c r="A141" s="479">
        <v>140</v>
      </c>
      <c r="B141" s="480" t="s">
        <v>667</v>
      </c>
      <c r="C141" s="481" t="s">
        <v>596</v>
      </c>
      <c r="D141" s="197" t="s">
        <v>365</v>
      </c>
      <c r="E141" s="197" t="s">
        <v>597</v>
      </c>
      <c r="F141" s="482">
        <v>0.3</v>
      </c>
      <c r="G141" s="197" t="s">
        <v>359</v>
      </c>
      <c r="H141" s="483">
        <v>53.11</v>
      </c>
      <c r="I141" s="483">
        <v>15.93</v>
      </c>
      <c r="J141" s="197">
        <v>17.2</v>
      </c>
      <c r="K141" s="484" t="s">
        <v>683</v>
      </c>
      <c r="L141" s="483">
        <v>17.2</v>
      </c>
      <c r="M141" s="483">
        <v>1.27</v>
      </c>
      <c r="N141" s="483">
        <v>25.28</v>
      </c>
      <c r="O141" s="483">
        <v>12.23</v>
      </c>
      <c r="P141" s="483">
        <v>15.6</v>
      </c>
      <c r="Q141" s="483">
        <v>0</v>
      </c>
      <c r="R141" s="483">
        <v>0</v>
      </c>
      <c r="S141" s="197" t="s">
        <v>699</v>
      </c>
      <c r="T141" s="197" t="s">
        <v>685</v>
      </c>
      <c r="U141" s="197" t="s">
        <v>686</v>
      </c>
      <c r="V141" s="197" t="s">
        <v>687</v>
      </c>
      <c r="X141" s="485">
        <v>44228</v>
      </c>
      <c r="Y141" s="197" t="s">
        <v>698</v>
      </c>
      <c r="Z141" s="483">
        <v>0</v>
      </c>
      <c r="AA141" s="197" t="s">
        <v>688</v>
      </c>
      <c r="AC141" s="483">
        <v>0</v>
      </c>
      <c r="AD141" s="197" t="s">
        <v>689</v>
      </c>
      <c r="AE141" s="197" t="s">
        <v>106</v>
      </c>
      <c r="AF141" s="483">
        <v>0</v>
      </c>
      <c r="AG141" s="483">
        <v>0</v>
      </c>
      <c r="AH141" s="197" t="s">
        <v>685</v>
      </c>
      <c r="AI141" s="483">
        <v>0</v>
      </c>
    </row>
    <row r="142" spans="1:35">
      <c r="A142" s="479">
        <v>141</v>
      </c>
      <c r="B142" s="480" t="s">
        <v>667</v>
      </c>
      <c r="C142" s="481" t="s">
        <v>596</v>
      </c>
      <c r="D142" s="197" t="s">
        <v>365</v>
      </c>
      <c r="E142" s="197" t="s">
        <v>597</v>
      </c>
      <c r="F142" s="482">
        <v>0.03</v>
      </c>
      <c r="G142" s="197" t="s">
        <v>359</v>
      </c>
      <c r="H142" s="483">
        <v>53.11</v>
      </c>
      <c r="I142" s="483">
        <v>1.59</v>
      </c>
      <c r="J142" s="197">
        <v>1.72</v>
      </c>
      <c r="K142" s="484" t="s">
        <v>683</v>
      </c>
      <c r="L142" s="483">
        <v>1.72</v>
      </c>
      <c r="M142" s="483">
        <v>0.13</v>
      </c>
      <c r="N142" s="483">
        <v>25.28</v>
      </c>
      <c r="O142" s="483">
        <v>12.23</v>
      </c>
      <c r="P142" s="483">
        <v>15.6</v>
      </c>
      <c r="Q142" s="483">
        <v>0</v>
      </c>
      <c r="R142" s="483">
        <v>0</v>
      </c>
      <c r="S142" s="197" t="s">
        <v>699</v>
      </c>
      <c r="T142" s="197" t="s">
        <v>685</v>
      </c>
      <c r="U142" s="197" t="s">
        <v>686</v>
      </c>
      <c r="V142" s="197" t="s">
        <v>687</v>
      </c>
      <c r="X142" s="485">
        <v>44228</v>
      </c>
      <c r="Y142" s="197" t="s">
        <v>698</v>
      </c>
      <c r="Z142" s="483">
        <v>0</v>
      </c>
      <c r="AA142" s="197" t="s">
        <v>688</v>
      </c>
      <c r="AC142" s="483">
        <v>0</v>
      </c>
      <c r="AD142" s="197" t="s">
        <v>689</v>
      </c>
      <c r="AE142" s="197" t="s">
        <v>106</v>
      </c>
      <c r="AF142" s="483">
        <v>0</v>
      </c>
      <c r="AG142" s="483">
        <v>0</v>
      </c>
      <c r="AH142" s="197" t="s">
        <v>685</v>
      </c>
      <c r="AI142" s="483">
        <v>0</v>
      </c>
    </row>
    <row r="143" spans="1:35">
      <c r="A143" s="479">
        <v>142</v>
      </c>
      <c r="B143" s="480" t="s">
        <v>703</v>
      </c>
      <c r="C143" s="481" t="s">
        <v>352</v>
      </c>
      <c r="D143" s="197" t="s">
        <v>704</v>
      </c>
      <c r="E143" s="197" t="s">
        <v>705</v>
      </c>
      <c r="F143" s="482">
        <v>6</v>
      </c>
      <c r="G143" s="197" t="s">
        <v>355</v>
      </c>
      <c r="H143" s="483">
        <v>25.61</v>
      </c>
      <c r="I143" s="483">
        <v>153.66</v>
      </c>
      <c r="J143" s="197">
        <v>165.95</v>
      </c>
      <c r="K143" s="484" t="s">
        <v>683</v>
      </c>
      <c r="L143" s="483">
        <v>165.95</v>
      </c>
      <c r="M143" s="483">
        <v>12.29</v>
      </c>
      <c r="N143" s="483">
        <v>0</v>
      </c>
      <c r="O143" s="483">
        <v>0</v>
      </c>
      <c r="P143" s="483">
        <v>25.61</v>
      </c>
      <c r="Q143" s="483">
        <v>0</v>
      </c>
      <c r="R143" s="483">
        <v>0</v>
      </c>
      <c r="S143" s="197" t="s">
        <v>684</v>
      </c>
      <c r="T143" s="197" t="s">
        <v>685</v>
      </c>
      <c r="U143" s="197" t="s">
        <v>686</v>
      </c>
      <c r="V143" s="197" t="s">
        <v>687</v>
      </c>
      <c r="X143" s="485">
        <v>45712</v>
      </c>
      <c r="Y143" s="197" t="s">
        <v>698</v>
      </c>
      <c r="Z143" s="483">
        <v>0</v>
      </c>
      <c r="AA143" s="197" t="s">
        <v>688</v>
      </c>
      <c r="AC143" s="483">
        <v>0</v>
      </c>
      <c r="AD143" s="197" t="s">
        <v>689</v>
      </c>
      <c r="AE143" s="197" t="s">
        <v>706</v>
      </c>
      <c r="AF143" s="483">
        <v>0</v>
      </c>
      <c r="AG143" s="483">
        <v>0</v>
      </c>
      <c r="AH143" s="197" t="s">
        <v>685</v>
      </c>
      <c r="AI143" s="483">
        <v>0</v>
      </c>
    </row>
    <row r="144" spans="1:35">
      <c r="A144" s="479">
        <v>143</v>
      </c>
      <c r="B144" s="480" t="s">
        <v>703</v>
      </c>
      <c r="C144" s="481" t="s">
        <v>352</v>
      </c>
      <c r="D144" s="197" t="s">
        <v>704</v>
      </c>
      <c r="E144" s="197" t="s">
        <v>707</v>
      </c>
      <c r="F144" s="482">
        <v>2</v>
      </c>
      <c r="G144" s="197" t="s">
        <v>355</v>
      </c>
      <c r="H144" s="483">
        <v>59.4</v>
      </c>
      <c r="I144" s="483">
        <v>118.8</v>
      </c>
      <c r="J144" s="197">
        <v>128.30000000000001</v>
      </c>
      <c r="K144" s="484" t="s">
        <v>683</v>
      </c>
      <c r="L144" s="483">
        <v>128.30000000000001</v>
      </c>
      <c r="M144" s="483">
        <v>9.5</v>
      </c>
      <c r="N144" s="483">
        <v>0</v>
      </c>
      <c r="O144" s="483">
        <v>0</v>
      </c>
      <c r="P144" s="483">
        <v>59.4</v>
      </c>
      <c r="Q144" s="483">
        <v>0</v>
      </c>
      <c r="R144" s="483">
        <v>0</v>
      </c>
      <c r="S144" s="197" t="s">
        <v>684</v>
      </c>
      <c r="T144" s="197" t="s">
        <v>685</v>
      </c>
      <c r="U144" s="197" t="s">
        <v>686</v>
      </c>
      <c r="V144" s="197" t="s">
        <v>687</v>
      </c>
      <c r="X144" s="485">
        <v>45712</v>
      </c>
      <c r="Z144" s="483">
        <v>0</v>
      </c>
      <c r="AA144" s="197" t="s">
        <v>688</v>
      </c>
      <c r="AC144" s="483">
        <v>0</v>
      </c>
      <c r="AD144" s="197" t="s">
        <v>689</v>
      </c>
      <c r="AE144" s="197" t="s">
        <v>706</v>
      </c>
      <c r="AF144" s="483">
        <v>0</v>
      </c>
      <c r="AG144" s="483">
        <v>0</v>
      </c>
      <c r="AH144" s="197" t="s">
        <v>685</v>
      </c>
      <c r="AI144" s="483">
        <v>0</v>
      </c>
    </row>
    <row r="145" spans="1:35">
      <c r="A145" s="479">
        <v>144</v>
      </c>
      <c r="B145" s="480" t="s">
        <v>703</v>
      </c>
      <c r="C145" s="481" t="s">
        <v>352</v>
      </c>
      <c r="D145" s="197" t="s">
        <v>704</v>
      </c>
      <c r="E145" s="197" t="s">
        <v>708</v>
      </c>
      <c r="F145" s="482">
        <v>1</v>
      </c>
      <c r="G145" s="197" t="s">
        <v>355</v>
      </c>
      <c r="H145" s="483">
        <v>61.55</v>
      </c>
      <c r="I145" s="483">
        <v>61.55</v>
      </c>
      <c r="J145" s="197">
        <v>66.47</v>
      </c>
      <c r="K145" s="484" t="s">
        <v>683</v>
      </c>
      <c r="L145" s="483">
        <v>66.47</v>
      </c>
      <c r="M145" s="483">
        <v>4.92</v>
      </c>
      <c r="N145" s="483">
        <v>0</v>
      </c>
      <c r="O145" s="483">
        <v>0</v>
      </c>
      <c r="P145" s="483">
        <v>61.55</v>
      </c>
      <c r="Q145" s="483">
        <v>0</v>
      </c>
      <c r="R145" s="483">
        <v>0</v>
      </c>
      <c r="S145" s="197" t="s">
        <v>684</v>
      </c>
      <c r="T145" s="197" t="s">
        <v>685</v>
      </c>
      <c r="U145" s="197" t="s">
        <v>686</v>
      </c>
      <c r="V145" s="197" t="s">
        <v>687</v>
      </c>
      <c r="X145" s="485">
        <v>45712</v>
      </c>
      <c r="Z145" s="483">
        <v>0</v>
      </c>
      <c r="AA145" s="197" t="s">
        <v>688</v>
      </c>
      <c r="AC145" s="483">
        <v>0</v>
      </c>
      <c r="AD145" s="197" t="s">
        <v>689</v>
      </c>
      <c r="AE145" s="197" t="s">
        <v>706</v>
      </c>
      <c r="AF145" s="483">
        <v>0</v>
      </c>
      <c r="AG145" s="483">
        <v>0</v>
      </c>
      <c r="AH145" s="197" t="s">
        <v>685</v>
      </c>
      <c r="AI145" s="483">
        <v>0</v>
      </c>
    </row>
    <row r="146" spans="1:35">
      <c r="A146" s="479">
        <v>145</v>
      </c>
      <c r="B146" s="480" t="s">
        <v>703</v>
      </c>
      <c r="C146" s="481" t="s">
        <v>352</v>
      </c>
      <c r="D146" s="197" t="s">
        <v>704</v>
      </c>
      <c r="E146" s="197" t="s">
        <v>709</v>
      </c>
      <c r="F146" s="482">
        <v>3</v>
      </c>
      <c r="G146" s="197" t="s">
        <v>355</v>
      </c>
      <c r="H146" s="483">
        <v>70.010000000000005</v>
      </c>
      <c r="I146" s="483">
        <v>210.03</v>
      </c>
      <c r="J146" s="197">
        <v>226.83</v>
      </c>
      <c r="K146" s="484" t="s">
        <v>683</v>
      </c>
      <c r="L146" s="483">
        <v>226.83</v>
      </c>
      <c r="M146" s="483">
        <v>16.8</v>
      </c>
      <c r="N146" s="483">
        <v>0</v>
      </c>
      <c r="O146" s="483">
        <v>0</v>
      </c>
      <c r="P146" s="483">
        <v>70.010000000000005</v>
      </c>
      <c r="Q146" s="483">
        <v>0</v>
      </c>
      <c r="R146" s="483">
        <v>0</v>
      </c>
      <c r="S146" s="197" t="s">
        <v>684</v>
      </c>
      <c r="T146" s="197" t="s">
        <v>685</v>
      </c>
      <c r="U146" s="197" t="s">
        <v>686</v>
      </c>
      <c r="V146" s="197" t="s">
        <v>687</v>
      </c>
      <c r="X146" s="485">
        <v>45712</v>
      </c>
      <c r="Y146" s="197" t="s">
        <v>698</v>
      </c>
      <c r="Z146" s="483">
        <v>0</v>
      </c>
      <c r="AA146" s="197" t="s">
        <v>688</v>
      </c>
      <c r="AC146" s="483">
        <v>0</v>
      </c>
      <c r="AD146" s="197" t="s">
        <v>689</v>
      </c>
      <c r="AE146" s="197" t="s">
        <v>706</v>
      </c>
      <c r="AF146" s="483">
        <v>0</v>
      </c>
      <c r="AG146" s="483">
        <v>0</v>
      </c>
      <c r="AH146" s="197" t="s">
        <v>685</v>
      </c>
      <c r="AI146" s="483">
        <v>0</v>
      </c>
    </row>
    <row r="147" spans="1:35">
      <c r="A147" s="479">
        <v>146</v>
      </c>
      <c r="B147" s="480" t="s">
        <v>703</v>
      </c>
      <c r="C147" s="481" t="s">
        <v>352</v>
      </c>
      <c r="D147" s="197" t="s">
        <v>704</v>
      </c>
      <c r="E147" s="197" t="s">
        <v>710</v>
      </c>
      <c r="F147" s="482">
        <v>1</v>
      </c>
      <c r="G147" s="197" t="s">
        <v>355</v>
      </c>
      <c r="H147" s="483">
        <v>193.18</v>
      </c>
      <c r="I147" s="483">
        <v>193.18</v>
      </c>
      <c r="J147" s="197">
        <v>208.63</v>
      </c>
      <c r="K147" s="484" t="s">
        <v>683</v>
      </c>
      <c r="L147" s="483">
        <v>208.63</v>
      </c>
      <c r="M147" s="483">
        <v>15.45</v>
      </c>
      <c r="N147" s="483">
        <v>0</v>
      </c>
      <c r="O147" s="483">
        <v>0</v>
      </c>
      <c r="P147" s="483">
        <v>193.18</v>
      </c>
      <c r="Q147" s="483">
        <v>0</v>
      </c>
      <c r="R147" s="483">
        <v>0</v>
      </c>
      <c r="S147" s="197" t="s">
        <v>684</v>
      </c>
      <c r="T147" s="197" t="s">
        <v>685</v>
      </c>
      <c r="U147" s="197" t="s">
        <v>686</v>
      </c>
      <c r="V147" s="197" t="s">
        <v>687</v>
      </c>
      <c r="X147" s="485">
        <v>45712</v>
      </c>
      <c r="Z147" s="483">
        <v>0</v>
      </c>
      <c r="AA147" s="197" t="s">
        <v>688</v>
      </c>
      <c r="AC147" s="483">
        <v>0</v>
      </c>
      <c r="AD147" s="197" t="s">
        <v>689</v>
      </c>
      <c r="AE147" s="197" t="s">
        <v>706</v>
      </c>
      <c r="AF147" s="483">
        <v>0</v>
      </c>
      <c r="AG147" s="483">
        <v>0</v>
      </c>
      <c r="AH147" s="197" t="s">
        <v>685</v>
      </c>
      <c r="AI147" s="483">
        <v>0</v>
      </c>
    </row>
    <row r="148" spans="1:35">
      <c r="A148" s="479">
        <v>147</v>
      </c>
      <c r="B148" s="480" t="s">
        <v>703</v>
      </c>
      <c r="C148" s="481" t="s">
        <v>352</v>
      </c>
      <c r="D148" s="197" t="s">
        <v>704</v>
      </c>
      <c r="E148" s="197" t="s">
        <v>711</v>
      </c>
      <c r="F148" s="482">
        <v>3</v>
      </c>
      <c r="G148" s="197" t="s">
        <v>355</v>
      </c>
      <c r="H148" s="483">
        <v>29.74</v>
      </c>
      <c r="I148" s="483">
        <v>89.22</v>
      </c>
      <c r="J148" s="197">
        <v>96.36</v>
      </c>
      <c r="K148" s="484" t="s">
        <v>683</v>
      </c>
      <c r="L148" s="483">
        <v>96.36</v>
      </c>
      <c r="M148" s="483">
        <v>7.14</v>
      </c>
      <c r="N148" s="483">
        <v>0</v>
      </c>
      <c r="O148" s="483">
        <v>0</v>
      </c>
      <c r="P148" s="483">
        <v>29.74</v>
      </c>
      <c r="Q148" s="483">
        <v>0</v>
      </c>
      <c r="R148" s="483">
        <v>0</v>
      </c>
      <c r="S148" s="197" t="s">
        <v>684</v>
      </c>
      <c r="T148" s="197" t="s">
        <v>685</v>
      </c>
      <c r="U148" s="197" t="s">
        <v>686</v>
      </c>
      <c r="V148" s="197" t="s">
        <v>687</v>
      </c>
      <c r="X148" s="485">
        <v>45712</v>
      </c>
      <c r="Z148" s="483">
        <v>0</v>
      </c>
      <c r="AA148" s="197" t="s">
        <v>688</v>
      </c>
      <c r="AC148" s="483">
        <v>0</v>
      </c>
      <c r="AD148" s="197" t="s">
        <v>689</v>
      </c>
      <c r="AE148" s="197" t="s">
        <v>706</v>
      </c>
      <c r="AF148" s="483">
        <v>0</v>
      </c>
      <c r="AG148" s="483">
        <v>0</v>
      </c>
      <c r="AH148" s="197" t="s">
        <v>685</v>
      </c>
      <c r="AI148" s="483">
        <v>0</v>
      </c>
    </row>
    <row r="149" spans="1:35">
      <c r="A149" s="479">
        <v>148</v>
      </c>
      <c r="B149" s="480" t="s">
        <v>703</v>
      </c>
      <c r="C149" s="481" t="s">
        <v>352</v>
      </c>
      <c r="D149" s="197" t="s">
        <v>704</v>
      </c>
      <c r="E149" s="197" t="s">
        <v>712</v>
      </c>
      <c r="F149" s="482">
        <v>2</v>
      </c>
      <c r="G149" s="197" t="s">
        <v>355</v>
      </c>
      <c r="H149" s="483">
        <v>48.76</v>
      </c>
      <c r="I149" s="483">
        <v>97.52</v>
      </c>
      <c r="J149" s="197">
        <v>105.32</v>
      </c>
      <c r="K149" s="484" t="s">
        <v>683</v>
      </c>
      <c r="L149" s="483">
        <v>105.32</v>
      </c>
      <c r="M149" s="483">
        <v>7.8</v>
      </c>
      <c r="N149" s="483">
        <v>0</v>
      </c>
      <c r="O149" s="483">
        <v>0</v>
      </c>
      <c r="P149" s="483">
        <v>48.76</v>
      </c>
      <c r="Q149" s="483">
        <v>0</v>
      </c>
      <c r="R149" s="483">
        <v>0</v>
      </c>
      <c r="S149" s="197" t="s">
        <v>684</v>
      </c>
      <c r="T149" s="197" t="s">
        <v>685</v>
      </c>
      <c r="U149" s="197" t="s">
        <v>686</v>
      </c>
      <c r="V149" s="197" t="s">
        <v>687</v>
      </c>
      <c r="X149" s="485">
        <v>45712</v>
      </c>
      <c r="Z149" s="483">
        <v>0</v>
      </c>
      <c r="AA149" s="197" t="s">
        <v>688</v>
      </c>
      <c r="AC149" s="483">
        <v>0</v>
      </c>
      <c r="AD149" s="197" t="s">
        <v>689</v>
      </c>
      <c r="AE149" s="197" t="s">
        <v>706</v>
      </c>
      <c r="AF149" s="483">
        <v>0</v>
      </c>
      <c r="AG149" s="483">
        <v>0</v>
      </c>
      <c r="AH149" s="197" t="s">
        <v>685</v>
      </c>
      <c r="AI149" s="483">
        <v>0</v>
      </c>
    </row>
  </sheetData>
  <printOptions headings="1"/>
  <pageMargins left="0.35" right="0.28000000000000003" top="0.32" bottom="0.31" header="0.3" footer="0.3"/>
  <pageSetup orientation="portrait" r:id="rId1"/>
  <rowBreaks count="2" manualBreakCount="2">
    <brk id="47" max="8" man="1"/>
    <brk id="103"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Box Summary (2)</vt:lpstr>
      <vt:lpstr>Box Summary</vt:lpstr>
      <vt:lpstr>Sheet1</vt:lpstr>
      <vt:lpstr>text</vt:lpstr>
      <vt:lpstr>APC INVOICE2</vt:lpstr>
      <vt:lpstr>Time Calc</vt:lpstr>
      <vt:lpstr>NEWFILE</vt:lpstr>
      <vt:lpstr>jobinfo(2)</vt:lpstr>
      <vt:lpstr>PRICES XACT IN</vt:lpstr>
      <vt:lpstr>'APC INVOICE2'!Print_Area</vt:lpstr>
      <vt:lpstr>'Box Summary'!Print_Area</vt:lpstr>
      <vt:lpstr>'Box Summary (2)'!Print_Area</vt:lpstr>
      <vt:lpstr>'PRICES XACT IN'!Print_Area</vt:lpstr>
      <vt:lpstr>text!Print_Area</vt:lpstr>
      <vt:lpstr>'Time Calc'!Print_Area</vt:lpstr>
      <vt:lpstr>SF</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Rough Draft</dc:title>
  <dc:subject/>
  <dc:creator>mem zer</dc:creator>
  <cp:keywords/>
  <dc:description/>
  <cp:lastModifiedBy>mem zer</cp:lastModifiedBy>
  <cp:revision/>
  <cp:lastPrinted>2025-03-02T20:50:24Z</cp:lastPrinted>
  <dcterms:created xsi:type="dcterms:W3CDTF">2023-09-05T12:05:18Z</dcterms:created>
  <dcterms:modified xsi:type="dcterms:W3CDTF">2025-03-06T02:07:46Z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vt:filetime>2023-09-05T00:00:00Z</vt:filetime>
  </property>
  <property fmtid="{D5CDD505-2E9C-101B-9397-08002B2CF9AE}" pid="3" name="Creator">
    <vt:lpwstr>Xactimate 23.6.1005.1</vt:lpwstr>
  </property>
  <property fmtid="{D5CDD505-2E9C-101B-9397-08002B2CF9AE}" pid="4" name="LastSaved">
    <vt:filetime>2023-09-05T00:00:00Z</vt:filetime>
  </property>
  <property fmtid="{D5CDD505-2E9C-101B-9397-08002B2CF9AE}" pid="5" name="Producer">
    <vt:lpwstr>iTextSharp 4.1.6 by 1T3XT</vt:lpwstr>
  </property>
</Properties>
</file>