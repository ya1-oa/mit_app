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7" codeName="{00000000-0000-0000-0000-000000000000}"/>
  <workbookPr updateLinks="never" codeName="ThisWorkbook" defaultThemeVersion="166925"/>
  <mc:AlternateContent xmlns:mc="http://schemas.openxmlformats.org/markup-compatibility/2006">
    <mc:Choice Requires="x15">
      <x15ac:absPath xmlns:x15ac="http://schemas.microsoft.com/office/spreadsheetml/2010/11/ac" url="https://d.docs.live.net/11a3f773ac1d9a35/Documents/Templates-Shared/"/>
    </mc:Choice>
  </mc:AlternateContent>
  <xr:revisionPtr revIDLastSave="450" documentId="8_{8465B56C-806E-4F5B-B0C2-B0E398279490}" xr6:coauthVersionLast="47" xr6:coauthVersionMax="47" xr10:uidLastSave="{625E2249-E4B2-4084-B6B9-10472E1BD0E6}"/>
  <bookViews>
    <workbookView xWindow="-108" yWindow="-108" windowWidth="23256" windowHeight="13896" tabRatio="951" xr2:uid="{108FC5B7-EA33-4062-91CE-0A23A986B329}"/>
  </bookViews>
  <sheets>
    <sheet name="ScopeCHLST" sheetId="42" r:id="rId1"/>
    <sheet name="LISTS ENC" sheetId="45" r:id="rId2"/>
    <sheet name="kit bath" sheetId="32" r:id="rId3"/>
    <sheet name="jobinfo(2)" sheetId="12" r:id="rId4"/>
    <sheet name="quicklist" sheetId="2" r:id="rId5"/>
    <sheet name="chklst" sheetId="13" r:id="rId6"/>
    <sheet name="pics" sheetId="38" r:id="rId7"/>
    <sheet name="brief" sheetId="27" r:id="rId8"/>
    <sheet name="HMR" sheetId="31" r:id="rId9"/>
    <sheet name="mnt EXT" sheetId="33" r:id="rId10"/>
    <sheet name="LABEL10X" sheetId="40" r:id="rId11"/>
    <sheet name="forms" sheetId="21" r:id="rId12"/>
    <sheet name="ScopeINT" sheetId="17" r:id="rId13"/>
    <sheet name="INT QUICK" sheetId="41" r:id="rId14"/>
    <sheet name="RFG LABELS" sheetId="43" r:id="rId15"/>
    <sheet name="Scope 2" sheetId="46" r:id="rId16"/>
    <sheet name="Scope 3" sheetId="48" r:id="rId17"/>
    <sheet name="Scope 4" sheetId="49" r:id="rId18"/>
  </sheets>
  <externalReferences>
    <externalReference r:id="rId19"/>
  </externalReferences>
  <definedNames>
    <definedName name="a...new_customer" localSheetId="10">#REF!</definedName>
    <definedName name="a...new_customer">#REF!</definedName>
    <definedName name="basicroompichow2">#REF!</definedName>
    <definedName name="box_names">+#REF!</definedName>
    <definedName name="Column.a.new.cst" localSheetId="10">#REF!</definedName>
    <definedName name="Column.a.new.cst">#REF!</definedName>
    <definedName name="culpepper" localSheetId="7">#REF!</definedName>
    <definedName name="culpepper" localSheetId="10">#REF!</definedName>
    <definedName name="culpepper">#REF!</definedName>
    <definedName name="data">#REF!</definedName>
    <definedName name="Document_Stacking_List" localSheetId="7">#REF!</definedName>
    <definedName name="Document_Stacking_List" localSheetId="10">#REF!</definedName>
    <definedName name="Document_Stacking_List">#REF!</definedName>
    <definedName name="DocumentChecklist">chklst!$H$10:$H$51</definedName>
    <definedName name="Enter_new_cst_data" localSheetId="7">#REF!</definedName>
    <definedName name="Enter_new_cst_data" localSheetId="10">#REF!</definedName>
    <definedName name="Enter_new_cst_data">#REF!</definedName>
    <definedName name="Jefferies" localSheetId="7">#REF!</definedName>
    <definedName name="Jefferies" localSheetId="10">#REF!</definedName>
    <definedName name="Jefferies">#REF!</definedName>
    <definedName name="LOVEJOY_INTERIOR" localSheetId="7">#REF!</definedName>
    <definedName name="LOVEJOY_INTERIOR" localSheetId="10">#REF!</definedName>
    <definedName name="LOVEJOY_INTERIOR">#REF!</definedName>
    <definedName name="Lovejoy_ROOF" localSheetId="7">#REF!</definedName>
    <definedName name="Lovejoy_ROOF" localSheetId="10">#REF!</definedName>
    <definedName name="Lovejoy_ROOF">#REF!</definedName>
    <definedName name="LxWxH" localSheetId="7">#REF!</definedName>
    <definedName name="LxWxH" localSheetId="10">#REF!</definedName>
    <definedName name="LxWxH">#REF!</definedName>
    <definedName name="new_customer" localSheetId="10">#REF!</definedName>
    <definedName name="new_customer">#REF!</definedName>
    <definedName name="PRICE_P" localSheetId="7">#REF!</definedName>
    <definedName name="PRICE_P" localSheetId="10">#REF!</definedName>
    <definedName name="PRICE_P">#REF!</definedName>
    <definedName name="_xlnm.Print_Area" localSheetId="7">brief!$A$1:$E$94</definedName>
    <definedName name="_xlnm.Print_Area" localSheetId="5">chklst!$A$1:$I$52</definedName>
    <definedName name="_xlnm.Print_Area" localSheetId="13">'INT QUICK'!$A$1:$F$486</definedName>
    <definedName name="_xlnm.Print_Area" localSheetId="3">'jobinfo(2)'!$A$51:$D$99</definedName>
    <definedName name="_xlnm.Print_Area" localSheetId="2">'kit bath'!$A$1:$F$32</definedName>
    <definedName name="_xlnm.Print_Area" localSheetId="10">LABEL10X!$A$1:$E$44</definedName>
    <definedName name="_xlnm.Print_Area" localSheetId="9">'mnt EXT'!$A$1:$D$29</definedName>
    <definedName name="_xlnm.Print_Area" localSheetId="6">pics!$A$1:$E$73</definedName>
    <definedName name="_xlnm.Print_Area" localSheetId="4">quicklist!$A$1:$F$35</definedName>
    <definedName name="_xlnm.Print_Area" localSheetId="15">'Scope 2'!$A$1:$S$88</definedName>
    <definedName name="_xlnm.Print_Area" localSheetId="16">'Scope 3'!$A$1:$S$89</definedName>
    <definedName name="_xlnm.Print_Area" localSheetId="17">'Scope 4'!$A$1:$S$91</definedName>
    <definedName name="_xlnm.Print_Area" localSheetId="0">ScopeCHLST!$A$1:$S$88,ScopeCHLST!$U$91:$AD$138</definedName>
    <definedName name="_xlnm.Print_Area" localSheetId="12">ScopeINT!$A$1:$H$417</definedName>
    <definedName name="Robinson" localSheetId="7">#REF!</definedName>
    <definedName name="Robinson" localSheetId="10">#REF!</definedName>
    <definedName name="Robinson">#REF!</definedName>
    <definedName name="sigtj">"Picture 9859"</definedName>
    <definedName name="SubContractor_Summary" localSheetId="7">#REF!</definedName>
    <definedName name="SubContractor_Summary" localSheetId="10">#REF!</definedName>
    <definedName name="SubContractor_Summary">#REF!</definedName>
    <definedName name="SummaryChecklist">quicklist!$D$4:$D$35</definedName>
    <definedName name="Wayside_Builders__LLC_…...OH" localSheetId="10">#REF!</definedName>
    <definedName name="Wayside_Builders__LLC_…...OH">#REF!</definedName>
    <definedName name="WSB...GA.Wayside_Builders__LLC……GA" localSheetId="10">#REF!</definedName>
    <definedName name="WSB...GA.Wayside_Builders__LLC……GA">#REF!</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5" i="48" l="1"/>
  <c r="L1" i="48"/>
  <c r="L23" i="48" s="1"/>
  <c r="S2" i="46" l="1"/>
  <c r="S5" i="46" s="1"/>
  <c r="R2" i="46"/>
  <c r="R5" i="46" s="1"/>
  <c r="Q2" i="46"/>
  <c r="Q5" i="46" s="1"/>
  <c r="P2" i="46"/>
  <c r="P5" i="46" s="1"/>
  <c r="O2" i="46"/>
  <c r="O5" i="46" s="1"/>
  <c r="N2" i="46"/>
  <c r="N5" i="46" s="1"/>
  <c r="M2" i="46"/>
  <c r="M5" i="46" s="1"/>
  <c r="L2" i="46"/>
  <c r="L5" i="46" s="1"/>
  <c r="K2" i="46"/>
  <c r="K5" i="46" s="1"/>
  <c r="J2" i="46"/>
  <c r="J5" i="46" s="1"/>
  <c r="I2" i="46"/>
  <c r="I5" i="46" s="1"/>
  <c r="H2" i="46"/>
  <c r="H5" i="46" s="1"/>
  <c r="G2" i="46"/>
  <c r="G5" i="46" s="1"/>
  <c r="F2" i="46"/>
  <c r="F5" i="46" s="1"/>
  <c r="E2" i="46"/>
  <c r="E5" i="46" s="1"/>
  <c r="D2" i="46"/>
  <c r="D5" i="46" s="1"/>
  <c r="C2" i="46"/>
  <c r="C5" i="46" s="1"/>
  <c r="D5" i="42"/>
  <c r="D8" i="42" s="1"/>
  <c r="D11" i="42" s="1"/>
  <c r="D14" i="42" s="1"/>
  <c r="D17" i="42" s="1"/>
  <c r="D20" i="42" s="1"/>
  <c r="D24" i="42" s="1"/>
  <c r="S5" i="42"/>
  <c r="S8" i="42" s="1"/>
  <c r="S11" i="42" s="1"/>
  <c r="S14" i="42" s="1"/>
  <c r="S17" i="42" s="1"/>
  <c r="S20" i="42" s="1"/>
  <c r="S24" i="42" s="1"/>
  <c r="R5" i="42"/>
  <c r="R8" i="42" s="1"/>
  <c r="R11" i="42" s="1"/>
  <c r="R14" i="42" s="1"/>
  <c r="R17" i="42" s="1"/>
  <c r="R20" i="42" s="1"/>
  <c r="R24" i="42" s="1"/>
  <c r="Q5" i="42"/>
  <c r="Q8" i="42" s="1"/>
  <c r="Q11" i="42" s="1"/>
  <c r="Q14" i="42" s="1"/>
  <c r="Q17" i="42" s="1"/>
  <c r="Q20" i="42" s="1"/>
  <c r="Q24" i="42" s="1"/>
  <c r="P5" i="42"/>
  <c r="P8" i="42" s="1"/>
  <c r="P11" i="42" s="1"/>
  <c r="P14" i="42" s="1"/>
  <c r="P17" i="42" s="1"/>
  <c r="P20" i="42" s="1"/>
  <c r="P24" i="42" s="1"/>
  <c r="O5" i="42"/>
  <c r="O8" i="42" s="1"/>
  <c r="O11" i="42" s="1"/>
  <c r="O14" i="42" s="1"/>
  <c r="O17" i="42" s="1"/>
  <c r="O20" i="42" s="1"/>
  <c r="O24" i="42" s="1"/>
  <c r="N5" i="42"/>
  <c r="N8" i="42" s="1"/>
  <c r="N11" i="42" s="1"/>
  <c r="N14" i="42" s="1"/>
  <c r="N17" i="42" s="1"/>
  <c r="N20" i="42" s="1"/>
  <c r="N24" i="42" s="1"/>
  <c r="M5" i="42"/>
  <c r="M8" i="42" s="1"/>
  <c r="M11" i="42" s="1"/>
  <c r="M14" i="42" s="1"/>
  <c r="M17" i="42" s="1"/>
  <c r="M20" i="42" s="1"/>
  <c r="M24" i="42" s="1"/>
  <c r="L5" i="42"/>
  <c r="L8" i="42" s="1"/>
  <c r="L11" i="42" s="1"/>
  <c r="L14" i="42" s="1"/>
  <c r="L17" i="42" s="1"/>
  <c r="L20" i="42" s="1"/>
  <c r="L24" i="42" s="1"/>
  <c r="K5" i="42"/>
  <c r="K8" i="42" s="1"/>
  <c r="K11" i="42" s="1"/>
  <c r="K14" i="42" s="1"/>
  <c r="K17" i="42" s="1"/>
  <c r="K20" i="42" s="1"/>
  <c r="K24" i="42" s="1"/>
  <c r="J5" i="42"/>
  <c r="J8" i="42" s="1"/>
  <c r="J11" i="42" s="1"/>
  <c r="J14" i="42" s="1"/>
  <c r="J17" i="42" s="1"/>
  <c r="J20" i="42" s="1"/>
  <c r="J24" i="42" s="1"/>
  <c r="I5" i="42"/>
  <c r="I8" i="42" s="1"/>
  <c r="I11" i="42" s="1"/>
  <c r="I14" i="42" s="1"/>
  <c r="I17" i="42" s="1"/>
  <c r="I20" i="42" s="1"/>
  <c r="I24" i="42" s="1"/>
  <c r="H5" i="42"/>
  <c r="H8" i="42" s="1"/>
  <c r="H11" i="42" s="1"/>
  <c r="H14" i="42" s="1"/>
  <c r="H17" i="42" s="1"/>
  <c r="H20" i="42" s="1"/>
  <c r="H24" i="42" s="1"/>
  <c r="G5" i="42"/>
  <c r="G8" i="42" s="1"/>
  <c r="G11" i="42" s="1"/>
  <c r="G14" i="42" s="1"/>
  <c r="G17" i="42" s="1"/>
  <c r="G20" i="42" s="1"/>
  <c r="G24" i="42" s="1"/>
  <c r="F5" i="42"/>
  <c r="F8" i="42" s="1"/>
  <c r="F11" i="42" s="1"/>
  <c r="F14" i="42" s="1"/>
  <c r="F17" i="42" s="1"/>
  <c r="F20" i="42" s="1"/>
  <c r="F24" i="42" s="1"/>
  <c r="E5" i="42"/>
  <c r="E8" i="42" s="1"/>
  <c r="E11" i="42" s="1"/>
  <c r="E14" i="42" s="1"/>
  <c r="E17" i="42" s="1"/>
  <c r="E20" i="42" s="1"/>
  <c r="E24" i="42" s="1"/>
  <c r="C5" i="42"/>
  <c r="C8" i="42" s="1"/>
  <c r="C11" i="42" s="1"/>
  <c r="C14" i="42" s="1"/>
  <c r="C17" i="42" s="1"/>
  <c r="C20" i="42" s="1"/>
  <c r="C24" i="42" s="1"/>
  <c r="H2" i="17" l="1"/>
  <c r="R67" i="42"/>
  <c r="P67" i="42"/>
  <c r="O67" i="42"/>
  <c r="G67" i="42"/>
  <c r="D67" i="42"/>
  <c r="R45" i="42"/>
  <c r="R23" i="42"/>
  <c r="P45" i="42"/>
  <c r="O45" i="42"/>
  <c r="G45" i="42"/>
  <c r="D45" i="42"/>
  <c r="A23" i="42"/>
  <c r="A45" i="42" s="1"/>
  <c r="A67" i="42" s="1"/>
  <c r="P23" i="42"/>
  <c r="O23" i="42"/>
  <c r="G23" i="42"/>
  <c r="D23" i="42"/>
  <c r="R1" i="42"/>
  <c r="B86" i="42"/>
  <c r="B83" i="42"/>
  <c r="B80" i="42"/>
  <c r="B77" i="42"/>
  <c r="B74" i="42"/>
  <c r="B71" i="42"/>
  <c r="B68" i="42"/>
  <c r="B64" i="42"/>
  <c r="B61" i="42"/>
  <c r="B58" i="42"/>
  <c r="B55" i="42"/>
  <c r="B52" i="42"/>
  <c r="B49" i="42"/>
  <c r="B46" i="42"/>
  <c r="B42" i="42"/>
  <c r="B39" i="42"/>
  <c r="B36" i="42"/>
  <c r="B33" i="42"/>
  <c r="B30" i="42"/>
  <c r="B27" i="42"/>
  <c r="B24" i="42"/>
  <c r="B20" i="42"/>
  <c r="L1" i="42"/>
  <c r="L23" i="42" s="1"/>
  <c r="L45" i="42" s="1"/>
  <c r="L67" i="42" s="1"/>
  <c r="A91" i="48"/>
  <c r="A89" i="46"/>
  <c r="B20" i="49"/>
  <c r="B17" i="49"/>
  <c r="B14" i="49"/>
  <c r="B11" i="49"/>
  <c r="B8" i="49"/>
  <c r="B5" i="49"/>
  <c r="B2" i="49"/>
  <c r="L1" i="49"/>
  <c r="L23" i="49" s="1"/>
  <c r="L48" i="49" s="1"/>
  <c r="L70" i="49" s="1"/>
  <c r="B89" i="49"/>
  <c r="B86" i="49"/>
  <c r="B83" i="49"/>
  <c r="B80" i="49"/>
  <c r="B77" i="49"/>
  <c r="B74" i="49"/>
  <c r="B71" i="49"/>
  <c r="P70" i="49"/>
  <c r="O70" i="49"/>
  <c r="J70" i="49"/>
  <c r="G70" i="49"/>
  <c r="D70" i="49"/>
  <c r="B67" i="49"/>
  <c r="B64" i="49"/>
  <c r="B61" i="49"/>
  <c r="B58" i="49"/>
  <c r="B55" i="49"/>
  <c r="B52" i="49"/>
  <c r="B49" i="49"/>
  <c r="R48" i="49"/>
  <c r="R70" i="49" s="1"/>
  <c r="P48" i="49"/>
  <c r="O48" i="49"/>
  <c r="J48" i="49"/>
  <c r="G48" i="49"/>
  <c r="D48" i="49"/>
  <c r="B45" i="49"/>
  <c r="B42" i="49"/>
  <c r="B39" i="49"/>
  <c r="B36" i="49"/>
  <c r="B33" i="49"/>
  <c r="B30" i="49"/>
  <c r="B27" i="49"/>
  <c r="B24" i="49"/>
  <c r="R23" i="49"/>
  <c r="P23" i="49"/>
  <c r="O23" i="49"/>
  <c r="J23" i="49"/>
  <c r="G23" i="49"/>
  <c r="D23" i="49"/>
  <c r="A23" i="49"/>
  <c r="G5" i="49"/>
  <c r="G27" i="49" s="1"/>
  <c r="A2" i="49"/>
  <c r="R1" i="49"/>
  <c r="P1" i="49"/>
  <c r="O1" i="49"/>
  <c r="J1" i="49"/>
  <c r="G1" i="49"/>
  <c r="D1" i="49"/>
  <c r="B91" i="48"/>
  <c r="B88" i="48"/>
  <c r="B85" i="48"/>
  <c r="B79" i="48"/>
  <c r="B76" i="48"/>
  <c r="B82" i="48"/>
  <c r="B73" i="48"/>
  <c r="B69" i="48"/>
  <c r="B65" i="48"/>
  <c r="B62" i="48"/>
  <c r="B59" i="48"/>
  <c r="B56" i="48"/>
  <c r="B53" i="48"/>
  <c r="B50" i="48"/>
  <c r="B46" i="48"/>
  <c r="B42" i="48"/>
  <c r="B39" i="48"/>
  <c r="B36" i="48"/>
  <c r="B33" i="48"/>
  <c r="B30" i="48"/>
  <c r="B27" i="48"/>
  <c r="B24" i="48"/>
  <c r="B20" i="48"/>
  <c r="B17" i="48"/>
  <c r="B14" i="48"/>
  <c r="B11" i="48"/>
  <c r="B8" i="48"/>
  <c r="B5" i="48"/>
  <c r="B2" i="48"/>
  <c r="P68" i="48"/>
  <c r="O68" i="48"/>
  <c r="L68" i="48"/>
  <c r="J68" i="48"/>
  <c r="G68" i="48"/>
  <c r="D68" i="48"/>
  <c r="R45" i="48"/>
  <c r="R68" i="48" s="1"/>
  <c r="P45" i="48"/>
  <c r="O45" i="48"/>
  <c r="J45" i="48"/>
  <c r="G45" i="48"/>
  <c r="D45" i="48"/>
  <c r="R23" i="48"/>
  <c r="P23" i="48"/>
  <c r="O23" i="48"/>
  <c r="J23" i="48"/>
  <c r="G23" i="48"/>
  <c r="D23" i="48"/>
  <c r="A23" i="48"/>
  <c r="G5" i="48"/>
  <c r="G27" i="48" s="1"/>
  <c r="A2" i="48"/>
  <c r="R1" i="48"/>
  <c r="P1" i="48"/>
  <c r="O1" i="48"/>
  <c r="J1" i="48"/>
  <c r="G1" i="48"/>
  <c r="D1" i="48"/>
  <c r="B89" i="46"/>
  <c r="B86" i="46"/>
  <c r="B83" i="46"/>
  <c r="B80" i="46"/>
  <c r="B77" i="46"/>
  <c r="B74" i="46"/>
  <c r="B71" i="46"/>
  <c r="R45" i="46"/>
  <c r="R67" i="46" s="1"/>
  <c r="R1" i="46"/>
  <c r="R23" i="46"/>
  <c r="P67" i="46"/>
  <c r="O67" i="46"/>
  <c r="L67" i="46"/>
  <c r="J67" i="46"/>
  <c r="G67" i="46"/>
  <c r="D67" i="46"/>
  <c r="P45" i="46"/>
  <c r="O45" i="46"/>
  <c r="L45" i="46"/>
  <c r="J45" i="46"/>
  <c r="G45" i="46"/>
  <c r="D45" i="46"/>
  <c r="A23" i="46"/>
  <c r="L23" i="46"/>
  <c r="L1" i="46"/>
  <c r="P23" i="46"/>
  <c r="O23" i="46"/>
  <c r="J23" i="46"/>
  <c r="G23" i="46"/>
  <c r="D23" i="46"/>
  <c r="J1" i="46"/>
  <c r="B68" i="46"/>
  <c r="B64" i="46"/>
  <c r="B61" i="46"/>
  <c r="B58" i="46"/>
  <c r="B46" i="46"/>
  <c r="B42" i="46"/>
  <c r="B39" i="46"/>
  <c r="B55" i="46"/>
  <c r="B52" i="46"/>
  <c r="B49" i="46"/>
  <c r="B36" i="46"/>
  <c r="B33" i="46"/>
  <c r="B30" i="46"/>
  <c r="B27" i="46"/>
  <c r="B24" i="46"/>
  <c r="B20" i="46"/>
  <c r="B17" i="46"/>
  <c r="B14" i="46"/>
  <c r="B11" i="46"/>
  <c r="B8" i="46"/>
  <c r="B5" i="46"/>
  <c r="B2" i="46"/>
  <c r="K55" i="12"/>
  <c r="K56" i="12" s="1"/>
  <c r="K57" i="12" s="1"/>
  <c r="K58" i="12" s="1"/>
  <c r="K59" i="12" s="1"/>
  <c r="K60" i="12" s="1"/>
  <c r="K61" i="12" s="1"/>
  <c r="K62" i="12" s="1"/>
  <c r="K63" i="12" s="1"/>
  <c r="K64" i="12" s="1"/>
  <c r="K65" i="12" s="1"/>
  <c r="K66" i="12" s="1"/>
  <c r="K67" i="12" s="1"/>
  <c r="K68" i="12" s="1"/>
  <c r="K69" i="12" s="1"/>
  <c r="K70" i="12" s="1"/>
  <c r="K71" i="12" s="1"/>
  <c r="K72" i="12" s="1"/>
  <c r="K73" i="12" s="1"/>
  <c r="K74" i="12" s="1"/>
  <c r="K75" i="12" s="1"/>
  <c r="K76" i="12" s="1"/>
  <c r="K77" i="12" s="1"/>
  <c r="K78" i="12" s="1"/>
  <c r="K79" i="12" s="1"/>
  <c r="K80" i="12" s="1"/>
  <c r="K81" i="12" s="1"/>
  <c r="K82" i="12" s="1"/>
  <c r="K83" i="12" s="1"/>
  <c r="K84" i="12" s="1"/>
  <c r="K85" i="12" s="1"/>
  <c r="K86" i="12" s="1"/>
  <c r="K87" i="12" s="1"/>
  <c r="K88" i="12" s="1"/>
  <c r="K89" i="12" s="1"/>
  <c r="K90" i="12" s="1"/>
  <c r="K91" i="12" s="1"/>
  <c r="K92" i="12" s="1"/>
  <c r="K93" i="12" s="1"/>
  <c r="K94" i="12" s="1"/>
  <c r="K95" i="12" s="1"/>
  <c r="K96" i="12" s="1"/>
  <c r="K97" i="12" s="1"/>
  <c r="K98" i="12" s="1"/>
  <c r="K99" i="12" s="1"/>
  <c r="K100" i="12" s="1"/>
  <c r="K101" i="12" s="1"/>
  <c r="K102" i="12" s="1"/>
  <c r="K103" i="12" s="1"/>
  <c r="G61" i="46"/>
  <c r="A2" i="46"/>
  <c r="G1" i="46"/>
  <c r="Q55" i="12"/>
  <c r="Q56" i="12" s="1"/>
  <c r="Q57" i="12" s="1"/>
  <c r="Q58" i="12" s="1"/>
  <c r="Q59" i="12" s="1"/>
  <c r="Q60" i="12" s="1"/>
  <c r="Q61" i="12" s="1"/>
  <c r="Q62" i="12" s="1"/>
  <c r="Q63" i="12" s="1"/>
  <c r="Q64" i="12" s="1"/>
  <c r="Q65" i="12" s="1"/>
  <c r="Q66" i="12" s="1"/>
  <c r="Q67" i="12" s="1"/>
  <c r="Q68" i="12" s="1"/>
  <c r="Q69" i="12" s="1"/>
  <c r="Q70" i="12" s="1"/>
  <c r="Q71" i="12" s="1"/>
  <c r="Q72" i="12" s="1"/>
  <c r="Q73" i="12" s="1"/>
  <c r="Q74" i="12" s="1"/>
  <c r="Q75" i="12" s="1"/>
  <c r="Q76" i="12" s="1"/>
  <c r="Q77" i="12" s="1"/>
  <c r="Q78" i="12" s="1"/>
  <c r="Q79" i="12" s="1"/>
  <c r="Q80" i="12" s="1"/>
  <c r="Q81" i="12" s="1"/>
  <c r="Q82" i="12" s="1"/>
  <c r="Q83" i="12" s="1"/>
  <c r="Q84" i="12" s="1"/>
  <c r="Q85" i="12" s="1"/>
  <c r="Q86" i="12" s="1"/>
  <c r="Q87" i="12" s="1"/>
  <c r="Q88" i="12" s="1"/>
  <c r="Q89" i="12" s="1"/>
  <c r="Q90" i="12" s="1"/>
  <c r="Q91" i="12" s="1"/>
  <c r="Q92" i="12" s="1"/>
  <c r="Q93" i="12" s="1"/>
  <c r="Q94" i="12" s="1"/>
  <c r="Q95" i="12" s="1"/>
  <c r="Q96" i="12" s="1"/>
  <c r="Q97" i="12" s="1"/>
  <c r="Q98" i="12" s="1"/>
  <c r="Q99" i="12" s="1"/>
  <c r="Q100" i="12" s="1"/>
  <c r="Q101" i="12" s="1"/>
  <c r="Q102" i="12" s="1"/>
  <c r="Q103" i="12" s="1"/>
  <c r="Q104" i="12" s="1"/>
  <c r="Q105" i="12" s="1"/>
  <c r="Q106" i="12" s="1"/>
  <c r="Q107" i="12" s="1"/>
  <c r="Q108" i="12" s="1"/>
  <c r="Q109" i="12" s="1"/>
  <c r="Q110" i="12" s="1"/>
  <c r="Q111" i="12" s="1"/>
  <c r="D1" i="46"/>
  <c r="D1" i="12"/>
  <c r="E1" i="12"/>
  <c r="F1" i="12"/>
  <c r="G1" i="12"/>
  <c r="H1" i="12"/>
  <c r="I1" i="12"/>
  <c r="J1" i="12"/>
  <c r="D2" i="12"/>
  <c r="E2" i="12"/>
  <c r="F2" i="12"/>
  <c r="G2" i="12"/>
  <c r="H2" i="12"/>
  <c r="I2" i="12"/>
  <c r="J2" i="12"/>
  <c r="E3" i="12"/>
  <c r="F3" i="12"/>
  <c r="G3" i="12"/>
  <c r="H3" i="12"/>
  <c r="I3" i="12"/>
  <c r="J3" i="12"/>
  <c r="E4" i="12"/>
  <c r="F4" i="12"/>
  <c r="G4" i="12"/>
  <c r="H4" i="12"/>
  <c r="I4" i="12"/>
  <c r="J4" i="12"/>
  <c r="E5" i="12"/>
  <c r="F5" i="12"/>
  <c r="G5" i="12"/>
  <c r="H5" i="12"/>
  <c r="I5" i="12"/>
  <c r="J5" i="12"/>
  <c r="E6" i="12"/>
  <c r="F6" i="12"/>
  <c r="G6" i="12"/>
  <c r="H6" i="12"/>
  <c r="I6" i="12"/>
  <c r="J6" i="12"/>
  <c r="E7" i="12"/>
  <c r="F7" i="12"/>
  <c r="G7" i="12"/>
  <c r="H7" i="12"/>
  <c r="I7" i="12"/>
  <c r="J7" i="12"/>
  <c r="E8" i="12"/>
  <c r="F8" i="12"/>
  <c r="G8" i="12"/>
  <c r="H8" i="12"/>
  <c r="I8" i="12"/>
  <c r="J8" i="12"/>
  <c r="E9" i="12"/>
  <c r="F9" i="12"/>
  <c r="G9" i="12"/>
  <c r="H9" i="12"/>
  <c r="I9" i="12"/>
  <c r="J9" i="12"/>
  <c r="E10" i="12"/>
  <c r="F10" i="12"/>
  <c r="G10" i="12"/>
  <c r="H10" i="12"/>
  <c r="I10" i="12"/>
  <c r="J10" i="12"/>
  <c r="D11" i="12"/>
  <c r="E11" i="12"/>
  <c r="F11" i="12"/>
  <c r="G11" i="12"/>
  <c r="H11" i="12"/>
  <c r="I11" i="12"/>
  <c r="J11" i="12"/>
  <c r="D44" i="27"/>
  <c r="D12" i="12"/>
  <c r="E12" i="12"/>
  <c r="F12" i="12"/>
  <c r="G12" i="12"/>
  <c r="H12" i="12"/>
  <c r="I12" i="12"/>
  <c r="J12" i="12"/>
  <c r="D13" i="12"/>
  <c r="E13" i="12"/>
  <c r="F13" i="12"/>
  <c r="G13" i="12"/>
  <c r="H13" i="12"/>
  <c r="I13" i="12"/>
  <c r="J13" i="12"/>
  <c r="D14" i="12"/>
  <c r="E14" i="12"/>
  <c r="F14" i="12"/>
  <c r="G14" i="12"/>
  <c r="H14" i="12"/>
  <c r="I14" i="12"/>
  <c r="J14" i="12"/>
  <c r="D15" i="12"/>
  <c r="E15" i="12"/>
  <c r="F15" i="12"/>
  <c r="G15" i="12"/>
  <c r="H15" i="12"/>
  <c r="I15" i="12"/>
  <c r="J15" i="12"/>
  <c r="D16" i="12"/>
  <c r="E16" i="12"/>
  <c r="F16" i="12"/>
  <c r="G16" i="12"/>
  <c r="H16" i="12"/>
  <c r="I16" i="12"/>
  <c r="J16" i="12"/>
  <c r="D17" i="12"/>
  <c r="E17" i="12"/>
  <c r="F17" i="12"/>
  <c r="G17" i="12"/>
  <c r="H17" i="12"/>
  <c r="I17" i="12"/>
  <c r="J17" i="12"/>
  <c r="D18" i="12"/>
  <c r="E18" i="12"/>
  <c r="F18" i="12"/>
  <c r="G18" i="12"/>
  <c r="H18" i="12"/>
  <c r="I18" i="12"/>
  <c r="J18" i="12"/>
  <c r="D19" i="12"/>
  <c r="E19" i="12"/>
  <c r="F19" i="12"/>
  <c r="G19" i="12"/>
  <c r="H19" i="12"/>
  <c r="I19" i="12"/>
  <c r="J19" i="12"/>
  <c r="D20" i="12"/>
  <c r="E20" i="12"/>
  <c r="F20" i="12"/>
  <c r="G20" i="12"/>
  <c r="H20" i="12"/>
  <c r="I20" i="12"/>
  <c r="J20" i="12"/>
  <c r="D21" i="12"/>
  <c r="E21" i="12"/>
  <c r="F21" i="12"/>
  <c r="G21" i="12"/>
  <c r="H21" i="12"/>
  <c r="I21" i="12"/>
  <c r="J21" i="12"/>
  <c r="D22" i="12"/>
  <c r="E22" i="12"/>
  <c r="F22" i="12"/>
  <c r="G22" i="12"/>
  <c r="H22" i="12"/>
  <c r="I22" i="12"/>
  <c r="J22" i="12"/>
  <c r="D23" i="12"/>
  <c r="E23" i="12"/>
  <c r="F23" i="12"/>
  <c r="G23" i="12"/>
  <c r="H23" i="12"/>
  <c r="I23" i="12"/>
  <c r="J23" i="12"/>
  <c r="D24" i="12"/>
  <c r="E24" i="12"/>
  <c r="F24" i="12"/>
  <c r="G24" i="12"/>
  <c r="H24" i="12"/>
  <c r="I24" i="12"/>
  <c r="J24" i="12"/>
  <c r="D25" i="12"/>
  <c r="E25" i="12"/>
  <c r="F25" i="12"/>
  <c r="G25" i="12"/>
  <c r="H25" i="12"/>
  <c r="I25" i="12"/>
  <c r="J25" i="12"/>
  <c r="D26" i="12"/>
  <c r="E26" i="12"/>
  <c r="F26" i="12"/>
  <c r="G26" i="12"/>
  <c r="H26" i="12"/>
  <c r="I26" i="12"/>
  <c r="J26" i="12"/>
  <c r="D27" i="12"/>
  <c r="E27" i="12"/>
  <c r="F27" i="12"/>
  <c r="G27" i="12"/>
  <c r="H27" i="12"/>
  <c r="I27" i="12"/>
  <c r="J27" i="12"/>
  <c r="D28" i="12"/>
  <c r="E28" i="12"/>
  <c r="F28" i="12"/>
  <c r="G28" i="12"/>
  <c r="H28" i="12"/>
  <c r="I28" i="12"/>
  <c r="J28" i="12"/>
  <c r="D29" i="12"/>
  <c r="E29" i="12"/>
  <c r="F29" i="12"/>
  <c r="G29" i="12"/>
  <c r="H29" i="12"/>
  <c r="I29" i="12"/>
  <c r="J29" i="12"/>
  <c r="D30" i="12"/>
  <c r="E30" i="12"/>
  <c r="F30" i="12"/>
  <c r="G30" i="12"/>
  <c r="H30" i="12"/>
  <c r="I30" i="12"/>
  <c r="J30" i="12"/>
  <c r="D31" i="12"/>
  <c r="E31" i="12"/>
  <c r="F31" i="12"/>
  <c r="G31" i="12"/>
  <c r="H31" i="12"/>
  <c r="I31" i="12"/>
  <c r="J31" i="12"/>
  <c r="D32" i="12"/>
  <c r="E32" i="12"/>
  <c r="F32" i="12"/>
  <c r="G32" i="12"/>
  <c r="H32" i="12"/>
  <c r="I32" i="12"/>
  <c r="J32" i="12"/>
  <c r="D33" i="12"/>
  <c r="E33" i="12"/>
  <c r="F33" i="12"/>
  <c r="G33" i="12"/>
  <c r="H33" i="12"/>
  <c r="I33" i="12"/>
  <c r="J33" i="12"/>
  <c r="D34" i="12"/>
  <c r="E34" i="12"/>
  <c r="F34" i="12"/>
  <c r="G34" i="12"/>
  <c r="H34" i="12"/>
  <c r="I34" i="12"/>
  <c r="J34" i="12"/>
  <c r="D35" i="12"/>
  <c r="E35" i="12"/>
  <c r="F35" i="12"/>
  <c r="G35" i="12"/>
  <c r="H35" i="12"/>
  <c r="I35" i="12"/>
  <c r="J35" i="12"/>
  <c r="D36" i="12"/>
  <c r="E36" i="12"/>
  <c r="F36" i="12"/>
  <c r="G36" i="12"/>
  <c r="H36" i="12"/>
  <c r="I36" i="12"/>
  <c r="J36" i="12"/>
  <c r="D37" i="12"/>
  <c r="E37" i="12"/>
  <c r="F37" i="12"/>
  <c r="G37" i="12"/>
  <c r="H37" i="12"/>
  <c r="I37" i="12"/>
  <c r="J37" i="12"/>
  <c r="D38" i="12"/>
  <c r="E38" i="12"/>
  <c r="F38" i="12"/>
  <c r="G38" i="12"/>
  <c r="H38" i="12"/>
  <c r="I38" i="12"/>
  <c r="J38" i="12"/>
  <c r="D39" i="12"/>
  <c r="E39" i="12"/>
  <c r="F39" i="12"/>
  <c r="G39" i="12"/>
  <c r="H39" i="12"/>
  <c r="I39" i="12"/>
  <c r="J39" i="12"/>
  <c r="D40" i="12"/>
  <c r="E40" i="12"/>
  <c r="F40" i="12"/>
  <c r="G40" i="12"/>
  <c r="H40" i="12"/>
  <c r="I40" i="12"/>
  <c r="J40" i="12"/>
  <c r="D41" i="12"/>
  <c r="E41" i="12"/>
  <c r="F41" i="12"/>
  <c r="G41" i="12"/>
  <c r="H41" i="12"/>
  <c r="I41" i="12"/>
  <c r="J41" i="12"/>
  <c r="D42" i="12"/>
  <c r="E42" i="12"/>
  <c r="F42" i="12"/>
  <c r="G42" i="12"/>
  <c r="H42" i="12"/>
  <c r="I42" i="12"/>
  <c r="J42" i="12"/>
  <c r="D43" i="12"/>
  <c r="E43" i="12"/>
  <c r="F43" i="12"/>
  <c r="G43" i="12"/>
  <c r="H43" i="12"/>
  <c r="I43" i="12"/>
  <c r="J43" i="12"/>
  <c r="D44" i="12"/>
  <c r="E44" i="12"/>
  <c r="F44" i="12"/>
  <c r="G44" i="12"/>
  <c r="H44" i="12"/>
  <c r="I44" i="12"/>
  <c r="J44" i="12"/>
  <c r="D45" i="12"/>
  <c r="E45" i="12"/>
  <c r="F45" i="12"/>
  <c r="G45" i="12"/>
  <c r="H45" i="12"/>
  <c r="I45" i="12"/>
  <c r="J45" i="12"/>
  <c r="D46" i="12"/>
  <c r="E46" i="12"/>
  <c r="F46" i="12"/>
  <c r="G46" i="12"/>
  <c r="H46" i="12"/>
  <c r="I46" i="12"/>
  <c r="J46" i="12"/>
  <c r="D47" i="12"/>
  <c r="E47" i="12"/>
  <c r="F47" i="12"/>
  <c r="G47" i="12"/>
  <c r="H47" i="12"/>
  <c r="I47" i="12"/>
  <c r="J47" i="12"/>
  <c r="D48" i="12"/>
  <c r="E48" i="12"/>
  <c r="F48" i="12"/>
  <c r="G48" i="12"/>
  <c r="H48" i="12"/>
  <c r="I48" i="12"/>
  <c r="J48" i="12"/>
  <c r="D49" i="12"/>
  <c r="E49" i="12"/>
  <c r="F49" i="12"/>
  <c r="G49" i="12"/>
  <c r="H49" i="12"/>
  <c r="I49" i="12"/>
  <c r="J49" i="12"/>
  <c r="D50" i="12"/>
  <c r="E50" i="12"/>
  <c r="F50" i="12"/>
  <c r="G50" i="12"/>
  <c r="H50" i="12"/>
  <c r="I50" i="12"/>
  <c r="J50" i="12"/>
  <c r="D51" i="12"/>
  <c r="E51" i="12"/>
  <c r="F51" i="12"/>
  <c r="G51" i="12"/>
  <c r="H51" i="12"/>
  <c r="I51" i="12"/>
  <c r="J51" i="12"/>
  <c r="D52" i="12"/>
  <c r="E52" i="12"/>
  <c r="F52" i="12"/>
  <c r="G52" i="12"/>
  <c r="H52" i="12"/>
  <c r="I52" i="12"/>
  <c r="J52" i="12"/>
  <c r="D53" i="12"/>
  <c r="E53" i="12"/>
  <c r="F53" i="12"/>
  <c r="G53" i="12"/>
  <c r="H53" i="12"/>
  <c r="I53" i="12"/>
  <c r="J53" i="12"/>
  <c r="D54" i="12"/>
  <c r="E54" i="12"/>
  <c r="F54" i="12"/>
  <c r="G54" i="12"/>
  <c r="H54" i="12"/>
  <c r="I54" i="12"/>
  <c r="J54" i="12"/>
  <c r="D55" i="12"/>
  <c r="E55" i="12"/>
  <c r="F55" i="12"/>
  <c r="G55" i="12"/>
  <c r="H55" i="12"/>
  <c r="I55" i="12"/>
  <c r="J55" i="12"/>
  <c r="D56" i="12"/>
  <c r="E56" i="12"/>
  <c r="F56" i="12"/>
  <c r="G56" i="12"/>
  <c r="H56" i="12"/>
  <c r="I56" i="12"/>
  <c r="J56" i="12"/>
  <c r="D57" i="12"/>
  <c r="E57" i="12"/>
  <c r="F57" i="12"/>
  <c r="G57" i="12"/>
  <c r="H57" i="12"/>
  <c r="I57" i="12"/>
  <c r="J57" i="12"/>
  <c r="D58" i="12"/>
  <c r="E58" i="12"/>
  <c r="F58" i="12"/>
  <c r="G58" i="12"/>
  <c r="H58" i="12"/>
  <c r="I58" i="12"/>
  <c r="J58" i="12"/>
  <c r="D59" i="12"/>
  <c r="E59" i="12"/>
  <c r="F59" i="12"/>
  <c r="G59" i="12"/>
  <c r="H59" i="12"/>
  <c r="I59" i="12"/>
  <c r="J59" i="12"/>
  <c r="D60" i="12"/>
  <c r="E60" i="12"/>
  <c r="F60" i="12"/>
  <c r="G60" i="12"/>
  <c r="H60" i="12"/>
  <c r="I60" i="12"/>
  <c r="J60" i="12"/>
  <c r="D61" i="12"/>
  <c r="E61" i="12"/>
  <c r="F61" i="12"/>
  <c r="G61" i="12"/>
  <c r="H61" i="12"/>
  <c r="I61" i="12"/>
  <c r="J61" i="12"/>
  <c r="D62" i="12"/>
  <c r="E62" i="12"/>
  <c r="F62" i="12"/>
  <c r="G62" i="12"/>
  <c r="H62" i="12"/>
  <c r="I62" i="12"/>
  <c r="J62" i="12"/>
  <c r="D63" i="12"/>
  <c r="E63" i="12"/>
  <c r="F63" i="12"/>
  <c r="G63" i="12"/>
  <c r="H63" i="12"/>
  <c r="I63" i="12"/>
  <c r="J63" i="12"/>
  <c r="D64" i="12"/>
  <c r="E64" i="12"/>
  <c r="F64" i="12"/>
  <c r="G64" i="12"/>
  <c r="H64" i="12"/>
  <c r="I64" i="12"/>
  <c r="J64" i="12"/>
  <c r="D65" i="12"/>
  <c r="E65" i="12"/>
  <c r="F65" i="12"/>
  <c r="G65" i="12"/>
  <c r="H65" i="12"/>
  <c r="I65" i="12"/>
  <c r="J65" i="12"/>
  <c r="D66" i="12"/>
  <c r="E66" i="12"/>
  <c r="F66" i="12"/>
  <c r="G66" i="12"/>
  <c r="H66" i="12"/>
  <c r="I66" i="12"/>
  <c r="J66" i="12"/>
  <c r="D67" i="12"/>
  <c r="E67" i="12"/>
  <c r="F67" i="12"/>
  <c r="G67" i="12"/>
  <c r="H67" i="12"/>
  <c r="I67" i="12"/>
  <c r="J67" i="12"/>
  <c r="D68" i="12"/>
  <c r="E68" i="12"/>
  <c r="F68" i="12"/>
  <c r="G68" i="12"/>
  <c r="H68" i="12"/>
  <c r="I68" i="12"/>
  <c r="J68" i="12"/>
  <c r="D69" i="12"/>
  <c r="E69" i="12"/>
  <c r="F69" i="12"/>
  <c r="G69" i="12"/>
  <c r="H69" i="12"/>
  <c r="I69" i="12"/>
  <c r="J69" i="12"/>
  <c r="D70" i="12"/>
  <c r="E70" i="12"/>
  <c r="F70" i="12"/>
  <c r="G70" i="12"/>
  <c r="H70" i="12"/>
  <c r="I70" i="12"/>
  <c r="J70" i="12"/>
  <c r="D71" i="12"/>
  <c r="E71" i="12"/>
  <c r="F71" i="12"/>
  <c r="G71" i="12"/>
  <c r="H71" i="12"/>
  <c r="I71" i="12"/>
  <c r="J71" i="12"/>
  <c r="D72" i="12"/>
  <c r="E72" i="12"/>
  <c r="F72" i="12"/>
  <c r="G72" i="12"/>
  <c r="H72" i="12"/>
  <c r="I72" i="12"/>
  <c r="J72" i="12"/>
  <c r="D73" i="12"/>
  <c r="E73" i="12"/>
  <c r="F73" i="12"/>
  <c r="G73" i="12"/>
  <c r="H73" i="12"/>
  <c r="I73" i="12"/>
  <c r="J73" i="12"/>
  <c r="D74" i="12"/>
  <c r="E74" i="12"/>
  <c r="F74" i="12"/>
  <c r="G74" i="12"/>
  <c r="H74" i="12"/>
  <c r="I74" i="12"/>
  <c r="J74" i="12"/>
  <c r="D75" i="12"/>
  <c r="E75" i="12"/>
  <c r="F75" i="12"/>
  <c r="G75" i="12"/>
  <c r="H75" i="12"/>
  <c r="I75" i="12"/>
  <c r="J75" i="12"/>
  <c r="D76" i="12"/>
  <c r="E76" i="12"/>
  <c r="F76" i="12"/>
  <c r="G76" i="12"/>
  <c r="H76" i="12"/>
  <c r="I76" i="12"/>
  <c r="J76" i="12"/>
  <c r="D77" i="12"/>
  <c r="E77" i="12"/>
  <c r="F77" i="12"/>
  <c r="G77" i="12"/>
  <c r="H77" i="12"/>
  <c r="I77" i="12"/>
  <c r="J77" i="12"/>
  <c r="D78" i="12"/>
  <c r="E78" i="12"/>
  <c r="F78" i="12"/>
  <c r="G78" i="12"/>
  <c r="H78" i="12"/>
  <c r="I78" i="12"/>
  <c r="J78" i="12"/>
  <c r="D79" i="12"/>
  <c r="E79" i="12"/>
  <c r="F79" i="12"/>
  <c r="G79" i="12"/>
  <c r="H79" i="12"/>
  <c r="I79" i="12"/>
  <c r="J79" i="12"/>
  <c r="D80" i="12"/>
  <c r="E80" i="12"/>
  <c r="F80" i="12"/>
  <c r="G80" i="12"/>
  <c r="H80" i="12"/>
  <c r="I80" i="12"/>
  <c r="J80" i="12"/>
  <c r="D82" i="12"/>
  <c r="E82" i="12"/>
  <c r="F82" i="12"/>
  <c r="G82" i="12"/>
  <c r="H82" i="12"/>
  <c r="I82" i="12"/>
  <c r="J82" i="12"/>
  <c r="D83" i="12"/>
  <c r="E83" i="12"/>
  <c r="F83" i="12"/>
  <c r="G83" i="12"/>
  <c r="H83" i="12"/>
  <c r="I83" i="12"/>
  <c r="J83" i="12"/>
  <c r="D84" i="12"/>
  <c r="E84" i="12"/>
  <c r="F84" i="12"/>
  <c r="G84" i="12"/>
  <c r="H84" i="12"/>
  <c r="I84" i="12"/>
  <c r="J84" i="12"/>
  <c r="D85" i="12"/>
  <c r="E85" i="12"/>
  <c r="F85" i="12"/>
  <c r="G85" i="12"/>
  <c r="H85" i="12"/>
  <c r="I85" i="12"/>
  <c r="J85" i="12"/>
  <c r="D86" i="12"/>
  <c r="E86" i="12"/>
  <c r="F86" i="12"/>
  <c r="G86" i="12"/>
  <c r="H86" i="12"/>
  <c r="I86" i="12"/>
  <c r="J86" i="12"/>
  <c r="D87" i="12"/>
  <c r="E87" i="12"/>
  <c r="F87" i="12"/>
  <c r="G87" i="12"/>
  <c r="H87" i="12"/>
  <c r="I87" i="12"/>
  <c r="J87" i="12"/>
  <c r="D88" i="12"/>
  <c r="E88" i="12"/>
  <c r="F88" i="12"/>
  <c r="G88" i="12"/>
  <c r="H88" i="12"/>
  <c r="I88" i="12"/>
  <c r="J88" i="12"/>
  <c r="D90" i="12"/>
  <c r="E90" i="12"/>
  <c r="F90" i="12"/>
  <c r="G90" i="12"/>
  <c r="H90" i="12"/>
  <c r="I90" i="12"/>
  <c r="J90" i="12"/>
  <c r="D91" i="12"/>
  <c r="E91" i="12"/>
  <c r="F91" i="12"/>
  <c r="G91" i="12"/>
  <c r="H91" i="12"/>
  <c r="I91" i="12"/>
  <c r="J91" i="12"/>
  <c r="D92" i="12"/>
  <c r="E92" i="12"/>
  <c r="F92" i="12"/>
  <c r="G92" i="12"/>
  <c r="H92" i="12"/>
  <c r="I92" i="12"/>
  <c r="J92" i="12"/>
  <c r="D93" i="12"/>
  <c r="E93" i="12"/>
  <c r="F93" i="12"/>
  <c r="G93" i="12"/>
  <c r="H93" i="12"/>
  <c r="I93" i="12"/>
  <c r="J93" i="12"/>
  <c r="D94" i="12"/>
  <c r="E94" i="12"/>
  <c r="F94" i="12"/>
  <c r="G94" i="12"/>
  <c r="H94" i="12"/>
  <c r="I94" i="12"/>
  <c r="J94" i="12"/>
  <c r="D95" i="12"/>
  <c r="E95" i="12"/>
  <c r="F95" i="12"/>
  <c r="G95" i="12"/>
  <c r="H95" i="12"/>
  <c r="I95" i="12"/>
  <c r="J95" i="12"/>
  <c r="D96" i="12"/>
  <c r="E96" i="12"/>
  <c r="F96" i="12"/>
  <c r="G96" i="12"/>
  <c r="H96" i="12"/>
  <c r="I96" i="12"/>
  <c r="J96" i="12"/>
  <c r="D97" i="12"/>
  <c r="E97" i="12"/>
  <c r="F97" i="12"/>
  <c r="G97" i="12"/>
  <c r="H97" i="12"/>
  <c r="I97" i="12"/>
  <c r="J97" i="12"/>
  <c r="D98" i="12"/>
  <c r="E98" i="12"/>
  <c r="F98" i="12"/>
  <c r="G98" i="12"/>
  <c r="H98" i="12"/>
  <c r="I98" i="12"/>
  <c r="J98" i="12"/>
  <c r="D99" i="12"/>
  <c r="E99" i="12"/>
  <c r="F99" i="12"/>
  <c r="G99" i="12"/>
  <c r="H99" i="12"/>
  <c r="I99" i="12"/>
  <c r="J99" i="12"/>
  <c r="D100" i="12"/>
  <c r="E100" i="12"/>
  <c r="F100" i="12"/>
  <c r="G100" i="12"/>
  <c r="H100" i="12"/>
  <c r="I100" i="12"/>
  <c r="J100" i="12"/>
  <c r="D122" i="12"/>
  <c r="E122" i="12"/>
  <c r="F122" i="12"/>
  <c r="G122" i="12"/>
  <c r="H122" i="12"/>
  <c r="I122" i="12"/>
  <c r="J122" i="12"/>
  <c r="D123" i="12"/>
  <c r="F123" i="12"/>
  <c r="G123" i="12"/>
  <c r="H123" i="12"/>
  <c r="I123" i="12"/>
  <c r="J123" i="12"/>
  <c r="D124" i="12"/>
  <c r="E124" i="12"/>
  <c r="F124" i="12"/>
  <c r="G124" i="12"/>
  <c r="H124" i="12"/>
  <c r="I124" i="12"/>
  <c r="J124" i="12"/>
  <c r="D125" i="12"/>
  <c r="E125" i="12"/>
  <c r="F125" i="12"/>
  <c r="G125" i="12"/>
  <c r="H125" i="12"/>
  <c r="I125" i="12"/>
  <c r="J125" i="12"/>
  <c r="D126" i="12"/>
  <c r="E126" i="12"/>
  <c r="F126" i="12"/>
  <c r="G126" i="12"/>
  <c r="H126" i="12"/>
  <c r="I126" i="12"/>
  <c r="J126" i="12"/>
  <c r="D127" i="12"/>
  <c r="F127" i="12"/>
  <c r="G127" i="12"/>
  <c r="H127" i="12"/>
  <c r="I127" i="12"/>
  <c r="J127" i="12"/>
  <c r="D128" i="12"/>
  <c r="F128" i="12"/>
  <c r="G128" i="12"/>
  <c r="H128" i="12"/>
  <c r="I128" i="12"/>
  <c r="J128" i="12"/>
  <c r="D129" i="12"/>
  <c r="F129" i="12"/>
  <c r="G129" i="12"/>
  <c r="H129" i="12"/>
  <c r="I129" i="12"/>
  <c r="J129" i="12"/>
  <c r="D130" i="12"/>
  <c r="E130" i="12"/>
  <c r="F130" i="12"/>
  <c r="G130" i="12"/>
  <c r="H130" i="12"/>
  <c r="I130" i="12"/>
  <c r="J130" i="12"/>
  <c r="D131" i="12"/>
  <c r="E131" i="12"/>
  <c r="F131" i="12"/>
  <c r="G131" i="12"/>
  <c r="H131" i="12"/>
  <c r="I131" i="12"/>
  <c r="J131" i="12"/>
  <c r="D132" i="12"/>
  <c r="E132" i="12"/>
  <c r="F132" i="12"/>
  <c r="G132" i="12"/>
  <c r="H132" i="12"/>
  <c r="I132" i="12"/>
  <c r="J132" i="12"/>
  <c r="D133" i="12"/>
  <c r="E133" i="12"/>
  <c r="F133" i="12"/>
  <c r="G133" i="12"/>
  <c r="H133" i="12"/>
  <c r="I133" i="12"/>
  <c r="J133" i="12"/>
  <c r="D134" i="12"/>
  <c r="E134" i="12"/>
  <c r="F134" i="12"/>
  <c r="G134" i="12"/>
  <c r="H134" i="12"/>
  <c r="I134" i="12"/>
  <c r="J134" i="12"/>
  <c r="D135" i="12"/>
  <c r="E135" i="12"/>
  <c r="F135" i="12"/>
  <c r="G135" i="12"/>
  <c r="H135" i="12"/>
  <c r="I135" i="12"/>
  <c r="J135" i="12"/>
  <c r="D136" i="12"/>
  <c r="E136" i="12"/>
  <c r="F136" i="12"/>
  <c r="G136" i="12"/>
  <c r="H136" i="12"/>
  <c r="I136" i="12"/>
  <c r="J136" i="12"/>
  <c r="D137" i="12"/>
  <c r="E137" i="12"/>
  <c r="F137" i="12"/>
  <c r="G137" i="12"/>
  <c r="H137" i="12"/>
  <c r="I137" i="12"/>
  <c r="J137" i="12"/>
  <c r="D138" i="12"/>
  <c r="E138" i="12"/>
  <c r="F138" i="12"/>
  <c r="G138" i="12"/>
  <c r="H138" i="12"/>
  <c r="I138" i="12"/>
  <c r="J138" i="12"/>
  <c r="D139" i="12"/>
  <c r="E139" i="12"/>
  <c r="F139" i="12"/>
  <c r="G139" i="12"/>
  <c r="H139" i="12"/>
  <c r="I139" i="12"/>
  <c r="J139" i="12"/>
  <c r="D140" i="12"/>
  <c r="E140" i="12"/>
  <c r="F140" i="12"/>
  <c r="G140" i="12"/>
  <c r="H140" i="12"/>
  <c r="I140" i="12"/>
  <c r="J140" i="12"/>
  <c r="D141" i="12"/>
  <c r="E141" i="12"/>
  <c r="F141" i="12"/>
  <c r="G141" i="12"/>
  <c r="H141" i="12"/>
  <c r="I141" i="12"/>
  <c r="J141" i="12"/>
  <c r="D142" i="12"/>
  <c r="E142" i="12"/>
  <c r="F142" i="12"/>
  <c r="G142" i="12"/>
  <c r="H142" i="12"/>
  <c r="I142" i="12"/>
  <c r="J142" i="12"/>
  <c r="D143" i="12"/>
  <c r="E143" i="12"/>
  <c r="F143" i="12"/>
  <c r="G143" i="12"/>
  <c r="H143" i="12"/>
  <c r="I143" i="12"/>
  <c r="J143" i="12"/>
  <c r="D144" i="12"/>
  <c r="E144" i="12"/>
  <c r="F144" i="12"/>
  <c r="G144" i="12"/>
  <c r="H144" i="12"/>
  <c r="I144" i="12"/>
  <c r="J144" i="12"/>
  <c r="D145" i="12"/>
  <c r="E145" i="12"/>
  <c r="F145" i="12"/>
  <c r="G145" i="12"/>
  <c r="H145" i="12"/>
  <c r="I145" i="12"/>
  <c r="J145" i="12"/>
  <c r="D146" i="12"/>
  <c r="E146" i="12"/>
  <c r="F146" i="12"/>
  <c r="G146" i="12"/>
  <c r="H146" i="12"/>
  <c r="I146" i="12"/>
  <c r="J146" i="12"/>
  <c r="D147" i="12"/>
  <c r="E147" i="12"/>
  <c r="F147" i="12"/>
  <c r="G147" i="12"/>
  <c r="H147" i="12"/>
  <c r="I147" i="12"/>
  <c r="J147" i="12"/>
  <c r="D148" i="12"/>
  <c r="E148" i="12"/>
  <c r="F148" i="12"/>
  <c r="G148" i="12"/>
  <c r="H148" i="12"/>
  <c r="I148" i="12"/>
  <c r="J148" i="12"/>
  <c r="D149" i="12"/>
  <c r="E149" i="12"/>
  <c r="F149" i="12"/>
  <c r="G149" i="12"/>
  <c r="H149" i="12"/>
  <c r="I149" i="12"/>
  <c r="J149" i="12"/>
  <c r="D150" i="12"/>
  <c r="E150" i="12"/>
  <c r="F150" i="12"/>
  <c r="G150" i="12"/>
  <c r="H150" i="12"/>
  <c r="I150" i="12"/>
  <c r="J150" i="12"/>
  <c r="D151" i="12"/>
  <c r="E151" i="12"/>
  <c r="F151" i="12"/>
  <c r="G151" i="12"/>
  <c r="H151" i="12"/>
  <c r="I151" i="12"/>
  <c r="J151" i="12"/>
  <c r="D152" i="12"/>
  <c r="E152" i="12"/>
  <c r="F152" i="12"/>
  <c r="G152" i="12"/>
  <c r="H152" i="12"/>
  <c r="I152" i="12"/>
  <c r="J152" i="12"/>
  <c r="D153" i="12"/>
  <c r="E153" i="12"/>
  <c r="F153" i="12"/>
  <c r="G153" i="12"/>
  <c r="H153" i="12"/>
  <c r="I153" i="12"/>
  <c r="J153" i="12"/>
  <c r="D154" i="12"/>
  <c r="E154" i="12"/>
  <c r="F154" i="12"/>
  <c r="G154" i="12"/>
  <c r="H154" i="12"/>
  <c r="I154" i="12"/>
  <c r="J154" i="12"/>
  <c r="D155" i="12"/>
  <c r="E155" i="12"/>
  <c r="F155" i="12"/>
  <c r="G155" i="12"/>
  <c r="H155" i="12"/>
  <c r="I155" i="12"/>
  <c r="J155" i="12"/>
  <c r="D156" i="12"/>
  <c r="E156" i="12"/>
  <c r="F156" i="12"/>
  <c r="G156" i="12"/>
  <c r="H156" i="12"/>
  <c r="I156" i="12"/>
  <c r="J156" i="12"/>
  <c r="D157" i="12"/>
  <c r="E157" i="12"/>
  <c r="F157" i="12"/>
  <c r="G157" i="12"/>
  <c r="H157" i="12"/>
  <c r="I157" i="12"/>
  <c r="J157" i="12"/>
  <c r="D158" i="12"/>
  <c r="E158" i="12"/>
  <c r="F158" i="12"/>
  <c r="G158" i="12"/>
  <c r="H158" i="12"/>
  <c r="I158" i="12"/>
  <c r="J158" i="12"/>
  <c r="D159" i="12"/>
  <c r="E159" i="12"/>
  <c r="F159" i="12"/>
  <c r="G159" i="12"/>
  <c r="H159" i="12"/>
  <c r="I159" i="12"/>
  <c r="J159" i="12"/>
  <c r="D160" i="12"/>
  <c r="E160" i="12"/>
  <c r="F160" i="12"/>
  <c r="G160" i="12"/>
  <c r="H160" i="12"/>
  <c r="I160" i="12"/>
  <c r="J160" i="12"/>
  <c r="D161" i="12"/>
  <c r="E161" i="12"/>
  <c r="F161" i="12"/>
  <c r="G161" i="12"/>
  <c r="H161" i="12"/>
  <c r="I161" i="12"/>
  <c r="J161" i="12"/>
  <c r="D162" i="12"/>
  <c r="E162" i="12"/>
  <c r="F162" i="12"/>
  <c r="G162" i="12"/>
  <c r="H162" i="12"/>
  <c r="I162" i="12"/>
  <c r="J162" i="12"/>
  <c r="D163" i="12"/>
  <c r="E163" i="12"/>
  <c r="F163" i="12"/>
  <c r="G163" i="12"/>
  <c r="H163" i="12"/>
  <c r="I163" i="12"/>
  <c r="J163" i="12"/>
  <c r="D164" i="12"/>
  <c r="E164" i="12"/>
  <c r="F164" i="12"/>
  <c r="G164" i="12"/>
  <c r="H164" i="12"/>
  <c r="I164" i="12"/>
  <c r="J164" i="12"/>
  <c r="D165" i="12"/>
  <c r="E165" i="12"/>
  <c r="F165" i="12"/>
  <c r="G165" i="12"/>
  <c r="H165" i="12"/>
  <c r="I165" i="12"/>
  <c r="J165" i="12"/>
  <c r="D166" i="12"/>
  <c r="E166" i="12"/>
  <c r="F166" i="12"/>
  <c r="G166" i="12"/>
  <c r="H166" i="12"/>
  <c r="I166" i="12"/>
  <c r="J166" i="12"/>
  <c r="D167" i="12"/>
  <c r="E167" i="12"/>
  <c r="F167" i="12"/>
  <c r="G167" i="12"/>
  <c r="H167" i="12"/>
  <c r="I167" i="12"/>
  <c r="J167" i="12"/>
  <c r="D168" i="12"/>
  <c r="E168" i="12"/>
  <c r="F168" i="12"/>
  <c r="G168" i="12"/>
  <c r="H168" i="12"/>
  <c r="I168" i="12"/>
  <c r="J168" i="12"/>
  <c r="D169" i="12"/>
  <c r="E169" i="12"/>
  <c r="F169" i="12"/>
  <c r="G169" i="12"/>
  <c r="H169" i="12"/>
  <c r="I169" i="12"/>
  <c r="J169" i="12"/>
  <c r="D170" i="12"/>
  <c r="E170" i="12"/>
  <c r="F170" i="12"/>
  <c r="G170" i="12"/>
  <c r="H170" i="12"/>
  <c r="I170" i="12"/>
  <c r="J170" i="12"/>
  <c r="D171" i="12"/>
  <c r="E171" i="12"/>
  <c r="F171" i="12"/>
  <c r="G171" i="12"/>
  <c r="H171" i="12"/>
  <c r="I171" i="12"/>
  <c r="J171" i="12"/>
  <c r="D172" i="12"/>
  <c r="E172" i="12"/>
  <c r="F172" i="12"/>
  <c r="G172" i="12"/>
  <c r="H172" i="12"/>
  <c r="I172" i="12"/>
  <c r="J172" i="12"/>
  <c r="D173" i="12"/>
  <c r="E173" i="12"/>
  <c r="F173" i="12"/>
  <c r="G173" i="12"/>
  <c r="H173" i="12"/>
  <c r="I173" i="12"/>
  <c r="J173" i="12"/>
  <c r="D174" i="12"/>
  <c r="E174" i="12"/>
  <c r="F174" i="12"/>
  <c r="G174" i="12"/>
  <c r="H174" i="12"/>
  <c r="I174" i="12"/>
  <c r="J174" i="12"/>
  <c r="D175" i="12"/>
  <c r="E175" i="12"/>
  <c r="F175" i="12"/>
  <c r="G175" i="12"/>
  <c r="H175" i="12"/>
  <c r="I175" i="12"/>
  <c r="J175" i="12"/>
  <c r="D176" i="12"/>
  <c r="E176" i="12"/>
  <c r="F176" i="12"/>
  <c r="G176" i="12"/>
  <c r="H176" i="12"/>
  <c r="I176" i="12"/>
  <c r="J176" i="12"/>
  <c r="D177" i="12"/>
  <c r="E177" i="12"/>
  <c r="F177" i="12"/>
  <c r="G177" i="12"/>
  <c r="H177" i="12"/>
  <c r="I177" i="12"/>
  <c r="J177" i="12"/>
  <c r="D178" i="12"/>
  <c r="E178" i="12"/>
  <c r="F178" i="12"/>
  <c r="G178" i="12"/>
  <c r="H178" i="12"/>
  <c r="I178" i="12"/>
  <c r="J178" i="12"/>
  <c r="D179" i="12"/>
  <c r="E179" i="12"/>
  <c r="F179" i="12"/>
  <c r="G179" i="12"/>
  <c r="H179" i="12"/>
  <c r="I179" i="12"/>
  <c r="J179" i="12"/>
  <c r="D180" i="12"/>
  <c r="E180" i="12"/>
  <c r="F180" i="12"/>
  <c r="G180" i="12"/>
  <c r="H180" i="12"/>
  <c r="I180" i="12"/>
  <c r="J180" i="12"/>
  <c r="D181" i="12"/>
  <c r="E181" i="12"/>
  <c r="F181" i="12"/>
  <c r="G181" i="12"/>
  <c r="H181" i="12"/>
  <c r="I181" i="12"/>
  <c r="J181" i="12"/>
  <c r="D182" i="12"/>
  <c r="E182" i="12"/>
  <c r="F182" i="12"/>
  <c r="G182" i="12"/>
  <c r="H182" i="12"/>
  <c r="I182" i="12"/>
  <c r="J182" i="12"/>
  <c r="D183" i="12"/>
  <c r="E183" i="12"/>
  <c r="F183" i="12"/>
  <c r="G183" i="12"/>
  <c r="H183" i="12"/>
  <c r="I183" i="12"/>
  <c r="J183" i="12"/>
  <c r="D184" i="12"/>
  <c r="E184" i="12"/>
  <c r="F184" i="12"/>
  <c r="G184" i="12"/>
  <c r="H184" i="12"/>
  <c r="I184" i="12"/>
  <c r="J184" i="12"/>
  <c r="D185" i="12"/>
  <c r="E185" i="12"/>
  <c r="F185" i="12"/>
  <c r="G185" i="12"/>
  <c r="H185" i="12"/>
  <c r="I185" i="12"/>
  <c r="J185" i="12"/>
  <c r="D186" i="12"/>
  <c r="E186" i="12"/>
  <c r="F186" i="12"/>
  <c r="G186" i="12"/>
  <c r="H186" i="12"/>
  <c r="I186" i="12"/>
  <c r="J186" i="12"/>
  <c r="D187" i="12"/>
  <c r="E187" i="12"/>
  <c r="F187" i="12"/>
  <c r="G187" i="12"/>
  <c r="H187" i="12"/>
  <c r="I187" i="12"/>
  <c r="J187" i="12"/>
  <c r="D188" i="12"/>
  <c r="E188" i="12"/>
  <c r="F188" i="12"/>
  <c r="G188" i="12"/>
  <c r="H188" i="12"/>
  <c r="I188" i="12"/>
  <c r="J188" i="12"/>
  <c r="D189" i="12"/>
  <c r="E189" i="12"/>
  <c r="F189" i="12"/>
  <c r="G189" i="12"/>
  <c r="H189" i="12"/>
  <c r="I189" i="12"/>
  <c r="J189" i="12"/>
  <c r="D190" i="12"/>
  <c r="E190" i="12"/>
  <c r="F190" i="12"/>
  <c r="G190" i="12"/>
  <c r="H190" i="12"/>
  <c r="I190" i="12"/>
  <c r="J190" i="12"/>
  <c r="D191" i="12"/>
  <c r="E191" i="12"/>
  <c r="F191" i="12"/>
  <c r="G191" i="12"/>
  <c r="H191" i="12"/>
  <c r="I191" i="12"/>
  <c r="J191" i="12"/>
  <c r="D192" i="12"/>
  <c r="E192" i="12"/>
  <c r="F192" i="12"/>
  <c r="G192" i="12"/>
  <c r="H192" i="12"/>
  <c r="I192" i="12"/>
  <c r="J192" i="12"/>
  <c r="D193" i="12"/>
  <c r="E193" i="12"/>
  <c r="F193" i="12"/>
  <c r="G193" i="12"/>
  <c r="H193" i="12"/>
  <c r="I193" i="12"/>
  <c r="J193" i="12"/>
  <c r="D194" i="12"/>
  <c r="E194" i="12"/>
  <c r="F194" i="12"/>
  <c r="G194" i="12"/>
  <c r="H194" i="12"/>
  <c r="I194" i="12"/>
  <c r="J194" i="12"/>
  <c r="D195" i="12"/>
  <c r="E195" i="12"/>
  <c r="F195" i="12"/>
  <c r="G195" i="12"/>
  <c r="H195" i="12"/>
  <c r="I195" i="12"/>
  <c r="J195" i="12"/>
  <c r="D196" i="12"/>
  <c r="E196" i="12"/>
  <c r="F196" i="12"/>
  <c r="G196" i="12"/>
  <c r="H196" i="12"/>
  <c r="I196" i="12"/>
  <c r="J196" i="12"/>
  <c r="D197" i="12"/>
  <c r="E197" i="12"/>
  <c r="F197" i="12"/>
  <c r="G197" i="12"/>
  <c r="H197" i="12"/>
  <c r="I197" i="12"/>
  <c r="J197" i="12"/>
  <c r="D198" i="12"/>
  <c r="E198" i="12"/>
  <c r="F198" i="12"/>
  <c r="G198" i="12"/>
  <c r="H198" i="12"/>
  <c r="I198" i="12"/>
  <c r="J198" i="12"/>
  <c r="D199" i="12"/>
  <c r="E199" i="12"/>
  <c r="F199" i="12"/>
  <c r="G199" i="12"/>
  <c r="H199" i="12"/>
  <c r="I199" i="12"/>
  <c r="J199" i="12"/>
  <c r="D200" i="12"/>
  <c r="E200" i="12"/>
  <c r="F200" i="12"/>
  <c r="G200" i="12"/>
  <c r="H200" i="12"/>
  <c r="I200" i="12"/>
  <c r="J200" i="12"/>
  <c r="D201" i="12"/>
  <c r="E201" i="12"/>
  <c r="F201" i="12"/>
  <c r="G201" i="12"/>
  <c r="H201" i="12"/>
  <c r="I201" i="12"/>
  <c r="J201" i="12"/>
  <c r="D202" i="12"/>
  <c r="E202" i="12"/>
  <c r="F202" i="12"/>
  <c r="G202" i="12"/>
  <c r="H202" i="12"/>
  <c r="I202" i="12"/>
  <c r="J202" i="12"/>
  <c r="D203" i="12"/>
  <c r="E203" i="12"/>
  <c r="F203" i="12"/>
  <c r="G203" i="12"/>
  <c r="H203" i="12"/>
  <c r="I203" i="12"/>
  <c r="J203" i="12"/>
  <c r="D204" i="12"/>
  <c r="E204" i="12"/>
  <c r="F204" i="12"/>
  <c r="G204" i="12"/>
  <c r="H204" i="12"/>
  <c r="I204" i="12"/>
  <c r="J204" i="12"/>
  <c r="D205" i="12"/>
  <c r="E205" i="12"/>
  <c r="F205" i="12"/>
  <c r="G205" i="12"/>
  <c r="H205" i="12"/>
  <c r="I205" i="12"/>
  <c r="J205" i="12"/>
  <c r="D206" i="12"/>
  <c r="E206" i="12"/>
  <c r="F206" i="12"/>
  <c r="G206" i="12"/>
  <c r="H206" i="12"/>
  <c r="I206" i="12"/>
  <c r="J206" i="12"/>
  <c r="D207" i="12"/>
  <c r="E207" i="12"/>
  <c r="F207" i="12"/>
  <c r="G207" i="12"/>
  <c r="H207" i="12"/>
  <c r="I207" i="12"/>
  <c r="J207" i="12"/>
  <c r="D208" i="12"/>
  <c r="E208" i="12"/>
  <c r="F208" i="12"/>
  <c r="G208" i="12"/>
  <c r="H208" i="12"/>
  <c r="I208" i="12"/>
  <c r="J208" i="12"/>
  <c r="D209" i="12"/>
  <c r="E209" i="12"/>
  <c r="F209" i="12"/>
  <c r="G209" i="12"/>
  <c r="H209" i="12"/>
  <c r="I209" i="12"/>
  <c r="J209" i="12"/>
  <c r="D210" i="12"/>
  <c r="E210" i="12"/>
  <c r="F210" i="12"/>
  <c r="G210" i="12"/>
  <c r="H210" i="12"/>
  <c r="I210" i="12"/>
  <c r="J210" i="12"/>
  <c r="D211" i="12"/>
  <c r="E211" i="12"/>
  <c r="F211" i="12"/>
  <c r="G211" i="12"/>
  <c r="H211" i="12"/>
  <c r="I211" i="12"/>
  <c r="J211" i="12"/>
  <c r="D212" i="12"/>
  <c r="E212" i="12"/>
  <c r="F212" i="12"/>
  <c r="G212" i="12"/>
  <c r="H212" i="12"/>
  <c r="I212" i="12"/>
  <c r="J212" i="12"/>
  <c r="D213" i="12"/>
  <c r="E213" i="12"/>
  <c r="F213" i="12"/>
  <c r="G213" i="12"/>
  <c r="H213" i="12"/>
  <c r="I213" i="12"/>
  <c r="J213" i="12"/>
  <c r="D214" i="12"/>
  <c r="E214" i="12"/>
  <c r="F214" i="12"/>
  <c r="G214" i="12"/>
  <c r="H214" i="12"/>
  <c r="I214" i="12"/>
  <c r="J214" i="12"/>
  <c r="D215" i="12"/>
  <c r="E215" i="12"/>
  <c r="F215" i="12"/>
  <c r="G215" i="12"/>
  <c r="H215" i="12"/>
  <c r="I215" i="12"/>
  <c r="J215" i="12"/>
  <c r="D216" i="12"/>
  <c r="E216" i="12"/>
  <c r="F216" i="12"/>
  <c r="G216" i="12"/>
  <c r="H216" i="12"/>
  <c r="I216" i="12"/>
  <c r="J216" i="12"/>
  <c r="D217" i="12"/>
  <c r="E217" i="12"/>
  <c r="F217" i="12"/>
  <c r="G217" i="12"/>
  <c r="H217" i="12"/>
  <c r="I217" i="12"/>
  <c r="J217" i="12"/>
  <c r="D218" i="12"/>
  <c r="E218" i="12"/>
  <c r="F218" i="12"/>
  <c r="G218" i="12"/>
  <c r="H218" i="12"/>
  <c r="I218" i="12"/>
  <c r="J218" i="12"/>
  <c r="D219" i="12"/>
  <c r="E219" i="12"/>
  <c r="F219" i="12"/>
  <c r="G219" i="12"/>
  <c r="H219" i="12"/>
  <c r="I219" i="12"/>
  <c r="J219" i="12"/>
  <c r="D220" i="12"/>
  <c r="E220" i="12"/>
  <c r="F220" i="12"/>
  <c r="G220" i="12"/>
  <c r="H220" i="12"/>
  <c r="I220" i="12"/>
  <c r="J220" i="12"/>
  <c r="D221" i="12"/>
  <c r="E221" i="12"/>
  <c r="F221" i="12"/>
  <c r="G221" i="12"/>
  <c r="H221" i="12"/>
  <c r="I221" i="12"/>
  <c r="J221" i="12"/>
  <c r="D222" i="12"/>
  <c r="E222" i="12"/>
  <c r="F222" i="12"/>
  <c r="G222" i="12"/>
  <c r="H222" i="12"/>
  <c r="I222" i="12"/>
  <c r="J222" i="12"/>
  <c r="D223" i="12"/>
  <c r="E223" i="12"/>
  <c r="F223" i="12"/>
  <c r="G223" i="12"/>
  <c r="H223" i="12"/>
  <c r="I223" i="12"/>
  <c r="J223" i="12"/>
  <c r="G20" i="49" l="1"/>
  <c r="G45" i="49"/>
  <c r="G55" i="49"/>
  <c r="G58" i="49"/>
  <c r="G30" i="49"/>
  <c r="G8" i="49"/>
  <c r="G33" i="49"/>
  <c r="G36" i="49" s="1"/>
  <c r="G61" i="49"/>
  <c r="G11" i="49"/>
  <c r="G14" i="49"/>
  <c r="G39" i="49"/>
  <c r="G49" i="49"/>
  <c r="G24" i="49"/>
  <c r="G17" i="49"/>
  <c r="G42" i="49"/>
  <c r="G52" i="49"/>
  <c r="G24" i="48"/>
  <c r="G20" i="48"/>
  <c r="G46" i="48"/>
  <c r="G56" i="48"/>
  <c r="G30" i="48"/>
  <c r="G59" i="48"/>
  <c r="G8" i="48"/>
  <c r="G33" i="48"/>
  <c r="G36" i="48" s="1"/>
  <c r="G62" i="48"/>
  <c r="G11" i="48"/>
  <c r="G14" i="48"/>
  <c r="G39" i="48"/>
  <c r="G50" i="48"/>
  <c r="G17" i="48"/>
  <c r="G42" i="48"/>
  <c r="G53" i="48"/>
  <c r="G46" i="46"/>
  <c r="G20" i="46"/>
  <c r="O1" i="46"/>
  <c r="P1" i="46"/>
  <c r="G39" i="46"/>
  <c r="G8" i="46"/>
  <c r="G27" i="46"/>
  <c r="G30" i="46"/>
  <c r="G49" i="46"/>
  <c r="G24" i="46"/>
  <c r="G52" i="46"/>
  <c r="G55" i="46"/>
  <c r="G14" i="46"/>
  <c r="G58" i="46"/>
  <c r="G42" i="46"/>
  <c r="G33" i="46"/>
  <c r="G36" i="46" s="1"/>
  <c r="G11" i="46"/>
  <c r="G17" i="46"/>
  <c r="B11" i="42"/>
  <c r="B2" i="42"/>
  <c r="B17" i="42"/>
  <c r="E442" i="41"/>
  <c r="D442" i="41"/>
  <c r="C442" i="41"/>
  <c r="D441" i="41"/>
  <c r="C441" i="41"/>
  <c r="E416" i="41"/>
  <c r="D416" i="41"/>
  <c r="C416" i="41"/>
  <c r="D415" i="41"/>
  <c r="C415" i="41"/>
  <c r="B396" i="41"/>
  <c r="B435" i="41" s="1"/>
  <c r="B474" i="41" s="1"/>
  <c r="B395" i="41"/>
  <c r="B434" i="41" s="1"/>
  <c r="B473" i="41" s="1"/>
  <c r="B384" i="41"/>
  <c r="B423" i="41" s="1"/>
  <c r="B462" i="41" s="1"/>
  <c r="B383" i="41"/>
  <c r="B422" i="41" s="1"/>
  <c r="B461" i="41" s="1"/>
  <c r="B372" i="41"/>
  <c r="B411" i="41" s="1"/>
  <c r="B450" i="41" s="1"/>
  <c r="B371" i="41"/>
  <c r="B410" i="41" s="1"/>
  <c r="B449" i="41" s="1"/>
  <c r="D361" i="41"/>
  <c r="C361" i="41"/>
  <c r="B357" i="41"/>
  <c r="B356" i="41"/>
  <c r="B354" i="41"/>
  <c r="B393" i="41" s="1"/>
  <c r="B432" i="41" s="1"/>
  <c r="B471" i="41" s="1"/>
  <c r="B350" i="41"/>
  <c r="B389" i="41" s="1"/>
  <c r="B428" i="41" s="1"/>
  <c r="B467" i="41" s="1"/>
  <c r="B349" i="41"/>
  <c r="B388" i="41" s="1"/>
  <c r="B427" i="41" s="1"/>
  <c r="B466" i="41" s="1"/>
  <c r="B345" i="41"/>
  <c r="B344" i="41"/>
  <c r="B342" i="41"/>
  <c r="B381" i="41" s="1"/>
  <c r="B420" i="41" s="1"/>
  <c r="B459" i="41" s="1"/>
  <c r="B338" i="41"/>
  <c r="B377" i="41" s="1"/>
  <c r="B416" i="41" s="1"/>
  <c r="B455" i="41" s="1"/>
  <c r="B337" i="41"/>
  <c r="B376" i="41" s="1"/>
  <c r="B415" i="41" s="1"/>
  <c r="B454" i="41" s="1"/>
  <c r="B333" i="41"/>
  <c r="B332" i="41"/>
  <c r="B330" i="41"/>
  <c r="B369" i="41" s="1"/>
  <c r="B408" i="41" s="1"/>
  <c r="B447" i="41" s="1"/>
  <c r="B486" i="41" s="1"/>
  <c r="B326" i="41"/>
  <c r="B365" i="41" s="1"/>
  <c r="B404" i="41" s="1"/>
  <c r="B443" i="41" s="1"/>
  <c r="B482" i="41" s="1"/>
  <c r="B325" i="41"/>
  <c r="B364" i="41" s="1"/>
  <c r="B403" i="41" s="1"/>
  <c r="B442" i="41" s="1"/>
  <c r="B481" i="41" s="1"/>
  <c r="F322" i="41"/>
  <c r="E322" i="41"/>
  <c r="D322" i="41"/>
  <c r="C322" i="41"/>
  <c r="D321" i="41"/>
  <c r="C321" i="41"/>
  <c r="B319" i="41"/>
  <c r="B358" i="41" s="1"/>
  <c r="B397" i="41" s="1"/>
  <c r="B436" i="41" s="1"/>
  <c r="B475" i="41" s="1"/>
  <c r="B318" i="41"/>
  <c r="B317" i="41"/>
  <c r="B316" i="41"/>
  <c r="B355" i="41" s="1"/>
  <c r="B394" i="41" s="1"/>
  <c r="B433" i="41" s="1"/>
  <c r="B472" i="41" s="1"/>
  <c r="B315" i="41"/>
  <c r="B314" i="41"/>
  <c r="B353" i="41" s="1"/>
  <c r="B392" i="41" s="1"/>
  <c r="B431" i="41" s="1"/>
  <c r="B470" i="41" s="1"/>
  <c r="B313" i="41"/>
  <c r="B352" i="41" s="1"/>
  <c r="B391" i="41" s="1"/>
  <c r="B430" i="41" s="1"/>
  <c r="B469" i="41" s="1"/>
  <c r="B312" i="41"/>
  <c r="B351" i="41" s="1"/>
  <c r="B390" i="41" s="1"/>
  <c r="B429" i="41" s="1"/>
  <c r="B468" i="41" s="1"/>
  <c r="B311" i="41"/>
  <c r="B310" i="41"/>
  <c r="B309" i="41"/>
  <c r="B348" i="41" s="1"/>
  <c r="B387" i="41" s="1"/>
  <c r="B426" i="41" s="1"/>
  <c r="B465" i="41" s="1"/>
  <c r="B308" i="41"/>
  <c r="B347" i="41" s="1"/>
  <c r="B386" i="41" s="1"/>
  <c r="B425" i="41" s="1"/>
  <c r="B464" i="41" s="1"/>
  <c r="B307" i="41"/>
  <c r="B346" i="41" s="1"/>
  <c r="B385" i="41" s="1"/>
  <c r="B424" i="41" s="1"/>
  <c r="B463" i="41" s="1"/>
  <c r="B306" i="41"/>
  <c r="B305" i="41"/>
  <c r="B304" i="41"/>
  <c r="B343" i="41" s="1"/>
  <c r="B382" i="41" s="1"/>
  <c r="B421" i="41" s="1"/>
  <c r="B460" i="41" s="1"/>
  <c r="B303" i="41"/>
  <c r="B302" i="41"/>
  <c r="B341" i="41" s="1"/>
  <c r="B380" i="41" s="1"/>
  <c r="B419" i="41" s="1"/>
  <c r="B458" i="41" s="1"/>
  <c r="B301" i="41"/>
  <c r="B340" i="41" s="1"/>
  <c r="B379" i="41" s="1"/>
  <c r="B418" i="41" s="1"/>
  <c r="B457" i="41" s="1"/>
  <c r="B300" i="41"/>
  <c r="B339" i="41" s="1"/>
  <c r="B378" i="41" s="1"/>
  <c r="B417" i="41" s="1"/>
  <c r="B456" i="41" s="1"/>
  <c r="B299" i="41"/>
  <c r="B298" i="41"/>
  <c r="B297" i="41"/>
  <c r="B336" i="41" s="1"/>
  <c r="B375" i="41" s="1"/>
  <c r="B414" i="41" s="1"/>
  <c r="B453" i="41" s="1"/>
  <c r="B296" i="41"/>
  <c r="B335" i="41" s="1"/>
  <c r="B374" i="41" s="1"/>
  <c r="B413" i="41" s="1"/>
  <c r="B452" i="41" s="1"/>
  <c r="B295" i="41"/>
  <c r="B334" i="41" s="1"/>
  <c r="B373" i="41" s="1"/>
  <c r="B412" i="41" s="1"/>
  <c r="B451" i="41" s="1"/>
  <c r="B294" i="41"/>
  <c r="B293" i="41"/>
  <c r="B292" i="41"/>
  <c r="B331" i="41" s="1"/>
  <c r="B370" i="41" s="1"/>
  <c r="B409" i="41" s="1"/>
  <c r="B448" i="41" s="1"/>
  <c r="B487" i="41" s="1"/>
  <c r="B291" i="41"/>
  <c r="B290" i="41"/>
  <c r="B329" i="41" s="1"/>
  <c r="B368" i="41" s="1"/>
  <c r="B407" i="41" s="1"/>
  <c r="B446" i="41" s="1"/>
  <c r="B485" i="41" s="1"/>
  <c r="B289" i="41"/>
  <c r="B328" i="41" s="1"/>
  <c r="B367" i="41" s="1"/>
  <c r="B406" i="41" s="1"/>
  <c r="B445" i="41" s="1"/>
  <c r="B484" i="41" s="1"/>
  <c r="B288" i="41"/>
  <c r="B327" i="41" s="1"/>
  <c r="B366" i="41" s="1"/>
  <c r="B405" i="41" s="1"/>
  <c r="B444" i="41" s="1"/>
  <c r="B483" i="41" s="1"/>
  <c r="B287" i="41"/>
  <c r="B286" i="41"/>
  <c r="B285" i="41"/>
  <c r="B324" i="41" s="1"/>
  <c r="B363" i="41" s="1"/>
  <c r="B402" i="41" s="1"/>
  <c r="B441" i="41" s="1"/>
  <c r="B480" i="41" s="1"/>
  <c r="B284" i="41"/>
  <c r="B323" i="41" s="1"/>
  <c r="B362" i="41" s="1"/>
  <c r="B401" i="41" s="1"/>
  <c r="B440" i="41" s="1"/>
  <c r="B479" i="41" s="1"/>
  <c r="B283" i="41"/>
  <c r="B322" i="41" s="1"/>
  <c r="B361" i="41" s="1"/>
  <c r="B400" i="41" s="1"/>
  <c r="B439" i="41" s="1"/>
  <c r="B478" i="41" s="1"/>
  <c r="F282" i="41"/>
  <c r="E282" i="41"/>
  <c r="D282" i="41"/>
  <c r="C282" i="41"/>
  <c r="B282" i="41"/>
  <c r="B321" i="41" s="1"/>
  <c r="B360" i="41" s="1"/>
  <c r="B399" i="41" s="1"/>
  <c r="B438" i="41" s="1"/>
  <c r="B477" i="41" s="1"/>
  <c r="D281" i="41"/>
  <c r="C281" i="41"/>
  <c r="F242" i="41"/>
  <c r="E242" i="41"/>
  <c r="D242" i="41"/>
  <c r="C242" i="41"/>
  <c r="D241" i="41"/>
  <c r="C241" i="41"/>
  <c r="B241" i="41"/>
  <c r="B281" i="41" s="1"/>
  <c r="B320" i="41" s="1"/>
  <c r="B359" i="41" s="1"/>
  <c r="B398" i="41" s="1"/>
  <c r="B437" i="41" s="1"/>
  <c r="B476" i="41" s="1"/>
  <c r="D235" i="41"/>
  <c r="C235" i="41"/>
  <c r="F202" i="41"/>
  <c r="E202" i="41"/>
  <c r="D202" i="41"/>
  <c r="C202" i="41"/>
  <c r="B202" i="41"/>
  <c r="B201" i="41"/>
  <c r="A201" i="41"/>
  <c r="G197" i="41"/>
  <c r="F162" i="41"/>
  <c r="E162" i="41"/>
  <c r="D162" i="41"/>
  <c r="C162" i="41"/>
  <c r="A161" i="41"/>
  <c r="G158" i="41"/>
  <c r="G159" i="41" s="1"/>
  <c r="G157" i="41"/>
  <c r="F122" i="41"/>
  <c r="E122" i="41"/>
  <c r="D122" i="41"/>
  <c r="C122" i="41"/>
  <c r="A121" i="41"/>
  <c r="F82" i="41"/>
  <c r="E82" i="41"/>
  <c r="D82" i="41"/>
  <c r="C82" i="41"/>
  <c r="G81" i="41"/>
  <c r="A81" i="41"/>
  <c r="B80" i="41"/>
  <c r="B79" i="41"/>
  <c r="G78" i="41"/>
  <c r="G80" i="41" s="1"/>
  <c r="B78" i="41"/>
  <c r="B77" i="41"/>
  <c r="B76" i="41"/>
  <c r="B75" i="41"/>
  <c r="B74" i="41"/>
  <c r="B73" i="41"/>
  <c r="B72" i="41"/>
  <c r="B71" i="41"/>
  <c r="B70" i="41"/>
  <c r="B69" i="41"/>
  <c r="B68" i="41"/>
  <c r="B67" i="41"/>
  <c r="B66" i="41"/>
  <c r="B65" i="41"/>
  <c r="B64" i="41"/>
  <c r="B63" i="41"/>
  <c r="B62" i="41"/>
  <c r="B61" i="41"/>
  <c r="B60" i="41"/>
  <c r="B59" i="41"/>
  <c r="B58" i="41"/>
  <c r="B57" i="41"/>
  <c r="B56" i="41"/>
  <c r="B55" i="41"/>
  <c r="B54" i="41"/>
  <c r="B53" i="41"/>
  <c r="B52" i="41"/>
  <c r="B51" i="41"/>
  <c r="B50" i="41"/>
  <c r="B49" i="41"/>
  <c r="B48" i="41"/>
  <c r="B47" i="41"/>
  <c r="B46" i="41"/>
  <c r="B45" i="41"/>
  <c r="B44" i="41"/>
  <c r="B43" i="41"/>
  <c r="F42" i="41"/>
  <c r="E42" i="41"/>
  <c r="D42" i="41"/>
  <c r="C42" i="41"/>
  <c r="A41" i="41"/>
  <c r="C3" i="41"/>
  <c r="G37" i="41" s="1"/>
  <c r="F2" i="41"/>
  <c r="E2" i="41"/>
  <c r="D2" i="41"/>
  <c r="C2" i="41"/>
  <c r="D1" i="41"/>
  <c r="D161" i="41" s="1"/>
  <c r="C1" i="41"/>
  <c r="C161" i="41" s="1"/>
  <c r="B387" i="17"/>
  <c r="F377" i="17"/>
  <c r="E377" i="17"/>
  <c r="D377" i="17"/>
  <c r="C377" i="17"/>
  <c r="D376" i="17"/>
  <c r="C376" i="17"/>
  <c r="F335" i="17"/>
  <c r="E335" i="17"/>
  <c r="D335" i="17"/>
  <c r="C335" i="17"/>
  <c r="B335" i="17"/>
  <c r="D334" i="17"/>
  <c r="C334" i="17"/>
  <c r="F293" i="17"/>
  <c r="E293" i="17"/>
  <c r="D293" i="17"/>
  <c r="C293" i="17"/>
  <c r="B293" i="17"/>
  <c r="D292" i="17"/>
  <c r="C292" i="17"/>
  <c r="F251" i="17"/>
  <c r="E251" i="17"/>
  <c r="D251" i="17"/>
  <c r="C251" i="17"/>
  <c r="B251" i="17"/>
  <c r="D250" i="17"/>
  <c r="C250" i="17"/>
  <c r="B250" i="17"/>
  <c r="F209" i="17"/>
  <c r="E209" i="17"/>
  <c r="D209" i="17"/>
  <c r="C209" i="17"/>
  <c r="B209" i="17"/>
  <c r="D208" i="17"/>
  <c r="C208" i="17"/>
  <c r="B208" i="17"/>
  <c r="F167" i="17"/>
  <c r="E167" i="17"/>
  <c r="D167" i="17"/>
  <c r="C167" i="17"/>
  <c r="B167" i="17"/>
  <c r="D166" i="17"/>
  <c r="C166" i="17"/>
  <c r="B166" i="17"/>
  <c r="B157" i="17"/>
  <c r="B199" i="17" s="1"/>
  <c r="B241" i="17" s="1"/>
  <c r="B283" i="17" s="1"/>
  <c r="B325" i="17" s="1"/>
  <c r="B367" i="17" s="1"/>
  <c r="B409" i="17" s="1"/>
  <c r="B139" i="17"/>
  <c r="B223" i="17" s="1"/>
  <c r="B307" i="17" s="1"/>
  <c r="B391" i="17" s="1"/>
  <c r="F125" i="17"/>
  <c r="E125" i="17"/>
  <c r="D125" i="17"/>
  <c r="C125" i="17"/>
  <c r="B125" i="17"/>
  <c r="B377" i="17" s="1"/>
  <c r="B124" i="17"/>
  <c r="B376" i="17" s="1"/>
  <c r="B115" i="17"/>
  <c r="B97" i="17"/>
  <c r="B181" i="17" s="1"/>
  <c r="B265" i="17" s="1"/>
  <c r="B349" i="17" s="1"/>
  <c r="F83" i="17"/>
  <c r="E83" i="17"/>
  <c r="D83" i="17"/>
  <c r="C83" i="17"/>
  <c r="F41" i="17"/>
  <c r="E41" i="17"/>
  <c r="G2" i="17"/>
  <c r="B40" i="17"/>
  <c r="B292" i="17" s="1"/>
  <c r="C3" i="17"/>
  <c r="D3" i="17" s="1"/>
  <c r="E3" i="17" s="1"/>
  <c r="F3" i="17" s="1"/>
  <c r="F2" i="17"/>
  <c r="E2" i="17"/>
  <c r="D2" i="17"/>
  <c r="C2" i="17"/>
  <c r="D1" i="17"/>
  <c r="D40" i="17" s="1"/>
  <c r="D82" i="17" s="1"/>
  <c r="C1" i="17"/>
  <c r="C40" i="17" s="1"/>
  <c r="C82" i="17" s="1"/>
  <c r="M23" i="21"/>
  <c r="M22" i="21"/>
  <c r="I22" i="21"/>
  <c r="H22" i="21"/>
  <c r="N21" i="21"/>
  <c r="I21" i="21"/>
  <c r="H21" i="21"/>
  <c r="B21" i="21"/>
  <c r="D20" i="21" s="1"/>
  <c r="I20" i="21"/>
  <c r="H20" i="21"/>
  <c r="B20" i="21"/>
  <c r="C20" i="21" s="1"/>
  <c r="N19" i="21"/>
  <c r="I19" i="21"/>
  <c r="H19" i="21"/>
  <c r="B19" i="21"/>
  <c r="C19" i="21" s="1"/>
  <c r="I18" i="21"/>
  <c r="H18" i="21"/>
  <c r="I17" i="21"/>
  <c r="H17" i="21"/>
  <c r="B17" i="21"/>
  <c r="N16" i="21"/>
  <c r="C16" i="21" s="1"/>
  <c r="I16" i="21"/>
  <c r="H16" i="21"/>
  <c r="B16" i="21"/>
  <c r="B15" i="21"/>
  <c r="M15" i="21" s="1"/>
  <c r="I14" i="21"/>
  <c r="H14" i="21"/>
  <c r="B14" i="21"/>
  <c r="N13" i="21"/>
  <c r="C13" i="21" s="1"/>
  <c r="I13" i="21"/>
  <c r="H13" i="21"/>
  <c r="B13" i="21"/>
  <c r="D14" i="21" s="1"/>
  <c r="I12" i="21"/>
  <c r="H12" i="21"/>
  <c r="I11" i="21"/>
  <c r="H11" i="21"/>
  <c r="B11" i="21"/>
  <c r="N10" i="21"/>
  <c r="I10" i="21"/>
  <c r="H10" i="21"/>
  <c r="B10" i="21"/>
  <c r="C10" i="21" s="1"/>
  <c r="I9" i="21"/>
  <c r="H9" i="21"/>
  <c r="B9" i="21"/>
  <c r="N8" i="21"/>
  <c r="I8" i="21"/>
  <c r="H8" i="21"/>
  <c r="C8" i="21"/>
  <c r="B8" i="21"/>
  <c r="I7" i="21"/>
  <c r="H7" i="21"/>
  <c r="B7" i="21"/>
  <c r="D6" i="21" s="1"/>
  <c r="N6" i="21"/>
  <c r="L6" i="21"/>
  <c r="L8" i="21" s="1"/>
  <c r="L10" i="21" s="1"/>
  <c r="L13" i="21" s="1"/>
  <c r="L16" i="21" s="1"/>
  <c r="L19" i="21" s="1"/>
  <c r="L21" i="21" s="1"/>
  <c r="I6" i="21"/>
  <c r="H6" i="21"/>
  <c r="C6" i="21"/>
  <c r="B6" i="21"/>
  <c r="A6" i="21"/>
  <c r="A8" i="21" s="1"/>
  <c r="A10" i="21" s="1"/>
  <c r="A13" i="21" s="1"/>
  <c r="A16" i="21" s="1"/>
  <c r="A19" i="21" s="1"/>
  <c r="A21" i="21" s="1"/>
  <c r="I5" i="21"/>
  <c r="H5" i="21"/>
  <c r="B5" i="21"/>
  <c r="I4" i="21"/>
  <c r="H4" i="21"/>
  <c r="B4" i="21"/>
  <c r="I3" i="21"/>
  <c r="H3" i="21"/>
  <c r="B3" i="21"/>
  <c r="N2" i="21"/>
  <c r="I2" i="21"/>
  <c r="F7" i="21" s="1"/>
  <c r="H2" i="21"/>
  <c r="C2" i="21"/>
  <c r="B2" i="21"/>
  <c r="L1" i="21"/>
  <c r="I1" i="21"/>
  <c r="G1" i="21"/>
  <c r="D1" i="21"/>
  <c r="C1" i="21"/>
  <c r="A1" i="21"/>
  <c r="A54" i="40"/>
  <c r="D54" i="40" s="1"/>
  <c r="A52" i="40"/>
  <c r="D52" i="40" s="1"/>
  <c r="A50" i="40"/>
  <c r="D50" i="40" s="1"/>
  <c r="A48" i="40"/>
  <c r="D48" i="40" s="1"/>
  <c r="A46" i="40"/>
  <c r="D46" i="40" s="1"/>
  <c r="A43" i="40"/>
  <c r="D43" i="40" s="1"/>
  <c r="A41" i="40"/>
  <c r="D41" i="40" s="1"/>
  <c r="A39" i="40"/>
  <c r="D39" i="40" s="1"/>
  <c r="A37" i="40"/>
  <c r="D37" i="40" s="1"/>
  <c r="A35" i="40"/>
  <c r="D35" i="40" s="1"/>
  <c r="A32" i="40"/>
  <c r="D32" i="40" s="1"/>
  <c r="A30" i="40"/>
  <c r="D30" i="40" s="1"/>
  <c r="A28" i="40"/>
  <c r="D28" i="40" s="1"/>
  <c r="A26" i="40"/>
  <c r="D26" i="40" s="1"/>
  <c r="A24" i="40"/>
  <c r="D24" i="40" s="1"/>
  <c r="A21" i="40"/>
  <c r="D21" i="40" s="1"/>
  <c r="A19" i="40"/>
  <c r="D19" i="40" s="1"/>
  <c r="A17" i="40"/>
  <c r="D17" i="40" s="1"/>
  <c r="A15" i="40"/>
  <c r="D15" i="40" s="1"/>
  <c r="A13" i="40"/>
  <c r="D13" i="40" s="1"/>
  <c r="A10" i="40"/>
  <c r="D10" i="40" s="1"/>
  <c r="A8" i="40"/>
  <c r="D8" i="40" s="1"/>
  <c r="B6" i="40"/>
  <c r="B8" i="40" s="1"/>
  <c r="B10" i="40" s="1"/>
  <c r="A6" i="40"/>
  <c r="D6" i="40" s="1"/>
  <c r="E4" i="40"/>
  <c r="E6" i="40" s="1"/>
  <c r="E8" i="40" s="1"/>
  <c r="E10" i="40" s="1"/>
  <c r="B13" i="40" s="1"/>
  <c r="B4" i="40"/>
  <c r="A4" i="40"/>
  <c r="D4" i="40" s="1"/>
  <c r="E2" i="40"/>
  <c r="A2" i="40"/>
  <c r="D2" i="40" s="1"/>
  <c r="A54" i="12"/>
  <c r="D2" i="31"/>
  <c r="C2" i="31"/>
  <c r="B2" i="31"/>
  <c r="A2" i="31"/>
  <c r="B94" i="27"/>
  <c r="A94" i="27"/>
  <c r="B93" i="27"/>
  <c r="A93" i="27"/>
  <c r="B92" i="27"/>
  <c r="A92" i="27"/>
  <c r="B91" i="27"/>
  <c r="A91" i="27"/>
  <c r="B90" i="27"/>
  <c r="A90" i="27"/>
  <c r="B89" i="27"/>
  <c r="A89" i="27"/>
  <c r="B88" i="27"/>
  <c r="A88" i="27"/>
  <c r="B87" i="27"/>
  <c r="A87" i="27"/>
  <c r="B86" i="27"/>
  <c r="A86" i="27"/>
  <c r="B85" i="27"/>
  <c r="A85" i="27"/>
  <c r="B84" i="27"/>
  <c r="A84" i="27"/>
  <c r="B83" i="27"/>
  <c r="A83" i="27"/>
  <c r="D82" i="27"/>
  <c r="B82" i="27"/>
  <c r="A82" i="27"/>
  <c r="D81" i="27"/>
  <c r="B81" i="27"/>
  <c r="A81" i="27"/>
  <c r="D80" i="27"/>
  <c r="B80" i="27"/>
  <c r="A80" i="27"/>
  <c r="D79" i="27"/>
  <c r="B79" i="27"/>
  <c r="A79" i="27"/>
  <c r="B78" i="27"/>
  <c r="A78" i="27"/>
  <c r="D77" i="27"/>
  <c r="B77" i="27"/>
  <c r="A77" i="27"/>
  <c r="D76" i="27"/>
  <c r="B76" i="27"/>
  <c r="A76" i="27"/>
  <c r="D75" i="27"/>
  <c r="B75" i="27"/>
  <c r="A75" i="27"/>
  <c r="B74" i="27"/>
  <c r="A74" i="27"/>
  <c r="B73" i="27"/>
  <c r="A73" i="27"/>
  <c r="B72" i="27"/>
  <c r="A72" i="27"/>
  <c r="B71" i="27"/>
  <c r="A71" i="27"/>
  <c r="B70" i="27"/>
  <c r="A70" i="27"/>
  <c r="C59" i="27"/>
  <c r="B59" i="27"/>
  <c r="C58" i="27"/>
  <c r="B58" i="27"/>
  <c r="C57" i="27"/>
  <c r="B57" i="27"/>
  <c r="D41" i="27"/>
  <c r="C38" i="27"/>
  <c r="B38" i="27"/>
  <c r="B32" i="27"/>
  <c r="B30" i="27"/>
  <c r="B29" i="27"/>
  <c r="B28" i="27"/>
  <c r="D5" i="27"/>
  <c r="C5" i="27"/>
  <c r="B5" i="27"/>
  <c r="D4" i="27"/>
  <c r="C4" i="27"/>
  <c r="B4" i="27"/>
  <c r="A4" i="27"/>
  <c r="C3" i="27"/>
  <c r="B3" i="27"/>
  <c r="D32" i="27" s="1"/>
  <c r="A3" i="27"/>
  <c r="C2" i="27"/>
  <c r="B2" i="27"/>
  <c r="D29" i="27" s="1"/>
  <c r="A2" i="27"/>
  <c r="C1" i="27"/>
  <c r="A45" i="38"/>
  <c r="A46" i="38" s="1"/>
  <c r="A47" i="38" s="1"/>
  <c r="A51" i="38" s="1"/>
  <c r="A52" i="38" s="1"/>
  <c r="A53" i="38" s="1"/>
  <c r="A54" i="38" s="1"/>
  <c r="A55" i="38" s="1"/>
  <c r="A56" i="38" s="1"/>
  <c r="A57" i="38" s="1"/>
  <c r="A59" i="38" s="1"/>
  <c r="A60" i="38" s="1"/>
  <c r="A61" i="38" s="1"/>
  <c r="A62" i="38" s="1"/>
  <c r="B2" i="38"/>
  <c r="C1" i="38"/>
  <c r="T1" i="32"/>
  <c r="F1" i="32"/>
  <c r="E1" i="32"/>
  <c r="C1" i="32"/>
  <c r="B1" i="32"/>
  <c r="B14" i="42"/>
  <c r="B8" i="42"/>
  <c r="G61" i="42"/>
  <c r="B5" i="42"/>
  <c r="A2" i="42"/>
  <c r="P1" i="42"/>
  <c r="O1" i="42"/>
  <c r="G1" i="42"/>
  <c r="D1" i="42"/>
  <c r="A11" i="13"/>
  <c r="A12" i="13" s="1"/>
  <c r="A14" i="13" s="1"/>
  <c r="A15" i="13" s="1"/>
  <c r="A16" i="13" s="1"/>
  <c r="A18" i="13" s="1"/>
  <c r="A19" i="13" s="1"/>
  <c r="A20" i="13" s="1"/>
  <c r="A21" i="13" s="1"/>
  <c r="A23" i="13" s="1"/>
  <c r="A24" i="13" s="1"/>
  <c r="F7" i="13"/>
  <c r="D7" i="13"/>
  <c r="C7" i="13"/>
  <c r="B7" i="13"/>
  <c r="F6" i="13"/>
  <c r="D6" i="13"/>
  <c r="C6" i="13"/>
  <c r="B6" i="13"/>
  <c r="F5" i="13"/>
  <c r="D5" i="13"/>
  <c r="C5" i="13"/>
  <c r="B5" i="13"/>
  <c r="F4" i="13"/>
  <c r="D4" i="13"/>
  <c r="C4" i="13"/>
  <c r="B4" i="13"/>
  <c r="F3" i="13"/>
  <c r="D3" i="13"/>
  <c r="C3" i="13"/>
  <c r="B3" i="13"/>
  <c r="F2" i="13"/>
  <c r="D2" i="13"/>
  <c r="C2" i="13"/>
  <c r="B2" i="13"/>
  <c r="I1" i="13"/>
  <c r="G1" i="13"/>
  <c r="D1" i="13"/>
  <c r="C2" i="2"/>
  <c r="D1" i="2"/>
  <c r="B15" i="40" l="1"/>
  <c r="B17" i="40" s="1"/>
  <c r="B19" i="40" s="1"/>
  <c r="B21" i="40" s="1"/>
  <c r="E13" i="40"/>
  <c r="E15" i="40" s="1"/>
  <c r="E17" i="40" s="1"/>
  <c r="E19" i="40" s="1"/>
  <c r="E21" i="40" s="1"/>
  <c r="B24" i="40" s="1"/>
  <c r="G198" i="41"/>
  <c r="G199" i="41" s="1"/>
  <c r="G117" i="41"/>
  <c r="A26" i="13"/>
  <c r="A29" i="13" s="1"/>
  <c r="A30" i="13" s="1"/>
  <c r="A31" i="13" s="1"/>
  <c r="A32" i="13" s="1"/>
  <c r="A34" i="13" s="1"/>
  <c r="A35" i="13" s="1"/>
  <c r="A37" i="13" s="1"/>
  <c r="A38" i="13" s="1"/>
  <c r="A40" i="13" s="1"/>
  <c r="A25" i="13"/>
  <c r="A5" i="48"/>
  <c r="A5" i="49"/>
  <c r="D11" i="21"/>
  <c r="G120" i="41"/>
  <c r="G119" i="41" s="1"/>
  <c r="B82" i="17"/>
  <c r="B334" i="17" s="1"/>
  <c r="A55" i="12"/>
  <c r="A5" i="46"/>
  <c r="G33" i="42"/>
  <c r="G36" i="42" s="1"/>
  <c r="G39" i="42"/>
  <c r="G42" i="42"/>
  <c r="G46" i="42"/>
  <c r="G49" i="42"/>
  <c r="G55" i="42"/>
  <c r="G27" i="42"/>
  <c r="G58" i="42"/>
  <c r="G52" i="42"/>
  <c r="G30" i="42"/>
  <c r="A5" i="42"/>
  <c r="D3" i="41"/>
  <c r="C121" i="41"/>
  <c r="C41" i="41"/>
  <c r="C81" i="41" s="1"/>
  <c r="C21" i="21"/>
  <c r="C124" i="17"/>
  <c r="D41" i="41"/>
  <c r="D81" i="41" s="1"/>
  <c r="D121" i="41"/>
  <c r="C201" i="41"/>
  <c r="D124" i="17"/>
  <c r="D201" i="41"/>
  <c r="A8" i="46" l="1"/>
  <c r="A8" i="48"/>
  <c r="A8" i="49"/>
  <c r="A42" i="13"/>
  <c r="A43" i="13" s="1"/>
  <c r="A46" i="13" s="1"/>
  <c r="A47" i="13" s="1"/>
  <c r="A48" i="13" s="1"/>
  <c r="A49" i="13" s="1"/>
  <c r="A50" i="13" s="1"/>
  <c r="A51" i="13" s="1"/>
  <c r="A41" i="13"/>
  <c r="E24" i="40"/>
  <c r="E26" i="40" s="1"/>
  <c r="E28" i="40" s="1"/>
  <c r="E30" i="40" s="1"/>
  <c r="E32" i="40" s="1"/>
  <c r="B35" i="40" s="1"/>
  <c r="B26" i="40"/>
  <c r="B28" i="40" s="1"/>
  <c r="B30" i="40" s="1"/>
  <c r="B32" i="40" s="1"/>
  <c r="A8" i="42"/>
  <c r="A56" i="12"/>
  <c r="E3" i="41"/>
  <c r="A57" i="12"/>
  <c r="F3" i="41"/>
  <c r="A11" i="42"/>
  <c r="A14" i="46" l="1"/>
  <c r="A14" i="48"/>
  <c r="A14" i="49"/>
  <c r="A11" i="46"/>
  <c r="A11" i="48"/>
  <c r="A11" i="49"/>
  <c r="B37" i="40"/>
  <c r="B39" i="40" s="1"/>
  <c r="B41" i="40" s="1"/>
  <c r="B43" i="40" s="1"/>
  <c r="E35" i="40"/>
  <c r="E37" i="40" s="1"/>
  <c r="E39" i="40" s="1"/>
  <c r="E41" i="40" s="1"/>
  <c r="E43" i="40" s="1"/>
  <c r="B46" i="40" s="1"/>
  <c r="C43" i="41"/>
  <c r="G3" i="17"/>
  <c r="H3" i="17" s="1"/>
  <c r="E42" i="17" s="1"/>
  <c r="F42" i="17" s="1"/>
  <c r="A14" i="42"/>
  <c r="A58" i="12"/>
  <c r="A17" i="46" l="1"/>
  <c r="A17" i="48"/>
  <c r="A17" i="49"/>
  <c r="B48" i="40"/>
  <c r="B50" i="40" s="1"/>
  <c r="B52" i="40" s="1"/>
  <c r="B54" i="40" s="1"/>
  <c r="E46" i="40"/>
  <c r="E48" i="40" s="1"/>
  <c r="E50" i="40" s="1"/>
  <c r="E52" i="40" s="1"/>
  <c r="E54" i="40" s="1"/>
  <c r="D43" i="41"/>
  <c r="A17" i="42"/>
  <c r="A59" i="12"/>
  <c r="A20" i="46" l="1"/>
  <c r="A20" i="49"/>
  <c r="A20" i="48"/>
  <c r="E43" i="41"/>
  <c r="A20" i="42"/>
  <c r="A60" i="12"/>
  <c r="A24" i="46" l="1"/>
  <c r="A24" i="48"/>
  <c r="A24" i="49"/>
  <c r="A24" i="42"/>
  <c r="A61" i="12"/>
  <c r="F43" i="41"/>
  <c r="C83" i="41" s="1"/>
  <c r="D83" i="41" s="1"/>
  <c r="E83" i="41" s="1"/>
  <c r="F83" i="41" s="1"/>
  <c r="C123" i="41" s="1"/>
  <c r="D123" i="41" s="1"/>
  <c r="E123" i="41" s="1"/>
  <c r="F123" i="41" s="1"/>
  <c r="A27" i="46" l="1"/>
  <c r="A27" i="48"/>
  <c r="A27" i="49"/>
  <c r="C84" i="17"/>
  <c r="D84" i="17" s="1"/>
  <c r="E84" i="17" s="1"/>
  <c r="F84" i="17" s="1"/>
  <c r="A62" i="12"/>
  <c r="A27" i="42"/>
  <c r="A30" i="46" l="1"/>
  <c r="A30" i="49"/>
  <c r="A30" i="48"/>
  <c r="A30" i="42"/>
  <c r="A63" i="12"/>
  <c r="A33" i="46" l="1"/>
  <c r="A33" i="48"/>
  <c r="A33" i="49"/>
  <c r="A64" i="12"/>
  <c r="A33" i="42"/>
  <c r="A36" i="46" l="1"/>
  <c r="A36" i="48"/>
  <c r="A36" i="49"/>
  <c r="A36" i="42"/>
  <c r="A65" i="12"/>
  <c r="A39" i="46" l="1"/>
  <c r="A39" i="49"/>
  <c r="A39" i="48"/>
  <c r="A39" i="42"/>
  <c r="C126" i="17"/>
  <c r="D126" i="17" s="1"/>
  <c r="E126" i="17" s="1"/>
  <c r="F126" i="17" s="1"/>
  <c r="A66" i="12"/>
  <c r="A45" i="49" l="1"/>
  <c r="A42" i="49"/>
  <c r="A42" i="48"/>
  <c r="A42" i="46"/>
  <c r="A67" i="12"/>
  <c r="A42" i="42"/>
  <c r="A46" i="48" l="1"/>
  <c r="A49" i="49"/>
  <c r="A46" i="46"/>
  <c r="A68" i="12"/>
  <c r="A46" i="42"/>
  <c r="A52" i="49" l="1"/>
  <c r="A50" i="48"/>
  <c r="A49" i="46"/>
  <c r="A69" i="12"/>
  <c r="A49" i="42"/>
  <c r="A55" i="49" l="1"/>
  <c r="A53" i="48"/>
  <c r="A52" i="46"/>
  <c r="C163" i="41"/>
  <c r="A52" i="42"/>
  <c r="C168" i="17"/>
  <c r="D168" i="17" s="1"/>
  <c r="E168" i="17" s="1"/>
  <c r="F168" i="17" s="1"/>
  <c r="A70" i="12"/>
  <c r="A56" i="48" l="1"/>
  <c r="A55" i="46"/>
  <c r="A58" i="49"/>
  <c r="D163" i="41"/>
  <c r="A71" i="12"/>
  <c r="A55" i="42"/>
  <c r="A59" i="48" l="1"/>
  <c r="A58" i="46"/>
  <c r="A61" i="49"/>
  <c r="E163" i="41"/>
  <c r="A72" i="12"/>
  <c r="A58" i="42"/>
  <c r="A61" i="42" l="1"/>
  <c r="A62" i="48"/>
  <c r="A61" i="46"/>
  <c r="A64" i="49"/>
  <c r="A73" i="12"/>
  <c r="F163" i="41"/>
  <c r="C203" i="41" s="1"/>
  <c r="D203" i="41" s="1"/>
  <c r="E203" i="41" s="1"/>
  <c r="F203" i="41" s="1"/>
  <c r="C243" i="41" s="1"/>
  <c r="D243" i="41" s="1"/>
  <c r="E243" i="41" s="1"/>
  <c r="F243" i="41" s="1"/>
  <c r="A65" i="48" l="1"/>
  <c r="A64" i="46"/>
  <c r="A67" i="49"/>
  <c r="A64" i="42"/>
  <c r="C210" i="17"/>
  <c r="A74" i="12"/>
  <c r="A68" i="46" l="1"/>
  <c r="A68" i="42"/>
  <c r="A71" i="49"/>
  <c r="A69" i="48"/>
  <c r="D210" i="17"/>
  <c r="A75" i="12"/>
  <c r="A71" i="46" l="1"/>
  <c r="A71" i="42"/>
  <c r="A74" i="49"/>
  <c r="A73" i="48"/>
  <c r="A76" i="12"/>
  <c r="E210" i="17"/>
  <c r="A74" i="46" l="1"/>
  <c r="A77" i="49"/>
  <c r="A76" i="48"/>
  <c r="A77" i="12"/>
  <c r="F210" i="17"/>
  <c r="A74" i="42" l="1"/>
  <c r="A80" i="49"/>
  <c r="A79" i="48"/>
  <c r="A77" i="46"/>
  <c r="C252" i="17"/>
  <c r="A78" i="12"/>
  <c r="A80" i="42" l="1"/>
  <c r="A83" i="49"/>
  <c r="A77" i="42"/>
  <c r="A82" i="48"/>
  <c r="A80" i="46"/>
  <c r="D252" i="17"/>
  <c r="A79" i="12"/>
  <c r="A86" i="49" l="1"/>
  <c r="A85" i="48"/>
  <c r="A83" i="46"/>
  <c r="A83" i="42"/>
  <c r="E252" i="17"/>
  <c r="A80" i="12"/>
  <c r="A88" i="48" l="1"/>
  <c r="A86" i="42"/>
  <c r="A86" i="46"/>
  <c r="A89" i="49"/>
  <c r="F252" i="17"/>
  <c r="A82" i="12"/>
  <c r="C283" i="41" l="1"/>
  <c r="D283" i="41" s="1"/>
  <c r="E283" i="41" s="1"/>
  <c r="F283" i="41" s="1"/>
  <c r="C294" i="17"/>
  <c r="A83" i="12"/>
  <c r="A84" i="12" l="1"/>
  <c r="D294" i="17"/>
  <c r="E294" i="17" l="1"/>
  <c r="A85" i="12"/>
  <c r="F294" i="17" l="1"/>
  <c r="A86" i="12"/>
  <c r="A87" i="12" l="1"/>
  <c r="C336" i="17"/>
  <c r="A88" i="12" l="1"/>
  <c r="D336" i="17"/>
  <c r="A90" i="12" l="1"/>
  <c r="E336" i="17"/>
  <c r="A91" i="12" l="1"/>
  <c r="F336" i="17"/>
  <c r="C378" i="17" l="1"/>
  <c r="A92" i="12"/>
  <c r="D378" i="17" l="1"/>
  <c r="A93" i="12"/>
  <c r="E378" i="17" l="1"/>
  <c r="A94" i="12"/>
  <c r="F378" i="17" l="1"/>
  <c r="A95" i="12"/>
  <c r="A96" i="12" s="1"/>
  <c r="A97" i="12" s="1"/>
  <c r="A98" i="12" s="1"/>
  <c r="A99"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Joe</author>
  </authors>
  <commentList>
    <comment ref="A70" authorId="0" shapeId="0" xr:uid="{B8BB3944-0D46-435F-AAAA-7222BC08C3F5}">
      <text>
        <r>
          <rPr>
            <b/>
            <sz val="9"/>
            <color indexed="81"/>
            <rFont val="Tahoma"/>
            <family val="2"/>
          </rPr>
          <t>Joe:</t>
        </r>
        <r>
          <rPr>
            <sz val="9"/>
            <color indexed="81"/>
            <rFont val="Tahoma"/>
            <family val="2"/>
          </rPr>
          <t xml:space="preserve">
</t>
        </r>
      </text>
    </comment>
    <comment ref="B70" authorId="0" shapeId="0" xr:uid="{FC7584B3-EC01-40E6-8C47-009C258B6ED8}">
      <text>
        <r>
          <rPr>
            <b/>
            <sz val="9"/>
            <color indexed="81"/>
            <rFont val="Tahoma"/>
            <family val="2"/>
          </rPr>
          <t>Joe:</t>
        </r>
        <r>
          <rPr>
            <sz val="9"/>
            <color indexed="81"/>
            <rFont val="Tahoma"/>
            <family val="2"/>
          </rPr>
          <t xml:space="preserve">
</t>
        </r>
      </text>
    </comment>
    <comment ref="A71" authorId="0" shapeId="0" xr:uid="{B5405356-2207-46E2-9B87-6A4E28696727}">
      <text>
        <r>
          <rPr>
            <b/>
            <sz val="9"/>
            <color indexed="81"/>
            <rFont val="Tahoma"/>
            <family val="2"/>
          </rPr>
          <t>Joe:</t>
        </r>
        <r>
          <rPr>
            <sz val="9"/>
            <color indexed="81"/>
            <rFont val="Tahoma"/>
            <family val="2"/>
          </rPr>
          <t xml:space="preserve">
</t>
        </r>
      </text>
    </comment>
    <comment ref="B71" authorId="0" shapeId="0" xr:uid="{4ABE2EA4-C65D-40C8-BEE8-54392A388F7F}">
      <text>
        <r>
          <rPr>
            <b/>
            <sz val="9"/>
            <color indexed="81"/>
            <rFont val="Tahoma"/>
            <family val="2"/>
          </rPr>
          <t>Joe:</t>
        </r>
        <r>
          <rPr>
            <sz val="9"/>
            <color indexed="81"/>
            <rFont val="Tahoma"/>
            <family val="2"/>
          </rPr>
          <t xml:space="preserve">
</t>
        </r>
      </text>
    </comment>
    <comment ref="A72" authorId="0" shapeId="0" xr:uid="{5D5BD1E2-80E3-4885-A86A-1E0F5FDFE293}">
      <text>
        <r>
          <rPr>
            <b/>
            <sz val="9"/>
            <color indexed="81"/>
            <rFont val="Tahoma"/>
            <family val="2"/>
          </rPr>
          <t>Joe:</t>
        </r>
        <r>
          <rPr>
            <sz val="9"/>
            <color indexed="81"/>
            <rFont val="Tahoma"/>
            <family val="2"/>
          </rPr>
          <t xml:space="preserve">
</t>
        </r>
      </text>
    </comment>
    <comment ref="B72" authorId="0" shapeId="0" xr:uid="{62C09CE4-F2F6-4031-9461-041DC7E18F57}">
      <text>
        <r>
          <rPr>
            <b/>
            <sz val="9"/>
            <color indexed="81"/>
            <rFont val="Tahoma"/>
            <family val="2"/>
          </rPr>
          <t>Joe:</t>
        </r>
        <r>
          <rPr>
            <sz val="9"/>
            <color indexed="81"/>
            <rFont val="Tahoma"/>
            <family val="2"/>
          </rPr>
          <t xml:space="preserve">
</t>
        </r>
      </text>
    </comment>
    <comment ref="A73" authorId="0" shapeId="0" xr:uid="{11EF466A-4BA1-436C-9FD5-F64106C095F6}">
      <text>
        <r>
          <rPr>
            <b/>
            <sz val="9"/>
            <color indexed="81"/>
            <rFont val="Tahoma"/>
            <family val="2"/>
          </rPr>
          <t>Joe:</t>
        </r>
        <r>
          <rPr>
            <sz val="9"/>
            <color indexed="81"/>
            <rFont val="Tahoma"/>
            <family val="2"/>
          </rPr>
          <t xml:space="preserve">
</t>
        </r>
      </text>
    </comment>
    <comment ref="B73" authorId="0" shapeId="0" xr:uid="{6B4EF1EC-B1A7-4689-9BA2-2C4D5AB9E5DF}">
      <text>
        <r>
          <rPr>
            <b/>
            <sz val="9"/>
            <color indexed="81"/>
            <rFont val="Tahoma"/>
            <family val="2"/>
          </rPr>
          <t>Joe:</t>
        </r>
        <r>
          <rPr>
            <sz val="9"/>
            <color indexed="81"/>
            <rFont val="Tahoma"/>
            <family val="2"/>
          </rPr>
          <t xml:space="preserve">
</t>
        </r>
      </text>
    </comment>
    <comment ref="A74" authorId="0" shapeId="0" xr:uid="{2ECD134A-53A9-4F80-8697-E85519751DB8}">
      <text>
        <r>
          <rPr>
            <b/>
            <sz val="9"/>
            <color indexed="81"/>
            <rFont val="Tahoma"/>
            <family val="2"/>
          </rPr>
          <t>Joe:</t>
        </r>
        <r>
          <rPr>
            <sz val="9"/>
            <color indexed="81"/>
            <rFont val="Tahoma"/>
            <family val="2"/>
          </rPr>
          <t xml:space="preserve">
</t>
        </r>
      </text>
    </comment>
    <comment ref="B74" authorId="0" shapeId="0" xr:uid="{96DB6D14-B48F-4F92-AE2B-79638880955E}">
      <text>
        <r>
          <rPr>
            <b/>
            <sz val="9"/>
            <color indexed="81"/>
            <rFont val="Tahoma"/>
            <family val="2"/>
          </rPr>
          <t>Joe:</t>
        </r>
        <r>
          <rPr>
            <sz val="9"/>
            <color indexed="81"/>
            <rFont val="Tahoma"/>
            <family val="2"/>
          </rPr>
          <t xml:space="preserve">
</t>
        </r>
      </text>
    </comment>
    <comment ref="A75" authorId="0" shapeId="0" xr:uid="{7A3CBAF4-40D7-42F5-83BB-482D03FE0BFD}">
      <text>
        <r>
          <rPr>
            <b/>
            <sz val="9"/>
            <color indexed="81"/>
            <rFont val="Tahoma"/>
            <family val="2"/>
          </rPr>
          <t>Joe:</t>
        </r>
        <r>
          <rPr>
            <sz val="9"/>
            <color indexed="81"/>
            <rFont val="Tahoma"/>
            <family val="2"/>
          </rPr>
          <t xml:space="preserve">
</t>
        </r>
      </text>
    </comment>
    <comment ref="B75" authorId="0" shapeId="0" xr:uid="{F41E46BA-4709-43C2-B42B-7D4AA35E9154}">
      <text>
        <r>
          <rPr>
            <b/>
            <sz val="9"/>
            <color indexed="81"/>
            <rFont val="Tahoma"/>
            <family val="2"/>
          </rPr>
          <t>Joe:</t>
        </r>
        <r>
          <rPr>
            <sz val="9"/>
            <color indexed="81"/>
            <rFont val="Tahoma"/>
            <family val="2"/>
          </rPr>
          <t xml:space="preserve">
</t>
        </r>
      </text>
    </comment>
    <comment ref="A76" authorId="0" shapeId="0" xr:uid="{8751D7C3-0174-4EF1-A9DC-5191AD533098}">
      <text>
        <r>
          <rPr>
            <b/>
            <sz val="9"/>
            <color indexed="81"/>
            <rFont val="Tahoma"/>
            <family val="2"/>
          </rPr>
          <t>Joe:</t>
        </r>
        <r>
          <rPr>
            <sz val="9"/>
            <color indexed="81"/>
            <rFont val="Tahoma"/>
            <family val="2"/>
          </rPr>
          <t xml:space="preserve">
</t>
        </r>
      </text>
    </comment>
    <comment ref="B76" authorId="0" shapeId="0" xr:uid="{3534070E-073E-4579-A761-38F6B8BEEC2D}">
      <text>
        <r>
          <rPr>
            <b/>
            <sz val="9"/>
            <color indexed="81"/>
            <rFont val="Tahoma"/>
            <family val="2"/>
          </rPr>
          <t>Joe:</t>
        </r>
        <r>
          <rPr>
            <sz val="9"/>
            <color indexed="81"/>
            <rFont val="Tahoma"/>
            <family val="2"/>
          </rPr>
          <t xml:space="preserve">
</t>
        </r>
      </text>
    </comment>
    <comment ref="A77" authorId="0" shapeId="0" xr:uid="{5753B6E5-5F01-4699-81B4-C20A913D9A6F}">
      <text>
        <r>
          <rPr>
            <b/>
            <sz val="9"/>
            <color indexed="81"/>
            <rFont val="Tahoma"/>
            <family val="2"/>
          </rPr>
          <t>Joe:</t>
        </r>
        <r>
          <rPr>
            <sz val="9"/>
            <color indexed="81"/>
            <rFont val="Tahoma"/>
            <family val="2"/>
          </rPr>
          <t xml:space="preserve">
</t>
        </r>
      </text>
    </comment>
    <comment ref="B77" authorId="0" shapeId="0" xr:uid="{EB5A33FA-EA4D-4733-BA89-54723510F390}">
      <text>
        <r>
          <rPr>
            <b/>
            <sz val="9"/>
            <color indexed="81"/>
            <rFont val="Tahoma"/>
            <family val="2"/>
          </rPr>
          <t>Joe:</t>
        </r>
        <r>
          <rPr>
            <sz val="9"/>
            <color indexed="81"/>
            <rFont val="Tahoma"/>
            <family val="2"/>
          </rPr>
          <t xml:space="preserve">
</t>
        </r>
      </text>
    </comment>
    <comment ref="A78" authorId="0" shapeId="0" xr:uid="{E47816C7-FB80-4892-B507-03825CEAFB29}">
      <text>
        <r>
          <rPr>
            <b/>
            <sz val="9"/>
            <color indexed="81"/>
            <rFont val="Tahoma"/>
            <family val="2"/>
          </rPr>
          <t>Joe:</t>
        </r>
        <r>
          <rPr>
            <sz val="9"/>
            <color indexed="81"/>
            <rFont val="Tahoma"/>
            <family val="2"/>
          </rPr>
          <t xml:space="preserve">
</t>
        </r>
      </text>
    </comment>
    <comment ref="B78" authorId="0" shapeId="0" xr:uid="{B2A9636B-1743-4906-B363-854A24956A98}">
      <text>
        <r>
          <rPr>
            <b/>
            <sz val="9"/>
            <color indexed="81"/>
            <rFont val="Tahoma"/>
            <family val="2"/>
          </rPr>
          <t>Joe:</t>
        </r>
        <r>
          <rPr>
            <sz val="9"/>
            <color indexed="81"/>
            <rFont val="Tahoma"/>
            <family val="2"/>
          </rPr>
          <t xml:space="preserve">
</t>
        </r>
      </text>
    </comment>
    <comment ref="A79" authorId="0" shapeId="0" xr:uid="{9DC539C0-37F7-49CC-B19C-1E5E8A06D775}">
      <text>
        <r>
          <rPr>
            <b/>
            <sz val="9"/>
            <color indexed="81"/>
            <rFont val="Tahoma"/>
            <family val="2"/>
          </rPr>
          <t>Joe:</t>
        </r>
        <r>
          <rPr>
            <sz val="9"/>
            <color indexed="81"/>
            <rFont val="Tahoma"/>
            <family val="2"/>
          </rPr>
          <t xml:space="preserve">
</t>
        </r>
      </text>
    </comment>
    <comment ref="B79" authorId="0" shapeId="0" xr:uid="{C9ACFCD3-89B9-4670-9E97-8BF85DF8DDE3}">
      <text>
        <r>
          <rPr>
            <b/>
            <sz val="9"/>
            <color indexed="81"/>
            <rFont val="Tahoma"/>
            <family val="2"/>
          </rPr>
          <t>Joe:</t>
        </r>
        <r>
          <rPr>
            <sz val="9"/>
            <color indexed="81"/>
            <rFont val="Tahoma"/>
            <family val="2"/>
          </rPr>
          <t xml:space="preserve">
</t>
        </r>
      </text>
    </comment>
    <comment ref="A80" authorId="0" shapeId="0" xr:uid="{BA1B2DB5-0004-4985-BAE6-92117738C9F7}">
      <text>
        <r>
          <rPr>
            <b/>
            <sz val="9"/>
            <color indexed="81"/>
            <rFont val="Tahoma"/>
            <family val="2"/>
          </rPr>
          <t>Joe:</t>
        </r>
        <r>
          <rPr>
            <sz val="9"/>
            <color indexed="81"/>
            <rFont val="Tahoma"/>
            <family val="2"/>
          </rPr>
          <t xml:space="preserve">
</t>
        </r>
      </text>
    </comment>
    <comment ref="B80" authorId="0" shapeId="0" xr:uid="{4ED3F967-9016-4886-8925-F683D7C1D616}">
      <text>
        <r>
          <rPr>
            <b/>
            <sz val="9"/>
            <color indexed="81"/>
            <rFont val="Tahoma"/>
            <family val="2"/>
          </rPr>
          <t>Joe:</t>
        </r>
        <r>
          <rPr>
            <sz val="9"/>
            <color indexed="81"/>
            <rFont val="Tahoma"/>
            <family val="2"/>
          </rPr>
          <t xml:space="preserve">
</t>
        </r>
      </text>
    </comment>
    <comment ref="A81" authorId="0" shapeId="0" xr:uid="{074E431C-74D7-4AB1-ACB6-4EB5CEEFD543}">
      <text>
        <r>
          <rPr>
            <b/>
            <sz val="9"/>
            <color indexed="81"/>
            <rFont val="Tahoma"/>
            <family val="2"/>
          </rPr>
          <t>Joe:</t>
        </r>
        <r>
          <rPr>
            <sz val="9"/>
            <color indexed="81"/>
            <rFont val="Tahoma"/>
            <family val="2"/>
          </rPr>
          <t xml:space="preserve">
</t>
        </r>
      </text>
    </comment>
    <comment ref="B81" authorId="0" shapeId="0" xr:uid="{28F6F56B-C668-443F-9783-FBD37EF31C32}">
      <text>
        <r>
          <rPr>
            <b/>
            <sz val="9"/>
            <color indexed="81"/>
            <rFont val="Tahoma"/>
            <family val="2"/>
          </rPr>
          <t>Joe:</t>
        </r>
        <r>
          <rPr>
            <sz val="9"/>
            <color indexed="81"/>
            <rFont val="Tahoma"/>
            <family val="2"/>
          </rPr>
          <t xml:space="preserve">
</t>
        </r>
      </text>
    </comment>
    <comment ref="A82" authorId="0" shapeId="0" xr:uid="{1A56358B-9FC7-43EB-8BDB-34FABF956C06}">
      <text>
        <r>
          <rPr>
            <b/>
            <sz val="9"/>
            <color indexed="81"/>
            <rFont val="Tahoma"/>
            <family val="2"/>
          </rPr>
          <t>Joe:</t>
        </r>
        <r>
          <rPr>
            <sz val="9"/>
            <color indexed="81"/>
            <rFont val="Tahoma"/>
            <family val="2"/>
          </rPr>
          <t xml:space="preserve">
</t>
        </r>
      </text>
    </comment>
    <comment ref="B82" authorId="0" shapeId="0" xr:uid="{90E3F273-DB25-48BB-B78D-36FA72E31F15}">
      <text>
        <r>
          <rPr>
            <b/>
            <sz val="9"/>
            <color indexed="81"/>
            <rFont val="Tahoma"/>
            <family val="2"/>
          </rPr>
          <t>Joe:</t>
        </r>
        <r>
          <rPr>
            <sz val="9"/>
            <color indexed="81"/>
            <rFont val="Tahoma"/>
            <family val="2"/>
          </rPr>
          <t xml:space="preserve">
</t>
        </r>
      </text>
    </comment>
    <comment ref="A83" authorId="0" shapeId="0" xr:uid="{D5F20382-6CCA-458A-B2AA-2A0E255EA7BB}">
      <text>
        <r>
          <rPr>
            <b/>
            <sz val="9"/>
            <color indexed="81"/>
            <rFont val="Tahoma"/>
            <family val="2"/>
          </rPr>
          <t>Joe:</t>
        </r>
        <r>
          <rPr>
            <sz val="9"/>
            <color indexed="81"/>
            <rFont val="Tahoma"/>
            <family val="2"/>
          </rPr>
          <t xml:space="preserve">
</t>
        </r>
      </text>
    </comment>
    <comment ref="B83" authorId="0" shapeId="0" xr:uid="{642A9ADF-7A3F-4661-A376-716A29ECBBA2}">
      <text>
        <r>
          <rPr>
            <b/>
            <sz val="9"/>
            <color indexed="81"/>
            <rFont val="Tahoma"/>
            <family val="2"/>
          </rPr>
          <t>Joe:</t>
        </r>
        <r>
          <rPr>
            <sz val="9"/>
            <color indexed="81"/>
            <rFont val="Tahoma"/>
            <family val="2"/>
          </rPr>
          <t xml:space="preserve">
</t>
        </r>
      </text>
    </comment>
    <comment ref="A84" authorId="0" shapeId="0" xr:uid="{7896176D-A5F1-4B72-B569-09DCB4D5F821}">
      <text>
        <r>
          <rPr>
            <b/>
            <sz val="9"/>
            <color indexed="81"/>
            <rFont val="Tahoma"/>
            <family val="2"/>
          </rPr>
          <t>Joe:</t>
        </r>
        <r>
          <rPr>
            <sz val="9"/>
            <color indexed="81"/>
            <rFont val="Tahoma"/>
            <family val="2"/>
          </rPr>
          <t xml:space="preserve">
</t>
        </r>
      </text>
    </comment>
    <comment ref="B84" authorId="0" shapeId="0" xr:uid="{78D99F35-C224-4EC7-BC08-42EEF865AEF3}">
      <text>
        <r>
          <rPr>
            <b/>
            <sz val="9"/>
            <color indexed="81"/>
            <rFont val="Tahoma"/>
            <family val="2"/>
          </rPr>
          <t>Joe:</t>
        </r>
        <r>
          <rPr>
            <sz val="9"/>
            <color indexed="81"/>
            <rFont val="Tahoma"/>
            <family val="2"/>
          </rPr>
          <t xml:space="preserve">
</t>
        </r>
      </text>
    </comment>
    <comment ref="A85" authorId="0" shapeId="0" xr:uid="{656950E8-E7D4-47DA-9E44-72CFED954FFB}">
      <text>
        <r>
          <rPr>
            <b/>
            <sz val="9"/>
            <color indexed="81"/>
            <rFont val="Tahoma"/>
            <family val="2"/>
          </rPr>
          <t>Joe:</t>
        </r>
        <r>
          <rPr>
            <sz val="9"/>
            <color indexed="81"/>
            <rFont val="Tahoma"/>
            <family val="2"/>
          </rPr>
          <t xml:space="preserve">
</t>
        </r>
      </text>
    </comment>
    <comment ref="B85" authorId="0" shapeId="0" xr:uid="{C00DCE86-9A11-427B-A2E2-B387F8672463}">
      <text>
        <r>
          <rPr>
            <b/>
            <sz val="9"/>
            <color indexed="81"/>
            <rFont val="Tahoma"/>
            <family val="2"/>
          </rPr>
          <t>Joe:</t>
        </r>
        <r>
          <rPr>
            <sz val="9"/>
            <color indexed="81"/>
            <rFont val="Tahoma"/>
            <family val="2"/>
          </rPr>
          <t xml:space="preserve">
</t>
        </r>
      </text>
    </comment>
    <comment ref="A86" authorId="0" shapeId="0" xr:uid="{62EA4C11-91A7-4AB6-98EC-2DE4087CAA78}">
      <text>
        <r>
          <rPr>
            <b/>
            <sz val="9"/>
            <color indexed="81"/>
            <rFont val="Tahoma"/>
            <family val="2"/>
          </rPr>
          <t>Joe:</t>
        </r>
        <r>
          <rPr>
            <sz val="9"/>
            <color indexed="81"/>
            <rFont val="Tahoma"/>
            <family val="2"/>
          </rPr>
          <t xml:space="preserve">
</t>
        </r>
      </text>
    </comment>
    <comment ref="B86" authorId="0" shapeId="0" xr:uid="{B4503566-F1D1-40EF-B9B4-56EFB643A88B}">
      <text>
        <r>
          <rPr>
            <b/>
            <sz val="9"/>
            <color indexed="81"/>
            <rFont val="Tahoma"/>
            <family val="2"/>
          </rPr>
          <t>Joe:</t>
        </r>
        <r>
          <rPr>
            <sz val="9"/>
            <color indexed="81"/>
            <rFont val="Tahoma"/>
            <family val="2"/>
          </rPr>
          <t xml:space="preserve">
</t>
        </r>
      </text>
    </comment>
    <comment ref="A87" authorId="0" shapeId="0" xr:uid="{7B1ABFCD-F54C-4362-9740-50AD13F1D4BE}">
      <text>
        <r>
          <rPr>
            <b/>
            <sz val="9"/>
            <color indexed="81"/>
            <rFont val="Tahoma"/>
            <family val="2"/>
          </rPr>
          <t>Joe:</t>
        </r>
        <r>
          <rPr>
            <sz val="9"/>
            <color indexed="81"/>
            <rFont val="Tahoma"/>
            <family val="2"/>
          </rPr>
          <t xml:space="preserve">
</t>
        </r>
      </text>
    </comment>
    <comment ref="B87" authorId="0" shapeId="0" xr:uid="{F103A36A-B649-407E-856E-14D0CB180492}">
      <text>
        <r>
          <rPr>
            <b/>
            <sz val="9"/>
            <color indexed="81"/>
            <rFont val="Tahoma"/>
            <family val="2"/>
          </rPr>
          <t>Joe:</t>
        </r>
        <r>
          <rPr>
            <sz val="9"/>
            <color indexed="81"/>
            <rFont val="Tahoma"/>
            <family val="2"/>
          </rPr>
          <t xml:space="preserve">
</t>
        </r>
      </text>
    </comment>
    <comment ref="A88" authorId="0" shapeId="0" xr:uid="{A2EC0576-7FD6-4281-A57A-704ED527D3AD}">
      <text>
        <r>
          <rPr>
            <b/>
            <sz val="9"/>
            <color indexed="81"/>
            <rFont val="Tahoma"/>
            <family val="2"/>
          </rPr>
          <t>Joe:</t>
        </r>
        <r>
          <rPr>
            <sz val="9"/>
            <color indexed="81"/>
            <rFont val="Tahoma"/>
            <family val="2"/>
          </rPr>
          <t xml:space="preserve">
</t>
        </r>
      </text>
    </comment>
    <comment ref="B88" authorId="0" shapeId="0" xr:uid="{64236255-5C5E-4E86-8E8E-65D1BD5C0B48}">
      <text>
        <r>
          <rPr>
            <b/>
            <sz val="9"/>
            <color indexed="81"/>
            <rFont val="Tahoma"/>
            <family val="2"/>
          </rPr>
          <t>Joe:</t>
        </r>
        <r>
          <rPr>
            <sz val="9"/>
            <color indexed="81"/>
            <rFont val="Tahoma"/>
            <family val="2"/>
          </rPr>
          <t xml:space="preserve">
</t>
        </r>
      </text>
    </comment>
    <comment ref="A89" authorId="0" shapeId="0" xr:uid="{C8094079-3B5F-46D8-8746-AB5487031E98}">
      <text>
        <r>
          <rPr>
            <b/>
            <sz val="9"/>
            <color indexed="81"/>
            <rFont val="Tahoma"/>
            <family val="2"/>
          </rPr>
          <t>Joe:</t>
        </r>
        <r>
          <rPr>
            <sz val="9"/>
            <color indexed="81"/>
            <rFont val="Tahoma"/>
            <family val="2"/>
          </rPr>
          <t xml:space="preserve">
</t>
        </r>
      </text>
    </comment>
    <comment ref="B89" authorId="0" shapeId="0" xr:uid="{7EA4B519-3640-42D0-BAFA-C0A5BF347A43}">
      <text>
        <r>
          <rPr>
            <b/>
            <sz val="9"/>
            <color indexed="81"/>
            <rFont val="Tahoma"/>
            <family val="2"/>
          </rPr>
          <t>Joe:</t>
        </r>
        <r>
          <rPr>
            <sz val="9"/>
            <color indexed="81"/>
            <rFont val="Tahoma"/>
            <family val="2"/>
          </rPr>
          <t xml:space="preserve">
</t>
        </r>
      </text>
    </comment>
    <comment ref="A90" authorId="0" shapeId="0" xr:uid="{8FD6F39C-3EF7-425C-BD80-959C7B86B751}">
      <text>
        <r>
          <rPr>
            <b/>
            <sz val="9"/>
            <color indexed="81"/>
            <rFont val="Tahoma"/>
            <family val="2"/>
          </rPr>
          <t>Joe:</t>
        </r>
        <r>
          <rPr>
            <sz val="9"/>
            <color indexed="81"/>
            <rFont val="Tahoma"/>
            <family val="2"/>
          </rPr>
          <t xml:space="preserve">
</t>
        </r>
      </text>
    </comment>
    <comment ref="B90" authorId="0" shapeId="0" xr:uid="{DB2A5378-40D6-4375-A83D-7BEE56A89899}">
      <text>
        <r>
          <rPr>
            <b/>
            <sz val="9"/>
            <color indexed="81"/>
            <rFont val="Tahoma"/>
            <family val="2"/>
          </rPr>
          <t>Joe:</t>
        </r>
        <r>
          <rPr>
            <sz val="9"/>
            <color indexed="81"/>
            <rFont val="Tahoma"/>
            <family val="2"/>
          </rPr>
          <t xml:space="preserve">
</t>
        </r>
      </text>
    </comment>
    <comment ref="A91" authorId="0" shapeId="0" xr:uid="{C3D001C7-A9FE-4402-9337-45F733963B35}">
      <text>
        <r>
          <rPr>
            <b/>
            <sz val="9"/>
            <color indexed="81"/>
            <rFont val="Tahoma"/>
            <family val="2"/>
          </rPr>
          <t>Joe:</t>
        </r>
        <r>
          <rPr>
            <sz val="9"/>
            <color indexed="81"/>
            <rFont val="Tahoma"/>
            <family val="2"/>
          </rPr>
          <t xml:space="preserve">
</t>
        </r>
      </text>
    </comment>
    <comment ref="B91" authorId="0" shapeId="0" xr:uid="{DAC9C511-A18B-4B13-832F-FFB7CC119370}">
      <text>
        <r>
          <rPr>
            <b/>
            <sz val="9"/>
            <color indexed="81"/>
            <rFont val="Tahoma"/>
            <family val="2"/>
          </rPr>
          <t>Joe:</t>
        </r>
        <r>
          <rPr>
            <sz val="9"/>
            <color indexed="81"/>
            <rFont val="Tahoma"/>
            <family val="2"/>
          </rPr>
          <t xml:space="preserve">
</t>
        </r>
      </text>
    </comment>
    <comment ref="A92" authorId="0" shapeId="0" xr:uid="{A7AA76AF-577B-4EA9-B181-C7220DCFF1D1}">
      <text>
        <r>
          <rPr>
            <b/>
            <sz val="9"/>
            <color indexed="81"/>
            <rFont val="Tahoma"/>
            <family val="2"/>
          </rPr>
          <t>Joe:</t>
        </r>
        <r>
          <rPr>
            <sz val="9"/>
            <color indexed="81"/>
            <rFont val="Tahoma"/>
            <family val="2"/>
          </rPr>
          <t xml:space="preserve">
</t>
        </r>
      </text>
    </comment>
    <comment ref="B92" authorId="0" shapeId="0" xr:uid="{C8A99038-B5A4-4F04-A02A-8C5020E48725}">
      <text>
        <r>
          <rPr>
            <b/>
            <sz val="9"/>
            <color indexed="81"/>
            <rFont val="Tahoma"/>
            <family val="2"/>
          </rPr>
          <t>Joe:</t>
        </r>
        <r>
          <rPr>
            <sz val="9"/>
            <color indexed="81"/>
            <rFont val="Tahoma"/>
            <family val="2"/>
          </rPr>
          <t xml:space="preserve">
</t>
        </r>
      </text>
    </comment>
    <comment ref="A93" authorId="0" shapeId="0" xr:uid="{D7178811-DE45-4951-9310-B6253116D86D}">
      <text>
        <r>
          <rPr>
            <b/>
            <sz val="9"/>
            <color indexed="81"/>
            <rFont val="Tahoma"/>
            <family val="2"/>
          </rPr>
          <t>Joe:</t>
        </r>
        <r>
          <rPr>
            <sz val="9"/>
            <color indexed="81"/>
            <rFont val="Tahoma"/>
            <family val="2"/>
          </rPr>
          <t xml:space="preserve">
</t>
        </r>
      </text>
    </comment>
    <comment ref="B93" authorId="0" shapeId="0" xr:uid="{EA05749B-2F9B-4DEA-93EA-4730144FB443}">
      <text>
        <r>
          <rPr>
            <b/>
            <sz val="9"/>
            <color indexed="81"/>
            <rFont val="Tahoma"/>
            <family val="2"/>
          </rPr>
          <t>Joe:</t>
        </r>
        <r>
          <rPr>
            <sz val="9"/>
            <color indexed="81"/>
            <rFont val="Tahoma"/>
            <family val="2"/>
          </rPr>
          <t xml:space="preserve">
</t>
        </r>
      </text>
    </comment>
    <comment ref="A94" authorId="0" shapeId="0" xr:uid="{BC2D1D21-B818-4598-B9DE-67D9F83FF74F}">
      <text>
        <r>
          <rPr>
            <b/>
            <sz val="9"/>
            <color indexed="81"/>
            <rFont val="Tahoma"/>
            <family val="2"/>
          </rPr>
          <t>Joe:</t>
        </r>
        <r>
          <rPr>
            <sz val="9"/>
            <color indexed="81"/>
            <rFont val="Tahoma"/>
            <family val="2"/>
          </rPr>
          <t xml:space="preserve">
</t>
        </r>
      </text>
    </comment>
    <comment ref="B94" authorId="0" shapeId="0" xr:uid="{91EE0EA0-52D1-4C66-A1A5-23E7DC369009}">
      <text>
        <r>
          <rPr>
            <b/>
            <sz val="9"/>
            <color indexed="81"/>
            <rFont val="Tahoma"/>
            <family val="2"/>
          </rPr>
          <t>Joe:</t>
        </r>
        <r>
          <rPr>
            <sz val="9"/>
            <color indexed="81"/>
            <rFont val="Tahoma"/>
            <family val="2"/>
          </rPr>
          <t xml:space="preserve">
</t>
        </r>
      </text>
    </comment>
  </commentList>
</comments>
</file>

<file path=xl/sharedStrings.xml><?xml version="1.0" encoding="utf-8"?>
<sst xmlns="http://schemas.openxmlformats.org/spreadsheetml/2006/main" count="6066" uniqueCount="1093">
  <si>
    <t>Work SCOPE</t>
  </si>
  <si>
    <t>CLG</t>
  </si>
  <si>
    <t>LIT/ ELE / SD /ETC</t>
  </si>
  <si>
    <t>HVC/ CRN / AVG</t>
  </si>
  <si>
    <t>MISC / INS</t>
  </si>
  <si>
    <t>WALL</t>
  </si>
  <si>
    <t>ELE</t>
  </si>
  <si>
    <t>HVC / INS</t>
  </si>
  <si>
    <t>FLR</t>
  </si>
  <si>
    <t>BB</t>
  </si>
  <si>
    <t>MISC</t>
  </si>
  <si>
    <t>DOR</t>
  </si>
  <si>
    <t>OPEN</t>
  </si>
  <si>
    <t>WINDOW</t>
  </si>
  <si>
    <t>WDT</t>
  </si>
  <si>
    <t>ACTIVITY</t>
  </si>
  <si>
    <t>LIT</t>
  </si>
  <si>
    <t>HVC</t>
  </si>
  <si>
    <t>WDW</t>
  </si>
  <si>
    <t>`</t>
  </si>
  <si>
    <t>WAL</t>
  </si>
  <si>
    <t>PAINT</t>
  </si>
  <si>
    <t>PNT</t>
  </si>
  <si>
    <t>SCOPE CODES XACTIMATE</t>
  </si>
  <si>
    <t>XACT CODES</t>
  </si>
  <si>
    <t>BUILDING MATERIALS</t>
  </si>
  <si>
    <t>CONSTRUCTION TYPE</t>
  </si>
  <si>
    <t>FINISH =</t>
  </si>
  <si>
    <t>CLG TILES</t>
  </si>
  <si>
    <t>ACT</t>
  </si>
  <si>
    <t>CLG = CEILING</t>
  </si>
  <si>
    <t>SMOOTH</t>
  </si>
  <si>
    <t>SMH</t>
  </si>
  <si>
    <t xml:space="preserve">DRYWALL </t>
  </si>
  <si>
    <t xml:space="preserve">DRY </t>
  </si>
  <si>
    <t>FLAT</t>
  </si>
  <si>
    <t>FLT</t>
  </si>
  <si>
    <t>TEXTURE</t>
  </si>
  <si>
    <t xml:space="preserve">TEX </t>
  </si>
  <si>
    <t>PLASTER</t>
  </si>
  <si>
    <t xml:space="preserve">PLA </t>
  </si>
  <si>
    <t>VAULTED</t>
  </si>
  <si>
    <t>VLT</t>
  </si>
  <si>
    <t>POPCORN</t>
  </si>
  <si>
    <t xml:space="preserve">POP </t>
  </si>
  <si>
    <t>TONGUE&amp;GROOVE</t>
  </si>
  <si>
    <t>T &amp;G</t>
  </si>
  <si>
    <t xml:space="preserve">TRAY </t>
  </si>
  <si>
    <t>TRY</t>
  </si>
  <si>
    <t>PANELING</t>
  </si>
  <si>
    <t>PNL</t>
  </si>
  <si>
    <t>FRM</t>
  </si>
  <si>
    <t>WALLPAPER</t>
  </si>
  <si>
    <t>WPR</t>
  </si>
  <si>
    <t>CONCRETE</t>
  </si>
  <si>
    <t>CNC</t>
  </si>
  <si>
    <t>TRIM FINISH CARPENTRY</t>
  </si>
  <si>
    <t>Brick/Masonry</t>
  </si>
  <si>
    <t>MAS</t>
  </si>
  <si>
    <t>MOLDING/Casing/Other</t>
  </si>
  <si>
    <t>AVG</t>
  </si>
  <si>
    <t>CHAIRRAIL</t>
  </si>
  <si>
    <t>CHR</t>
  </si>
  <si>
    <t>CROWN</t>
  </si>
  <si>
    <t>CRN</t>
  </si>
  <si>
    <t>FLOOR/CARPET</t>
  </si>
  <si>
    <t>FCC</t>
  </si>
  <si>
    <t>BASEBOARD  HEIGHT</t>
  </si>
  <si>
    <t>MHT=___</t>
  </si>
  <si>
    <t>MULTI</t>
  </si>
  <si>
    <t>MUL</t>
  </si>
  <si>
    <t xml:space="preserve">FLOORING/STONE </t>
  </si>
  <si>
    <t>FCS</t>
  </si>
  <si>
    <t>HANDRAIL</t>
  </si>
  <si>
    <t>HNR</t>
  </si>
  <si>
    <t>FLOOR/VINYL TILE</t>
  </si>
  <si>
    <t>FCV</t>
  </si>
  <si>
    <t>HARDWOOD FLOOR FCW</t>
  </si>
  <si>
    <t>FCW</t>
  </si>
  <si>
    <t>Closet; SHELF_LF</t>
  </si>
  <si>
    <t>WOOD</t>
  </si>
  <si>
    <t>LAMINATE FLOOR FCW</t>
  </si>
  <si>
    <t>LAM</t>
  </si>
  <si>
    <t>QTY/LF</t>
  </si>
  <si>
    <t>ROD</t>
  </si>
  <si>
    <t>WIRE</t>
  </si>
  <si>
    <t xml:space="preserve"> Windows; WOOD</t>
  </si>
  <si>
    <t>DOORS</t>
  </si>
  <si>
    <t>STD</t>
  </si>
  <si>
    <t>BYPASS/SLIDER</t>
  </si>
  <si>
    <t>BYD</t>
  </si>
  <si>
    <t>VINYL</t>
  </si>
  <si>
    <t>WDV</t>
  </si>
  <si>
    <t>BIFOLD</t>
  </si>
  <si>
    <t>BFD</t>
  </si>
  <si>
    <t>MIRROW</t>
  </si>
  <si>
    <t>BPM</t>
  </si>
  <si>
    <t>ALUMINUM</t>
  </si>
  <si>
    <t>WDA</t>
  </si>
  <si>
    <t>BAY/BOW</t>
  </si>
  <si>
    <t>ELE = ELECTRICAL</t>
  </si>
  <si>
    <t>LIGHT</t>
  </si>
  <si>
    <t>LIT++</t>
  </si>
  <si>
    <r>
      <t xml:space="preserve">Window COVERS </t>
    </r>
    <r>
      <rPr>
        <b/>
        <sz val="12"/>
        <rFont val="Arial Narrow"/>
        <family val="2"/>
      </rPr>
      <t>WDT</t>
    </r>
  </si>
  <si>
    <t>FAN</t>
  </si>
  <si>
    <t>FNL</t>
  </si>
  <si>
    <t>CHANDLIER</t>
  </si>
  <si>
    <t>CHD</t>
  </si>
  <si>
    <t>BLINDS</t>
  </si>
  <si>
    <t>BLN</t>
  </si>
  <si>
    <t>SECURITY</t>
  </si>
  <si>
    <t>SEC</t>
  </si>
  <si>
    <t>BELLCHIME</t>
  </si>
  <si>
    <t>CHM</t>
  </si>
  <si>
    <t>DRAPERY</t>
  </si>
  <si>
    <t>DRP</t>
  </si>
  <si>
    <t>Smoke Alarm</t>
  </si>
  <si>
    <t>SMK</t>
  </si>
  <si>
    <t>OUTLET</t>
  </si>
  <si>
    <t>OS</t>
  </si>
  <si>
    <t>SWITCH</t>
  </si>
  <si>
    <t>SW</t>
  </si>
  <si>
    <t>3 WAY</t>
  </si>
  <si>
    <t>SW3</t>
  </si>
  <si>
    <t xml:space="preserve">HVC/REG/Vent/Duct </t>
  </si>
  <si>
    <t>INS = INSULATION</t>
  </si>
  <si>
    <t>R- Value</t>
  </si>
  <si>
    <t>SF</t>
  </si>
  <si>
    <t>Batt / Loose</t>
  </si>
  <si>
    <t>ACITIVY/ JOB</t>
  </si>
  <si>
    <t>REPAIR ALL = C / W / F / PF</t>
  </si>
  <si>
    <t xml:space="preserve">ALL </t>
  </si>
  <si>
    <t>MINIMUN</t>
  </si>
  <si>
    <t>MN</t>
  </si>
  <si>
    <t>LINEAL FT</t>
  </si>
  <si>
    <t xml:space="preserve"> LF</t>
  </si>
  <si>
    <t>CSP</t>
  </si>
  <si>
    <t>QUANITY</t>
  </si>
  <si>
    <t>QTY+_____</t>
  </si>
  <si>
    <t>SF=______</t>
  </si>
  <si>
    <t>CLEAN</t>
  </si>
  <si>
    <t>CLN</t>
  </si>
  <si>
    <t>PRIME/SEAL</t>
  </si>
  <si>
    <t>S++</t>
  </si>
  <si>
    <t>=====               CLEAN    SEAL/PRIME PAINT</t>
  </si>
  <si>
    <t>REPLACE</t>
  </si>
  <si>
    <t xml:space="preserve"> R&amp;R </t>
  </si>
  <si>
    <t>DETACH &amp; RESET</t>
  </si>
  <si>
    <t xml:space="preserve">D&amp;R </t>
  </si>
  <si>
    <t>STAIN &amp; SEAL</t>
  </si>
  <si>
    <t>STN</t>
  </si>
  <si>
    <t>MASK</t>
  </si>
  <si>
    <t>MSK</t>
  </si>
  <si>
    <t>SAND</t>
  </si>
  <si>
    <t>SND</t>
  </si>
  <si>
    <t xml:space="preserve">HEADINGS - </t>
  </si>
  <si>
    <t>LIT = LIGHTS</t>
  </si>
  <si>
    <t>HVC = HEAT REGISTER</t>
  </si>
  <si>
    <t>ELE =ELECTRICAL OUTLETS (OS) SWITCH (SW)</t>
  </si>
  <si>
    <t>FLR = FLOOR</t>
  </si>
  <si>
    <t>BB = BASEBOARD</t>
  </si>
  <si>
    <t>DOR = DOOR</t>
  </si>
  <si>
    <t>OPEN =OPENING</t>
  </si>
  <si>
    <t>WDW= WINDOW</t>
  </si>
  <si>
    <t>FRM Particle Board</t>
  </si>
  <si>
    <t>FRM wood subfloor</t>
  </si>
  <si>
    <t>FRM CEILING</t>
  </si>
  <si>
    <t>Framing/SILLPLATE</t>
  </si>
  <si>
    <t>FRM STUDS</t>
  </si>
  <si>
    <t>Finish Carpentry</t>
  </si>
  <si>
    <t>FNC</t>
  </si>
  <si>
    <t>HOW2</t>
  </si>
  <si>
    <t>3 STORY NO ROOF</t>
  </si>
  <si>
    <t>Jobsite Verification</t>
  </si>
  <si>
    <t>All Room list Fire Smoke All</t>
  </si>
  <si>
    <t>Source Of Loss ============</t>
  </si>
  <si>
    <t>Foyer DN</t>
  </si>
  <si>
    <t>Jobsite Verification &amp; Source of Loss</t>
  </si>
  <si>
    <t>Interior list &amp; ROOF / 5DAY MIT</t>
  </si>
  <si>
    <r>
      <t>1.</t>
    </r>
    <r>
      <rPr>
        <sz val="7"/>
        <color rgb="FF637183"/>
        <rFont val="Times New Roman"/>
        <family val="1"/>
      </rPr>
      <t xml:space="preserve">     </t>
    </r>
    <r>
      <rPr>
        <sz val="11"/>
        <color theme="1"/>
        <rFont val="Calibri"/>
        <family val="2"/>
        <scheme val="minor"/>
      </rPr>
      <t xml:space="preserve"> (PWI ITEMS)</t>
    </r>
  </si>
  <si>
    <t>RFG RANCH/1 STORY</t>
  </si>
  <si>
    <t>Interior list &amp; ROOF</t>
  </si>
  <si>
    <t>Living Room DN</t>
  </si>
  <si>
    <r>
      <t>1.</t>
    </r>
    <r>
      <rPr>
        <sz val="7"/>
        <color rgb="FF637183"/>
        <rFont val="Times New Roman"/>
        <family val="1"/>
      </rPr>
      <t xml:space="preserve">     </t>
    </r>
    <r>
      <rPr>
        <sz val="11"/>
        <color theme="1"/>
        <rFont val="Calibri"/>
        <family val="2"/>
        <scheme val="minor"/>
      </rPr>
      <t>Jobsite Verification (Address Photos)</t>
    </r>
  </si>
  <si>
    <t>1. Jobsite Verification (Address Photos),</t>
  </si>
  <si>
    <t>FOYER,</t>
  </si>
  <si>
    <t>Guest Closet DN</t>
  </si>
  <si>
    <r>
      <t>2.</t>
    </r>
    <r>
      <rPr>
        <sz val="7"/>
        <color rgb="FF637183"/>
        <rFont val="Times New Roman"/>
        <family val="1"/>
      </rPr>
      <t xml:space="preserve">     </t>
    </r>
    <r>
      <rPr>
        <sz val="11"/>
        <color theme="1"/>
        <rFont val="Calibri"/>
        <family val="2"/>
        <scheme val="minor"/>
      </rPr>
      <t>Pics (ROOMS / STRUCTURAL) ----- ---------------------------------------                                                                                                         ROOMS ------------------------------------------------------------------------------</t>
    </r>
  </si>
  <si>
    <t xml:space="preserve"> 2. Source of Loss Pics (ROOMS / STRUCTURAL) , </t>
  </si>
  <si>
    <t>ROOMS ONLY SHORT 3BR LIST</t>
  </si>
  <si>
    <t xml:space="preserve">Guest Closet, </t>
  </si>
  <si>
    <t>FIREPLACE DN</t>
  </si>
  <si>
    <r>
      <t>3.</t>
    </r>
    <r>
      <rPr>
        <sz val="7"/>
        <color rgb="FF637183"/>
        <rFont val="Times New Roman"/>
        <family val="1"/>
      </rPr>
      <t xml:space="preserve">     </t>
    </r>
    <r>
      <rPr>
        <sz val="11"/>
        <color theme="1"/>
        <rFont val="Calibri"/>
        <family val="2"/>
        <scheme val="minor"/>
      </rPr>
      <t xml:space="preserve">FOYER/ENTRY ROOM  </t>
    </r>
  </si>
  <si>
    <t xml:space="preserve">3.FOYER/ENTRY ROOM, </t>
  </si>
  <si>
    <t xml:space="preserve">FOYER, </t>
  </si>
  <si>
    <t xml:space="preserve">Living Room, </t>
  </si>
  <si>
    <t>Dining Room DN</t>
  </si>
  <si>
    <r>
      <t>4.</t>
    </r>
    <r>
      <rPr>
        <sz val="7"/>
        <color rgb="FF637183"/>
        <rFont val="Times New Roman"/>
        <family val="1"/>
      </rPr>
      <t xml:space="preserve">     </t>
    </r>
    <r>
      <rPr>
        <sz val="11"/>
        <color theme="1"/>
        <rFont val="Calibri"/>
        <family val="2"/>
        <scheme val="minor"/>
      </rPr>
      <t>ROOMS TRAVEL AREAS</t>
    </r>
  </si>
  <si>
    <t xml:space="preserve">5. CPS2 DAY2 CONTENTS OVERVIEW WIP BOXES PACKOUT PICS, </t>
  </si>
  <si>
    <t xml:space="preserve">Dining Room, </t>
  </si>
  <si>
    <t>Hallway DN @ BR&amp;BATH</t>
  </si>
  <si>
    <r>
      <t>5.</t>
    </r>
    <r>
      <rPr>
        <sz val="7"/>
        <color rgb="FF637183"/>
        <rFont val="Times New Roman"/>
        <family val="1"/>
      </rPr>
      <t xml:space="preserve">     </t>
    </r>
    <r>
      <rPr>
        <sz val="11"/>
        <color theme="1"/>
        <rFont val="Calibri"/>
        <family val="2"/>
        <scheme val="minor"/>
      </rPr>
      <t>AFFECTED ROOM ______________</t>
    </r>
  </si>
  <si>
    <t xml:space="preserve">6. CPS3 DAY3 CONTENTS OVERVIEW STORAGE MOVE OUT PICS , </t>
  </si>
  <si>
    <t>Kitchen,</t>
  </si>
  <si>
    <r>
      <t>1.</t>
    </r>
    <r>
      <rPr>
        <sz val="7"/>
        <color rgb="FF637183"/>
        <rFont val="Times New Roman"/>
        <family val="1"/>
      </rPr>
      <t xml:space="preserve">      </t>
    </r>
    <r>
      <rPr>
        <sz val="10"/>
        <color rgb="FF637183"/>
        <rFont val="Arial"/>
        <family val="2"/>
      </rPr>
      <t>1.Jobsite Verification (Address Photos)</t>
    </r>
  </si>
  <si>
    <t>Bedroom 1 DN</t>
  </si>
  <si>
    <r>
      <t>6.</t>
    </r>
    <r>
      <rPr>
        <sz val="7"/>
        <color rgb="FF637183"/>
        <rFont val="Times New Roman"/>
        <family val="1"/>
      </rPr>
      <t xml:space="preserve">     </t>
    </r>
    <r>
      <rPr>
        <sz val="11"/>
        <color theme="1"/>
        <rFont val="Calibri"/>
        <family val="2"/>
        <scheme val="minor"/>
      </rPr>
      <t>AFFECTED ROOM ______________</t>
    </r>
  </si>
  <si>
    <t xml:space="preserve">7. CPS4 CONTENTS OVERVIEW PACK-BACK / RESET PICS, </t>
  </si>
  <si>
    <t xml:space="preserve">Nook, </t>
  </si>
  <si>
    <r>
      <t>2.</t>
    </r>
    <r>
      <rPr>
        <sz val="7"/>
        <color rgb="FF637183"/>
        <rFont val="Times New Roman"/>
        <family val="1"/>
      </rPr>
      <t xml:space="preserve">      </t>
    </r>
    <r>
      <rPr>
        <sz val="10"/>
        <color rgb="FF637183"/>
        <rFont val="Arial"/>
        <family val="2"/>
      </rPr>
      <t xml:space="preserve">2.Source of Loss Pics (ROOMS / STRUCTURAL) , </t>
    </r>
  </si>
  <si>
    <t>Primary BR DN</t>
  </si>
  <si>
    <r>
      <t>7.</t>
    </r>
    <r>
      <rPr>
        <sz val="7"/>
        <color rgb="FF637183"/>
        <rFont val="Times New Roman"/>
        <family val="1"/>
      </rPr>
      <t xml:space="preserve">     </t>
    </r>
    <r>
      <rPr>
        <sz val="11"/>
        <color theme="1"/>
        <rFont val="Calibri"/>
        <family val="2"/>
        <scheme val="minor"/>
      </rPr>
      <t>AFFECTED ROOM ______________</t>
    </r>
  </si>
  <si>
    <t xml:space="preserve">8. MITIGATION EQUIPMENT OVERVIEW INTERIOR &amp; WIP , </t>
  </si>
  <si>
    <t xml:space="preserve">Kitchen, </t>
  </si>
  <si>
    <t xml:space="preserve">Pantry, </t>
  </si>
  <si>
    <r>
      <t>3.</t>
    </r>
    <r>
      <rPr>
        <sz val="7"/>
        <color rgb="FF637183"/>
        <rFont val="Times New Roman"/>
        <family val="1"/>
      </rPr>
      <t xml:space="preserve">      </t>
    </r>
    <r>
      <rPr>
        <sz val="10"/>
        <color rgb="FF637183"/>
        <rFont val="Arial"/>
        <family val="2"/>
      </rPr>
      <t>3.FOYER/ENTRY ROOM,</t>
    </r>
  </si>
  <si>
    <t>Primary BR Closet DN</t>
  </si>
  <si>
    <r>
      <t>8.</t>
    </r>
    <r>
      <rPr>
        <sz val="7"/>
        <color rgb="FF637183"/>
        <rFont val="Times New Roman"/>
        <family val="1"/>
      </rPr>
      <t xml:space="preserve">     </t>
    </r>
    <r>
      <rPr>
        <sz val="11"/>
        <color theme="1"/>
        <rFont val="Calibri"/>
        <family val="2"/>
        <scheme val="minor"/>
      </rPr>
      <t>AFFECTED ROOM ______________</t>
    </r>
  </si>
  <si>
    <t xml:space="preserve">9. MITIGATION Readings Moisture = MC, </t>
  </si>
  <si>
    <t>Nook,</t>
  </si>
  <si>
    <t>Hallway,</t>
  </si>
  <si>
    <r>
      <t>4.</t>
    </r>
    <r>
      <rPr>
        <sz val="7"/>
        <color rgb="FF637183"/>
        <rFont val="Times New Roman"/>
        <family val="1"/>
      </rPr>
      <t xml:space="preserve">      </t>
    </r>
    <r>
      <rPr>
        <sz val="10"/>
        <color rgb="FF637183"/>
        <rFont val="Arial"/>
        <family val="2"/>
      </rPr>
      <t>ROOM2</t>
    </r>
  </si>
  <si>
    <t>Bedroom 2 DN</t>
  </si>
  <si>
    <r>
      <t>9.</t>
    </r>
    <r>
      <rPr>
        <sz val="7"/>
        <color rgb="FF637183"/>
        <rFont val="Times New Roman"/>
        <family val="1"/>
      </rPr>
      <t xml:space="preserve">     </t>
    </r>
    <r>
      <rPr>
        <sz val="11"/>
        <color theme="1"/>
        <rFont val="Calibri"/>
        <family val="2"/>
        <scheme val="minor"/>
      </rPr>
      <t>AFFECTED ROOM ______________</t>
    </r>
  </si>
  <si>
    <t xml:space="preserve">10. MITIGATION READINGS = RH, TEMP F &amp; DEH &amp; EXTERIOR, </t>
  </si>
  <si>
    <t xml:space="preserve"> Pantry,</t>
  </si>
  <si>
    <t xml:space="preserve">Linen Closet, </t>
  </si>
  <si>
    <r>
      <t>5.</t>
    </r>
    <r>
      <rPr>
        <sz val="7"/>
        <color rgb="FF637183"/>
        <rFont val="Times New Roman"/>
        <family val="1"/>
      </rPr>
      <t xml:space="preserve">      </t>
    </r>
    <r>
      <rPr>
        <sz val="10"/>
        <color rgb="FF637183"/>
        <rFont val="Arial"/>
        <family val="2"/>
      </rPr>
      <t>ROOM3</t>
    </r>
  </si>
  <si>
    <t>BR 2 Closet DN</t>
  </si>
  <si>
    <r>
      <t>10.</t>
    </r>
    <r>
      <rPr>
        <sz val="7"/>
        <color rgb="FF637183"/>
        <rFont val="Times New Roman"/>
        <family val="1"/>
      </rPr>
      <t xml:space="preserve">  </t>
    </r>
    <r>
      <rPr>
        <sz val="11"/>
        <color theme="1"/>
        <rFont val="Calibri"/>
        <family val="2"/>
        <scheme val="minor"/>
      </rPr>
      <t>AFFECTED ROOM ______________</t>
    </r>
  </si>
  <si>
    <t xml:space="preserve">11. REPLACEMENT 1 CON OVERVIEW DAY PICS, </t>
  </si>
  <si>
    <t xml:space="preserve">Hallway, </t>
  </si>
  <si>
    <t xml:space="preserve">Bedroom 1, </t>
  </si>
  <si>
    <r>
      <t>6.</t>
    </r>
    <r>
      <rPr>
        <sz val="7"/>
        <color rgb="FF637183"/>
        <rFont val="Times New Roman"/>
        <family val="1"/>
      </rPr>
      <t xml:space="preserve">      </t>
    </r>
    <r>
      <rPr>
        <sz val="10"/>
        <color rgb="FF637183"/>
        <rFont val="Arial"/>
        <family val="2"/>
      </rPr>
      <t>ROOM4</t>
    </r>
  </si>
  <si>
    <t>Bathroom DN</t>
  </si>
  <si>
    <t xml:space="preserve">12. REPLACEMENT 2 CON WIP, </t>
  </si>
  <si>
    <t xml:space="preserve">Bedroom Closet 1, </t>
  </si>
  <si>
    <r>
      <t>7.</t>
    </r>
    <r>
      <rPr>
        <sz val="7"/>
        <color rgb="FF637183"/>
        <rFont val="Times New Roman"/>
        <family val="1"/>
      </rPr>
      <t xml:space="preserve">      </t>
    </r>
    <r>
      <rPr>
        <sz val="10"/>
        <color rgb="FF637183"/>
        <rFont val="Arial"/>
        <family val="2"/>
      </rPr>
      <t xml:space="preserve">ROOM5 </t>
    </r>
  </si>
  <si>
    <t>Linen Closet DN</t>
  </si>
  <si>
    <t xml:space="preserve"> CPS ----------------</t>
  </si>
  <si>
    <t xml:space="preserve">13. REPLACEMENT 3 CON STORAGE , </t>
  </si>
  <si>
    <t xml:space="preserve">Bedroom 2, </t>
  </si>
  <si>
    <r>
      <t>8.</t>
    </r>
    <r>
      <rPr>
        <sz val="7"/>
        <color rgb="FF637183"/>
        <rFont val="Times New Roman"/>
        <family val="1"/>
      </rPr>
      <t xml:space="preserve">      </t>
    </r>
    <r>
      <rPr>
        <sz val="10"/>
        <color rgb="FF637183"/>
        <rFont val="Arial"/>
        <family val="2"/>
      </rPr>
      <t>4. CPS1 DAY 1 CONTENTS ROOM OVERVIEW / DOCUMENT PICS</t>
    </r>
  </si>
  <si>
    <t>Kitchen DN</t>
  </si>
  <si>
    <r>
      <t>11.</t>
    </r>
    <r>
      <rPr>
        <sz val="7"/>
        <color rgb="FF637183"/>
        <rFont val="Times New Roman"/>
        <family val="1"/>
      </rPr>
      <t xml:space="preserve">  </t>
    </r>
    <r>
      <rPr>
        <sz val="11"/>
        <color theme="1"/>
        <rFont val="Calibri"/>
        <family val="2"/>
        <scheme val="minor"/>
      </rPr>
      <t>CPS1 DAY1 CONTENTS OVERVIEW/DOCUMENT PICS</t>
    </r>
  </si>
  <si>
    <t xml:space="preserve">14. REPLACEMENT 4 CON DISPOSAL, </t>
  </si>
  <si>
    <t>Bedroom Closet 1,</t>
  </si>
  <si>
    <t xml:space="preserve">Bedroom Closet 2, </t>
  </si>
  <si>
    <r>
      <t>9.</t>
    </r>
    <r>
      <rPr>
        <sz val="7"/>
        <color rgb="FF637183"/>
        <rFont val="Times New Roman"/>
        <family val="1"/>
      </rPr>
      <t xml:space="preserve">      </t>
    </r>
    <r>
      <rPr>
        <sz val="10"/>
        <color rgb="FF637183"/>
        <rFont val="Arial"/>
        <family val="2"/>
      </rPr>
      <t xml:space="preserve">5. CPS2 DAY2 CONTENTS OVERVIEW WIP BOXES PACKOUT PICS, </t>
    </r>
  </si>
  <si>
    <t>Pantry Down DN</t>
  </si>
  <si>
    <r>
      <t>12.</t>
    </r>
    <r>
      <rPr>
        <sz val="7"/>
        <color rgb="FF637183"/>
        <rFont val="Times New Roman"/>
        <family val="1"/>
      </rPr>
      <t xml:space="preserve">  </t>
    </r>
    <r>
      <rPr>
        <sz val="11"/>
        <color theme="1"/>
        <rFont val="Calibri"/>
        <family val="2"/>
        <scheme val="minor"/>
      </rPr>
      <t>CPS2 DAY2 CONTENTS OVERVIEW WIP BOXES PACKOUT PICS</t>
    </r>
  </si>
  <si>
    <t xml:space="preserve">15. REBUILD OVERVIEW WORK IN PROGRESS.......WIP, </t>
  </si>
  <si>
    <t xml:space="preserve">Primary Bedroom, </t>
  </si>
  <si>
    <r>
      <t>10.</t>
    </r>
    <r>
      <rPr>
        <sz val="7"/>
        <color rgb="FF637183"/>
        <rFont val="Times New Roman"/>
        <family val="1"/>
      </rPr>
      <t xml:space="preserve">   </t>
    </r>
    <r>
      <rPr>
        <sz val="10"/>
        <color rgb="FF637183"/>
        <rFont val="Arial"/>
        <family val="2"/>
      </rPr>
      <t xml:space="preserve">6. CPS3 DAY3 CONTENTS OVERVIEW STORAGE MOVE OUT PICS, </t>
    </r>
  </si>
  <si>
    <t>Hallway/ Closet Dn</t>
  </si>
  <si>
    <r>
      <t>13.</t>
    </r>
    <r>
      <rPr>
        <sz val="7"/>
        <color rgb="FF637183"/>
        <rFont val="Times New Roman"/>
        <family val="1"/>
      </rPr>
      <t xml:space="preserve">  </t>
    </r>
    <r>
      <rPr>
        <sz val="11"/>
        <color theme="1"/>
        <rFont val="Calibri"/>
        <family val="2"/>
        <scheme val="minor"/>
      </rPr>
      <t>CPS3 DAY3 CONTENTS OVERVIEW STORAGE MOVE OUT PICS</t>
    </r>
  </si>
  <si>
    <t xml:space="preserve">16. REBUILD INTERIOR COMPLETED WORK, </t>
  </si>
  <si>
    <t xml:space="preserve">Primary Bedroom Closet 2, </t>
  </si>
  <si>
    <r>
      <t>11.</t>
    </r>
    <r>
      <rPr>
        <sz val="7"/>
        <color rgb="FF637183"/>
        <rFont val="Times New Roman"/>
        <family val="1"/>
      </rPr>
      <t xml:space="preserve">   </t>
    </r>
    <r>
      <rPr>
        <sz val="10"/>
        <color rgb="FF637183"/>
        <rFont val="Arial"/>
        <family val="2"/>
      </rPr>
      <t xml:space="preserve">7. CPS4 CONTENTS OVERVIEW PACK-BACK / RESET PICS, </t>
    </r>
  </si>
  <si>
    <t>SIDE DN FOYER HALL STAIRS</t>
  </si>
  <si>
    <r>
      <t>14.</t>
    </r>
    <r>
      <rPr>
        <sz val="7"/>
        <color rgb="FF637183"/>
        <rFont val="Times New Roman"/>
        <family val="1"/>
      </rPr>
      <t xml:space="preserve">  </t>
    </r>
    <r>
      <rPr>
        <sz val="11"/>
        <color theme="1"/>
        <rFont val="Calibri"/>
        <family val="2"/>
        <scheme val="minor"/>
      </rPr>
      <t xml:space="preserve">CPS4 CONTENTS OVERVIEW PACK-BACK / RESET PICS ---------------------------------------------- </t>
    </r>
  </si>
  <si>
    <t xml:space="preserve">17. Roof Scope = DAMAGES &amp; LINE ITEMS, </t>
  </si>
  <si>
    <t xml:space="preserve">Primary Bathroom, </t>
  </si>
  <si>
    <r>
      <t>12.</t>
    </r>
    <r>
      <rPr>
        <sz val="7"/>
        <color rgb="FF637183"/>
        <rFont val="Times New Roman"/>
        <family val="1"/>
      </rPr>
      <t xml:space="preserve">   </t>
    </r>
    <r>
      <rPr>
        <sz val="10"/>
        <color rgb="FF637183"/>
        <rFont val="Arial"/>
        <family val="2"/>
      </rPr>
      <t xml:space="preserve">8. MITIGATION EQUIPMENT OVERVIEW INTERIOR &amp; WIP, </t>
    </r>
  </si>
  <si>
    <t>Frt Stairwell / Hallway Up ============</t>
  </si>
  <si>
    <t>MITIGATION ---------------------------------------------------------</t>
  </si>
  <si>
    <t xml:space="preserve">18. ROOF EXTERIOR PAID WHEN INSTALLED (PWI ITEMS), </t>
  </si>
  <si>
    <t xml:space="preserve">Rec Room/ office, </t>
  </si>
  <si>
    <r>
      <t>13.</t>
    </r>
    <r>
      <rPr>
        <sz val="7"/>
        <color rgb="FF637183"/>
        <rFont val="Times New Roman"/>
        <family val="1"/>
      </rPr>
      <t xml:space="preserve">   </t>
    </r>
    <r>
      <rPr>
        <sz val="10"/>
        <color rgb="FF637183"/>
        <rFont val="Arial"/>
        <family val="2"/>
      </rPr>
      <t xml:space="preserve">9. MITIGATION Readings Moisture = MC, </t>
    </r>
  </si>
  <si>
    <t>Living Room 2nd</t>
  </si>
  <si>
    <r>
      <t>15.</t>
    </r>
    <r>
      <rPr>
        <sz val="7"/>
        <color rgb="FF637183"/>
        <rFont val="Times New Roman"/>
        <family val="1"/>
      </rPr>
      <t xml:space="preserve">  </t>
    </r>
    <r>
      <rPr>
        <sz val="11"/>
        <color theme="1"/>
        <rFont val="Calibri"/>
        <family val="2"/>
        <scheme val="minor"/>
      </rPr>
      <t>MITIGATION EQUIPMENT OVERVIEW INTERIOR &amp; WIP</t>
    </r>
  </si>
  <si>
    <t xml:space="preserve">4. CPS1 DAY 1 CONTENTS ROOM OVERVIEW / DOCUMENT PICS, </t>
  </si>
  <si>
    <t xml:space="preserve">Garage, </t>
  </si>
  <si>
    <r>
      <t>14.</t>
    </r>
    <r>
      <rPr>
        <sz val="7"/>
        <color rgb="FF637183"/>
        <rFont val="Times New Roman"/>
        <family val="1"/>
      </rPr>
      <t xml:space="preserve">   </t>
    </r>
    <r>
      <rPr>
        <sz val="10"/>
        <color rgb="FF637183"/>
        <rFont val="Arial"/>
        <family val="2"/>
      </rPr>
      <t xml:space="preserve">10. MITIGATION READINGS = RH, TEMP F &amp; DEH &amp; EXTERIOR, </t>
    </r>
  </si>
  <si>
    <t>Guest Closet 2nd</t>
  </si>
  <si>
    <r>
      <t>16.</t>
    </r>
    <r>
      <rPr>
        <sz val="7"/>
        <color rgb="FF637183"/>
        <rFont val="Times New Roman"/>
        <family val="1"/>
      </rPr>
      <t xml:space="preserve">  </t>
    </r>
    <r>
      <rPr>
        <sz val="11"/>
        <color theme="1"/>
        <rFont val="Calibri"/>
        <family val="2"/>
        <scheme val="minor"/>
      </rPr>
      <t>MITIGATION Readings Moisture = MC</t>
    </r>
  </si>
  <si>
    <t>RHT DAY 1,</t>
  </si>
  <si>
    <t>Guest Bathroom</t>
  </si>
  <si>
    <r>
      <t>15.</t>
    </r>
    <r>
      <rPr>
        <sz val="7"/>
        <color rgb="FF637183"/>
        <rFont val="Times New Roman"/>
        <family val="1"/>
      </rPr>
      <t xml:space="preserve">   </t>
    </r>
    <r>
      <rPr>
        <sz val="10"/>
        <color rgb="FF637183"/>
        <rFont val="Arial"/>
        <family val="2"/>
      </rPr>
      <t xml:space="preserve">11. REPLACEMENT 1 CON OVERVIEW DAY PICS, </t>
    </r>
  </si>
  <si>
    <t>Fireplace 2nd up</t>
  </si>
  <si>
    <r>
      <t>17.</t>
    </r>
    <r>
      <rPr>
        <sz val="7"/>
        <color rgb="FF637183"/>
        <rFont val="Times New Roman"/>
        <family val="1"/>
      </rPr>
      <t xml:space="preserve">  </t>
    </r>
    <r>
      <rPr>
        <sz val="11"/>
        <color theme="1"/>
        <rFont val="Calibri"/>
        <family val="2"/>
        <scheme val="minor"/>
      </rPr>
      <t>MITIGATION READINGS = RH, TEMP F &amp; DEH &amp; EXTERIOR ----------------------------------------- REPLACEMENT ------------------</t>
    </r>
  </si>
  <si>
    <t xml:space="preserve"> RHT DAY 2,</t>
  </si>
  <si>
    <r>
      <t>16.</t>
    </r>
    <r>
      <rPr>
        <sz val="7"/>
        <color rgb="FF637183"/>
        <rFont val="Times New Roman"/>
        <family val="1"/>
      </rPr>
      <t xml:space="preserve">   </t>
    </r>
    <r>
      <rPr>
        <sz val="10"/>
        <color rgb="FF637183"/>
        <rFont val="Arial"/>
        <family val="2"/>
      </rPr>
      <t xml:space="preserve">12. REPLACEMENT 2 CON WIP, </t>
    </r>
  </si>
  <si>
    <t>Dining Room 2nd</t>
  </si>
  <si>
    <r>
      <t>18.</t>
    </r>
    <r>
      <rPr>
        <sz val="7"/>
        <color rgb="FF637183"/>
        <rFont val="Times New Roman"/>
        <family val="1"/>
      </rPr>
      <t xml:space="preserve">  </t>
    </r>
    <r>
      <rPr>
        <sz val="11"/>
        <color theme="1"/>
        <rFont val="Calibri"/>
        <family val="2"/>
        <scheme val="minor"/>
      </rPr>
      <t>REPLACEMENT 1 CON OVERVIEW DAY PICS</t>
    </r>
  </si>
  <si>
    <t xml:space="preserve"> RHT DAY 3,</t>
  </si>
  <si>
    <r>
      <t>17.</t>
    </r>
    <r>
      <rPr>
        <sz val="7"/>
        <color rgb="FF637183"/>
        <rFont val="Times New Roman"/>
        <family val="1"/>
      </rPr>
      <t xml:space="preserve">   </t>
    </r>
    <r>
      <rPr>
        <sz val="10"/>
        <color rgb="FF637183"/>
        <rFont val="Arial"/>
        <family val="2"/>
      </rPr>
      <t xml:space="preserve">13. REPLACEMENT 3 CON STORAGE </t>
    </r>
  </si>
  <si>
    <t>Hallway Bathroom 2nd</t>
  </si>
  <si>
    <r>
      <t>19.</t>
    </r>
    <r>
      <rPr>
        <sz val="7"/>
        <color rgb="FF637183"/>
        <rFont val="Times New Roman"/>
        <family val="1"/>
      </rPr>
      <t xml:space="preserve">  </t>
    </r>
    <r>
      <rPr>
        <sz val="11"/>
        <color theme="1"/>
        <rFont val="Calibri"/>
        <family val="2"/>
        <scheme val="minor"/>
      </rPr>
      <t>REPLACEMENT 2 CON WIP</t>
    </r>
  </si>
  <si>
    <t xml:space="preserve"> RHT DAY 4, </t>
  </si>
  <si>
    <r>
      <t>18.</t>
    </r>
    <r>
      <rPr>
        <sz val="7"/>
        <color rgb="FF637183"/>
        <rFont val="Times New Roman"/>
        <family val="1"/>
      </rPr>
      <t xml:space="preserve">   </t>
    </r>
    <r>
      <rPr>
        <sz val="10"/>
        <color rgb="FF637183"/>
        <rFont val="Arial"/>
        <family val="2"/>
      </rPr>
      <t xml:space="preserve">14. REPLACEMENT 4 CON DISPOSAL, </t>
    </r>
  </si>
  <si>
    <t>Bedroom 1 2nd</t>
  </si>
  <si>
    <r>
      <t>20.</t>
    </r>
    <r>
      <rPr>
        <sz val="7"/>
        <color rgb="FF637183"/>
        <rFont val="Times New Roman"/>
        <family val="1"/>
      </rPr>
      <t xml:space="preserve">  </t>
    </r>
    <r>
      <rPr>
        <sz val="11"/>
        <color theme="1"/>
        <rFont val="Calibri"/>
        <family val="2"/>
        <scheme val="minor"/>
      </rPr>
      <t>REPLACEMENT 3 CON STORAGE</t>
    </r>
  </si>
  <si>
    <t xml:space="preserve">RHT DAY 5, </t>
  </si>
  <si>
    <r>
      <t>19.</t>
    </r>
    <r>
      <rPr>
        <sz val="7"/>
        <color rgb="FF637183"/>
        <rFont val="Times New Roman"/>
        <family val="1"/>
      </rPr>
      <t xml:space="preserve">   </t>
    </r>
    <r>
      <rPr>
        <sz val="10"/>
        <color rgb="FF637183"/>
        <rFont val="Arial"/>
        <family val="2"/>
      </rPr>
      <t xml:space="preserve">15. REBUILD OVERVIEW WORK IN PROGRESS.......WIP, </t>
    </r>
  </si>
  <si>
    <t>Primary Bedroom 2nd</t>
  </si>
  <si>
    <r>
      <t>21.</t>
    </r>
    <r>
      <rPr>
        <sz val="7"/>
        <color rgb="FF637183"/>
        <rFont val="Times New Roman"/>
        <family val="1"/>
      </rPr>
      <t xml:space="preserve">  </t>
    </r>
    <r>
      <rPr>
        <sz val="11"/>
        <color theme="1"/>
        <rFont val="Calibri"/>
        <family val="2"/>
        <scheme val="minor"/>
      </rPr>
      <t>REPLACEMENT 4 CON DISPOSAL----          ---------------------------------------------------------------------REBUILD --------------------</t>
    </r>
  </si>
  <si>
    <t xml:space="preserve">MC DAY1 , </t>
  </si>
  <si>
    <r>
      <t>20.</t>
    </r>
    <r>
      <rPr>
        <sz val="7"/>
        <color rgb="FF637183"/>
        <rFont val="Times New Roman"/>
        <family val="1"/>
      </rPr>
      <t xml:space="preserve">   </t>
    </r>
    <r>
      <rPr>
        <sz val="10"/>
        <color rgb="FF637183"/>
        <rFont val="Arial"/>
        <family val="2"/>
      </rPr>
      <t xml:space="preserve">16. REBUILD INTERIOR COMPLETED WORK, </t>
    </r>
  </si>
  <si>
    <t>Primary Bedroom Closet 2nd</t>
  </si>
  <si>
    <r>
      <t>22.</t>
    </r>
    <r>
      <rPr>
        <sz val="7"/>
        <color rgb="FF637183"/>
        <rFont val="Times New Roman"/>
        <family val="1"/>
      </rPr>
      <t xml:space="preserve">  </t>
    </r>
    <r>
      <rPr>
        <sz val="11"/>
        <color theme="1"/>
        <rFont val="Calibri"/>
        <family val="2"/>
        <scheme val="minor"/>
      </rPr>
      <t>REBUILD OVERVIEW WORK IN PROGRESS.......WIP</t>
    </r>
  </si>
  <si>
    <t xml:space="preserve">MC DAY 2, </t>
  </si>
  <si>
    <r>
      <t>21.</t>
    </r>
    <r>
      <rPr>
        <sz val="7"/>
        <color rgb="FF637183"/>
        <rFont val="Times New Roman"/>
        <family val="1"/>
      </rPr>
      <t xml:space="preserve">   </t>
    </r>
    <r>
      <rPr>
        <sz val="10"/>
        <color rgb="FF637183"/>
        <rFont val="Arial"/>
        <family val="2"/>
      </rPr>
      <t xml:space="preserve">17. Roof Scope = DAMAGES &amp; LINE ITEMS, </t>
    </r>
  </si>
  <si>
    <t>Bedroom 2 2nd</t>
  </si>
  <si>
    <r>
      <t>23.</t>
    </r>
    <r>
      <rPr>
        <sz val="7"/>
        <color rgb="FF637183"/>
        <rFont val="Times New Roman"/>
        <family val="1"/>
      </rPr>
      <t xml:space="preserve">  </t>
    </r>
    <r>
      <rPr>
        <sz val="11"/>
        <color theme="1"/>
        <rFont val="Calibri"/>
        <family val="2"/>
        <scheme val="minor"/>
      </rPr>
      <t>REBUILD INTERIOR COMPLETED WORK --  ---------------------------------------------------------------------------------------------------------------------------------------------------------                                                                                                ROOF &amp; EXTERIOR ----------</t>
    </r>
  </si>
  <si>
    <t xml:space="preserve">MC DAY3, </t>
  </si>
  <si>
    <r>
      <t>22.</t>
    </r>
    <r>
      <rPr>
        <sz val="7"/>
        <color rgb="FF637183"/>
        <rFont val="Times New Roman"/>
        <family val="1"/>
      </rPr>
      <t xml:space="preserve">   </t>
    </r>
    <r>
      <rPr>
        <sz val="10"/>
        <color rgb="FF637183"/>
        <rFont val="Arial"/>
        <family val="2"/>
      </rPr>
      <t xml:space="preserve">18. ROOF EXTERIOR PAID WHEN INSTALLED (PWI ITEMS), </t>
    </r>
  </si>
  <si>
    <t>BR 2 Closet 2nd</t>
  </si>
  <si>
    <r>
      <t>24.</t>
    </r>
    <r>
      <rPr>
        <sz val="7"/>
        <color rgb="FF637183"/>
        <rFont val="Times New Roman"/>
        <family val="1"/>
      </rPr>
      <t xml:space="preserve">  </t>
    </r>
    <r>
      <rPr>
        <sz val="11"/>
        <color theme="1"/>
        <rFont val="Calibri"/>
        <family val="2"/>
        <scheme val="minor"/>
      </rPr>
      <t>Roof Scope = DAMAGES &amp; LINE ITEMS</t>
    </r>
  </si>
  <si>
    <t xml:space="preserve">MC DAY 4, </t>
  </si>
  <si>
    <r>
      <t>23.</t>
    </r>
    <r>
      <rPr>
        <sz val="7"/>
        <color rgb="FF637183"/>
        <rFont val="Times New Roman"/>
        <family val="1"/>
      </rPr>
      <t xml:space="preserve">   </t>
    </r>
    <r>
      <rPr>
        <sz val="10"/>
        <color rgb="FF637183"/>
        <rFont val="Arial"/>
        <family val="2"/>
      </rPr>
      <t xml:space="preserve">EMPLOYEES SIGNATURE CHECK LIST ROOM, </t>
    </r>
  </si>
  <si>
    <t>Linen Closet 2ND</t>
  </si>
  <si>
    <t xml:space="preserve">ROOF EXTERIOR PAID WHEN INSTALLED </t>
  </si>
  <si>
    <t xml:space="preserve">MC DAY 5, </t>
  </si>
  <si>
    <r>
      <t>24.</t>
    </r>
    <r>
      <rPr>
        <sz val="7"/>
        <color rgb="FF637183"/>
        <rFont val="Times New Roman"/>
        <family val="1"/>
      </rPr>
      <t xml:space="preserve">   </t>
    </r>
    <r>
      <rPr>
        <sz val="10"/>
        <color rgb="FF637183"/>
        <rFont val="Arial"/>
        <family val="2"/>
      </rPr>
      <t>RHT DAY 1,</t>
    </r>
  </si>
  <si>
    <t>Bathroom UP 2nd</t>
  </si>
  <si>
    <t xml:space="preserve">STABILIZATION READINGS, </t>
  </si>
  <si>
    <r>
      <t>25.</t>
    </r>
    <r>
      <rPr>
        <sz val="7"/>
        <color rgb="FF637183"/>
        <rFont val="Times New Roman"/>
        <family val="1"/>
      </rPr>
      <t xml:space="preserve">   </t>
    </r>
    <r>
      <rPr>
        <sz val="10"/>
        <color rgb="FF637183"/>
        <rFont val="Arial"/>
        <family val="2"/>
      </rPr>
      <t xml:space="preserve">RHT DAY 2, </t>
    </r>
  </si>
  <si>
    <t>Kitchen 2nd</t>
  </si>
  <si>
    <t>MIT LABELS,</t>
  </si>
  <si>
    <r>
      <t>26.</t>
    </r>
    <r>
      <rPr>
        <sz val="7"/>
        <color rgb="FF637183"/>
        <rFont val="Times New Roman"/>
        <family val="1"/>
      </rPr>
      <t xml:space="preserve">   </t>
    </r>
    <r>
      <rPr>
        <sz val="10"/>
        <color rgb="FF637183"/>
        <rFont val="Arial"/>
        <family val="2"/>
      </rPr>
      <t xml:space="preserve">RHT DAY 3, </t>
    </r>
  </si>
  <si>
    <t>Rear/entry Foyer 2nd</t>
  </si>
  <si>
    <t xml:space="preserve"> ROOM LABELS</t>
  </si>
  <si>
    <r>
      <t>27.</t>
    </r>
    <r>
      <rPr>
        <sz val="7"/>
        <color rgb="FF637183"/>
        <rFont val="Times New Roman"/>
        <family val="1"/>
      </rPr>
      <t xml:space="preserve">   </t>
    </r>
    <r>
      <rPr>
        <sz val="10"/>
        <color rgb="FF637183"/>
        <rFont val="Arial"/>
        <family val="2"/>
      </rPr>
      <t xml:space="preserve">RHT DAY 4, </t>
    </r>
  </si>
  <si>
    <t>Stairs -Up =REAR ======================</t>
  </si>
  <si>
    <r>
      <t>28.</t>
    </r>
    <r>
      <rPr>
        <sz val="7"/>
        <color rgb="FF637183"/>
        <rFont val="Times New Roman"/>
        <family val="1"/>
      </rPr>
      <t xml:space="preserve">   </t>
    </r>
    <r>
      <rPr>
        <sz val="10"/>
        <color rgb="FF637183"/>
        <rFont val="Arial"/>
        <family val="2"/>
      </rPr>
      <t xml:space="preserve">RHT DAY 5, </t>
    </r>
  </si>
  <si>
    <t>Pantry 2nd</t>
  </si>
  <si>
    <r>
      <t>29.</t>
    </r>
    <r>
      <rPr>
        <sz val="7"/>
        <color rgb="FF637183"/>
        <rFont val="Times New Roman"/>
        <family val="1"/>
      </rPr>
      <t xml:space="preserve">   </t>
    </r>
    <r>
      <rPr>
        <sz val="10"/>
        <color rgb="FF637183"/>
        <rFont val="Arial"/>
        <family val="2"/>
      </rPr>
      <t xml:space="preserve">MC DAY 1, </t>
    </r>
  </si>
  <si>
    <t>=== ATTIC 3RD FLOOR============</t>
  </si>
  <si>
    <r>
      <t>30.</t>
    </r>
    <r>
      <rPr>
        <sz val="7"/>
        <color rgb="FF637183"/>
        <rFont val="Times New Roman"/>
        <family val="1"/>
      </rPr>
      <t xml:space="preserve">   </t>
    </r>
    <r>
      <rPr>
        <sz val="10"/>
        <color rgb="FF637183"/>
        <rFont val="Arial"/>
        <family val="2"/>
      </rPr>
      <t xml:space="preserve">MC DAY 2, </t>
    </r>
  </si>
  <si>
    <t>3rd Floor Up Stairs</t>
  </si>
  <si>
    <r>
      <t>31.</t>
    </r>
    <r>
      <rPr>
        <sz val="7"/>
        <color rgb="FF637183"/>
        <rFont val="Times New Roman"/>
        <family val="1"/>
      </rPr>
      <t xml:space="preserve">   </t>
    </r>
    <r>
      <rPr>
        <sz val="10"/>
        <color rgb="FF637183"/>
        <rFont val="Arial"/>
        <family val="2"/>
      </rPr>
      <t xml:space="preserve">MC DAY 3, </t>
    </r>
  </si>
  <si>
    <t>3rd Floot Bedroom Closet</t>
  </si>
  <si>
    <r>
      <t>32.</t>
    </r>
    <r>
      <rPr>
        <sz val="7"/>
        <color rgb="FF637183"/>
        <rFont val="Times New Roman"/>
        <family val="1"/>
      </rPr>
      <t xml:space="preserve">   </t>
    </r>
    <r>
      <rPr>
        <sz val="10"/>
        <color rgb="FF637183"/>
        <rFont val="Arial"/>
        <family val="2"/>
      </rPr>
      <t xml:space="preserve">MC DAY 4, </t>
    </r>
  </si>
  <si>
    <t>3rd Floor Bedroom/REC 1</t>
  </si>
  <si>
    <r>
      <t>33.</t>
    </r>
    <r>
      <rPr>
        <sz val="7"/>
        <color rgb="FF637183"/>
        <rFont val="Times New Roman"/>
        <family val="1"/>
      </rPr>
      <t xml:space="preserve">   </t>
    </r>
    <r>
      <rPr>
        <sz val="10"/>
        <color rgb="FF637183"/>
        <rFont val="Arial"/>
        <family val="2"/>
      </rPr>
      <t xml:space="preserve">MC DAY 5, </t>
    </r>
  </si>
  <si>
    <t>3rd Floor Living Room</t>
  </si>
  <si>
    <r>
      <t>34.</t>
    </r>
    <r>
      <rPr>
        <sz val="7"/>
        <color rgb="FF637183"/>
        <rFont val="Times New Roman"/>
        <family val="1"/>
      </rPr>
      <t xml:space="preserve">   </t>
    </r>
    <r>
      <rPr>
        <sz val="10"/>
        <color rgb="FF637183"/>
        <rFont val="Arial"/>
        <family val="2"/>
      </rPr>
      <t xml:space="preserve">STABILIZATION READINGS, </t>
    </r>
  </si>
  <si>
    <t>3rd Floor Kitchen</t>
  </si>
  <si>
    <r>
      <t>35.</t>
    </r>
    <r>
      <rPr>
        <sz val="7"/>
        <color rgb="FF637183"/>
        <rFont val="Times New Roman"/>
        <family val="1"/>
      </rPr>
      <t xml:space="preserve">   </t>
    </r>
    <r>
      <rPr>
        <sz val="10"/>
        <color rgb="FF637183"/>
        <rFont val="Arial"/>
        <family val="2"/>
      </rPr>
      <t xml:space="preserve">MIT LABELS, </t>
    </r>
  </si>
  <si>
    <t>3rd Floor Storage 1</t>
  </si>
  <si>
    <r>
      <t>36.</t>
    </r>
    <r>
      <rPr>
        <sz val="7"/>
        <color rgb="FF637183"/>
        <rFont val="Times New Roman"/>
        <family val="1"/>
      </rPr>
      <t xml:space="preserve">   </t>
    </r>
    <r>
      <rPr>
        <sz val="10"/>
        <color rgb="FF637183"/>
        <rFont val="Arial"/>
        <family val="2"/>
      </rPr>
      <t>ROOM LABELS</t>
    </r>
  </si>
  <si>
    <t>3rd Floor Hallway Bedroom</t>
  </si>
  <si>
    <t>3rd Floor Closet Hall</t>
  </si>
  <si>
    <t>3rd Floor Guest Closet 1</t>
  </si>
  <si>
    <t>3rd Floor Guest Closet 2</t>
  </si>
  <si>
    <t>Bathroom 3rd Floor</t>
  </si>
  <si>
    <t>3RD FLR Storage 2</t>
  </si>
  <si>
    <t>3rd Floor Porch</t>
  </si>
  <si>
    <t>Basement COMMON AREA ================</t>
  </si>
  <si>
    <t>Laundry Room</t>
  </si>
  <si>
    <t>STORAGE RR</t>
  </si>
  <si>
    <t>======= MITIGATION LABELS =========</t>
  </si>
  <si>
    <t>Mitigation Equipment</t>
  </si>
  <si>
    <t>STABILIZATION</t>
  </si>
  <si>
    <t>MC DAY1</t>
  </si>
  <si>
    <t>MC DAY2</t>
  </si>
  <si>
    <t>MC DAY 3</t>
  </si>
  <si>
    <t>MC DAY 4</t>
  </si>
  <si>
    <t>MC DAY 5</t>
  </si>
  <si>
    <t>RHT DAY 1</t>
  </si>
  <si>
    <t>RHT DAY 2</t>
  </si>
  <si>
    <t>RHT DAY 3</t>
  </si>
  <si>
    <t>RHT DAY 4</t>
  </si>
  <si>
    <t>RHT DAY 5</t>
  </si>
  <si>
    <t>PPR REPLACEMENT ITEMS</t>
  </si>
  <si>
    <t>Kitchen</t>
  </si>
  <si>
    <t>CABINETS</t>
  </si>
  <si>
    <t>Type /Quality / Grade:</t>
  </si>
  <si>
    <t xml:space="preserve">   Standard- Builder Grade   /    High Grade   /   Premium   /   Deluxe   / CUSTOM</t>
  </si>
  <si>
    <t>BASE</t>
  </si>
  <si>
    <t>_______________</t>
  </si>
  <si>
    <t>LF total =____________</t>
  </si>
  <si>
    <t>SB SIZE</t>
  </si>
  <si>
    <t>DB SIZE</t>
  </si>
  <si>
    <t>B ____SIZES</t>
  </si>
  <si>
    <t>SPECIALTY</t>
  </si>
  <si>
    <t>UPPER Cabinets</t>
  </si>
  <si>
    <t>WIDTH X HEIGHT</t>
  </si>
  <si>
    <t>FULL HEIGHT CAB</t>
  </si>
  <si>
    <t>COUNTER TOP</t>
  </si>
  <si>
    <t>FORMICA</t>
  </si>
  <si>
    <t>GRANITE</t>
  </si>
  <si>
    <t>OTHER __________</t>
  </si>
  <si>
    <t>SF total =____________</t>
  </si>
  <si>
    <t>NOTES:</t>
  </si>
  <si>
    <t>APPLIANCES</t>
  </si>
  <si>
    <t>REFRIGERATOR</t>
  </si>
  <si>
    <t>ICE MAKER</t>
  </si>
  <si>
    <t xml:space="preserve">STOVE/OVEN </t>
  </si>
  <si>
    <t>GAS or ELECTRIC</t>
  </si>
  <si>
    <t>BUILT IN or Stand Alone</t>
  </si>
  <si>
    <t xml:space="preserve">Micro wave </t>
  </si>
  <si>
    <t>__________________________</t>
  </si>
  <si>
    <t>EXHAUST/VENT FAN</t>
  </si>
  <si>
    <t>Dishwasher</t>
  </si>
  <si>
    <t>Garbage disposal</t>
  </si>
  <si>
    <t>BATHROOM</t>
  </si>
  <si>
    <t>VANITY</t>
  </si>
  <si>
    <t>SIZE _________</t>
  </si>
  <si>
    <t>GRADE ________</t>
  </si>
  <si>
    <t xml:space="preserve"> ____  COUNTER TOP __________</t>
  </si>
  <si>
    <t>TOWEL RACKS</t>
  </si>
  <si>
    <t>QTY =</t>
  </si>
  <si>
    <t>BATHTUB</t>
  </si>
  <si>
    <t>___________________</t>
  </si>
  <si>
    <t>Shower surround Type</t>
  </si>
  <si>
    <t>Shower doors</t>
  </si>
  <si>
    <t>Shower Curtain &amp; Rod</t>
  </si>
  <si>
    <t>VENT FAN</t>
  </si>
  <si>
    <t xml:space="preserve">Customer </t>
  </si>
  <si>
    <t>Property-Owner Name</t>
  </si>
  <si>
    <t>Hatten, Nedra</t>
  </si>
  <si>
    <t>Property address: street</t>
  </si>
  <si>
    <t>628 Quilliams Road</t>
  </si>
  <si>
    <t>Property city, state, zip</t>
  </si>
  <si>
    <t>Cleveland Heights, OH 44121</t>
  </si>
  <si>
    <t>Customer Email</t>
  </si>
  <si>
    <t>Msnedra1015@aol.com</t>
  </si>
  <si>
    <t>Cst-owner Phone#</t>
  </si>
  <si>
    <t>(216) 240-4123</t>
  </si>
  <si>
    <t>Co-Owner.cst#2</t>
  </si>
  <si>
    <t>TBD</t>
  </si>
  <si>
    <t>cst ph # 2</t>
  </si>
  <si>
    <t>Cst address # 2</t>
  </si>
  <si>
    <t>city, state-cst#2</t>
  </si>
  <si>
    <t>email-cst #2</t>
  </si>
  <si>
    <t>Loss Info</t>
  </si>
  <si>
    <t>Cause of Loss</t>
  </si>
  <si>
    <t>BATHTUB OVERFLOW</t>
  </si>
  <si>
    <t>date of loss</t>
  </si>
  <si>
    <t>Monday, June 16, 2025</t>
  </si>
  <si>
    <t>rebuild  type 1</t>
  </si>
  <si>
    <t>interior repairs LVL2</t>
  </si>
  <si>
    <t>rebuild  type 2</t>
  </si>
  <si>
    <t>interior repairs LVL1</t>
  </si>
  <si>
    <t>rebuild  type 3</t>
  </si>
  <si>
    <t>BASEMENT</t>
  </si>
  <si>
    <t>DEMO</t>
  </si>
  <si>
    <t>Y</t>
  </si>
  <si>
    <t>Mitigation</t>
  </si>
  <si>
    <t>Other Structures</t>
  </si>
  <si>
    <t>NA</t>
  </si>
  <si>
    <t>CPS</t>
  </si>
  <si>
    <t>Replacement</t>
  </si>
  <si>
    <t>CPS / CLN / CON/ CGN</t>
  </si>
  <si>
    <t>Year Built</t>
  </si>
  <si>
    <t>PRE 1978</t>
  </si>
  <si>
    <t>Contract Date</t>
  </si>
  <si>
    <t>Loss of use/ ALE</t>
  </si>
  <si>
    <t>Breathing issue</t>
  </si>
  <si>
    <t>HMR</t>
  </si>
  <si>
    <t xml:space="preserve">Insurance Co. Name </t>
  </si>
  <si>
    <t>LIBERTY MUTUAL</t>
  </si>
  <si>
    <t>Insurance Co.</t>
  </si>
  <si>
    <t xml:space="preserve">Claim # </t>
  </si>
  <si>
    <t>#059633981</t>
  </si>
  <si>
    <t>policy #</t>
  </si>
  <si>
    <t>H3V28806334771</t>
  </si>
  <si>
    <t>Email INS. co.</t>
  </si>
  <si>
    <t>DESK Adjuster DA</t>
  </si>
  <si>
    <t>DA Phone</t>
  </si>
  <si>
    <t>DA Ph. Ext. #</t>
  </si>
  <si>
    <t xml:space="preserve">DA Email </t>
  </si>
  <si>
    <t>Field Adjuster Name</t>
  </si>
  <si>
    <t>FA</t>
  </si>
  <si>
    <t>Phone # field adj</t>
  </si>
  <si>
    <t>Field adj email</t>
  </si>
  <si>
    <t>PH</t>
  </si>
  <si>
    <t>adj contents</t>
  </si>
  <si>
    <t>adj CPS phone #</t>
  </si>
  <si>
    <t>adj CPS email</t>
  </si>
  <si>
    <t>TMP adj</t>
  </si>
  <si>
    <t>TMP adj phone #</t>
  </si>
  <si>
    <t>adj TMP email</t>
  </si>
  <si>
    <t>ATT: Loss Draft Dept.</t>
  </si>
  <si>
    <t>address ins overnight mail</t>
  </si>
  <si>
    <t>city, state-zip ins</t>
  </si>
  <si>
    <t xml:space="preserve">Insurance Co. Phone </t>
  </si>
  <si>
    <t>(800) 225-2467</t>
  </si>
  <si>
    <t>Website Ins Co.</t>
  </si>
  <si>
    <t>Mailing   address INS</t>
  </si>
  <si>
    <t>Mail city, state, zip INS</t>
  </si>
  <si>
    <t>FAX Ins. Co</t>
  </si>
  <si>
    <t>Room Index</t>
  </si>
  <si>
    <t>OH25 HATTEN @QUILLIAMS</t>
  </si>
  <si>
    <t xml:space="preserve">SCOPE 1 </t>
  </si>
  <si>
    <t>SCOPE 2</t>
  </si>
  <si>
    <t>SCOPE 3</t>
  </si>
  <si>
    <t>SCOPE 4</t>
  </si>
  <si>
    <t xml:space="preserve">  Room/Area 1  </t>
  </si>
  <si>
    <t xml:space="preserve">  LIVING ROOM  </t>
  </si>
  <si>
    <t>FLOOR1 DN</t>
  </si>
  <si>
    <t>FLOOR2</t>
  </si>
  <si>
    <t>3rd Floor Up</t>
  </si>
  <si>
    <t>Basement</t>
  </si>
  <si>
    <t>EXTERIOR</t>
  </si>
  <si>
    <t>ALL</t>
  </si>
  <si>
    <t xml:space="preserve">  Room/Area 2  </t>
  </si>
  <si>
    <t xml:space="preserve">  DINING ROOM  </t>
  </si>
  <si>
    <t>FOYER SIDE ENTRY</t>
  </si>
  <si>
    <t>RR STAIRS UP TO LVL2</t>
  </si>
  <si>
    <t>Attic STAIRS RR =====</t>
  </si>
  <si>
    <t>Basement STAIRS</t>
  </si>
  <si>
    <t>EXT SIDING</t>
  </si>
  <si>
    <t xml:space="preserve">  Room/Area 3  </t>
  </si>
  <si>
    <t xml:space="preserve">  KITCHEN  </t>
  </si>
  <si>
    <t>Basement Stairs</t>
  </si>
  <si>
    <t>Foyer FRT UP</t>
  </si>
  <si>
    <t>Attic REC ROOM</t>
  </si>
  <si>
    <t>Under Stairs Storage</t>
  </si>
  <si>
    <t>FRONT LOWER PORCH</t>
  </si>
  <si>
    <t xml:space="preserve">  Room/Area 4  </t>
  </si>
  <si>
    <t xml:space="preserve">  HALL FLR1  </t>
  </si>
  <si>
    <t>Basement Rec Room</t>
  </si>
  <si>
    <t>Hallway UP FRT</t>
  </si>
  <si>
    <t>ATTIC Bedroom</t>
  </si>
  <si>
    <t>BASEMENT COMMOM AREA</t>
  </si>
  <si>
    <t xml:space="preserve">  Room/Area 5  </t>
  </si>
  <si>
    <t xml:space="preserve">  STAIRS UP  </t>
  </si>
  <si>
    <t>Utility / LAUNDRY</t>
  </si>
  <si>
    <t>Living Room UP</t>
  </si>
  <si>
    <t>ATTIC CLOSET</t>
  </si>
  <si>
    <t xml:space="preserve">  Room/Area 6  </t>
  </si>
  <si>
    <t xml:space="preserve">  Hallway UP @ BR &amp; BATH  </t>
  </si>
  <si>
    <t>LIVING ROOM</t>
  </si>
  <si>
    <t>FIREPLACE UP</t>
  </si>
  <si>
    <t>ATTIC STAIRS FRT</t>
  </si>
  <si>
    <t>Utility Room</t>
  </si>
  <si>
    <t xml:space="preserve">  Room/Area 7  </t>
  </si>
  <si>
    <t xml:space="preserve">  BATHROOM  </t>
  </si>
  <si>
    <t>KITCHEN</t>
  </si>
  <si>
    <t>Dining Room UP</t>
  </si>
  <si>
    <t>ATTIC HALL FRT</t>
  </si>
  <si>
    <t>BSMNT Storage 1</t>
  </si>
  <si>
    <t xml:space="preserve">  Room/Area 8  </t>
  </si>
  <si>
    <t xml:space="preserve">  LINEN  </t>
  </si>
  <si>
    <t>Hallway UP @ BR &amp; BATH</t>
  </si>
  <si>
    <t>Basement STAIRS =======</t>
  </si>
  <si>
    <t>BSMNT Storage 2</t>
  </si>
  <si>
    <t xml:space="preserve">  Room/Area 9  </t>
  </si>
  <si>
    <t xml:space="preserve">  PBR  </t>
  </si>
  <si>
    <t>PBR UP</t>
  </si>
  <si>
    <t xml:space="preserve">  Room/Area 10  </t>
  </si>
  <si>
    <t xml:space="preserve">  PBR CLOSET  </t>
  </si>
  <si>
    <t>PBR CLOSET UP</t>
  </si>
  <si>
    <t>2 ND Floor Porch</t>
  </si>
  <si>
    <t xml:space="preserve">  Room/Area 11  </t>
  </si>
  <si>
    <t xml:space="preserve">  BR2  </t>
  </si>
  <si>
    <t>Bath UP</t>
  </si>
  <si>
    <t xml:space="preserve">  Room/Area 12  </t>
  </si>
  <si>
    <t xml:space="preserve">  BR2 CLOSET  </t>
  </si>
  <si>
    <t>Bedroom 2 UP</t>
  </si>
  <si>
    <t xml:space="preserve">  Room/Area 13  </t>
  </si>
  <si>
    <t xml:space="preserve">   Basement Stairs   </t>
  </si>
  <si>
    <t>Bedroom 2 Closet UP</t>
  </si>
  <si>
    <t xml:space="preserve">  Room/Area 14  </t>
  </si>
  <si>
    <t xml:space="preserve">   Basement Rec Room   </t>
  </si>
  <si>
    <t>Kitchen UP</t>
  </si>
  <si>
    <t xml:space="preserve">  Room/Area 15  </t>
  </si>
  <si>
    <t xml:space="preserve">   Utility / LAUNDRY   </t>
  </si>
  <si>
    <t>Pantry UP</t>
  </si>
  <si>
    <t>EXT SIDING    ==========</t>
  </si>
  <si>
    <t>EXT DOORS</t>
  </si>
  <si>
    <t xml:space="preserve">  Room/Area 16  </t>
  </si>
  <si>
    <t>Hallway RR FLOOR2</t>
  </si>
  <si>
    <t xml:space="preserve">  Room/Area 17  </t>
  </si>
  <si>
    <t>PANTRY2 UP</t>
  </si>
  <si>
    <t xml:space="preserve">  Room/Area 18  </t>
  </si>
  <si>
    <t xml:space="preserve">  Room/Area 19  </t>
  </si>
  <si>
    <t xml:space="preserve">  Room/Area 20  </t>
  </si>
  <si>
    <t xml:space="preserve">  Room/Area 21</t>
  </si>
  <si>
    <t xml:space="preserve">  Room/Area 22</t>
  </si>
  <si>
    <t xml:space="preserve">  Room/Area 23</t>
  </si>
  <si>
    <t xml:space="preserve">  Room/Area 24</t>
  </si>
  <si>
    <t xml:space="preserve">  Room/Area 25</t>
  </si>
  <si>
    <t xml:space="preserve">Mortgage co       </t>
  </si>
  <si>
    <t>Account# Mtge Co.</t>
  </si>
  <si>
    <t>Loan status</t>
  </si>
  <si>
    <t>contact person mtge</t>
  </si>
  <si>
    <t>Phone # MTGE contact</t>
  </si>
  <si>
    <t>Ph. Ext. Mtge contact</t>
  </si>
  <si>
    <t>Attn.: Loss Draft Dept</t>
  </si>
  <si>
    <t>Mtge OVN mail</t>
  </si>
  <si>
    <t>city, St., zip ,mtge OVN</t>
  </si>
  <si>
    <t>Phone # MTGE co.</t>
  </si>
  <si>
    <t>email mtge</t>
  </si>
  <si>
    <t>mtge website</t>
  </si>
  <si>
    <t>MTGE co. Fax #</t>
  </si>
  <si>
    <t>Mailing   address mtge</t>
  </si>
  <si>
    <t>Mail city, state, zip mtge</t>
  </si>
  <si>
    <t>Initial Offer / phase 1 contract amount</t>
  </si>
  <si>
    <t>Draw Request</t>
  </si>
  <si>
    <t>Cust id</t>
  </si>
  <si>
    <t>All Phase Consulting, LLC</t>
  </si>
  <si>
    <t>WWW.MYAPCLLC.COM</t>
  </si>
  <si>
    <t>Insured  &amp; GA Registered #09073201</t>
  </si>
  <si>
    <t>375 Rockbridge Road, Suite 172-343</t>
  </si>
  <si>
    <t>Lilburn, GA, 30047</t>
  </si>
  <si>
    <t>ECI 531 FIFTH AVE,</t>
  </si>
  <si>
    <t>PELHAM, NY 10803</t>
  </si>
  <si>
    <t>20810 AURORA RD</t>
  </si>
  <si>
    <t>BEDFORD,OH 44146</t>
  </si>
  <si>
    <t>Providing Cost Estimating &amp; Project Management Services</t>
  </si>
  <si>
    <t>Five Generations of Great Work</t>
  </si>
  <si>
    <t>Five Generations of Pride &amp; Skills</t>
  </si>
  <si>
    <t>Joe Jones, PM  216.450.7228</t>
  </si>
  <si>
    <t>wsbjoe9@gmail.com</t>
  </si>
  <si>
    <t>404-446-9060</t>
  </si>
  <si>
    <t>info@myapcllc.com</t>
  </si>
  <si>
    <t>TIN 83-226 0563</t>
  </si>
  <si>
    <t xml:space="preserve">  FEDEX    # 9836-2151-1</t>
  </si>
  <si>
    <t>ALL PHASE CONSULTING, LLC</t>
  </si>
  <si>
    <t>co name</t>
  </si>
  <si>
    <t>Co. website</t>
  </si>
  <si>
    <t>co. EMAIL/co. status</t>
  </si>
  <si>
    <t xml:space="preserve">    Providing Cost Estimating &amp; Project Management Services    </t>
  </si>
  <si>
    <t>ALE INFO</t>
  </si>
  <si>
    <t>co. city state</t>
  </si>
  <si>
    <t>co. address 2</t>
  </si>
  <si>
    <t>co. city state 2</t>
  </si>
  <si>
    <t>co adress 3</t>
  </si>
  <si>
    <t>co. city state 3</t>
  </si>
  <si>
    <t>Co. logo 1</t>
  </si>
  <si>
    <t>Co. logo 2</t>
  </si>
  <si>
    <t>Co. logo 3</t>
  </si>
  <si>
    <t>Co. REP. / PH</t>
  </si>
  <si>
    <t>CO.REP.
email</t>
  </si>
  <si>
    <t>end date</t>
  </si>
  <si>
    <t>Co PH # 2</t>
  </si>
  <si>
    <t>CO.REP. email 2</t>
  </si>
  <si>
    <t>TIN W9</t>
  </si>
  <si>
    <t xml:space="preserve">  FedEx     account # </t>
  </si>
  <si>
    <t>claim report date</t>
  </si>
  <si>
    <t>1/0/1900</t>
  </si>
  <si>
    <t>Time OF CLAIM REPORT</t>
  </si>
  <si>
    <t>co.represesntative</t>
  </si>
  <si>
    <t>phone ext</t>
  </si>
  <si>
    <t>Tarp ext TMP ok</t>
  </si>
  <si>
    <t>Int TMP ok</t>
  </si>
  <si>
    <t>DRY/PLA CUTOUT MOLD SPRAY  OK</t>
  </si>
  <si>
    <t>ENTER DATA BELOW</t>
  </si>
  <si>
    <t>CPS/CON OK ok</t>
  </si>
  <si>
    <t>bedrooms</t>
  </si>
  <si>
    <t>months</t>
  </si>
  <si>
    <t>start</t>
  </si>
  <si>
    <t>Amount / Month</t>
  </si>
  <si>
    <t>===========</t>
  </si>
  <si>
    <t>Lessor</t>
  </si>
  <si>
    <t>Leased Address</t>
  </si>
  <si>
    <t>city zip</t>
  </si>
  <si>
    <t>phone #</t>
  </si>
  <si>
    <t>Email</t>
  </si>
  <si>
    <t>++++++++++</t>
  </si>
  <si>
    <t>Lessor mailing Address</t>
  </si>
  <si>
    <t>BASIC SUMMARY OF RESTORATION PROCESS; (Quick version).</t>
  </si>
  <si>
    <t>DoneDate</t>
  </si>
  <si>
    <t>JOB</t>
  </si>
  <si>
    <t>Status</t>
  </si>
  <si>
    <t>%</t>
  </si>
  <si>
    <t>Introduction, Analysis &amp; Verification</t>
  </si>
  <si>
    <t>source/reffered by:</t>
  </si>
  <si>
    <t>POI</t>
  </si>
  <si>
    <t xml:space="preserve">Who is the Insurance Company ?!? </t>
  </si>
  <si>
    <t>Does customer Comprehend Our Role in the process?</t>
  </si>
  <si>
    <t>Is this an LEGITIMATE COVERED INSURANCE Claim? Or Self Pay ?</t>
  </si>
  <si>
    <t>IS THE DAMAGE $ MORE THAN THE DEDUCTIBLE?</t>
  </si>
  <si>
    <t>Do they have coverage; for AOB?   Proof of Insurance, POI</t>
  </si>
  <si>
    <t>EMAIL</t>
  </si>
  <si>
    <t>Contracts &amp; Documentation</t>
  </si>
  <si>
    <t xml:space="preserve"> Contracts &amp; Documentation </t>
  </si>
  <si>
    <t>ENC</t>
  </si>
  <si>
    <t>DOC</t>
  </si>
  <si>
    <t>Has Customer had a full Consultation to Our Terms &amp; Conditions?</t>
  </si>
  <si>
    <t>Does Customer FULLY Agree to Our Terms &amp; Conditions? Initials?</t>
  </si>
  <si>
    <t>0NLINE</t>
  </si>
  <si>
    <t>Notary Page explained/ Fast track</t>
  </si>
  <si>
    <t>mou</t>
  </si>
  <si>
    <t>Company investment (dollars, time ,materials)into their Project?</t>
  </si>
  <si>
    <r>
      <t>Claim Reporting;</t>
    </r>
    <r>
      <rPr>
        <i/>
        <u/>
        <sz val="11"/>
        <rFont val="Calibri"/>
        <family val="2"/>
        <scheme val="minor"/>
      </rPr>
      <t>DOES THE CUSTOMER HAVE THE REQUIRED INFO?</t>
    </r>
  </si>
  <si>
    <t>Insurer Mitigation/DMO/CPS             Approval Info Sheet NOTES</t>
  </si>
  <si>
    <t>mit</t>
  </si>
  <si>
    <t>Mitigation &amp; Demolition</t>
  </si>
  <si>
    <t>Roof &amp; EXT Mitigation  TEMPORARY &amp; EMERGENCY REPAIRS</t>
  </si>
  <si>
    <t>Contents_ item list_; storage details; security explained?</t>
  </si>
  <si>
    <t>HMR / Secondary Damages; Equipment &amp; Electricity $</t>
  </si>
  <si>
    <t>Interior Mitigation; household disruption explained?</t>
  </si>
  <si>
    <t>esx</t>
  </si>
  <si>
    <t xml:space="preserve"> Estimates</t>
  </si>
  <si>
    <t>Interior Inspection/Scope Form</t>
  </si>
  <si>
    <t xml:space="preserve"> SKETCH = ENCIRCLE FLOOR PLAN</t>
  </si>
  <si>
    <t>PICTURES; In Encircle APP</t>
  </si>
  <si>
    <t xml:space="preserve"> Create Estimates…                Rebuild……       …......  CPS</t>
  </si>
  <si>
    <t xml:space="preserve">               EXTERIOR &amp; INTERIOR Mitigation &amp; Demolition</t>
  </si>
  <si>
    <t>Insurance Company Meetings</t>
  </si>
  <si>
    <r>
      <t xml:space="preserve">Insurance Company Meetings </t>
    </r>
    <r>
      <rPr>
        <i/>
        <u val="singleAccounting"/>
        <sz val="12"/>
        <color theme="1"/>
        <rFont val="Calibri"/>
        <family val="2"/>
        <scheme val="minor"/>
      </rPr>
      <t>( be present for adjuster visit).</t>
    </r>
  </si>
  <si>
    <t>adj</t>
  </si>
  <si>
    <t>Prepare docs for adjuster meeting;FLOORPLAN Print &amp; bind docs</t>
  </si>
  <si>
    <t>ENCIRCLE REPORTSFOR INVOICING INSURANCE COMPANY</t>
  </si>
  <si>
    <t>ENCIRCLE REPORTS FOR INVOICING INSURANCE COMPANY</t>
  </si>
  <si>
    <t>Cashflow</t>
  </si>
  <si>
    <t>job</t>
  </si>
  <si>
    <t>General Contractor / Subcontracts</t>
  </si>
  <si>
    <t>EXTERIOR &amp; INTERIOR Mitigation &amp; Demolition</t>
  </si>
  <si>
    <t>Rebuild</t>
  </si>
  <si>
    <t>REBUILD</t>
  </si>
  <si>
    <t>Contents</t>
  </si>
  <si>
    <t xml:space="preserve">CONTENTS      CPS </t>
  </si>
  <si>
    <t>Closeout</t>
  </si>
  <si>
    <t xml:space="preserve">Documents Checklist for CONTRACT PACKAGE </t>
  </si>
  <si>
    <t>CONTRACT PACKAGE;</t>
  </si>
  <si>
    <t>PGS</t>
  </si>
  <si>
    <t>CST Sign</t>
  </si>
  <si>
    <t>I</t>
  </si>
  <si>
    <t>PDF</t>
  </si>
  <si>
    <t>DNload</t>
  </si>
  <si>
    <t>DONE</t>
  </si>
  <si>
    <t>Report#</t>
  </si>
  <si>
    <t xml:space="preserve">Copy of Policy full pages       [   ]  for AOB            </t>
  </si>
  <si>
    <t>N/A</t>
  </si>
  <si>
    <t>[   ]</t>
  </si>
  <si>
    <t>AGENT</t>
  </si>
  <si>
    <t>Declaration page                  [   ]   for AOB</t>
  </si>
  <si>
    <t>MEMORANDUM OF UNDERSTANDING</t>
  </si>
  <si>
    <t>FORWARD</t>
  </si>
  <si>
    <t># 56</t>
  </si>
  <si>
    <t xml:space="preserve">             MOU. REVIEWED / SENT</t>
  </si>
  <si>
    <t>AUTHORIZATION, General</t>
  </si>
  <si>
    <t># 50</t>
  </si>
  <si>
    <t xml:space="preserve">CONTRACT      w/ initials   {  } &amp; RECISSION </t>
  </si>
  <si>
    <t>AOB---- Notary Pages</t>
  </si>
  <si>
    <t># 51</t>
  </si>
  <si>
    <t>CLAIM SUMMARY</t>
  </si>
  <si>
    <t>UPDATE</t>
  </si>
  <si>
    <t>Interior SCOPE/SHEET = LISTING of  Job Work Areas.</t>
  </si>
  <si>
    <t>SCOPE</t>
  </si>
  <si>
    <t>EXCEL</t>
  </si>
  <si>
    <t>MOLD DISCLAIMER</t>
  </si>
  <si>
    <t>Mortgage Co, Info</t>
  </si>
  <si>
    <t>EagleView,        Full report  &amp; EV# _______</t>
  </si>
  <si>
    <t xml:space="preserve">Xactimate________ </t>
  </si>
  <si>
    <t>EGV</t>
  </si>
  <si>
    <t>OTHER_____siding_____WDW___</t>
  </si>
  <si>
    <t>gutters</t>
  </si>
  <si>
    <t xml:space="preserve"> FLOOR PLAN = SKETCH = ENCIRCLE</t>
  </si>
  <si>
    <t>FLOOR PLAN</t>
  </si>
  <si>
    <t>ROOM Pictures/ SEE app guideline</t>
  </si>
  <si>
    <t>PICTURES</t>
  </si>
  <si>
    <t>ROOMS OVERVIEW</t>
  </si>
  <si>
    <t>Pictures are a critical part of full process for payment!</t>
  </si>
  <si>
    <t>SOURCE OF LOSS</t>
  </si>
  <si>
    <t>MITIGATION EQUIPTMENT</t>
  </si>
  <si>
    <t>CPS OVERVIEW</t>
  </si>
  <si>
    <t>Mitigation -Exterior           SCOPE &amp; MIT</t>
  </si>
  <si>
    <t>EXTERIOR MITIGATION</t>
  </si>
  <si>
    <t>#65</t>
  </si>
  <si>
    <t>SUPPLIES &amp; EQUIPTMENT</t>
  </si>
  <si>
    <t>Mitigation -Interior             SCOPE &amp; MIT</t>
  </si>
  <si>
    <t>INTERIOR MITIGATION</t>
  </si>
  <si>
    <t>#80</t>
  </si>
  <si>
    <t>{17}  DEMO                              SCOPE</t>
  </si>
  <si>
    <t>DMO</t>
  </si>
  <si>
    <t>{18}  Contents SCOPE = QUICKVIEW</t>
  </si>
  <si>
    <t>CPS CLN CON</t>
  </si>
  <si>
    <t>#90</t>
  </si>
  <si>
    <t>EXT MIT</t>
  </si>
  <si>
    <t>INT MIT</t>
  </si>
  <si>
    <t>PPR</t>
  </si>
  <si>
    <t>SUPPLEMENTS</t>
  </si>
  <si>
    <t xml:space="preserve">Team leader: </t>
  </si>
  <si>
    <t>__</t>
  </si>
  <si>
    <t>Index of Required Pictures</t>
  </si>
  <si>
    <t>Taken IN ENCIRCLE</t>
  </si>
  <si>
    <t>reviewed &amp; ok By</t>
  </si>
  <si>
    <t>Emailed to insurer</t>
  </si>
  <si>
    <t>Each picture set requires a site verification set of pictures as follows:</t>
  </si>
  <si>
    <t xml:space="preserve">[A] Take a picture of the property address;                    </t>
  </si>
  <si>
    <t>[ 1 ]upon arrival   [ 2 ] last picture before leaving job.</t>
  </si>
  <si>
    <t>Part of each project</t>
  </si>
  <si>
    <t>[B] At opposite corners of the house, take one picture of the front &amp; side,</t>
  </si>
  <si>
    <t>then take a picture of the back and the other side.  This should give full view.  ….</t>
  </si>
  <si>
    <t>ORIGINAL SITE VISIT</t>
  </si>
  <si>
    <t>Documents the initial damages BEFORE  any work is done.</t>
  </si>
  <si>
    <t>Provides the primary basis for the restoration work scope.</t>
  </si>
  <si>
    <t>a]  Roof &amp; EXT  ...b]  Interior Overviews .... c] CPS Contents…d] Int Mitigation Equipment....................</t>
  </si>
  <si>
    <t>ROOF &amp; EXTERIOR  MITIGATION</t>
  </si>
  <si>
    <t>INTERIOR  MITIGATION &amp; DEMO</t>
  </si>
  <si>
    <t xml:space="preserve">    DEMOLITION                                                                               DMO </t>
  </si>
  <si>
    <t xml:space="preserve"> SECONDARY DAMAGES HAZARDOUS MATERIALS REMEDIATION/HMR</t>
  </si>
  <si>
    <t xml:space="preserve"> MITIGATION EQUIPMENT</t>
  </si>
  <si>
    <t>Provides the supporting documentation of equipment billed.</t>
  </si>
  <si>
    <t>DRY LOGS DOCS &amp; TRIP MONITORING</t>
  </si>
  <si>
    <t xml:space="preserve">Required info to support our professional drying techniques &amp; our drying/mitigation invoices…............   </t>
  </si>
  <si>
    <t>CONTENTS; PACKOUT a]  Storage Only</t>
  </si>
  <si>
    <t>Gives detailed support for contents pack out &amp; related charges.</t>
  </si>
  <si>
    <t xml:space="preserve"> IF resetting is done , provide picture after unpacking.</t>
  </si>
  <si>
    <t>Cleaning INHOUSE  &amp;  Sent to outside  vendor</t>
  </si>
  <si>
    <t>CONTENTS, REPLACEMENT ITEMS                       CPS / CON</t>
  </si>
  <si>
    <t>Required documentation to get customer paid for damaged items.</t>
  </si>
  <si>
    <t>REBUILD CLOSEOUT</t>
  </si>
  <si>
    <t xml:space="preserve">Allows support to finalize the job and receive payment,                                                                                                      </t>
  </si>
  <si>
    <t>Shows our quality of work  &amp; attracts new customers.</t>
  </si>
  <si>
    <t>a]  Roof &amp; EXT     …....................b]  Interior   ….....      …....................</t>
  </si>
  <si>
    <t>SECONDARY DAMAGES HAZARDOUS MATERIALS REMEDIATION/HMR</t>
  </si>
  <si>
    <t>Exterior contents</t>
  </si>
  <si>
    <t xml:space="preserve">General Info &amp; Tips:      </t>
  </si>
  <si>
    <t xml:space="preserve">      You cannot take too many photos of the damages;/Water damage which may be especially hard to photograph. </t>
  </si>
  <si>
    <t xml:space="preserve">Some lighted cameras flash-out the stains.  Taking non-lighted photos sometimes works much better. </t>
  </si>
  <si>
    <t>How to take pictures</t>
  </si>
  <si>
    <r>
      <rPr>
        <b/>
        <i/>
        <sz val="12"/>
        <color rgb="FF000000"/>
        <rFont val="Arial"/>
        <family val="2"/>
      </rPr>
      <t xml:space="preserve">FIRST !!!! Put on your safety shoes, goggles, gloves, hard hat and mask., take photos  of everything in the </t>
    </r>
    <r>
      <rPr>
        <sz val="12"/>
        <color rgb="FF000000"/>
        <rFont val="Arial"/>
        <family val="2"/>
      </rPr>
      <t>the interior on the property. Pictures of the personal property  inventory handled by other subcontractor. Photos  of the damages to your home, business, and especially the water damage which may be hard to photograph or video-graph. Some lighted cameras flash-out the stains. So, taking non-lighted photos and video sometimes works much better when trying to get photo evidence of water stained ceilings and walls.</t>
    </r>
  </si>
  <si>
    <t>[A] Take a picture of the property address;   upon arrival</t>
  </si>
  <si>
    <t>At opposite corners of house, take one picture of front &amp; side,</t>
  </si>
  <si>
    <t>then a picture of the back &amp; the other side. Gives a full view.</t>
  </si>
  <si>
    <t xml:space="preserve">[ B]    Take pictures of each damaged room in Encircle add New Room as needed.  </t>
  </si>
  <si>
    <t>Take picture of Room Label,  create label if needed</t>
  </si>
  <si>
    <t xml:space="preserve">Room overview @ entry </t>
  </si>
  <si>
    <t>**Using the ENCIRCLE APP will guide you thru this process                  *********</t>
  </si>
  <si>
    <t>Ceiling ,               show material type drywall/plaster/wood/dropceiling/paneling</t>
  </si>
  <si>
    <t xml:space="preserve">       capture all items ex ….fan/light/molding/smokedetector/vent registers</t>
  </si>
  <si>
    <t>Each WALL  (4)  …....                                                                                                    Show material type drywall/plaster/wallpaper/paneling/mirror                                  ............................................................................................................................capture all items ex ….light/molding/smokedetector/vent...........................Windows /Doors</t>
  </si>
  <si>
    <t>WALL2</t>
  </si>
  <si>
    <t xml:space="preserve"> capture all items ex ….light/molding/smokedetector/vent registers/electrical</t>
  </si>
  <si>
    <t>Wall 1 = Wall to your Left</t>
  </si>
  <si>
    <t>W=1</t>
  </si>
  <si>
    <t>W=3</t>
  </si>
  <si>
    <t>Wall 2 = Wall in Center of Room</t>
  </si>
  <si>
    <t>Wall 3 = Wall to your Right</t>
  </si>
  <si>
    <t>WALL 4   ENTRY/exit</t>
  </si>
  <si>
    <t>Wall 4 = Wall Exit/Entry</t>
  </si>
  <si>
    <t>Windows</t>
  </si>
  <si>
    <t>Doors</t>
  </si>
  <si>
    <t>Floor,  ….......           show material type carpet/wood/vinyl/ceramic</t>
  </si>
  <si>
    <t>Specific damaged area (3)…angles.,</t>
  </si>
  <si>
    <t>right angle/left angle/ middle angle</t>
  </si>
  <si>
    <t>Misc &amp; any special room features</t>
  </si>
  <si>
    <t>Each Room Should have at least 7 photos</t>
  </si>
  <si>
    <t>Brief Narrative of Claim details</t>
  </si>
  <si>
    <t>Property damage</t>
  </si>
  <si>
    <t>Description of each location where damage observed; ___________________________________________</t>
  </si>
  <si>
    <t>Type of property damage</t>
  </si>
  <si>
    <t>__________________________________________</t>
  </si>
  <si>
    <t>INS CO.Contact person</t>
  </si>
  <si>
    <t>Phone extension Number</t>
  </si>
  <si>
    <t xml:space="preserve">DAY / DATE </t>
  </si>
  <si>
    <t>TIME</t>
  </si>
  <si>
    <t xml:space="preserve">OK </t>
  </si>
  <si>
    <t>________________________</t>
  </si>
  <si>
    <t xml:space="preserve">  ______________________</t>
  </si>
  <si>
    <t>AM ___ PM_____ ; _____</t>
  </si>
  <si>
    <r>
      <t xml:space="preserve">Mitigation emergency Services; </t>
    </r>
    <r>
      <rPr>
        <u/>
        <sz val="16"/>
        <color rgb="FF000000"/>
        <rFont val="Arial Narrow"/>
        <family val="2"/>
      </rPr>
      <t>TARP/</t>
    </r>
    <r>
      <rPr>
        <u/>
        <sz val="14"/>
        <color rgb="FF000000"/>
        <rFont val="Arial Narrow"/>
        <family val="2"/>
      </rPr>
      <t>TMP WTR HMR DMO</t>
    </r>
  </si>
  <si>
    <t xml:space="preserve">YES _____ </t>
  </si>
  <si>
    <t>NO_____</t>
  </si>
  <si>
    <t>Demolition   DMO Remove Wet DRY / PLA;  materials</t>
  </si>
  <si>
    <t>CPS/CLN/CON; list all PACKOUT ROOMS</t>
  </si>
  <si>
    <t>CON</t>
  </si>
  <si>
    <t>Replacement Items; personal property</t>
  </si>
  <si>
    <t>NUMBER OF DAMAGED ITEMS (ESTIMATE?)</t>
  </si>
  <si>
    <t>_________________________________________________</t>
  </si>
  <si>
    <t>Roof &amp; EXT&gt;</t>
  </si>
  <si>
    <t>ALE</t>
  </si>
  <si>
    <t>Additional living Expenses</t>
  </si>
  <si>
    <t>Advance Payment Request/ Materials Draw Request</t>
  </si>
  <si>
    <t>Any Insurer contact about this particular claim .</t>
  </si>
  <si>
    <t>Claim History</t>
  </si>
  <si>
    <t>YES _____ / NO_____</t>
  </si>
  <si>
    <t>Claim Reporting</t>
  </si>
  <si>
    <t>The notice of loss should include the following information:</t>
  </si>
  <si>
    <t>Policyholder INFO</t>
  </si>
  <si>
    <t>WHO ??</t>
  </si>
  <si>
    <t>PROVIDE A COPY OF YOUR INSURANCE POLICY &amp; Declarations Page</t>
  </si>
  <si>
    <t>Declarations Page dated_________________</t>
  </si>
  <si>
    <t>Verify deductable $___________________</t>
  </si>
  <si>
    <t xml:space="preserve">Notice of loss should include the policy number &amp; EFFECTIVE DATES </t>
  </si>
  <si>
    <t>FROM</t>
  </si>
  <si>
    <t>_____/_____/______</t>
  </si>
  <si>
    <t>TO</t>
  </si>
  <si>
    <t>CALL INSURANCE COMPANY TO FILE CLAIM &amp; REQUEST INSPECTION OF PROPERTY.</t>
  </si>
  <si>
    <t xml:space="preserve">CLAIMS DEPARTMENT </t>
  </si>
  <si>
    <t>WHAT ??</t>
  </si>
  <si>
    <t xml:space="preserve">TYPE OF LOSS (PROBLEM)                             </t>
  </si>
  <si>
    <t>Causes of the property damage.  ________________________</t>
  </si>
  <si>
    <t>________________________________________</t>
  </si>
  <si>
    <t>WHEN ??</t>
  </si>
  <si>
    <t>DATE OF LOSS ( AS CLOSE AS YOU KNOW)__________________</t>
  </si>
  <si>
    <t>Date damage first occurred _____/____/2021</t>
  </si>
  <si>
    <t>WHERE ??</t>
  </si>
  <si>
    <t>DAMAGES</t>
  </si>
  <si>
    <t>Also see room index</t>
  </si>
  <si>
    <t>Type of property damage.</t>
  </si>
  <si>
    <t>Room/Area</t>
  </si>
  <si>
    <t>___________________________</t>
  </si>
  <si>
    <t>___________</t>
  </si>
  <si>
    <t>__________________</t>
  </si>
  <si>
    <t>Personal Property, clothing, furniture etc.</t>
  </si>
  <si>
    <t>_________________________________</t>
  </si>
  <si>
    <t>Actions taken to Mitigate damages:</t>
  </si>
  <si>
    <t>Contractor info</t>
  </si>
  <si>
    <t>!*!*!**The Following is critical information to be documented !*!*!!!*</t>
  </si>
  <si>
    <t>Tarp Installation</t>
  </si>
  <si>
    <t>Damaged Materials Removal</t>
  </si>
  <si>
    <t>Emergency Mitigation Services</t>
  </si>
  <si>
    <t>CPS / CLN / CON; list all personal property damaged</t>
  </si>
  <si>
    <t>Contact person name</t>
  </si>
  <si>
    <t xml:space="preserve">DAY / Time </t>
  </si>
  <si>
    <t>DATE</t>
  </si>
  <si>
    <t xml:space="preserve">  _________________</t>
  </si>
  <si>
    <t>_________AM/PM</t>
  </si>
  <si>
    <t>_____/_____/ 2023</t>
  </si>
  <si>
    <t xml:space="preserve">     How the adjuster can contact you.    &amp;     That you need immediate contact from the adjuster.</t>
  </si>
  <si>
    <t>Affected Areas</t>
  </si>
  <si>
    <t>TRAVEL</t>
  </si>
  <si>
    <t>Mitigation Interior</t>
  </si>
  <si>
    <t>ONLY</t>
  </si>
  <si>
    <t>N</t>
  </si>
  <si>
    <t>y</t>
  </si>
  <si>
    <t>Inspect for potential Hazardous Materials</t>
  </si>
  <si>
    <t>AREA IMPACTED</t>
  </si>
  <si>
    <t>Action Needed</t>
  </si>
  <si>
    <t>SURVEY &amp; samples</t>
  </si>
  <si>
    <t>Interior</t>
  </si>
  <si>
    <t>Mold</t>
  </si>
  <si>
    <r>
      <t xml:space="preserve">Y   /   N  / </t>
    </r>
    <r>
      <rPr>
        <u/>
        <sz val="16"/>
        <color theme="1"/>
        <rFont val="Calibri"/>
        <family val="2"/>
        <scheme val="minor"/>
      </rPr>
      <t>?</t>
    </r>
    <r>
      <rPr>
        <u/>
        <sz val="11"/>
        <color theme="1"/>
        <rFont val="Calibri"/>
        <family val="2"/>
        <scheme val="minor"/>
      </rPr>
      <t xml:space="preserve"> _______________________</t>
    </r>
  </si>
  <si>
    <t>Signs of Secondary Damage</t>
  </si>
  <si>
    <t xml:space="preserve">Asbestos </t>
  </si>
  <si>
    <t>Drywall</t>
  </si>
  <si>
    <t>Plaster</t>
  </si>
  <si>
    <t>Ceiling Tile</t>
  </si>
  <si>
    <t>Joint compound stucco popcorn</t>
  </si>
  <si>
    <t>Asbestos floor Tile</t>
  </si>
  <si>
    <t>HVAC DUCT wrap</t>
  </si>
  <si>
    <t>Contaminated water</t>
  </si>
  <si>
    <t>Lead Paint</t>
  </si>
  <si>
    <t>other</t>
  </si>
  <si>
    <t>Maintenance Items-  Exterior/Roof non claim related issues</t>
  </si>
  <si>
    <t>Failure to address these items could result in claim denial !!</t>
  </si>
  <si>
    <t>Some typical Examples to be inspected are as follows:</t>
  </si>
  <si>
    <t>First impresssion of Property</t>
  </si>
  <si>
    <t>{__}</t>
  </si>
  <si>
    <t>Curb Appeal</t>
  </si>
  <si>
    <t>Landscaping</t>
  </si>
  <si>
    <t>Overall condition of Property</t>
  </si>
  <si>
    <t>Housekeeping</t>
  </si>
  <si>
    <t>IS THERE THE IMAGE THAT They NEED the Money??</t>
  </si>
  <si>
    <t>Roofing</t>
  </si>
  <si>
    <t>Caulk Failure</t>
  </si>
  <si>
    <t>Column2</t>
  </si>
  <si>
    <t>Pipe collars</t>
  </si>
  <si>
    <t>Loose chimney bricks</t>
  </si>
  <si>
    <t>Flashing</t>
  </si>
  <si>
    <t>Clogged gutter/downspout</t>
  </si>
  <si>
    <t>Loose gutters, gutter boards,</t>
  </si>
  <si>
    <t>Trees contacting roof / house siding</t>
  </si>
  <si>
    <t>Misc Items to be inspected</t>
  </si>
  <si>
    <t xml:space="preserve"> {__} </t>
  </si>
  <si>
    <t>Peeling Paint</t>
  </si>
  <si>
    <t>Trip Hazards/Sidewalks</t>
  </si>
  <si>
    <t>Loose/Missing Railings</t>
  </si>
  <si>
    <t xml:space="preserve">Excess debris/contents on site </t>
  </si>
  <si>
    <t>Loose Fixtures/lights/Awnings/Siding</t>
  </si>
  <si>
    <t>Cracked walls/loose fencing</t>
  </si>
  <si>
    <t>Broken Windows</t>
  </si>
  <si>
    <t>Hazard Materials on site</t>
  </si>
  <si>
    <t>Electrical overloads</t>
  </si>
  <si>
    <t>Code upgrades to be considered</t>
  </si>
  <si>
    <t xml:space="preserve">"Deck" </t>
  </si>
  <si>
    <t>3/8" existing</t>
  </si>
  <si>
    <t>Drip edge</t>
  </si>
  <si>
    <t>Ventilation</t>
  </si>
  <si>
    <t>We may work with you to correct these items,with your approval;Costs,if any,to be determined.</t>
  </si>
  <si>
    <t>#155</t>
  </si>
  <si>
    <t>NEW CUSTOMER #</t>
  </si>
  <si>
    <t>JOB FORMS</t>
  </si>
  <si>
    <t>as needed per job</t>
  </si>
  <si>
    <t>FORMS</t>
  </si>
  <si>
    <t>CONTRACT    PACKAGE;</t>
  </si>
  <si>
    <t>ADJUST PRINT AREA</t>
  </si>
  <si>
    <t xml:space="preserve"> BASIC SUMMARY OF RESTORATION PROCESS; (Quick version). </t>
  </si>
  <si>
    <t xml:space="preserve">    Signed contract verification , MOU sent</t>
  </si>
  <si>
    <t>Copy of Policy (full pages) Declaration page for AOB</t>
  </si>
  <si>
    <t>Claim Brief &amp; .'REPORTING SUMMARY</t>
  </si>
  <si>
    <t>INDEX = LISTING of  Job Work Areas.</t>
  </si>
  <si>
    <t>Exterior Mitigation &amp; Scope</t>
  </si>
  <si>
    <t>a.) Supplies &amp;  Equipment   b.)  Mitigation   c.) Scope</t>
  </si>
  <si>
    <t>SKETCHES  /    FLOOR PLAN /              Interior SCOPE</t>
  </si>
  <si>
    <t>Interior SCOPE/SHEETS</t>
  </si>
  <si>
    <t>per room/area; as needed per job/ Kitchen&amp;Bath=SCOPE Of Work</t>
  </si>
  <si>
    <t>per room/area; as needed per job</t>
  </si>
  <si>
    <t>INTERIOR Mitigation    a) Equipment  b) Supplies  c) Scope of Mitigation</t>
  </si>
  <si>
    <t>b)Mitigation c)Scope d)Readings</t>
  </si>
  <si>
    <t>a) Equipment   b) Supplies  c) Mitigation Scope</t>
  </si>
  <si>
    <t>DH Dry Chambers zip poles Elc</t>
  </si>
  <si>
    <t>INTERIOR Mitigation READINGS !!!!  a.) MC    b.) RH      c.) F TEMP</t>
  </si>
  <si>
    <t>a.) MC  b.) RH c.) F TEMP</t>
  </si>
  <si>
    <t>Contents SCOPE = QUICKVIEW</t>
  </si>
  <si>
    <t>HMR Hazrdous Materials</t>
  </si>
  <si>
    <t>Exterior Maintenance                 INT Maintenance</t>
  </si>
  <si>
    <t>Interior Inspection Work SCOPE V2</t>
  </si>
  <si>
    <t xml:space="preserve">                                    ROOM =</t>
  </si>
  <si>
    <t xml:space="preserve"> CEILING</t>
  </si>
  <si>
    <t>CEILING; FLT/VLT/Tray/Open</t>
  </si>
  <si>
    <t>DRY / PLA / ACT / PNL / T&amp;G / Other</t>
  </si>
  <si>
    <t>Finish- Smooth / Texture/Heavy/Popcorn</t>
  </si>
  <si>
    <t>Repair MIN / Al l / SF/ Other</t>
  </si>
  <si>
    <t>____ _I ____ I CSP</t>
  </si>
  <si>
    <t>INS SF / R- Value / Batt / Loose</t>
  </si>
  <si>
    <t>____ _I ____ I ____</t>
  </si>
  <si>
    <t xml:space="preserve">_____/____/___        </t>
  </si>
  <si>
    <t>MOLDINGS/Casing/Crown</t>
  </si>
  <si>
    <t>CLN / MSK / D&amp;R / R&amp;R</t>
  </si>
  <si>
    <t>ELE; LIT Fan/CHR.MSK / CLN / D&amp;R / R&amp;R</t>
  </si>
  <si>
    <t>Smoke/Alarm/Chime;MSK/CLN/D&amp;R/R&amp;R</t>
  </si>
  <si>
    <t>HVC/REG/Vent/Duct CLN / S++/ PNT</t>
  </si>
  <si>
    <t>VERIFY LINE OF SIGHT= F / W / C</t>
  </si>
  <si>
    <t>WALLS</t>
  </si>
  <si>
    <t>WALLS # or All</t>
  </si>
  <si>
    <t>DRY / PLA / TEX/ WPR / MIR / PNL / T&amp;G / TIL</t>
  </si>
  <si>
    <t>MOLDING/Casing/CHAIRRAIL/Other</t>
  </si>
  <si>
    <t>ELE; LlT/SW3/SW--CLN / D&amp;R / MSK / R&amp;R</t>
  </si>
  <si>
    <t>Smoke/Alarm/Chime;CLN /MSK /D&amp;R /R&amp;R</t>
  </si>
  <si>
    <t>HVC / REG / Duct; CLN / MSK / D&amp;R / R&amp;R</t>
  </si>
  <si>
    <t xml:space="preserve"> Windows; WDW / WDV / WDA /QTY ___ </t>
  </si>
  <si>
    <t>CLN / MSK / D&amp;R / R&amp;R / S++ / PNT</t>
  </si>
  <si>
    <t>WindowCOVERType=CLN/MSK/D&amp;R/R&amp;R</t>
  </si>
  <si>
    <t xml:space="preserve">    Hardware; CLN / MSK / D&amp;R / R&amp;R</t>
  </si>
  <si>
    <t>DOOR</t>
  </si>
  <si>
    <t>DOORS;STD/Bifold/MIRROR/SLIDER/QTY</t>
  </si>
  <si>
    <t>_______I______</t>
  </si>
  <si>
    <t>CLN / D&amp;R / R&amp;R / S++/ PNT</t>
  </si>
  <si>
    <t>CASING;CLN/MSK/D&amp;R/R&amp;R/S++/PNT</t>
  </si>
  <si>
    <t>FLOOR</t>
  </si>
  <si>
    <t>FLOOR; FCC/FCW/LAM/FCS/FCV/FCT</t>
  </si>
  <si>
    <t>CLN / D&amp;R / R&amp;R / SAND / S++ / STN</t>
  </si>
  <si>
    <t>BASEBOARD  HEIGHT -    MULTI   .</t>
  </si>
  <si>
    <t>Closet; SHELF_LF= WOOD / WIRE</t>
  </si>
  <si>
    <t>Work Notes:________________</t>
  </si>
  <si>
    <t>WINDOWS</t>
  </si>
  <si>
    <t xml:space="preserve">                             ROOM =</t>
  </si>
  <si>
    <t>CLN / S++/ PNT</t>
  </si>
  <si>
    <t xml:space="preserve">MOLDINGS/Casing/Crown/Other </t>
  </si>
  <si>
    <t>WALLS  Damage N_S_E_W #</t>
  </si>
  <si>
    <t>Interior Work SCOPE(Quick Version)</t>
  </si>
  <si>
    <t>ROOM =</t>
  </si>
  <si>
    <t>CEILING FLT/VLT/PK/CTH/Tray/Open</t>
  </si>
  <si>
    <t>Smooth / Texture/ Heavy</t>
  </si>
  <si>
    <t>Repair MIN / Al l / Sf / Other</t>
  </si>
  <si>
    <t>CLN /S++/PNT</t>
  </si>
  <si>
    <t>INS SF= R= / Batt / Loose</t>
  </si>
  <si>
    <t>MOLDINGS/Casing/Crown_Other</t>
  </si>
  <si>
    <t>R&amp;R/D&amp;R/MSK/CLN/PNT</t>
  </si>
  <si>
    <t>ELE;LIT/Fan/Chndlr//R&amp;R/D&amp;R/MSK</t>
  </si>
  <si>
    <t>HVAC/Vent/DuCT/R&amp;R/D&amp;R/MSK</t>
  </si>
  <si>
    <t>Smoke/Alarm/Chime//R&amp;R/D&amp;R/MSK</t>
  </si>
  <si>
    <t>WALLS  Damage N_S_E_W / WALL#</t>
  </si>
  <si>
    <t>________  I______</t>
  </si>
  <si>
    <t>DRY/PLA/MIR/PNL/T&amp;G/WPR</t>
  </si>
  <si>
    <t>Smooth/Texture/Heavy</t>
  </si>
  <si>
    <t>INS SF= R=__ / Batt / Loose</t>
  </si>
  <si>
    <t>MOLDINGS Type/CHAIRRAIL / Other</t>
  </si>
  <si>
    <t xml:space="preserve">   R&amp;R/D&amp;R/MSK/CLN /S++/PNT</t>
  </si>
  <si>
    <t>ELE LlT/OS/SW--/R&amp;R/D&amp;R/MSK/CLN</t>
  </si>
  <si>
    <t>HVAC/Vent/Duct/Smoke/Alarm/Chime</t>
  </si>
  <si>
    <t xml:space="preserve"> Window WDW/WDV/WDA/    QTY</t>
  </si>
  <si>
    <t>R&amp;R/D&amp;R/MSK/CLN/PNT/S++</t>
  </si>
  <si>
    <t>Window treatments Type=_CLN/D&amp;R</t>
  </si>
  <si>
    <t>Hardware;R&amp;R/D&amp;R/MSK/CLN</t>
  </si>
  <si>
    <t>DO0R</t>
  </si>
  <si>
    <t>DOORS QTY / STD/Bifold/MIR/BYPASS</t>
  </si>
  <si>
    <t>R&amp;R/D&amp;R/MSK/CLN/S++/PNT</t>
  </si>
  <si>
    <t>CASINGS R&amp;R/D&amp;R/MSK/CLN/S++/PNT</t>
  </si>
  <si>
    <t>HDWE R&amp;R/D&amp;R/MSK/CLN</t>
  </si>
  <si>
    <t>FLOOR FCC/FCW/LAM/FCS/FCT</t>
  </si>
  <si>
    <t>R&amp;R / MSK /CLN / SAND</t>
  </si>
  <si>
    <t>BASEBOARD  HT - MULTI   .</t>
  </si>
  <si>
    <t>QTR RND BASE/R&amp;R/S++/PNT</t>
  </si>
  <si>
    <t>Closet;SHELF/ROD LF= WOOD/WIRE</t>
  </si>
  <si>
    <t>Work Notes:________________________________________________________________________________</t>
  </si>
  <si>
    <t xml:space="preserve"> Window WDW/WDV/WDA/ QTY</t>
  </si>
  <si>
    <t>Window treatments Type=_CLN/ R / D</t>
  </si>
  <si>
    <t>FLOOR FCC/FCW/FCS/FCT</t>
  </si>
  <si>
    <t>____I________</t>
  </si>
  <si>
    <t>FRONT</t>
  </si>
  <si>
    <t>SLOPE</t>
  </si>
  <si>
    <t>ROOF ACCESSORIES; VENTS, PIPE JACKS, CHIMNEY ETC</t>
  </si>
  <si>
    <t>BSMNT Storage1</t>
  </si>
  <si>
    <t>REAR SLOPE</t>
  </si>
  <si>
    <t>LEFT SIDE</t>
  </si>
  <si>
    <t>COVERS LIVING ROOM &amp; PBR CLOSETS LEAKS</t>
  </si>
  <si>
    <t>LEFT SIDE @ GARAGE</t>
  </si>
  <si>
    <t>COVERS LAUNDRY ROOM &amp; HALL LEAKS</t>
  </si>
  <si>
    <t>TEMPORARY</t>
  </si>
  <si>
    <t>REPAIRS</t>
  </si>
  <si>
    <t>Inspect Work SCOPE</t>
  </si>
  <si>
    <t>SQUARE FOOT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</si>
</sst>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 #,##0_);_(* \(#,##0\);_(* &quot;-&quot;??_);_(@_)"/>
    <numFmt numFmtId="165" formatCode="[&lt;=9999999]###\-####;\(###\)\ ###\-####"/>
  </numFmts>
  <fonts count="306">
    <font>
      <sz val="11"/>
      <color theme="1"/>
      <name val="Calibri"/>
      <family val="2"/>
      <scheme val="minor"/>
    </font>
    <font>
      <sz val="10"/>
      <color theme="1"/>
      <name val="Arial"/>
      <family val="2"/>
    </font>
    <font>
      <sz val="14"/>
      <color theme="1"/>
      <name val="Arial Narrow"/>
      <family val="2"/>
    </font>
    <font>
      <sz val="14"/>
      <color theme="1"/>
      <name val="Arial Narrow"/>
      <family val="2"/>
    </font>
    <font>
      <sz val="11"/>
      <color theme="1"/>
      <name val="Calibri"/>
      <family val="2"/>
      <scheme val="minor"/>
    </font>
    <font>
      <b/>
      <sz val="11"/>
      <color rgb="FFFA7D00"/>
      <name val="Calibri"/>
      <family val="2"/>
      <scheme val="minor"/>
    </font>
    <font>
      <i/>
      <u/>
      <sz val="14"/>
      <color rgb="FF000000"/>
      <name val="Calibri"/>
      <family val="2"/>
      <scheme val="minor"/>
    </font>
    <font>
      <sz val="12"/>
      <color theme="1"/>
      <name val="Calibri"/>
      <family val="2"/>
      <scheme val="minor"/>
    </font>
    <font>
      <sz val="14"/>
      <color theme="1"/>
      <name val="Calibri"/>
      <family val="2"/>
      <scheme val="minor"/>
    </font>
    <font>
      <b/>
      <sz val="12"/>
      <color rgb="FFFA7D00"/>
      <name val="NEW Times"/>
      <family val="2"/>
    </font>
    <font>
      <sz val="12"/>
      <color rgb="FFFA7D00"/>
      <name val="NEW Times"/>
      <family val="2"/>
    </font>
    <font>
      <sz val="14"/>
      <color theme="1"/>
      <name val="Algerian"/>
      <family val="5"/>
    </font>
    <font>
      <i/>
      <u val="doubleAccounting"/>
      <sz val="14"/>
      <color theme="1"/>
      <name val="Calibri"/>
      <family val="2"/>
      <scheme val="minor"/>
    </font>
    <font>
      <i/>
      <u val="doubleAccounting"/>
      <sz val="10"/>
      <color theme="1"/>
      <name val="Calibri"/>
      <family val="2"/>
      <scheme val="minor"/>
    </font>
    <font>
      <i/>
      <u val="doubleAccounting"/>
      <sz val="14"/>
      <color theme="1"/>
      <name val="Algerian"/>
      <family val="5"/>
    </font>
    <font>
      <u/>
      <sz val="14"/>
      <color theme="1"/>
      <name val="Algerian"/>
      <family val="5"/>
    </font>
    <font>
      <i/>
      <u val="singleAccounting"/>
      <sz val="16"/>
      <color theme="1"/>
      <name val="Calibri"/>
      <family val="2"/>
      <scheme val="minor"/>
    </font>
    <font>
      <i/>
      <u val="singleAccounting"/>
      <sz val="14"/>
      <color theme="1"/>
      <name val="Calibri"/>
      <family val="2"/>
      <scheme val="minor"/>
    </font>
    <font>
      <i/>
      <u val="singleAccounting"/>
      <sz val="10"/>
      <color theme="1"/>
      <name val="Calibri"/>
      <family val="2"/>
      <scheme val="minor"/>
    </font>
    <font>
      <i/>
      <sz val="16"/>
      <color theme="1"/>
      <name val="Calibri"/>
      <family val="2"/>
      <scheme val="minor"/>
    </font>
    <font>
      <i/>
      <sz val="14"/>
      <color rgb="FF000000"/>
      <name val="Arial Narrow"/>
      <family val="2"/>
    </font>
    <font>
      <sz val="12"/>
      <name val="Calibri"/>
      <family val="2"/>
      <scheme val="minor"/>
    </font>
    <font>
      <i/>
      <u/>
      <sz val="14"/>
      <color rgb="FF000000"/>
      <name val="Algerian"/>
      <family val="5"/>
    </font>
    <font>
      <i/>
      <u/>
      <sz val="14"/>
      <color rgb="FF000000"/>
      <name val="Arial Narrow"/>
      <family val="2"/>
    </font>
    <font>
      <i/>
      <u/>
      <sz val="12"/>
      <color rgb="FF000000"/>
      <name val="Arial Narrow"/>
      <family val="2"/>
    </font>
    <font>
      <i/>
      <u val="singleAccounting"/>
      <sz val="14"/>
      <color rgb="FF000000"/>
      <name val="Calibri"/>
      <family val="2"/>
      <scheme val="minor"/>
    </font>
    <font>
      <u/>
      <sz val="14"/>
      <color rgb="FF000000"/>
      <name val="Arial Narrow"/>
      <family val="2"/>
    </font>
    <font>
      <u/>
      <sz val="14"/>
      <color rgb="FF000000"/>
      <name val="Algerian"/>
      <family val="5"/>
    </font>
    <font>
      <i/>
      <u/>
      <sz val="14"/>
      <name val="Calibri"/>
      <family val="2"/>
      <scheme val="minor"/>
    </font>
    <font>
      <i/>
      <u/>
      <sz val="16"/>
      <name val="Calibri"/>
      <family val="2"/>
      <scheme val="minor"/>
    </font>
    <font>
      <i/>
      <u/>
      <sz val="14"/>
      <name val="Algerian"/>
      <family val="5"/>
    </font>
    <font>
      <sz val="12"/>
      <color rgb="FF000000"/>
      <name val="Calibri"/>
      <family val="2"/>
      <scheme val="minor"/>
    </font>
    <font>
      <b/>
      <sz val="12"/>
      <color theme="0"/>
      <name val="Calibri"/>
      <family val="2"/>
      <scheme val="minor"/>
    </font>
    <font>
      <b/>
      <i/>
      <u/>
      <sz val="12"/>
      <name val="Calibri"/>
      <family val="2"/>
      <scheme val="minor"/>
    </font>
    <font>
      <b/>
      <sz val="12"/>
      <name val="Calibri"/>
      <family val="2"/>
      <scheme val="minor"/>
    </font>
    <font>
      <i/>
      <u/>
      <sz val="12"/>
      <name val="Calibri"/>
      <family val="2"/>
      <scheme val="minor"/>
    </font>
    <font>
      <sz val="14"/>
      <name val="Calibri"/>
      <family val="2"/>
      <scheme val="minor"/>
    </font>
    <font>
      <b/>
      <sz val="14"/>
      <color rgb="FFFFFFFF"/>
      <name val="Calibri"/>
      <family val="2"/>
      <scheme val="minor"/>
    </font>
    <font>
      <sz val="11"/>
      <color rgb="FF000000"/>
      <name val="Calibri"/>
      <family val="2"/>
      <scheme val="minor"/>
    </font>
    <font>
      <u/>
      <sz val="14"/>
      <color rgb="FF000000"/>
      <name val="Calibri"/>
      <family val="2"/>
      <scheme val="minor"/>
    </font>
    <font>
      <sz val="14"/>
      <color rgb="FF000000"/>
      <name val="Calibri"/>
      <family val="2"/>
      <scheme val="minor"/>
    </font>
    <font>
      <u/>
      <sz val="12"/>
      <color theme="1"/>
      <name val="Calibri"/>
      <family val="2"/>
      <scheme val="minor"/>
    </font>
    <font>
      <i/>
      <u/>
      <sz val="16"/>
      <color theme="1"/>
      <name val="Calibri"/>
      <family val="2"/>
      <scheme val="minor"/>
    </font>
    <font>
      <sz val="16"/>
      <color theme="1"/>
      <name val="Calibri"/>
      <family val="2"/>
      <scheme val="minor"/>
    </font>
    <font>
      <sz val="12"/>
      <color rgb="FF000000"/>
      <name val="Arial"/>
      <family val="2"/>
    </font>
    <font>
      <sz val="14"/>
      <color rgb="FF000000"/>
      <name val="Arial"/>
      <family val="2"/>
    </font>
    <font>
      <sz val="12"/>
      <color theme="1"/>
      <name val="Arial Narrow"/>
      <family val="2"/>
    </font>
    <font>
      <sz val="20"/>
      <color theme="1"/>
      <name val="Calibri"/>
      <family val="2"/>
      <scheme val="minor"/>
    </font>
    <font>
      <sz val="14"/>
      <color rgb="FF000000"/>
      <name val="Arial Narrow"/>
      <family val="2"/>
    </font>
    <font>
      <sz val="12"/>
      <color rgb="FF000000"/>
      <name val="Times New Roman"/>
      <family val="1"/>
    </font>
    <font>
      <sz val="16"/>
      <color rgb="FF000000"/>
      <name val="Calibri"/>
      <family val="2"/>
      <scheme val="minor"/>
    </font>
    <font>
      <i/>
      <u/>
      <sz val="12"/>
      <color rgb="FF000000"/>
      <name val="Calibri"/>
      <family val="2"/>
      <scheme val="minor"/>
    </font>
    <font>
      <sz val="8"/>
      <color theme="1"/>
      <name val="Calibri"/>
      <family val="2"/>
      <scheme val="minor"/>
    </font>
    <font>
      <u/>
      <sz val="12"/>
      <color rgb="FF000000"/>
      <name val="Calibri"/>
      <family val="2"/>
      <scheme val="minor"/>
    </font>
    <font>
      <b/>
      <sz val="12"/>
      <color theme="1"/>
      <name val="Calibri"/>
      <family val="2"/>
      <scheme val="minor"/>
    </font>
    <font>
      <sz val="12"/>
      <color rgb="FF000000"/>
      <name val="Arial Narrow"/>
      <family val="2"/>
    </font>
    <font>
      <b/>
      <sz val="12"/>
      <color rgb="FFFA7D00"/>
      <name val="Calibri"/>
      <family val="2"/>
      <scheme val="minor"/>
    </font>
    <font>
      <sz val="12"/>
      <color rgb="FFFA7D00"/>
      <name val="Calibri"/>
      <family val="2"/>
      <scheme val="minor"/>
    </font>
    <font>
      <b/>
      <i/>
      <u/>
      <sz val="14"/>
      <color theme="1"/>
      <name val="Calibri"/>
      <family val="2"/>
      <scheme val="minor"/>
    </font>
    <font>
      <b/>
      <sz val="9"/>
      <color indexed="81"/>
      <name val="Tahoma"/>
      <family val="2"/>
    </font>
    <font>
      <sz val="9"/>
      <color indexed="81"/>
      <name val="Tahoma"/>
      <family val="2"/>
    </font>
    <font>
      <b/>
      <i/>
      <u/>
      <sz val="14"/>
      <color rgb="FF000000"/>
      <name val="Calibri"/>
      <family val="2"/>
      <scheme val="minor"/>
    </font>
    <font>
      <i/>
      <u/>
      <sz val="12"/>
      <name val="Arial Narrow"/>
      <family val="2"/>
    </font>
    <font>
      <i/>
      <u/>
      <sz val="12"/>
      <color indexed="8"/>
      <name val="Times New Roman"/>
      <family val="1"/>
    </font>
    <font>
      <sz val="12"/>
      <color rgb="FF000000"/>
      <name val="Trebuchet MS"/>
      <family val="2"/>
    </font>
    <font>
      <b/>
      <i/>
      <u/>
      <sz val="12"/>
      <color rgb="FFFFFFFF"/>
      <name val="Calibri"/>
      <family val="2"/>
      <scheme val="minor"/>
    </font>
    <font>
      <i/>
      <u/>
      <sz val="12"/>
      <color rgb="FF0000FF"/>
      <name val="Calibri"/>
      <family val="2"/>
      <scheme val="minor"/>
    </font>
    <font>
      <i/>
      <sz val="12"/>
      <color rgb="FF000000"/>
      <name val="Bodoni MT Condensed"/>
      <family val="1"/>
    </font>
    <font>
      <u/>
      <sz val="12"/>
      <name val="Calibri"/>
      <family val="2"/>
      <scheme val="minor"/>
    </font>
    <font>
      <sz val="16"/>
      <color rgb="FFFA7D00"/>
      <name val="NEW Times"/>
      <family val="2"/>
    </font>
    <font>
      <sz val="12"/>
      <color rgb="FFFA7D00"/>
      <name val="Arial Narrow"/>
      <family val="2"/>
    </font>
    <font>
      <sz val="16"/>
      <name val="Arial Narrow"/>
      <family val="2"/>
    </font>
    <font>
      <sz val="16"/>
      <color rgb="FF000000"/>
      <name val="Arial Narrow"/>
      <family val="2"/>
    </font>
    <font>
      <u/>
      <sz val="11"/>
      <color theme="10"/>
      <name val="Calibri"/>
      <family val="2"/>
      <scheme val="minor"/>
    </font>
    <font>
      <sz val="16"/>
      <color rgb="FFD6DCE4"/>
      <name val="Arial Narrow"/>
      <family val="2"/>
    </font>
    <font>
      <sz val="14"/>
      <name val="Arial Narrow"/>
      <family val="2"/>
    </font>
    <font>
      <b/>
      <i/>
      <sz val="16"/>
      <name val="Arial Narrow"/>
      <family val="2"/>
    </font>
    <font>
      <u/>
      <sz val="12"/>
      <color rgb="FF404040"/>
      <name val="Segoe UI"/>
      <family val="2"/>
    </font>
    <font>
      <b/>
      <sz val="8"/>
      <color rgb="FF202124"/>
      <name val="Arial"/>
      <family val="2"/>
    </font>
    <font>
      <u/>
      <sz val="14"/>
      <color rgb="FF0563C1"/>
      <name val="Calibri"/>
      <family val="2"/>
      <scheme val="minor"/>
    </font>
    <font>
      <u/>
      <sz val="12"/>
      <color rgb="FF0563C1"/>
      <name val="Calibri"/>
      <family val="2"/>
      <scheme val="minor"/>
    </font>
    <font>
      <sz val="8"/>
      <color rgb="FF2B2E2F"/>
      <name val="Lucida Sans Unicode"/>
      <family val="2"/>
    </font>
    <font>
      <sz val="14"/>
      <color rgb="FF2B2E2F"/>
      <name val="Lucida Sans Unicode"/>
      <family val="2"/>
    </font>
    <font>
      <i/>
      <u/>
      <sz val="12"/>
      <color rgb="FF000000"/>
      <name val="Times New Roman"/>
      <family val="1"/>
    </font>
    <font>
      <i/>
      <sz val="18"/>
      <color rgb="FF000000"/>
      <name val="Arial Narrow"/>
      <family val="2"/>
    </font>
    <font>
      <b/>
      <i/>
      <u/>
      <sz val="14"/>
      <color rgb="FF000000"/>
      <name val="Arial Narrow"/>
      <family val="2"/>
    </font>
    <font>
      <i/>
      <sz val="11"/>
      <color rgb="FF000000"/>
      <name val="Arial Narrow"/>
      <family val="2"/>
    </font>
    <font>
      <sz val="11"/>
      <name val="Arial Narrow"/>
      <family val="2"/>
    </font>
    <font>
      <i/>
      <sz val="12"/>
      <color rgb="FF000000"/>
      <name val="Arial Narrow"/>
      <family val="2"/>
    </font>
    <font>
      <sz val="12"/>
      <color rgb="FF404040"/>
      <name val="Myanmar Text"/>
      <family val="2"/>
    </font>
    <font>
      <b/>
      <sz val="12"/>
      <color rgb="FF000000"/>
      <name val="Calibri"/>
      <family val="2"/>
      <scheme val="minor"/>
    </font>
    <font>
      <b/>
      <sz val="12"/>
      <color rgb="FF000000"/>
      <name val="Arial Narrow"/>
      <family val="2"/>
    </font>
    <font>
      <i/>
      <sz val="14"/>
      <color rgb="FF000000"/>
      <name val="Bodoni MT Condensed"/>
      <family val="1"/>
    </font>
    <font>
      <b/>
      <sz val="14"/>
      <color theme="1"/>
      <name val="Arial Narrow"/>
      <family val="2"/>
    </font>
    <font>
      <b/>
      <i/>
      <sz val="14"/>
      <color rgb="FF000000"/>
      <name val="Arial Narrow"/>
      <family val="2"/>
    </font>
    <font>
      <b/>
      <i/>
      <sz val="12"/>
      <color rgb="FF000000"/>
      <name val="Arial Narrow"/>
      <family val="2"/>
    </font>
    <font>
      <sz val="8"/>
      <color theme="1"/>
      <name val="Arial Narrow"/>
      <family val="2"/>
    </font>
    <font>
      <b/>
      <u/>
      <sz val="14"/>
      <color theme="1"/>
      <name val="Arial Narrow"/>
      <family val="2"/>
    </font>
    <font>
      <i/>
      <u/>
      <sz val="10"/>
      <color theme="1"/>
      <name val="Arial Narrow"/>
      <family val="2"/>
    </font>
    <font>
      <i/>
      <u/>
      <sz val="12"/>
      <color theme="1"/>
      <name val="Calibri"/>
      <family val="2"/>
      <scheme val="minor"/>
    </font>
    <font>
      <b/>
      <u/>
      <sz val="12"/>
      <color theme="1"/>
      <name val="Calibri"/>
      <family val="2"/>
      <scheme val="minor"/>
    </font>
    <font>
      <b/>
      <sz val="9"/>
      <color theme="1"/>
      <name val="Arial Narrow"/>
      <family val="2"/>
    </font>
    <font>
      <b/>
      <sz val="11"/>
      <color theme="1"/>
      <name val="Calibri"/>
      <family val="2"/>
      <scheme val="minor"/>
    </font>
    <font>
      <b/>
      <sz val="14"/>
      <color rgb="FF000000"/>
      <name val="Arial Narrow"/>
      <family val="2"/>
    </font>
    <font>
      <b/>
      <sz val="16"/>
      <color rgb="FF000000"/>
      <name val="Arial Narrow"/>
      <family val="2"/>
    </font>
    <font>
      <b/>
      <sz val="16"/>
      <color theme="1"/>
      <name val="Arial Narrow"/>
      <family val="2"/>
    </font>
    <font>
      <u/>
      <sz val="11"/>
      <color theme="1"/>
      <name val="Calibri"/>
      <family val="2"/>
      <scheme val="minor"/>
    </font>
    <font>
      <u/>
      <sz val="14"/>
      <name val="Arial Narrow"/>
      <family val="2"/>
    </font>
    <font>
      <b/>
      <i/>
      <u/>
      <sz val="16"/>
      <color rgb="FF000000"/>
      <name val="Arial Narrow"/>
      <family val="2"/>
    </font>
    <font>
      <b/>
      <i/>
      <u/>
      <sz val="12"/>
      <color rgb="FF000000"/>
      <name val="Arial Narrow"/>
      <family val="2"/>
    </font>
    <font>
      <i/>
      <u/>
      <sz val="12"/>
      <color rgb="FF444444"/>
      <name val="Arial"/>
      <family val="2"/>
    </font>
    <font>
      <sz val="14"/>
      <color rgb="FF444444"/>
      <name val="Arial"/>
      <family val="2"/>
    </font>
    <font>
      <b/>
      <sz val="12"/>
      <color rgb="FFFFFFFF"/>
      <name val="Calibri"/>
      <family val="2"/>
      <scheme val="minor"/>
    </font>
    <font>
      <i/>
      <sz val="12"/>
      <color rgb="FF000000"/>
      <name val="Calibri"/>
      <family val="2"/>
      <scheme val="minor"/>
    </font>
    <font>
      <sz val="10"/>
      <color rgb="FF444444"/>
      <name val="Arial"/>
      <family val="2"/>
    </font>
    <font>
      <sz val="12"/>
      <color rgb="FF444444"/>
      <name val="Arial"/>
      <family val="2"/>
    </font>
    <font>
      <b/>
      <sz val="10"/>
      <color rgb="FF000000"/>
      <name val="Calibri"/>
      <family val="2"/>
      <scheme val="minor"/>
    </font>
    <font>
      <b/>
      <sz val="14"/>
      <color rgb="FF000000"/>
      <name val="Calibri"/>
      <family val="2"/>
      <scheme val="minor"/>
    </font>
    <font>
      <u/>
      <sz val="12"/>
      <color rgb="FF444444"/>
      <name val="Arial"/>
      <family val="2"/>
    </font>
    <font>
      <b/>
      <sz val="14"/>
      <name val="Arial Narrow"/>
      <family val="2"/>
    </font>
    <font>
      <sz val="14"/>
      <color theme="1"/>
      <name val="Arial Black"/>
      <family val="2"/>
    </font>
    <font>
      <sz val="12"/>
      <name val="Arial Narrow"/>
      <family val="2"/>
    </font>
    <font>
      <b/>
      <sz val="12"/>
      <name val="Arial Narrow"/>
      <family val="2"/>
    </font>
    <font>
      <sz val="11"/>
      <color rgb="FF000000"/>
      <name val="Arial Narrow"/>
      <family val="2"/>
    </font>
    <font>
      <sz val="10"/>
      <color rgb="FF000000"/>
      <name val="Arial Narrow"/>
      <family val="2"/>
    </font>
    <font>
      <sz val="11"/>
      <color theme="1"/>
      <name val="Arial Narrow"/>
      <family val="2"/>
    </font>
    <font>
      <sz val="16"/>
      <color theme="1"/>
      <name val="Arial Narrow"/>
      <family val="2"/>
    </font>
    <font>
      <b/>
      <sz val="11"/>
      <name val="Arial Black"/>
      <family val="2"/>
    </font>
    <font>
      <sz val="12"/>
      <name val="Arial Black"/>
      <family val="2"/>
    </font>
    <font>
      <b/>
      <sz val="12"/>
      <name val="Arial Black"/>
      <family val="2"/>
    </font>
    <font>
      <sz val="10"/>
      <name val="Arial"/>
      <family val="2"/>
    </font>
    <font>
      <sz val="11"/>
      <color theme="1"/>
      <name val="Arial"/>
      <family val="2"/>
    </font>
    <font>
      <b/>
      <sz val="11"/>
      <color theme="1"/>
      <name val="Calibri"/>
      <family val="2"/>
    </font>
    <font>
      <b/>
      <i/>
      <u/>
      <sz val="18"/>
      <color theme="1"/>
      <name val="Calibri"/>
      <family val="2"/>
    </font>
    <font>
      <b/>
      <sz val="14"/>
      <color theme="1"/>
      <name val="Calibri"/>
      <family val="2"/>
    </font>
    <font>
      <b/>
      <sz val="11"/>
      <color theme="1"/>
      <name val="Arial"/>
      <family val="2"/>
    </font>
    <font>
      <sz val="11"/>
      <name val="Arial"/>
      <family val="2"/>
    </font>
    <font>
      <sz val="10"/>
      <color theme="1"/>
      <name val="Arial"/>
      <family val="2"/>
    </font>
    <font>
      <sz val="14"/>
      <color theme="1"/>
      <name val="Arial"/>
      <family val="2"/>
    </font>
    <font>
      <u/>
      <sz val="14"/>
      <color rgb="FF000000"/>
      <name val="Calibri"/>
      <family val="2"/>
    </font>
    <font>
      <sz val="16"/>
      <color theme="1"/>
      <name val="Arial"/>
      <family val="2"/>
    </font>
    <font>
      <i/>
      <u val="doubleAccounting"/>
      <sz val="14"/>
      <color rgb="FF000000"/>
      <name val="Calibri"/>
      <family val="2"/>
      <scheme val="minor"/>
    </font>
    <font>
      <sz val="14"/>
      <color theme="1"/>
      <name val="Times New Roman"/>
      <family val="1"/>
    </font>
    <font>
      <sz val="14"/>
      <color rgb="FF444444"/>
      <name val="Arial Narrow"/>
      <family val="2"/>
    </font>
    <font>
      <sz val="16"/>
      <color rgb="FF000000"/>
      <name val="Times New Roman"/>
      <family val="1"/>
    </font>
    <font>
      <b/>
      <i/>
      <u/>
      <sz val="18"/>
      <color rgb="FF000000"/>
      <name val="Arial Narrow"/>
      <family val="2"/>
    </font>
    <font>
      <sz val="8"/>
      <color rgb="FF000000"/>
      <name val="Calibri"/>
      <family val="2"/>
      <scheme val="minor"/>
    </font>
    <font>
      <sz val="8"/>
      <color rgb="FF000000"/>
      <name val="Arial Narrow"/>
      <family val="2"/>
    </font>
    <font>
      <b/>
      <sz val="11"/>
      <color theme="0"/>
      <name val="Calibri"/>
      <family val="2"/>
      <scheme val="minor"/>
    </font>
    <font>
      <i/>
      <u/>
      <sz val="16"/>
      <color rgb="FF000000"/>
      <name val="Calibri"/>
      <family val="2"/>
      <scheme val="minor"/>
    </font>
    <font>
      <u/>
      <sz val="16"/>
      <color rgb="FF000000"/>
      <name val="Arial Narrow"/>
      <family val="2"/>
    </font>
    <font>
      <sz val="48"/>
      <color rgb="FF000000"/>
      <name val="Calibri"/>
      <family val="2"/>
      <scheme val="minor"/>
    </font>
    <font>
      <sz val="9"/>
      <color rgb="FF000000"/>
      <name val="Calibri"/>
      <family val="2"/>
      <scheme val="minor"/>
    </font>
    <font>
      <sz val="16"/>
      <color rgb="FF444444"/>
      <name val="Arial"/>
      <family val="2"/>
    </font>
    <font>
      <sz val="11"/>
      <color rgb="FF000000"/>
      <name val="Arial"/>
      <family val="2"/>
    </font>
    <font>
      <b/>
      <sz val="18"/>
      <color rgb="FF000000"/>
      <name val="Calibri"/>
      <family val="2"/>
      <scheme val="minor"/>
    </font>
    <font>
      <sz val="18"/>
      <color rgb="FF000000"/>
      <name val="Calibri"/>
      <family val="2"/>
      <scheme val="minor"/>
    </font>
    <font>
      <b/>
      <sz val="36"/>
      <color rgb="FF000000"/>
      <name val="Calibri"/>
      <family val="2"/>
      <scheme val="minor"/>
    </font>
    <font>
      <sz val="18"/>
      <name val="Arial Narrow"/>
      <family val="2"/>
    </font>
    <font>
      <sz val="8"/>
      <color theme="1"/>
      <name val="Arial"/>
      <family val="2"/>
    </font>
    <font>
      <b/>
      <sz val="16"/>
      <color rgb="FF000000"/>
      <name val="Arial"/>
      <family val="2"/>
    </font>
    <font>
      <u/>
      <sz val="16"/>
      <color theme="1"/>
      <name val="Calibri"/>
      <family val="2"/>
      <scheme val="minor"/>
    </font>
    <font>
      <i/>
      <u/>
      <sz val="14"/>
      <color theme="1"/>
      <name val="Arial Narrow"/>
      <family val="2"/>
    </font>
    <font>
      <i/>
      <u/>
      <sz val="14"/>
      <color theme="1"/>
      <name val="Calibri"/>
      <family val="2"/>
    </font>
    <font>
      <i/>
      <u/>
      <sz val="14"/>
      <color rgb="FF000000"/>
      <name val="Arial"/>
      <family val="2"/>
    </font>
    <font>
      <i/>
      <u/>
      <sz val="14"/>
      <color rgb="FF000000"/>
      <name val="Calibri"/>
      <family val="2"/>
    </font>
    <font>
      <sz val="13"/>
      <color theme="1"/>
      <name val="Arial Narrow"/>
      <family val="2"/>
    </font>
    <font>
      <sz val="26"/>
      <color theme="1"/>
      <name val="Arial"/>
      <family val="2"/>
    </font>
    <font>
      <sz val="10"/>
      <color rgb="FF000000"/>
      <name val="Calibri"/>
      <family val="2"/>
      <scheme val="minor"/>
    </font>
    <font>
      <sz val="11"/>
      <color indexed="8"/>
      <name val="Calibri"/>
      <family val="2"/>
    </font>
    <font>
      <u/>
      <sz val="11"/>
      <color theme="10"/>
      <name val="Calibri"/>
      <family val="2"/>
    </font>
    <font>
      <sz val="12"/>
      <color rgb="FF006100"/>
      <name val="Calibri"/>
      <family val="2"/>
      <scheme val="minor"/>
    </font>
    <font>
      <sz val="12"/>
      <color theme="0"/>
      <name val="Calibri"/>
      <family val="2"/>
      <scheme val="minor"/>
    </font>
    <font>
      <u/>
      <sz val="10"/>
      <color indexed="12"/>
      <name val="Arial"/>
      <family val="2"/>
    </font>
    <font>
      <u/>
      <sz val="12"/>
      <color theme="10"/>
      <name val="Calibri"/>
      <family val="2"/>
      <scheme val="minor"/>
    </font>
    <font>
      <sz val="12"/>
      <color theme="1"/>
      <name val="NEW Times"/>
      <family val="2"/>
    </font>
    <font>
      <u/>
      <sz val="12"/>
      <color theme="10"/>
      <name val="NEW Times"/>
      <family val="2"/>
    </font>
    <font>
      <b/>
      <sz val="18"/>
      <color theme="3"/>
      <name val="Calibri Light"/>
      <family val="2"/>
      <scheme val="major"/>
    </font>
    <font>
      <b/>
      <sz val="12"/>
      <color rgb="FF3F3F3F"/>
      <name val="Calibri"/>
      <family val="2"/>
      <scheme val="minor"/>
    </font>
    <font>
      <sz val="11"/>
      <color rgb="FFFA7D00"/>
      <name val="Calibri"/>
      <family val="2"/>
      <scheme val="minor"/>
    </font>
    <font>
      <i/>
      <u/>
      <sz val="18"/>
      <color rgb="FFFF0000"/>
      <name val="Arial"/>
      <family val="2"/>
    </font>
    <font>
      <b/>
      <sz val="14"/>
      <color theme="1"/>
      <name val="Arial"/>
      <family val="2"/>
    </font>
    <font>
      <i/>
      <sz val="12"/>
      <color rgb="FF000000"/>
      <name val="Times New Roman"/>
      <family val="1"/>
    </font>
    <font>
      <u/>
      <sz val="11"/>
      <color rgb="FF0563C1"/>
      <name val="Arial"/>
      <family val="2"/>
    </font>
    <font>
      <sz val="14"/>
      <color rgb="FF000000"/>
      <name val="Times New Roman"/>
      <family val="1"/>
    </font>
    <font>
      <sz val="11"/>
      <color rgb="FF000000"/>
      <name val="Times New Roman"/>
      <family val="1"/>
    </font>
    <font>
      <i/>
      <u/>
      <sz val="14"/>
      <color rgb="FF222222"/>
      <name val="Arial Narrow"/>
      <family val="2"/>
    </font>
    <font>
      <b/>
      <u/>
      <sz val="16"/>
      <color rgb="FF000000"/>
      <name val="Times New Roman"/>
      <family val="1"/>
    </font>
    <font>
      <b/>
      <i/>
      <sz val="12"/>
      <color rgb="FF000000"/>
      <name val="Arial"/>
      <family val="2"/>
    </font>
    <font>
      <i/>
      <u/>
      <sz val="14"/>
      <color rgb="FF444444"/>
      <name val="Arial Narrow"/>
      <family val="2"/>
    </font>
    <font>
      <b/>
      <u/>
      <sz val="14"/>
      <color rgb="FF444444"/>
      <name val="Arial Narrow"/>
      <family val="2"/>
    </font>
    <font>
      <b/>
      <u/>
      <sz val="18"/>
      <color rgb="FF444444"/>
      <name val="Arial Narrow"/>
      <family val="2"/>
    </font>
    <font>
      <b/>
      <u/>
      <sz val="12"/>
      <color rgb="FF444444"/>
      <name val="Arial Narrow"/>
      <family val="2"/>
    </font>
    <font>
      <b/>
      <u/>
      <sz val="11"/>
      <color rgb="FF444444"/>
      <name val="Arial Narrow"/>
      <family val="2"/>
    </font>
    <font>
      <b/>
      <sz val="24"/>
      <color theme="1"/>
      <name val="Calibri Light"/>
      <family val="2"/>
    </font>
    <font>
      <b/>
      <i/>
      <u/>
      <sz val="32"/>
      <color rgb="FF000000"/>
      <name val="Calibri"/>
      <family val="2"/>
      <scheme val="minor"/>
    </font>
    <font>
      <b/>
      <sz val="32"/>
      <color theme="1"/>
      <name val="Calibri Light"/>
      <family val="2"/>
    </font>
    <font>
      <b/>
      <sz val="22"/>
      <color theme="1"/>
      <name val="Calibri"/>
      <family val="2"/>
      <scheme val="minor"/>
    </font>
    <font>
      <sz val="24"/>
      <color theme="1"/>
      <name val="Calibri Light"/>
      <family val="2"/>
    </font>
    <font>
      <sz val="32"/>
      <color theme="1"/>
      <name val="Calibri Light"/>
      <family val="2"/>
    </font>
    <font>
      <sz val="48"/>
      <color theme="1"/>
      <name val="Calibri Light"/>
      <family val="2"/>
    </font>
    <font>
      <sz val="36"/>
      <color theme="1"/>
      <name val="Calibri Light"/>
      <family val="2"/>
    </font>
    <font>
      <sz val="42"/>
      <color theme="1"/>
      <name val="Calibri Light"/>
      <family val="2"/>
    </font>
    <font>
      <b/>
      <sz val="8"/>
      <name val="Arial Black"/>
      <family val="2"/>
    </font>
    <font>
      <sz val="10"/>
      <color rgb="FF231F20"/>
      <name val="Times New Roman"/>
      <family val="1"/>
    </font>
    <font>
      <sz val="11"/>
      <color rgb="FF323C46"/>
      <name val="Inherit"/>
    </font>
    <font>
      <sz val="11"/>
      <color rgb="FF3B3D3F"/>
      <name val="Calibri"/>
      <family val="2"/>
      <scheme val="minor"/>
    </font>
    <font>
      <sz val="11"/>
      <color rgb="FF4F4F50"/>
      <name val="Calibri"/>
      <family val="2"/>
      <scheme val="minor"/>
    </font>
    <font>
      <b/>
      <sz val="11"/>
      <name val="Calibri"/>
      <family val="2"/>
      <scheme val="minor"/>
    </font>
    <font>
      <b/>
      <sz val="12"/>
      <color theme="1"/>
      <name val="Arial Narrow"/>
      <family val="2"/>
    </font>
    <font>
      <b/>
      <sz val="9"/>
      <color theme="1"/>
      <name val="Calibri"/>
      <family val="2"/>
      <scheme val="minor"/>
    </font>
    <font>
      <b/>
      <sz val="14"/>
      <name val="Calibri"/>
      <family val="2"/>
      <scheme val="minor"/>
    </font>
    <font>
      <b/>
      <u/>
      <sz val="12"/>
      <name val="Calibri"/>
      <family val="2"/>
      <scheme val="minor"/>
    </font>
    <font>
      <sz val="10"/>
      <color theme="1"/>
      <name val="Calibri"/>
      <family val="2"/>
      <scheme val="minor"/>
    </font>
    <font>
      <u/>
      <sz val="10"/>
      <name val="Calibri"/>
      <family val="2"/>
      <scheme val="minor"/>
    </font>
    <font>
      <sz val="10"/>
      <name val="Calibri"/>
      <family val="2"/>
      <scheme val="minor"/>
    </font>
    <font>
      <b/>
      <sz val="10"/>
      <name val="Calibri"/>
      <family val="2"/>
      <scheme val="minor"/>
    </font>
    <font>
      <i/>
      <u/>
      <sz val="10"/>
      <name val="Calibri"/>
      <family val="2"/>
      <scheme val="minor"/>
    </font>
    <font>
      <sz val="9"/>
      <name val="Arial Black"/>
      <family val="2"/>
    </font>
    <font>
      <b/>
      <sz val="9"/>
      <name val="Arial Black"/>
      <family val="2"/>
    </font>
    <font>
      <b/>
      <sz val="10"/>
      <name val="Arial Black"/>
      <family val="2"/>
    </font>
    <font>
      <sz val="11"/>
      <name val="Arial Black"/>
      <family val="2"/>
    </font>
    <font>
      <b/>
      <sz val="14"/>
      <name val="Arial Black"/>
      <family val="2"/>
    </font>
    <font>
      <b/>
      <u/>
      <sz val="11"/>
      <name val="Arial Black"/>
      <family val="2"/>
    </font>
    <font>
      <sz val="10"/>
      <name val="Arial Black"/>
      <family val="2"/>
    </font>
    <font>
      <b/>
      <sz val="8"/>
      <color theme="1"/>
      <name val="Calibri"/>
      <family val="2"/>
      <scheme val="minor"/>
    </font>
    <font>
      <sz val="11"/>
      <name val="Calibri"/>
      <family val="2"/>
      <scheme val="minor"/>
    </font>
    <font>
      <b/>
      <i/>
      <u/>
      <sz val="16"/>
      <name val="Calibri"/>
      <family val="2"/>
      <scheme val="minor"/>
    </font>
    <font>
      <u/>
      <sz val="14"/>
      <name val="Calibri"/>
      <family val="2"/>
      <scheme val="minor"/>
    </font>
    <font>
      <b/>
      <i/>
      <u/>
      <sz val="14"/>
      <name val="Calibri"/>
      <family val="2"/>
      <scheme val="minor"/>
    </font>
    <font>
      <u/>
      <sz val="11"/>
      <color rgb="FF0563C1"/>
      <name val="Calibri"/>
      <family val="2"/>
      <scheme val="minor"/>
    </font>
    <font>
      <b/>
      <sz val="11"/>
      <color rgb="FF000000"/>
      <name val="Calibri"/>
      <family val="2"/>
      <scheme val="minor"/>
    </font>
    <font>
      <b/>
      <i/>
      <sz val="16"/>
      <name val="Calibri"/>
      <family val="2"/>
      <scheme val="minor"/>
    </font>
    <font>
      <i/>
      <u/>
      <sz val="11"/>
      <name val="Calibri"/>
      <family val="2"/>
      <scheme val="minor"/>
    </font>
    <font>
      <sz val="10"/>
      <color theme="1"/>
      <name val="Arial Narrow"/>
      <family val="2"/>
    </font>
    <font>
      <sz val="10"/>
      <color rgb="FFFA7D00"/>
      <name val="Arial Narrow"/>
      <family val="2"/>
    </font>
    <font>
      <u/>
      <sz val="10"/>
      <name val="Arial Black"/>
      <family val="2"/>
    </font>
    <font>
      <sz val="10"/>
      <name val="Arial Narrow"/>
      <family val="2"/>
    </font>
    <font>
      <b/>
      <sz val="11"/>
      <color theme="1"/>
      <name val="Arial Narrow"/>
      <family val="2"/>
    </font>
    <font>
      <b/>
      <sz val="10"/>
      <name val="Arial Narrow"/>
      <family val="2"/>
    </font>
    <font>
      <u/>
      <sz val="8"/>
      <color rgb="FFFF0000"/>
      <name val="Arial Black"/>
      <family val="2"/>
    </font>
    <font>
      <sz val="14"/>
      <name val="Arial Black"/>
      <family val="2"/>
    </font>
    <font>
      <i/>
      <u val="singleAccounting"/>
      <sz val="12"/>
      <color theme="1"/>
      <name val="Calibri"/>
      <family val="2"/>
      <scheme val="minor"/>
    </font>
    <font>
      <sz val="9"/>
      <color theme="1"/>
      <name val="Arial Narrow"/>
      <family val="2"/>
    </font>
    <font>
      <u/>
      <sz val="12"/>
      <name val="Arial Narrow"/>
      <family val="2"/>
    </font>
    <font>
      <sz val="8"/>
      <color rgb="FFFF0000"/>
      <name val="Arial Narrow"/>
      <family val="2"/>
    </font>
    <font>
      <b/>
      <sz val="9"/>
      <name val="Arial"/>
      <family val="2"/>
    </font>
    <font>
      <sz val="9"/>
      <color theme="1"/>
      <name val="Arial"/>
      <family val="2"/>
    </font>
    <font>
      <b/>
      <sz val="8"/>
      <color rgb="FFFF0000"/>
      <name val="Arial Black"/>
      <family val="2"/>
    </font>
    <font>
      <b/>
      <sz val="8"/>
      <color rgb="FFFF0000"/>
      <name val="Arial Narrow"/>
      <family val="2"/>
    </font>
    <font>
      <sz val="8"/>
      <color rgb="FFFF0000"/>
      <name val="Arial Black"/>
      <family val="2"/>
    </font>
    <font>
      <sz val="44"/>
      <color theme="1"/>
      <name val="Calibri Light"/>
      <family val="2"/>
    </font>
    <font>
      <b/>
      <sz val="44"/>
      <color theme="1"/>
      <name val="Calibri Light"/>
      <family val="2"/>
    </font>
    <font>
      <b/>
      <sz val="11"/>
      <name val="Arial Narrow"/>
      <family val="2"/>
    </font>
    <font>
      <sz val="11"/>
      <name val="Inherit"/>
    </font>
    <font>
      <sz val="10"/>
      <name val="Times New Roman"/>
      <family val="1"/>
    </font>
    <font>
      <b/>
      <sz val="10"/>
      <color theme="1"/>
      <name val="Calibri"/>
      <family val="2"/>
      <scheme val="minor"/>
    </font>
    <font>
      <sz val="10"/>
      <color rgb="FF637183"/>
      <name val="Arial"/>
      <family val="2"/>
    </font>
    <font>
      <b/>
      <sz val="10"/>
      <color theme="1"/>
      <name val="Arial"/>
      <family val="2"/>
    </font>
    <font>
      <sz val="8"/>
      <name val="Calibri"/>
      <family val="2"/>
      <scheme val="minor"/>
    </font>
    <font>
      <sz val="12"/>
      <color rgb="FF000000"/>
      <name val="Calibri"/>
      <family val="2"/>
    </font>
    <font>
      <sz val="12"/>
      <name val="Calibri"/>
      <family val="2"/>
    </font>
    <font>
      <b/>
      <sz val="12"/>
      <name val="Arial"/>
      <family val="2"/>
    </font>
    <font>
      <b/>
      <sz val="12"/>
      <color rgb="FF000000"/>
      <name val="Calibri"/>
      <family val="2"/>
    </font>
    <font>
      <b/>
      <sz val="11"/>
      <color rgb="FF000000"/>
      <name val="Arial Narrow"/>
      <family val="2"/>
    </font>
    <font>
      <b/>
      <sz val="16"/>
      <color theme="1"/>
      <name val="Calibri"/>
      <family val="2"/>
      <scheme val="minor"/>
    </font>
    <font>
      <sz val="48"/>
      <color rgb="FFFA7D00"/>
      <name val="Arial Narrow"/>
      <family val="2"/>
    </font>
    <font>
      <sz val="72"/>
      <color theme="1"/>
      <name val="Calibri"/>
      <family val="2"/>
      <scheme val="minor"/>
    </font>
    <font>
      <sz val="72"/>
      <color rgb="FFFA7D00"/>
      <name val="Arial Narrow"/>
      <family val="2"/>
    </font>
    <font>
      <sz val="10"/>
      <color rgb="FF2B2B2B"/>
      <name val="Segoe UI"/>
      <family val="2"/>
    </font>
    <font>
      <sz val="8"/>
      <color rgb="FF71777D"/>
      <name val="Arial"/>
      <family val="2"/>
    </font>
    <font>
      <sz val="20"/>
      <color rgb="FF323C46"/>
      <name val="Arial"/>
      <family val="2"/>
    </font>
    <font>
      <sz val="10"/>
      <color rgb="FF323C46"/>
      <name val="Arial"/>
      <family val="2"/>
    </font>
    <font>
      <sz val="7"/>
      <color rgb="FF637183"/>
      <name val="Times New Roman"/>
      <family val="1"/>
    </font>
    <font>
      <sz val="8"/>
      <name val="Arial Black"/>
      <family val="2"/>
    </font>
    <font>
      <sz val="10"/>
      <color rgb="FF2F353E"/>
      <name val="Arial"/>
      <family val="2"/>
    </font>
    <font>
      <sz val="12"/>
      <color rgb="FF2F353E"/>
      <name val="Arial"/>
      <family val="2"/>
    </font>
    <font>
      <sz val="14"/>
      <color rgb="FF2F353E"/>
      <name val="Arial"/>
      <family val="2"/>
    </font>
    <font>
      <sz val="11"/>
      <color rgb="FFFFFFFF"/>
      <name val="Arial"/>
      <family val="2"/>
    </font>
    <font>
      <sz val="11"/>
      <color rgb="FF2F353E"/>
      <name val="Inherit"/>
    </font>
    <font>
      <sz val="11"/>
      <color rgb="FF2F353E"/>
      <name val="Arial"/>
      <family val="2"/>
    </font>
    <font>
      <b/>
      <i/>
      <u/>
      <sz val="14"/>
      <color rgb="FF2F353E"/>
      <name val="Inherit"/>
    </font>
    <font>
      <b/>
      <i/>
      <u/>
      <sz val="12"/>
      <name val="Arial Narrow"/>
      <family val="2"/>
    </font>
    <font>
      <b/>
      <sz val="8"/>
      <color theme="1"/>
      <name val="Arial Black"/>
      <family val="2"/>
    </font>
    <font>
      <b/>
      <sz val="8"/>
      <color theme="1"/>
      <name val="Arial Narrow"/>
      <family val="2"/>
    </font>
    <font>
      <b/>
      <u/>
      <sz val="11"/>
      <color theme="1"/>
      <name val="Arial Black"/>
      <family val="2"/>
    </font>
    <font>
      <b/>
      <u/>
      <sz val="8"/>
      <color theme="1"/>
      <name val="Arial Black"/>
      <family val="2"/>
    </font>
    <font>
      <sz val="11"/>
      <color rgb="FF000000"/>
      <name val="Arial Black"/>
      <family val="2"/>
    </font>
    <font>
      <sz val="11"/>
      <color theme="1"/>
      <name val="Arial Black"/>
      <family val="2"/>
    </font>
    <font>
      <b/>
      <i/>
      <u/>
      <sz val="14"/>
      <color rgb="FF000000"/>
      <name val="Times New Roman"/>
      <family val="1"/>
    </font>
    <font>
      <i/>
      <u val="singleAccounting"/>
      <sz val="16"/>
      <name val="Calibri"/>
      <family val="2"/>
      <scheme val="minor"/>
    </font>
    <font>
      <i/>
      <u val="singleAccounting"/>
      <sz val="14"/>
      <name val="Calibri"/>
      <family val="2"/>
      <scheme val="minor"/>
    </font>
    <font>
      <sz val="11"/>
      <color rgb="FF000000"/>
      <name val="Calibri"/>
      <family val="2"/>
    </font>
    <font>
      <sz val="9"/>
      <color rgb="FF000000"/>
      <name val="Times New Roman"/>
      <family val="1"/>
    </font>
    <font>
      <sz val="9"/>
      <color rgb="FF404040"/>
      <name val="Myanmar Text"/>
      <family val="2"/>
    </font>
    <font>
      <sz val="9"/>
      <color rgb="FF000000"/>
      <name val="Trebuchet MS"/>
      <family val="2"/>
    </font>
    <font>
      <sz val="9"/>
      <color rgb="FF000000"/>
      <name val="Arial"/>
      <family val="2"/>
    </font>
    <font>
      <sz val="9"/>
      <color rgb="FF000000"/>
      <name val="Arial Narrow"/>
      <family val="2"/>
    </font>
    <font>
      <i/>
      <u/>
      <sz val="9"/>
      <color rgb="FF000000"/>
      <name val="Times New Roman"/>
      <family val="1"/>
    </font>
    <font>
      <b/>
      <sz val="9"/>
      <color rgb="FF000000"/>
      <name val="Arial"/>
      <family val="2"/>
    </font>
    <font>
      <sz val="9"/>
      <color rgb="FFFA7D00"/>
      <name val="NEW Times"/>
      <family val="2"/>
    </font>
    <font>
      <i/>
      <u/>
      <sz val="9"/>
      <color rgb="FF000000"/>
      <name val="Arial"/>
      <family val="2"/>
    </font>
    <font>
      <i/>
      <u/>
      <sz val="9"/>
      <color rgb="FF0000FF"/>
      <name val="Arial"/>
      <family val="2"/>
    </font>
    <font>
      <i/>
      <sz val="9"/>
      <color rgb="FF000000"/>
      <name val="Bodoni MT Condensed"/>
      <family val="1"/>
    </font>
    <font>
      <b/>
      <sz val="9"/>
      <color rgb="FF000000"/>
      <name val="Arial Narrow"/>
      <family val="2"/>
    </font>
    <font>
      <sz val="9"/>
      <name val="Arial Narrow"/>
      <family val="2"/>
    </font>
  </fonts>
  <fills count="58">
    <fill>
      <patternFill patternType="none"/>
    </fill>
    <fill>
      <patternFill patternType="gray125"/>
    </fill>
    <fill>
      <patternFill patternType="solid">
        <fgColor rgb="FFF2F2F2"/>
      </patternFill>
    </fill>
    <fill>
      <patternFill patternType="solid">
        <fgColor rgb="FFA5A5A5"/>
      </patternFill>
    </fill>
    <fill>
      <patternFill patternType="solid">
        <fgColor rgb="FFF2F2F2"/>
        <bgColor rgb="FF000000"/>
      </patternFill>
    </fill>
    <fill>
      <patternFill patternType="solid">
        <fgColor theme="0" tint="-4.9989318521683403E-2"/>
        <bgColor indexed="64"/>
      </patternFill>
    </fill>
    <fill>
      <patternFill patternType="solid">
        <fgColor rgb="FFFFFF00"/>
        <bgColor indexed="64"/>
      </patternFill>
    </fill>
    <fill>
      <patternFill patternType="solid">
        <fgColor theme="0" tint="-4.9989318521683403E-2"/>
        <bgColor rgb="FF000000"/>
      </patternFill>
    </fill>
    <fill>
      <patternFill patternType="solid">
        <fgColor theme="2"/>
        <bgColor indexed="64"/>
      </patternFill>
    </fill>
    <fill>
      <patternFill patternType="solid">
        <fgColor rgb="FFFFFF00"/>
        <bgColor rgb="FF000000"/>
      </patternFill>
    </fill>
    <fill>
      <patternFill patternType="solid">
        <fgColor theme="0"/>
        <bgColor indexed="64"/>
      </patternFill>
    </fill>
    <fill>
      <patternFill patternType="solid">
        <fgColor rgb="FFD9E1F2"/>
        <bgColor rgb="FFD9E1F2"/>
      </patternFill>
    </fill>
    <fill>
      <patternFill patternType="solid">
        <fgColor rgb="FFFFC000"/>
        <bgColor indexed="64"/>
      </patternFill>
    </fill>
    <fill>
      <patternFill patternType="solid">
        <fgColor theme="7"/>
        <bgColor rgb="FFD9E1F2"/>
      </patternFill>
    </fill>
    <fill>
      <patternFill patternType="solid">
        <fgColor rgb="FFA5A5A5"/>
        <bgColor rgb="FF000000"/>
      </patternFill>
    </fill>
    <fill>
      <patternFill patternType="solid">
        <fgColor rgb="FFFFC000"/>
        <bgColor rgb="FF000000"/>
      </patternFill>
    </fill>
    <fill>
      <patternFill patternType="solid">
        <fgColor rgb="FFE7E6E6"/>
        <bgColor rgb="FF000000"/>
      </patternFill>
    </fill>
    <fill>
      <patternFill patternType="solid">
        <fgColor rgb="FFD9E1F2"/>
        <bgColor rgb="FF000000"/>
      </patternFill>
    </fill>
    <fill>
      <patternFill patternType="solid">
        <fgColor theme="3" tint="0.39997558519241921"/>
        <bgColor indexed="64"/>
      </patternFill>
    </fill>
    <fill>
      <patternFill patternType="solid">
        <fgColor rgb="FFFCE4D6"/>
        <bgColor rgb="FF000000"/>
      </patternFill>
    </fill>
    <fill>
      <patternFill patternType="solid">
        <fgColor rgb="FF4472C4"/>
        <bgColor rgb="FF000000"/>
      </patternFill>
    </fill>
    <fill>
      <patternFill patternType="solid">
        <fgColor rgb="FFFFC000"/>
        <bgColor rgb="FFD9E1F2"/>
      </patternFill>
    </fill>
    <fill>
      <patternFill patternType="solid">
        <fgColor rgb="FFFFFFFF"/>
        <bgColor rgb="FF000000"/>
      </patternFill>
    </fill>
    <fill>
      <patternFill patternType="solid">
        <fgColor rgb="FFFFE699"/>
        <bgColor rgb="FF000000"/>
      </patternFill>
    </fill>
    <fill>
      <patternFill patternType="solid">
        <fgColor rgb="FF00B050"/>
        <bgColor rgb="FF000000"/>
      </patternFill>
    </fill>
    <fill>
      <patternFill patternType="solid">
        <fgColor rgb="FFFF0000"/>
        <bgColor rgb="FF000000"/>
      </patternFill>
    </fill>
    <fill>
      <patternFill patternType="solid">
        <fgColor theme="1"/>
        <bgColor indexed="64"/>
      </patternFill>
    </fill>
    <fill>
      <patternFill patternType="solid">
        <fgColor theme="1"/>
        <bgColor rgb="FF000000"/>
      </patternFill>
    </fill>
    <fill>
      <patternFill patternType="solid">
        <fgColor rgb="FF002060"/>
        <bgColor indexed="64"/>
      </patternFill>
    </fill>
    <fill>
      <patternFill patternType="solid">
        <fgColor theme="7"/>
        <bgColor indexed="64"/>
      </patternFill>
    </fill>
    <fill>
      <patternFill patternType="solid">
        <fgColor rgb="FF000000"/>
        <bgColor rgb="FF000000"/>
      </patternFill>
    </fill>
    <fill>
      <patternFill patternType="solid">
        <fgColor theme="7" tint="0.59999389629810485"/>
        <bgColor indexed="64"/>
      </patternFill>
    </fill>
    <fill>
      <patternFill patternType="solid">
        <fgColor rgb="FF00B0F0"/>
        <bgColor indexed="64"/>
      </patternFill>
    </fill>
    <fill>
      <patternFill patternType="solid">
        <fgColor rgb="FF00B0F0"/>
        <bgColor rgb="FF000000"/>
      </patternFill>
    </fill>
    <fill>
      <patternFill patternType="solid">
        <fgColor rgb="FFE7E6E6"/>
        <bgColor rgb="FFE7E6E6"/>
      </patternFill>
    </fill>
    <fill>
      <patternFill patternType="solid">
        <fgColor rgb="FFFFE699"/>
        <bgColor rgb="FFFFE699"/>
      </patternFill>
    </fill>
    <fill>
      <patternFill patternType="solid">
        <fgColor rgb="FFFFC000"/>
        <bgColor rgb="FFFFC000"/>
      </patternFill>
    </fill>
    <fill>
      <patternFill patternType="solid">
        <fgColor rgb="FFC6EFCE"/>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patternFill>
    </fill>
    <fill>
      <patternFill patternType="solid">
        <fgColor theme="6" tint="0.79998168889431442"/>
        <bgColor indexed="65"/>
      </patternFill>
    </fill>
    <fill>
      <patternFill patternType="solid">
        <fgColor theme="8" tint="0.79998168889431442"/>
        <bgColor indexed="65"/>
      </patternFill>
    </fill>
    <fill>
      <patternFill patternType="solid">
        <fgColor theme="4" tint="0.79998168889431442"/>
        <bgColor indexed="65"/>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bgColor rgb="FF000000"/>
      </patternFill>
    </fill>
    <fill>
      <patternFill patternType="solid">
        <fgColor rgb="FFE2EFDA"/>
        <bgColor rgb="FF000000"/>
      </patternFill>
    </fill>
    <fill>
      <patternFill patternType="solid">
        <fgColor theme="2"/>
        <bgColor rgb="FF000000"/>
      </patternFill>
    </fill>
    <fill>
      <patternFill patternType="solid">
        <fgColor rgb="FFFFF2CC"/>
        <bgColor rgb="FFFFF2CC"/>
      </patternFill>
    </fill>
    <fill>
      <patternFill patternType="solid">
        <fgColor theme="0"/>
        <bgColor rgb="FFFFF2CC"/>
      </patternFill>
    </fill>
    <fill>
      <patternFill patternType="solid">
        <fgColor theme="3" tint="0.79998168889431442"/>
        <bgColor indexed="64"/>
      </patternFill>
    </fill>
    <fill>
      <patternFill patternType="solid">
        <fgColor theme="5"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9" tint="0.39997558519241921"/>
        <bgColor indexed="64"/>
      </patternFill>
    </fill>
  </fills>
  <borders count="33">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7F7F7F"/>
      </left>
      <right/>
      <top style="thin">
        <color rgb="FF7F7F7F"/>
      </top>
      <bottom/>
      <diagonal/>
    </border>
    <border>
      <left/>
      <right style="thin">
        <color rgb="FF7F7F7F"/>
      </right>
      <top style="thin">
        <color rgb="FF7F7F7F"/>
      </top>
      <bottom/>
      <diagonal/>
    </border>
    <border>
      <left style="thin">
        <color rgb="FF7F7F7F"/>
      </left>
      <right style="thin">
        <color rgb="FF7F7F7F"/>
      </right>
      <top style="thin">
        <color rgb="FF7F7F7F"/>
      </top>
      <bottom/>
      <diagonal/>
    </border>
    <border>
      <left style="thin">
        <color rgb="FF7F7F7F"/>
      </left>
      <right/>
      <top style="thin">
        <color rgb="FF7F7F7F"/>
      </top>
      <bottom style="thin">
        <color rgb="FF7F7F7F"/>
      </bottom>
      <diagonal/>
    </border>
    <border>
      <left style="thin">
        <color rgb="FF7F7F7F"/>
      </left>
      <right style="thin">
        <color rgb="FF7F7F7F"/>
      </right>
      <top/>
      <bottom style="thin">
        <color rgb="FF7F7F7F"/>
      </bottom>
      <diagonal/>
    </border>
    <border>
      <left style="double">
        <color rgb="FF3F3F3F"/>
      </left>
      <right/>
      <top style="double">
        <color rgb="FF3F3F3F"/>
      </top>
      <bottom style="double">
        <color rgb="FF3F3F3F"/>
      </bottom>
      <diagonal/>
    </border>
    <border>
      <left/>
      <right/>
      <top style="double">
        <color rgb="FF3F3F3F"/>
      </top>
      <bottom style="double">
        <color rgb="FF3F3F3F"/>
      </bottom>
      <diagonal/>
    </border>
    <border>
      <left style="double">
        <color rgb="FF3F3F3F"/>
      </left>
      <right/>
      <top/>
      <bottom style="double">
        <color rgb="FF3F3F3F"/>
      </bottom>
      <diagonal/>
    </border>
    <border>
      <left/>
      <right style="thin">
        <color rgb="FF7F7F7F"/>
      </right>
      <top style="thin">
        <color rgb="FF7F7F7F"/>
      </top>
      <bottom style="thin">
        <color rgb="FF7F7F7F"/>
      </bottom>
      <diagonal/>
    </border>
    <border>
      <left style="double">
        <color rgb="FF3F3F3F"/>
      </left>
      <right style="double">
        <color rgb="FF3F3F3F"/>
      </right>
      <top/>
      <bottom style="double">
        <color rgb="FF3F3F3F"/>
      </bottom>
      <diagonal/>
    </border>
    <border>
      <left/>
      <right style="thin">
        <color rgb="FF7F7F7F"/>
      </right>
      <top/>
      <bottom style="thin">
        <color rgb="FF7F7F7F"/>
      </bottom>
      <diagonal/>
    </border>
    <border>
      <left/>
      <right/>
      <top style="double">
        <color rgb="FF3F3F3F"/>
      </top>
      <bottom/>
      <diagonal/>
    </border>
    <border>
      <left/>
      <right style="double">
        <color rgb="FF3F3F3F"/>
      </right>
      <top/>
      <bottom style="double">
        <color rgb="FF3F3F3F"/>
      </bottom>
      <diagonal/>
    </border>
    <border>
      <left/>
      <right/>
      <top style="thin">
        <color rgb="FF7F7F7F"/>
      </top>
      <bottom style="thin">
        <color rgb="FF7F7F7F"/>
      </bottom>
      <diagonal/>
    </border>
    <border>
      <left/>
      <right/>
      <top/>
      <bottom style="thin">
        <color rgb="FF7F7F7F"/>
      </bottom>
      <diagonal/>
    </border>
    <border>
      <left/>
      <right/>
      <top/>
      <bottom style="thin">
        <color rgb="FF8EA9DB"/>
      </bottom>
      <diagonal/>
    </border>
    <border>
      <left style="thin">
        <color rgb="FF8EA9DB"/>
      </left>
      <right/>
      <top/>
      <bottom style="thin">
        <color rgb="FF8EA9DB"/>
      </bottom>
      <diagonal/>
    </border>
    <border>
      <left style="thin">
        <color rgb="FF8EA9DB"/>
      </left>
      <right/>
      <top style="thin">
        <color rgb="FF8EA9DB"/>
      </top>
      <bottom style="thin">
        <color rgb="FF8EA9DB"/>
      </bottom>
      <diagonal/>
    </border>
    <border>
      <left/>
      <right style="thin">
        <color rgb="FF8EA9DB"/>
      </right>
      <top/>
      <bottom style="thin">
        <color rgb="FF8EA9DB"/>
      </bottom>
      <diagonal/>
    </border>
    <border>
      <left/>
      <right/>
      <top style="thin">
        <color rgb="FF8EA9DB"/>
      </top>
      <bottom style="thin">
        <color rgb="FF8EA9DB"/>
      </bottom>
      <diagonal/>
    </border>
    <border>
      <left/>
      <right style="thin">
        <color rgb="FF7F7F7F"/>
      </right>
      <top/>
      <bottom/>
      <diagonal/>
    </border>
    <border>
      <left/>
      <right/>
      <top/>
      <bottom style="double">
        <color rgb="FFFF8001"/>
      </bottom>
      <diagonal/>
    </border>
    <border>
      <left style="double">
        <color rgb="FF3F3F3F"/>
      </left>
      <right/>
      <top/>
      <bottom/>
      <diagonal/>
    </border>
    <border>
      <left/>
      <right/>
      <top style="thin">
        <color rgb="FF7F7F7F"/>
      </top>
      <bottom/>
      <diagonal/>
    </border>
    <border>
      <left style="thin">
        <color rgb="FF7F7F7F"/>
      </left>
      <right/>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thin">
        <color rgb="FF7F7F7F"/>
      </top>
      <bottom style="thin">
        <color rgb="FFFFC000"/>
      </bottom>
      <diagonal/>
    </border>
    <border>
      <left style="thin">
        <color rgb="FF7F7F7F"/>
      </left>
      <right/>
      <top/>
      <bottom/>
      <diagonal/>
    </border>
    <border>
      <left style="thin">
        <color rgb="FF7F7F7F"/>
      </left>
      <right style="thin">
        <color rgb="FF7F7F7F"/>
      </right>
      <top/>
      <bottom/>
      <diagonal/>
    </border>
  </borders>
  <cellStyleXfs count="53">
    <xf numFmtId="0" fontId="0" fillId="0" borderId="0"/>
    <xf numFmtId="43" fontId="4" fillId="0" borderId="0" applyFont="0" applyFill="0" applyBorder="0" applyAlignment="0" applyProtection="0"/>
    <xf numFmtId="0" fontId="5" fillId="2" borderId="1" applyNumberFormat="0" applyAlignment="0" applyProtection="0"/>
    <xf numFmtId="0" fontId="9" fillId="2" borderId="1" applyNumberFormat="0" applyAlignment="0" applyProtection="0"/>
    <xf numFmtId="0" fontId="32" fillId="3" borderId="2" applyNumberFormat="0" applyAlignment="0" applyProtection="0"/>
    <xf numFmtId="0" fontId="56" fillId="2" borderId="1" applyNumberFormat="0" applyAlignment="0" applyProtection="0"/>
    <xf numFmtId="0" fontId="7" fillId="0" borderId="0"/>
    <xf numFmtId="0" fontId="73" fillId="0" borderId="0" applyNumberFormat="0" applyFill="0" applyBorder="0" applyAlignment="0" applyProtection="0"/>
    <xf numFmtId="0" fontId="57" fillId="0" borderId="24" applyNumberFormat="0" applyFill="0" applyAlignment="0" applyProtection="0"/>
    <xf numFmtId="0" fontId="130" fillId="0" borderId="0"/>
    <xf numFmtId="0" fontId="131" fillId="0" borderId="0"/>
    <xf numFmtId="0" fontId="137" fillId="0" borderId="0"/>
    <xf numFmtId="0" fontId="148" fillId="3" borderId="2" applyNumberFormat="0" applyAlignment="0" applyProtection="0"/>
    <xf numFmtId="0" fontId="170" fillId="0" borderId="0" applyNumberFormat="0" applyFill="0" applyBorder="0" applyAlignment="0" applyProtection="0">
      <alignment vertical="top"/>
      <protection locked="0"/>
    </xf>
    <xf numFmtId="44" fontId="169" fillId="0" borderId="0" applyFont="0" applyFill="0" applyBorder="0" applyAlignment="0" applyProtection="0"/>
    <xf numFmtId="0" fontId="7" fillId="40" borderId="0" applyNumberFormat="0" applyBorder="0" applyAlignment="0" applyProtection="0"/>
    <xf numFmtId="0" fontId="171" fillId="37" borderId="0" applyNumberFormat="0" applyBorder="0" applyAlignment="0" applyProtection="0"/>
    <xf numFmtId="0" fontId="172" fillId="41" borderId="0" applyNumberFormat="0" applyBorder="0" applyAlignment="0" applyProtection="0"/>
    <xf numFmtId="0" fontId="172" fillId="38" borderId="0" applyNumberFormat="0" applyBorder="0" applyAlignment="0" applyProtection="0"/>
    <xf numFmtId="9" fontId="169" fillId="0" borderId="0" applyFont="0" applyFill="0" applyBorder="0" applyAlignment="0" applyProtection="0"/>
    <xf numFmtId="0" fontId="173" fillId="0" borderId="0" applyNumberFormat="0" applyFill="0" applyBorder="0" applyAlignment="0" applyProtection="0">
      <alignment vertical="top"/>
      <protection locked="0"/>
    </xf>
    <xf numFmtId="44" fontId="130" fillId="0" borderId="0" applyFont="0" applyFill="0" applyBorder="0" applyAlignment="0" applyProtection="0"/>
    <xf numFmtId="0" fontId="7" fillId="0" borderId="0"/>
    <xf numFmtId="0" fontId="130" fillId="0" borderId="0"/>
    <xf numFmtId="0" fontId="7" fillId="0" borderId="0"/>
    <xf numFmtId="44" fontId="7" fillId="0" borderId="0" applyFont="0" applyFill="0" applyBorder="0" applyAlignment="0" applyProtection="0"/>
    <xf numFmtId="9" fontId="7" fillId="0" borderId="0" applyFont="0" applyFill="0" applyBorder="0" applyAlignment="0" applyProtection="0"/>
    <xf numFmtId="0" fontId="174" fillId="0" borderId="0" applyNumberFormat="0" applyFill="0" applyBorder="0" applyAlignment="0" applyProtection="0"/>
    <xf numFmtId="0" fontId="4" fillId="0" borderId="0"/>
    <xf numFmtId="0" fontId="175" fillId="0" borderId="0"/>
    <xf numFmtId="0" fontId="170" fillId="0" borderId="0" applyNumberFormat="0" applyFill="0" applyBorder="0" applyAlignment="0" applyProtection="0">
      <alignment vertical="top"/>
      <protection locked="0"/>
    </xf>
    <xf numFmtId="43" fontId="175" fillId="0" borderId="0" applyFont="0" applyFill="0" applyBorder="0" applyAlignment="0" applyProtection="0"/>
    <xf numFmtId="43" fontId="4" fillId="0" borderId="0" applyFont="0" applyFill="0" applyBorder="0" applyAlignment="0" applyProtection="0"/>
    <xf numFmtId="0" fontId="176" fillId="0" borderId="0" applyNumberFormat="0" applyFill="0" applyBorder="0" applyAlignment="0" applyProtection="0">
      <alignment vertical="top"/>
      <protection locked="0"/>
    </xf>
    <xf numFmtId="0" fontId="7" fillId="42" borderId="0" applyNumberFormat="0" applyBorder="0" applyAlignment="0" applyProtection="0"/>
    <xf numFmtId="0" fontId="177" fillId="0" borderId="0" applyNumberFormat="0" applyFill="0" applyBorder="0" applyAlignment="0" applyProtection="0"/>
    <xf numFmtId="0" fontId="178" fillId="2" borderId="28" applyNumberFormat="0" applyAlignment="0" applyProtection="0"/>
    <xf numFmtId="0" fontId="7" fillId="0" borderId="0"/>
    <xf numFmtId="0" fontId="73" fillId="0" borderId="0" applyNumberFormat="0" applyFill="0" applyBorder="0" applyAlignment="0" applyProtection="0"/>
    <xf numFmtId="0" fontId="7" fillId="40" borderId="0" applyNumberFormat="0" applyBorder="0" applyAlignment="0" applyProtection="0"/>
    <xf numFmtId="0" fontId="7" fillId="42" borderId="0" applyNumberFormat="0" applyBorder="0" applyAlignment="0" applyProtection="0"/>
    <xf numFmtId="0" fontId="7" fillId="0" borderId="0"/>
    <xf numFmtId="0" fontId="7" fillId="0" borderId="0"/>
    <xf numFmtId="44" fontId="7" fillId="0" borderId="0" applyFont="0" applyFill="0" applyBorder="0" applyAlignment="0" applyProtection="0"/>
    <xf numFmtId="9" fontId="7" fillId="0" borderId="0" applyFont="0" applyFill="0" applyBorder="0" applyAlignment="0" applyProtection="0"/>
    <xf numFmtId="0" fontId="7" fillId="42" borderId="0" applyNumberFormat="0" applyBorder="0" applyAlignment="0" applyProtection="0"/>
    <xf numFmtId="0" fontId="7" fillId="0" borderId="0"/>
    <xf numFmtId="0" fontId="54" fillId="0" borderId="29" applyNumberFormat="0" applyFill="0" applyAlignment="0" applyProtection="0"/>
    <xf numFmtId="0" fontId="7" fillId="43" borderId="0" applyNumberFormat="0" applyBorder="0" applyAlignment="0" applyProtection="0"/>
    <xf numFmtId="0" fontId="179" fillId="0" borderId="24" applyNumberFormat="0" applyFill="0" applyAlignment="0" applyProtection="0"/>
    <xf numFmtId="0" fontId="4" fillId="39" borderId="0" applyNumberFormat="0" applyBorder="0" applyAlignment="0" applyProtection="0"/>
    <xf numFmtId="0" fontId="5" fillId="2" borderId="1" applyNumberFormat="0" applyAlignment="0" applyProtection="0"/>
    <xf numFmtId="0" fontId="4" fillId="44" borderId="0" applyNumberFormat="0" applyBorder="0" applyAlignment="0" applyProtection="0"/>
  </cellStyleXfs>
  <cellXfs count="1154">
    <xf numFmtId="0" fontId="0" fillId="0" borderId="0" xfId="0"/>
    <xf numFmtId="0" fontId="7" fillId="0" borderId="0" xfId="0" applyFont="1"/>
    <xf numFmtId="0" fontId="0" fillId="0" borderId="0" xfId="0" applyAlignment="1">
      <alignment vertical="center"/>
    </xf>
    <xf numFmtId="164" fontId="11" fillId="0" borderId="0" xfId="1" applyNumberFormat="1" applyFont="1" applyAlignment="1"/>
    <xf numFmtId="164" fontId="12" fillId="0" borderId="0" xfId="1" applyNumberFormat="1" applyFont="1"/>
    <xf numFmtId="164" fontId="14" fillId="0" borderId="0" xfId="1" applyNumberFormat="1" applyFont="1" applyAlignment="1"/>
    <xf numFmtId="164" fontId="12" fillId="0" borderId="0" xfId="1" applyNumberFormat="1" applyFont="1" applyAlignment="1">
      <alignment horizontal="center"/>
    </xf>
    <xf numFmtId="0" fontId="15" fillId="0" borderId="0" xfId="0" applyFont="1"/>
    <xf numFmtId="164" fontId="16" fillId="5" borderId="0" xfId="1" applyNumberFormat="1" applyFont="1" applyFill="1"/>
    <xf numFmtId="164" fontId="18" fillId="0" borderId="0" xfId="1" applyNumberFormat="1" applyFont="1"/>
    <xf numFmtId="164" fontId="16" fillId="0" borderId="0" xfId="1" applyNumberFormat="1" applyFont="1"/>
    <xf numFmtId="164" fontId="19" fillId="0" borderId="0" xfId="1" applyNumberFormat="1" applyFont="1" applyAlignment="1">
      <alignment horizontal="left"/>
    </xf>
    <xf numFmtId="0" fontId="21" fillId="0" borderId="0" xfId="0" applyFont="1"/>
    <xf numFmtId="0" fontId="5" fillId="0" borderId="1" xfId="2" applyFill="1"/>
    <xf numFmtId="164" fontId="5" fillId="2" borderId="1" xfId="2" applyNumberFormat="1" applyAlignment="1">
      <alignment horizontal="left"/>
    </xf>
    <xf numFmtId="0" fontId="22" fillId="6" borderId="0" xfId="0" applyFont="1" applyFill="1" applyAlignment="1">
      <alignment vertical="center"/>
    </xf>
    <xf numFmtId="0" fontId="23" fillId="0" borderId="0" xfId="0" applyFont="1" applyAlignment="1">
      <alignment horizontal="left" vertical="center" indent="2"/>
    </xf>
    <xf numFmtId="0" fontId="5" fillId="2" borderId="1" xfId="2" quotePrefix="1" applyAlignment="1">
      <alignment horizontal="left" vertical="center"/>
    </xf>
    <xf numFmtId="0" fontId="24" fillId="0" borderId="0" xfId="0" applyFont="1" applyAlignment="1">
      <alignment horizontal="left" indent="2"/>
    </xf>
    <xf numFmtId="0" fontId="5" fillId="2" borderId="1" xfId="2"/>
    <xf numFmtId="164" fontId="16" fillId="5" borderId="0" xfId="1" applyNumberFormat="1" applyFont="1" applyFill="1" applyAlignment="1">
      <alignment vertical="center"/>
    </xf>
    <xf numFmtId="164" fontId="16" fillId="0" borderId="0" xfId="1" applyNumberFormat="1" applyFont="1" applyAlignment="1">
      <alignment horizontal="left" vertical="center"/>
    </xf>
    <xf numFmtId="0" fontId="26" fillId="0" borderId="0" xfId="0" applyFont="1" applyAlignment="1">
      <alignment horizontal="left" vertical="center" indent="2"/>
    </xf>
    <xf numFmtId="0" fontId="27" fillId="0" borderId="0" xfId="0" applyFont="1" applyAlignment="1">
      <alignment vertical="center"/>
    </xf>
    <xf numFmtId="0" fontId="15" fillId="6" borderId="0" xfId="0" applyFont="1" applyFill="1"/>
    <xf numFmtId="49" fontId="29" fillId="0" borderId="0" xfId="0" applyNumberFormat="1" applyFont="1" applyAlignment="1">
      <alignment horizontal="left"/>
    </xf>
    <xf numFmtId="49" fontId="30" fillId="0" borderId="0" xfId="0" applyNumberFormat="1" applyFont="1"/>
    <xf numFmtId="164" fontId="17" fillId="5" borderId="0" xfId="1" applyNumberFormat="1" applyFont="1" applyFill="1" applyAlignment="1">
      <alignment horizontal="right" vertical="top" wrapText="1"/>
    </xf>
    <xf numFmtId="0" fontId="33" fillId="0" borderId="8" xfId="4" quotePrefix="1" applyFont="1" applyFill="1" applyBorder="1"/>
    <xf numFmtId="0" fontId="33" fillId="0" borderId="9" xfId="4" quotePrefix="1" applyFont="1" applyFill="1" applyBorder="1"/>
    <xf numFmtId="49" fontId="28" fillId="0" borderId="10" xfId="0" applyNumberFormat="1" applyFont="1" applyBorder="1"/>
    <xf numFmtId="164" fontId="17" fillId="5" borderId="0" xfId="1" applyNumberFormat="1" applyFont="1" applyFill="1"/>
    <xf numFmtId="164" fontId="17" fillId="0" borderId="0" xfId="1" applyNumberFormat="1" applyFont="1"/>
    <xf numFmtId="0" fontId="5" fillId="0" borderId="11" xfId="0" applyFont="1" applyBorder="1"/>
    <xf numFmtId="0" fontId="5" fillId="4" borderId="11" xfId="0" applyFont="1" applyFill="1" applyBorder="1"/>
    <xf numFmtId="0" fontId="34" fillId="0" borderId="12" xfId="0" applyFont="1" applyBorder="1" applyAlignment="1">
      <alignment horizontal="left" vertical="center" indent="2"/>
    </xf>
    <xf numFmtId="0" fontId="5" fillId="4" borderId="13" xfId="0" applyFont="1" applyFill="1" applyBorder="1" applyAlignment="1">
      <alignment horizontal="left" vertical="center"/>
    </xf>
    <xf numFmtId="0" fontId="5" fillId="0" borderId="13" xfId="0" applyFont="1" applyBorder="1"/>
    <xf numFmtId="0" fontId="5" fillId="4" borderId="13" xfId="0" applyFont="1" applyFill="1" applyBorder="1"/>
    <xf numFmtId="0" fontId="35" fillId="0" borderId="8" xfId="0" applyFont="1" applyBorder="1" applyAlignment="1">
      <alignment horizontal="left" vertical="center"/>
    </xf>
    <xf numFmtId="0" fontId="15" fillId="6" borderId="0" xfId="0" applyFont="1" applyFill="1" applyAlignment="1">
      <alignment vertical="center"/>
    </xf>
    <xf numFmtId="0" fontId="8" fillId="0" borderId="0" xfId="0" applyFont="1"/>
    <xf numFmtId="0" fontId="40" fillId="0" borderId="0" xfId="0" applyFont="1"/>
    <xf numFmtId="0" fontId="40" fillId="0" borderId="0" xfId="0" applyFont="1" applyAlignment="1">
      <alignment vertical="center"/>
    </xf>
    <xf numFmtId="0" fontId="7" fillId="0" borderId="0" xfId="0" applyFont="1" applyAlignment="1">
      <alignment horizontal="left"/>
    </xf>
    <xf numFmtId="0" fontId="31" fillId="0" borderId="0" xfId="0" applyFont="1" applyAlignment="1">
      <alignment vertical="center"/>
    </xf>
    <xf numFmtId="0" fontId="41" fillId="0" borderId="0" xfId="0" applyFont="1" applyAlignment="1">
      <alignment horizontal="left"/>
    </xf>
    <xf numFmtId="0" fontId="31" fillId="0" borderId="0" xfId="0" applyFont="1"/>
    <xf numFmtId="164" fontId="44" fillId="0" borderId="0" xfId="0" applyNumberFormat="1" applyFont="1" applyAlignment="1">
      <alignment horizontal="left"/>
    </xf>
    <xf numFmtId="0" fontId="38" fillId="0" borderId="0" xfId="0" applyFont="1"/>
    <xf numFmtId="0" fontId="48" fillId="0" borderId="0" xfId="0" applyFont="1"/>
    <xf numFmtId="0" fontId="31" fillId="0" borderId="0" xfId="0" applyFont="1" applyAlignment="1">
      <alignment horizontal="left"/>
    </xf>
    <xf numFmtId="164" fontId="20" fillId="0" borderId="0" xfId="0" applyNumberFormat="1" applyFont="1" applyAlignment="1">
      <alignment horizontal="left" vertical="center" indent="2"/>
    </xf>
    <xf numFmtId="0" fontId="55" fillId="0" borderId="0" xfId="0" applyFont="1"/>
    <xf numFmtId="0" fontId="49" fillId="0" borderId="0" xfId="0" applyFont="1" applyAlignment="1">
      <alignment vertical="center"/>
    </xf>
    <xf numFmtId="0" fontId="31" fillId="0" borderId="0" xfId="0" applyFont="1" applyAlignment="1">
      <alignment horizontal="left" vertical="center"/>
    </xf>
    <xf numFmtId="0" fontId="31" fillId="0" borderId="18" xfId="0" applyFont="1" applyBorder="1" applyAlignment="1">
      <alignment vertical="center"/>
    </xf>
    <xf numFmtId="0" fontId="31" fillId="12" borderId="19" xfId="0" applyFont="1" applyFill="1" applyBorder="1" applyAlignment="1">
      <alignment vertical="center"/>
    </xf>
    <xf numFmtId="0" fontId="53" fillId="0" borderId="0" xfId="0" applyFont="1" applyAlignment="1">
      <alignment horizontal="left"/>
    </xf>
    <xf numFmtId="0" fontId="31" fillId="11" borderId="19" xfId="0" applyFont="1" applyFill="1" applyBorder="1" applyAlignment="1">
      <alignment vertical="center"/>
    </xf>
    <xf numFmtId="0" fontId="31" fillId="0" borderId="19" xfId="0" applyFont="1" applyBorder="1" applyAlignment="1">
      <alignment vertical="center"/>
    </xf>
    <xf numFmtId="0" fontId="31" fillId="11" borderId="18" xfId="0" applyFont="1" applyFill="1" applyBorder="1" applyAlignment="1">
      <alignment vertical="center"/>
    </xf>
    <xf numFmtId="0" fontId="31" fillId="13" borderId="19" xfId="0" applyFont="1" applyFill="1" applyBorder="1" applyAlignment="1">
      <alignment vertical="center"/>
    </xf>
    <xf numFmtId="0" fontId="55" fillId="11" borderId="21" xfId="0" applyFont="1" applyFill="1" applyBorder="1" applyAlignment="1">
      <alignment horizontal="left" vertical="center"/>
    </xf>
    <xf numFmtId="0" fontId="31" fillId="0" borderId="21" xfId="0" applyFont="1" applyBorder="1" applyAlignment="1">
      <alignment horizontal="left" vertical="center"/>
    </xf>
    <xf numFmtId="0" fontId="65" fillId="14" borderId="0" xfId="0" applyFont="1" applyFill="1" applyAlignment="1">
      <alignment horizontal="center" vertical="center" textRotation="255"/>
    </xf>
    <xf numFmtId="0" fontId="63" fillId="12" borderId="0" xfId="0" applyFont="1" applyFill="1" applyAlignment="1">
      <alignment vertical="center"/>
    </xf>
    <xf numFmtId="0" fontId="49" fillId="0" borderId="18" xfId="0" applyFont="1" applyBorder="1" applyAlignment="1">
      <alignment vertical="center"/>
    </xf>
    <xf numFmtId="0" fontId="49" fillId="11" borderId="18" xfId="0" applyFont="1" applyFill="1" applyBorder="1" applyAlignment="1">
      <alignment vertical="center"/>
    </xf>
    <xf numFmtId="0" fontId="66" fillId="0" borderId="18" xfId="0" applyFont="1" applyBorder="1" applyAlignment="1">
      <alignment horizontal="left" vertical="center"/>
    </xf>
    <xf numFmtId="0" fontId="67" fillId="15" borderId="0" xfId="0" applyFont="1" applyFill="1" applyAlignment="1">
      <alignment horizontal="left"/>
    </xf>
    <xf numFmtId="43" fontId="10" fillId="0" borderId="1" xfId="0" applyNumberFormat="1" applyFont="1" applyBorder="1" applyAlignment="1">
      <alignment vertical="top"/>
    </xf>
    <xf numFmtId="43" fontId="70" fillId="0" borderId="11" xfId="0" applyNumberFormat="1" applyFont="1" applyBorder="1" applyAlignment="1">
      <alignment vertical="top"/>
    </xf>
    <xf numFmtId="0" fontId="50" fillId="0" borderId="0" xfId="0" applyFont="1"/>
    <xf numFmtId="0" fontId="68" fillId="0" borderId="23" xfId="0" applyFont="1" applyBorder="1" applyAlignment="1">
      <alignment vertical="center" textRotation="255"/>
    </xf>
    <xf numFmtId="0" fontId="7" fillId="0" borderId="0" xfId="0" applyFont="1" applyAlignment="1">
      <alignment vertical="center" textRotation="45" wrapText="1"/>
    </xf>
    <xf numFmtId="0" fontId="71" fillId="9" borderId="0" xfId="0" applyFont="1" applyFill="1" applyAlignment="1">
      <alignment horizontal="center"/>
    </xf>
    <xf numFmtId="0" fontId="71" fillId="0" borderId="0" xfId="0" applyFont="1"/>
    <xf numFmtId="0" fontId="71" fillId="21" borderId="19" xfId="0" applyFont="1" applyFill="1" applyBorder="1"/>
    <xf numFmtId="0" fontId="75" fillId="0" borderId="0" xfId="0" applyFont="1"/>
    <xf numFmtId="0" fontId="75" fillId="0" borderId="19" xfId="0" applyFont="1" applyBorder="1"/>
    <xf numFmtId="0" fontId="76" fillId="0" borderId="0" xfId="0" applyFont="1"/>
    <xf numFmtId="0" fontId="55" fillId="0" borderId="0" xfId="0" applyFont="1" applyAlignment="1">
      <alignment horizontal="left"/>
    </xf>
    <xf numFmtId="0" fontId="77" fillId="0" borderId="0" xfId="0" applyFont="1"/>
    <xf numFmtId="0" fontId="79" fillId="0" borderId="0" xfId="0" applyFont="1"/>
    <xf numFmtId="0" fontId="80" fillId="0" borderId="0" xfId="0" applyFont="1" applyAlignment="1">
      <alignment horizontal="left"/>
    </xf>
    <xf numFmtId="0" fontId="81" fillId="0" borderId="0" xfId="0" applyFont="1"/>
    <xf numFmtId="0" fontId="82" fillId="0" borderId="0" xfId="0" applyFont="1"/>
    <xf numFmtId="0" fontId="55" fillId="0" borderId="0" xfId="0" applyFont="1" applyAlignment="1">
      <alignment horizontal="left" vertical="center"/>
    </xf>
    <xf numFmtId="0" fontId="83" fillId="23" borderId="0" xfId="0" applyFont="1" applyFill="1" applyAlignment="1">
      <alignment horizontal="left" vertical="center"/>
    </xf>
    <xf numFmtId="0" fontId="86" fillId="0" borderId="0" xfId="0" applyFont="1" applyAlignment="1">
      <alignment horizontal="left"/>
    </xf>
    <xf numFmtId="0" fontId="87" fillId="0" borderId="0" xfId="0" applyFont="1"/>
    <xf numFmtId="0" fontId="88" fillId="0" borderId="0" xfId="0" applyFont="1" applyAlignment="1">
      <alignment horizontal="right" vertical="center"/>
    </xf>
    <xf numFmtId="0" fontId="88" fillId="0" borderId="0" xfId="0" applyFont="1" applyAlignment="1">
      <alignment horizontal="left" vertical="center"/>
    </xf>
    <xf numFmtId="0" fontId="78" fillId="22" borderId="0" xfId="0" applyFont="1" applyFill="1" applyAlignment="1">
      <alignment vertical="top" wrapText="1"/>
    </xf>
    <xf numFmtId="0" fontId="64" fillId="0" borderId="18" xfId="0" applyFont="1" applyBorder="1" applyAlignment="1">
      <alignment vertical="center"/>
    </xf>
    <xf numFmtId="0" fontId="31" fillId="23" borderId="18" xfId="0" applyFont="1" applyFill="1" applyBorder="1" applyAlignment="1">
      <alignment vertical="center"/>
    </xf>
    <xf numFmtId="0" fontId="55" fillId="23" borderId="0" xfId="0" applyFont="1" applyFill="1"/>
    <xf numFmtId="0" fontId="31" fillId="15" borderId="19" xfId="0" applyFont="1" applyFill="1" applyBorder="1" applyAlignment="1">
      <alignment vertical="center"/>
    </xf>
    <xf numFmtId="0" fontId="31" fillId="0" borderId="18" xfId="0" applyFont="1" applyBorder="1" applyAlignment="1">
      <alignment horizontal="left" vertical="center"/>
    </xf>
    <xf numFmtId="0" fontId="55" fillId="15" borderId="0" xfId="0" applyFont="1" applyFill="1"/>
    <xf numFmtId="0" fontId="83" fillId="15" borderId="0" xfId="0" applyFont="1" applyFill="1" applyAlignment="1">
      <alignment vertical="center"/>
    </xf>
    <xf numFmtId="0" fontId="90" fillId="0" borderId="0" xfId="0" applyFont="1" applyAlignment="1">
      <alignment vertical="center"/>
    </xf>
    <xf numFmtId="0" fontId="90" fillId="24" borderId="0" xfId="0" applyFont="1" applyFill="1" applyAlignment="1">
      <alignment vertical="center"/>
    </xf>
    <xf numFmtId="0" fontId="49" fillId="24" borderId="0" xfId="0" applyFont="1" applyFill="1" applyAlignment="1">
      <alignment vertical="center"/>
    </xf>
    <xf numFmtId="0" fontId="31" fillId="24" borderId="0" xfId="0" applyFont="1" applyFill="1" applyAlignment="1">
      <alignment vertical="center"/>
    </xf>
    <xf numFmtId="0" fontId="31" fillId="15" borderId="0" xfId="0" applyFont="1" applyFill="1"/>
    <xf numFmtId="43" fontId="10" fillId="0" borderId="7" xfId="0" applyNumberFormat="1" applyFont="1" applyBorder="1" applyAlignment="1">
      <alignment vertical="top"/>
    </xf>
    <xf numFmtId="0" fontId="51" fillId="15" borderId="22" xfId="0" applyFont="1" applyFill="1" applyBorder="1" applyAlignment="1">
      <alignment horizontal="center" vertical="center"/>
    </xf>
    <xf numFmtId="0" fontId="40" fillId="11" borderId="20" xfId="0" applyFont="1" applyFill="1" applyBorder="1" applyAlignment="1">
      <alignment horizontal="left"/>
    </xf>
    <xf numFmtId="0" fontId="40" fillId="0" borderId="19" xfId="0" applyFont="1" applyBorder="1" applyAlignment="1">
      <alignment horizontal="left"/>
    </xf>
    <xf numFmtId="0" fontId="40" fillId="11" borderId="19" xfId="0" applyFont="1" applyFill="1" applyBorder="1" applyAlignment="1">
      <alignment horizontal="left"/>
    </xf>
    <xf numFmtId="0" fontId="40" fillId="0" borderId="18" xfId="0" applyFont="1" applyBorder="1" applyAlignment="1">
      <alignment horizontal="left"/>
    </xf>
    <xf numFmtId="0" fontId="40" fillId="11" borderId="18" xfId="0" applyFont="1" applyFill="1" applyBorder="1" applyAlignment="1">
      <alignment horizontal="left"/>
    </xf>
    <xf numFmtId="0" fontId="91" fillId="11" borderId="19" xfId="0" applyFont="1" applyFill="1" applyBorder="1" applyAlignment="1">
      <alignment horizontal="left"/>
    </xf>
    <xf numFmtId="0" fontId="40" fillId="25" borderId="0" xfId="0" applyFont="1" applyFill="1" applyAlignment="1">
      <alignment horizontal="left" wrapText="1"/>
    </xf>
    <xf numFmtId="0" fontId="92" fillId="15" borderId="0" xfId="0" applyFont="1" applyFill="1" applyAlignment="1">
      <alignment horizontal="left"/>
    </xf>
    <xf numFmtId="14" fontId="48" fillId="0" borderId="0" xfId="0" applyNumberFormat="1" applyFont="1"/>
    <xf numFmtId="0" fontId="3" fillId="0" borderId="0" xfId="0" applyFont="1"/>
    <xf numFmtId="0" fontId="3" fillId="26" borderId="0" xfId="0" applyFont="1" applyFill="1"/>
    <xf numFmtId="0" fontId="97" fillId="0" borderId="0" xfId="0" applyFont="1"/>
    <xf numFmtId="0" fontId="48" fillId="27" borderId="0" xfId="0" applyFont="1" applyFill="1" applyAlignment="1">
      <alignment horizontal="center" wrapText="1"/>
    </xf>
    <xf numFmtId="0" fontId="98" fillId="0" borderId="0" xfId="0" applyFont="1" applyAlignment="1">
      <alignment horizontal="center"/>
    </xf>
    <xf numFmtId="0" fontId="99" fillId="6" borderId="0" xfId="0" applyFont="1" applyFill="1" applyAlignment="1">
      <alignment horizontal="center"/>
    </xf>
    <xf numFmtId="0" fontId="100" fillId="28" borderId="0" xfId="0" applyFont="1" applyFill="1" applyAlignment="1">
      <alignment horizontal="center"/>
    </xf>
    <xf numFmtId="0" fontId="31" fillId="6" borderId="0" xfId="0" applyFont="1" applyFill="1"/>
    <xf numFmtId="0" fontId="93" fillId="8" borderId="0" xfId="0" applyFont="1" applyFill="1"/>
    <xf numFmtId="0" fontId="48" fillId="22" borderId="0" xfId="0" applyFont="1" applyFill="1" applyAlignment="1">
      <alignment horizontal="center"/>
    </xf>
    <xf numFmtId="0" fontId="48" fillId="15" borderId="0" xfId="0" applyFont="1" applyFill="1" applyAlignment="1">
      <alignment horizontal="center"/>
    </xf>
    <xf numFmtId="0" fontId="102" fillId="0" borderId="0" xfId="0" applyFont="1"/>
    <xf numFmtId="0" fontId="93" fillId="12" borderId="0" xfId="0" applyFont="1" applyFill="1"/>
    <xf numFmtId="0" fontId="48" fillId="0" borderId="0" xfId="0" applyFont="1" applyAlignment="1">
      <alignment horizontal="center"/>
    </xf>
    <xf numFmtId="0" fontId="48" fillId="12" borderId="0" xfId="0" applyFont="1" applyFill="1" applyAlignment="1">
      <alignment horizontal="center"/>
    </xf>
    <xf numFmtId="0" fontId="48" fillId="10" borderId="0" xfId="0" applyFont="1" applyFill="1" applyAlignment="1">
      <alignment horizontal="center"/>
    </xf>
    <xf numFmtId="0" fontId="26" fillId="10" borderId="0" xfId="0" applyFont="1" applyFill="1" applyAlignment="1">
      <alignment horizontal="center"/>
    </xf>
    <xf numFmtId="0" fontId="106" fillId="0" borderId="0" xfId="0" applyFont="1"/>
    <xf numFmtId="0" fontId="48" fillId="26" borderId="0" xfId="0" applyFont="1" applyFill="1" applyAlignment="1">
      <alignment horizontal="center"/>
    </xf>
    <xf numFmtId="0" fontId="107" fillId="0" borderId="0" xfId="0" applyFont="1"/>
    <xf numFmtId="0" fontId="48" fillId="8" borderId="0" xfId="0" applyFont="1" applyFill="1" applyAlignment="1">
      <alignment horizontal="center"/>
    </xf>
    <xf numFmtId="0" fontId="55" fillId="12" borderId="0" xfId="0" applyFont="1" applyFill="1"/>
    <xf numFmtId="0" fontId="48" fillId="30" borderId="0" xfId="0" applyFont="1" applyFill="1"/>
    <xf numFmtId="0" fontId="105" fillId="0" borderId="0" xfId="0" applyFont="1"/>
    <xf numFmtId="0" fontId="3" fillId="28" borderId="0" xfId="0" applyFont="1" applyFill="1"/>
    <xf numFmtId="0" fontId="96" fillId="6" borderId="0" xfId="0" applyFont="1" applyFill="1"/>
    <xf numFmtId="0" fontId="85" fillId="0" borderId="0" xfId="0" applyFont="1"/>
    <xf numFmtId="0" fontId="43" fillId="0" borderId="0" xfId="0" applyFont="1" applyAlignment="1">
      <alignment horizontal="center"/>
    </xf>
    <xf numFmtId="0" fontId="43" fillId="8" borderId="0" xfId="0" applyFont="1" applyFill="1" applyAlignment="1">
      <alignment horizontal="center"/>
    </xf>
    <xf numFmtId="0" fontId="0" fillId="0" borderId="0" xfId="0" applyAlignment="1">
      <alignment vertical="top"/>
    </xf>
    <xf numFmtId="0" fontId="125" fillId="0" borderId="0" xfId="0" applyFont="1"/>
    <xf numFmtId="0" fontId="122" fillId="8" borderId="1" xfId="5" applyFont="1" applyFill="1" applyAlignment="1">
      <alignment horizontal="left"/>
    </xf>
    <xf numFmtId="0" fontId="122" fillId="0" borderId="1" xfId="5" applyFont="1" applyFill="1" applyAlignment="1">
      <alignment horizontal="left"/>
    </xf>
    <xf numFmtId="0" fontId="70" fillId="2" borderId="1" xfId="5" applyFont="1" applyAlignment="1"/>
    <xf numFmtId="0" fontId="70" fillId="0" borderId="1" xfId="5" applyFont="1" applyFill="1" applyAlignment="1"/>
    <xf numFmtId="0" fontId="70" fillId="5" borderId="1" xfId="5" applyFont="1" applyFill="1" applyAlignment="1"/>
    <xf numFmtId="0" fontId="70" fillId="0" borderId="1" xfId="5" applyFont="1" applyFill="1" applyAlignment="1">
      <alignment horizontal="center"/>
    </xf>
    <xf numFmtId="0" fontId="70" fillId="8" borderId="1" xfId="5" applyFont="1" applyFill="1" applyAlignment="1">
      <alignment horizontal="center"/>
    </xf>
    <xf numFmtId="0" fontId="70" fillId="8" borderId="1" xfId="5" applyFont="1" applyFill="1" applyAlignment="1">
      <alignment horizontal="left"/>
    </xf>
    <xf numFmtId="0" fontId="70" fillId="0" borderId="1" xfId="5" applyFont="1" applyFill="1" applyAlignment="1">
      <alignment horizontal="left"/>
    </xf>
    <xf numFmtId="0" fontId="70" fillId="5" borderId="1" xfId="5" applyFont="1" applyFill="1" applyAlignment="1">
      <alignment horizontal="left"/>
    </xf>
    <xf numFmtId="0" fontId="70" fillId="4" borderId="1" xfId="0" applyFont="1" applyFill="1" applyBorder="1"/>
    <xf numFmtId="0" fontId="70" fillId="0" borderId="11" xfId="0" applyFont="1" applyBorder="1"/>
    <xf numFmtId="0" fontId="70" fillId="4" borderId="11" xfId="0" applyFont="1" applyFill="1" applyBorder="1"/>
    <xf numFmtId="0" fontId="70" fillId="16" borderId="11" xfId="0" applyFont="1" applyFill="1" applyBorder="1" applyAlignment="1">
      <alignment horizontal="left"/>
    </xf>
    <xf numFmtId="0" fontId="123" fillId="0" borderId="0" xfId="0" applyFont="1"/>
    <xf numFmtId="0" fontId="132" fillId="0" borderId="0" xfId="10" applyFont="1"/>
    <xf numFmtId="0" fontId="133" fillId="0" borderId="0" xfId="10" applyFont="1" applyAlignment="1">
      <alignment horizontal="left"/>
    </xf>
    <xf numFmtId="0" fontId="131" fillId="0" borderId="0" xfId="10"/>
    <xf numFmtId="0" fontId="134" fillId="0" borderId="0" xfId="10" applyFont="1"/>
    <xf numFmtId="0" fontId="93" fillId="0" borderId="0" xfId="10" applyFont="1" applyAlignment="1">
      <alignment horizontal="right" vertical="center"/>
    </xf>
    <xf numFmtId="0" fontId="134" fillId="0" borderId="0" xfId="10" applyFont="1" applyAlignment="1">
      <alignment horizontal="center"/>
    </xf>
    <xf numFmtId="0" fontId="134" fillId="0" borderId="0" xfId="10" applyFont="1" applyAlignment="1">
      <alignment horizontal="center" vertical="center"/>
    </xf>
    <xf numFmtId="0" fontId="134" fillId="0" borderId="0" xfId="10" applyFont="1" applyAlignment="1">
      <alignment vertical="center"/>
    </xf>
    <xf numFmtId="0" fontId="134" fillId="0" borderId="0" xfId="10" applyFont="1" applyAlignment="1">
      <alignment horizontal="left" vertical="center"/>
    </xf>
    <xf numFmtId="0" fontId="135" fillId="0" borderId="0" xfId="10" applyFont="1" applyAlignment="1">
      <alignment horizontal="right" wrapText="1"/>
    </xf>
    <xf numFmtId="0" fontId="93" fillId="0" borderId="0" xfId="10" applyFont="1" applyAlignment="1">
      <alignment horizontal="right" textRotation="180"/>
    </xf>
    <xf numFmtId="0" fontId="85" fillId="0" borderId="17" xfId="10" applyFont="1" applyBorder="1" applyAlignment="1">
      <alignment vertical="center" wrapText="1"/>
    </xf>
    <xf numFmtId="0" fontId="103" fillId="12" borderId="0" xfId="10" applyFont="1" applyFill="1" applyAlignment="1">
      <alignment vertical="center" wrapText="1"/>
    </xf>
    <xf numFmtId="0" fontId="131" fillId="0" borderId="0" xfId="10" applyAlignment="1">
      <alignment horizontal="right"/>
    </xf>
    <xf numFmtId="0" fontId="0" fillId="8" borderId="0" xfId="0" applyFill="1"/>
    <xf numFmtId="0" fontId="121" fillId="0" borderId="1" xfId="5" applyFont="1" applyFill="1" applyAlignment="1"/>
    <xf numFmtId="0" fontId="121" fillId="0" borderId="1" xfId="0" applyFont="1" applyBorder="1"/>
    <xf numFmtId="164" fontId="141" fillId="0" borderId="0" xfId="0" applyNumberFormat="1" applyFont="1"/>
    <xf numFmtId="0" fontId="138" fillId="0" borderId="0" xfId="10" applyFont="1" applyAlignment="1">
      <alignment horizontal="left" indent="3"/>
    </xf>
    <xf numFmtId="164" fontId="134" fillId="0" borderId="0" xfId="10" applyNumberFormat="1" applyFont="1" applyAlignment="1">
      <alignment vertical="center"/>
    </xf>
    <xf numFmtId="0" fontId="134" fillId="0" borderId="0" xfId="10" applyFont="1" applyAlignment="1">
      <alignment vertical="top"/>
    </xf>
    <xf numFmtId="164" fontId="12" fillId="0" borderId="0" xfId="1" applyNumberFormat="1" applyFont="1" applyAlignment="1">
      <alignment horizontal="left"/>
    </xf>
    <xf numFmtId="0" fontId="114" fillId="0" borderId="0" xfId="0" applyFont="1" applyAlignment="1">
      <alignment horizontal="center" vertical="center" wrapText="1"/>
    </xf>
    <xf numFmtId="0" fontId="151" fillId="0" borderId="0" xfId="0" applyFont="1" applyAlignment="1">
      <alignment horizontal="center" vertical="center"/>
    </xf>
    <xf numFmtId="0" fontId="38" fillId="0" borderId="0" xfId="0" applyFont="1" applyAlignment="1">
      <alignment vertical="center"/>
    </xf>
    <xf numFmtId="0" fontId="38" fillId="0" borderId="0" xfId="0" applyFont="1" applyAlignment="1">
      <alignment horizontal="left" vertical="center" indent="2"/>
    </xf>
    <xf numFmtId="0" fontId="154" fillId="0" borderId="0" xfId="0" applyFont="1"/>
    <xf numFmtId="0" fontId="131" fillId="6" borderId="0" xfId="10" applyFill="1"/>
    <xf numFmtId="0" fontId="117" fillId="6" borderId="0" xfId="0" applyFont="1" applyFill="1"/>
    <xf numFmtId="0" fontId="8" fillId="0" borderId="0" xfId="0" applyFont="1" applyAlignment="1">
      <alignment horizontal="center"/>
    </xf>
    <xf numFmtId="0" fontId="31" fillId="0" borderId="0" xfId="0" applyFont="1" applyAlignment="1">
      <alignment horizontal="left" indent="2"/>
    </xf>
    <xf numFmtId="0" fontId="152" fillId="0" borderId="0" xfId="0" applyFont="1"/>
    <xf numFmtId="0" fontId="155" fillId="4" borderId="0" xfId="0" applyFont="1" applyFill="1" applyAlignment="1">
      <alignment vertical="center" wrapText="1"/>
    </xf>
    <xf numFmtId="0" fontId="156" fillId="0" borderId="0" xfId="0" applyFont="1" applyAlignment="1">
      <alignment vertical="top" wrapText="1"/>
    </xf>
    <xf numFmtId="0" fontId="157" fillId="34" borderId="0" xfId="0" applyFont="1" applyFill="1" applyAlignment="1">
      <alignment horizontal="center" vertical="top" wrapText="1"/>
    </xf>
    <xf numFmtId="0" fontId="140" fillId="6" borderId="0" xfId="10" applyFont="1" applyFill="1"/>
    <xf numFmtId="0" fontId="140" fillId="6" borderId="0" xfId="10" applyFont="1" applyFill="1" applyAlignment="1">
      <alignment vertical="center"/>
    </xf>
    <xf numFmtId="0" fontId="159" fillId="6" borderId="0" xfId="10" applyFont="1" applyFill="1"/>
    <xf numFmtId="14" fontId="159" fillId="6" borderId="0" xfId="10" applyNumberFormat="1" applyFont="1" applyFill="1"/>
    <xf numFmtId="49" fontId="28" fillId="6" borderId="0" xfId="0" applyNumberFormat="1" applyFont="1" applyFill="1" applyAlignment="1">
      <alignment horizontal="left"/>
    </xf>
    <xf numFmtId="164" fontId="25" fillId="9" borderId="0" xfId="0" applyNumberFormat="1" applyFont="1" applyFill="1" applyAlignment="1">
      <alignment horizontal="left" vertical="center"/>
    </xf>
    <xf numFmtId="164" fontId="17" fillId="6" borderId="0" xfId="1" applyNumberFormat="1" applyFont="1" applyFill="1" applyAlignment="1">
      <alignment horizontal="left" vertical="center"/>
    </xf>
    <xf numFmtId="164" fontId="12" fillId="6" borderId="0" xfId="1" applyNumberFormat="1" applyFont="1" applyFill="1"/>
    <xf numFmtId="0" fontId="23" fillId="8" borderId="0" xfId="0" applyFont="1" applyFill="1" applyAlignment="1">
      <alignment horizontal="left" vertical="center" indent="2"/>
    </xf>
    <xf numFmtId="0" fontId="24" fillId="8" borderId="0" xfId="0" applyFont="1" applyFill="1" applyAlignment="1">
      <alignment horizontal="left" vertical="center" indent="2"/>
    </xf>
    <xf numFmtId="0" fontId="26" fillId="8" borderId="0" xfId="0" applyFont="1" applyFill="1" applyAlignment="1">
      <alignment horizontal="left" vertical="center" indent="2"/>
    </xf>
    <xf numFmtId="0" fontId="28" fillId="8" borderId="0" xfId="0" applyFont="1" applyFill="1" applyAlignment="1">
      <alignment horizontal="left" vertical="center" indent="2"/>
    </xf>
    <xf numFmtId="0" fontId="31" fillId="8" borderId="0" xfId="0" applyFont="1" applyFill="1" applyAlignment="1">
      <alignment vertical="center"/>
    </xf>
    <xf numFmtId="0" fontId="28" fillId="8" borderId="8" xfId="0" applyFont="1" applyFill="1" applyBorder="1" applyAlignment="1">
      <alignment vertical="center"/>
    </xf>
    <xf numFmtId="49" fontId="28" fillId="8" borderId="10" xfId="0" applyNumberFormat="1" applyFont="1" applyFill="1" applyBorder="1" applyAlignment="1">
      <alignment vertical="center"/>
    </xf>
    <xf numFmtId="0" fontId="28" fillId="8" borderId="8" xfId="0" applyFont="1" applyFill="1" applyBorder="1" applyAlignment="1">
      <alignment horizontal="left" vertical="center" indent="2"/>
    </xf>
    <xf numFmtId="0" fontId="36" fillId="6" borderId="0" xfId="0" applyFont="1" applyFill="1" applyAlignment="1">
      <alignment horizontal="left" vertical="center" indent="7"/>
    </xf>
    <xf numFmtId="0" fontId="5" fillId="4" borderId="11" xfId="0" applyFont="1" applyFill="1" applyBorder="1" applyAlignment="1">
      <alignment horizontal="left" vertical="center"/>
    </xf>
    <xf numFmtId="164" fontId="17" fillId="10" borderId="0" xfId="1" applyNumberFormat="1" applyFont="1" applyFill="1" applyAlignment="1"/>
    <xf numFmtId="164" fontId="17" fillId="5" borderId="0" xfId="1" applyNumberFormat="1" applyFont="1" applyFill="1" applyAlignment="1"/>
    <xf numFmtId="0" fontId="58" fillId="0" borderId="0" xfId="0" applyFont="1" applyAlignment="1">
      <alignment horizontal="center"/>
    </xf>
    <xf numFmtId="0" fontId="7" fillId="0" borderId="0" xfId="0" applyFont="1" applyAlignment="1">
      <alignment horizontal="left" wrapText="1"/>
    </xf>
    <xf numFmtId="0" fontId="7" fillId="0" borderId="0" xfId="0" applyFont="1" applyAlignment="1">
      <alignment horizontal="left" indent="2"/>
    </xf>
    <xf numFmtId="0" fontId="0" fillId="0" borderId="0" xfId="0" applyAlignment="1">
      <alignment horizontal="left" wrapText="1" indent="2"/>
    </xf>
    <xf numFmtId="0" fontId="162" fillId="8" borderId="0" xfId="0" applyFont="1" applyFill="1" applyAlignment="1">
      <alignment horizontal="left"/>
    </xf>
    <xf numFmtId="164" fontId="44" fillId="12" borderId="0" xfId="0" applyNumberFormat="1" applyFont="1" applyFill="1" applyAlignment="1">
      <alignment horizontal="left"/>
    </xf>
    <xf numFmtId="0" fontId="163" fillId="0" borderId="0" xfId="0" applyFont="1"/>
    <xf numFmtId="0" fontId="165" fillId="0" borderId="0" xfId="0" applyFont="1"/>
    <xf numFmtId="164" fontId="44" fillId="15" borderId="0" xfId="0" applyNumberFormat="1" applyFont="1" applyFill="1" applyAlignment="1">
      <alignment horizontal="left"/>
    </xf>
    <xf numFmtId="0" fontId="6" fillId="0" borderId="0" xfId="0" applyFont="1"/>
    <xf numFmtId="16" fontId="49" fillId="0" borderId="0" xfId="0" applyNumberFormat="1" applyFont="1" applyAlignment="1">
      <alignment vertical="center"/>
    </xf>
    <xf numFmtId="0" fontId="144" fillId="0" borderId="0" xfId="0" applyFont="1" applyAlignment="1">
      <alignment vertical="center"/>
    </xf>
    <xf numFmtId="0" fontId="166" fillId="0" borderId="0" xfId="0" applyFont="1"/>
    <xf numFmtId="0" fontId="21" fillId="30" borderId="0" xfId="0" applyFont="1" applyFill="1"/>
    <xf numFmtId="0" fontId="159" fillId="10" borderId="0" xfId="10" applyFont="1" applyFill="1"/>
    <xf numFmtId="0" fontId="140" fillId="10" borderId="0" xfId="10" applyFont="1" applyFill="1"/>
    <xf numFmtId="0" fontId="159" fillId="10" borderId="0" xfId="10" applyFont="1" applyFill="1" applyAlignment="1">
      <alignment vertical="center"/>
    </xf>
    <xf numFmtId="14" fontId="140" fillId="6" borderId="0" xfId="10" applyNumberFormat="1" applyFont="1" applyFill="1" applyAlignment="1">
      <alignment horizontal="left"/>
    </xf>
    <xf numFmtId="0" fontId="159" fillId="0" borderId="0" xfId="10" applyFont="1"/>
    <xf numFmtId="0" fontId="138" fillId="0" borderId="0" xfId="10" applyFont="1"/>
    <xf numFmtId="0" fontId="138" fillId="6" borderId="0" xfId="10" applyFont="1" applyFill="1"/>
    <xf numFmtId="0" fontId="45" fillId="0" borderId="0" xfId="10" applyFont="1" applyAlignment="1">
      <alignment vertical="center"/>
    </xf>
    <xf numFmtId="0" fontId="45" fillId="0" borderId="0" xfId="10" applyFont="1"/>
    <xf numFmtId="0" fontId="45" fillId="0" borderId="0" xfId="10" applyFont="1" applyAlignment="1">
      <alignment horizontal="left" vertical="top" indent="4"/>
    </xf>
    <xf numFmtId="0" fontId="93" fillId="0" borderId="0" xfId="10" applyFont="1" applyAlignment="1">
      <alignment wrapText="1"/>
    </xf>
    <xf numFmtId="0" fontId="120" fillId="0" borderId="0" xfId="10" applyFont="1" applyAlignment="1">
      <alignment vertical="center"/>
    </xf>
    <xf numFmtId="0" fontId="131" fillId="0" borderId="0" xfId="10" applyAlignment="1">
      <alignment horizontal="center"/>
    </xf>
    <xf numFmtId="0" fontId="131" fillId="10" borderId="0" xfId="10" applyFill="1"/>
    <xf numFmtId="0" fontId="136" fillId="12" borderId="0" xfId="10" applyFont="1" applyFill="1"/>
    <xf numFmtId="0" fontId="84" fillId="0" borderId="0" xfId="0" applyFont="1" applyAlignment="1">
      <alignment vertical="center"/>
    </xf>
    <xf numFmtId="44" fontId="85" fillId="0" borderId="0" xfId="0" applyNumberFormat="1" applyFont="1" applyAlignment="1">
      <alignment horizontal="left" vertical="center"/>
    </xf>
    <xf numFmtId="14" fontId="57" fillId="4" borderId="4" xfId="0" applyNumberFormat="1" applyFont="1" applyFill="1" applyBorder="1" applyAlignment="1">
      <alignment vertical="center"/>
    </xf>
    <xf numFmtId="0" fontId="57" fillId="4" borderId="26" xfId="0" applyFont="1" applyFill="1" applyBorder="1" applyAlignment="1">
      <alignment vertical="center"/>
    </xf>
    <xf numFmtId="0" fontId="57" fillId="4" borderId="3" xfId="0" applyFont="1" applyFill="1" applyBorder="1" applyAlignment="1">
      <alignment vertical="center"/>
    </xf>
    <xf numFmtId="0" fontId="38" fillId="9" borderId="0" xfId="0" applyFont="1" applyFill="1" applyAlignment="1">
      <alignment horizontal="center" vertical="center" textRotation="255"/>
    </xf>
    <xf numFmtId="0" fontId="21" fillId="6" borderId="0" xfId="0" applyFont="1" applyFill="1"/>
    <xf numFmtId="0" fontId="15" fillId="0" borderId="0" xfId="0" applyFont="1" applyAlignment="1">
      <alignment horizontal="center"/>
    </xf>
    <xf numFmtId="0" fontId="15" fillId="0" borderId="0" xfId="0" applyFont="1" applyAlignment="1">
      <alignment horizontal="center" vertical="center"/>
    </xf>
    <xf numFmtId="0" fontId="89" fillId="23" borderId="0" xfId="0" applyFont="1" applyFill="1" applyAlignment="1">
      <alignment vertical="top"/>
    </xf>
    <xf numFmtId="0" fontId="45" fillId="0" borderId="0" xfId="0" applyFont="1" applyAlignment="1">
      <alignment horizontal="left" vertical="top"/>
    </xf>
    <xf numFmtId="0" fontId="120" fillId="0" borderId="0" xfId="10" applyFont="1"/>
    <xf numFmtId="0" fontId="45" fillId="0" borderId="0" xfId="0" applyFont="1"/>
    <xf numFmtId="0" fontId="103" fillId="12" borderId="0" xfId="10" applyFont="1" applyFill="1" applyAlignment="1">
      <alignment vertical="center"/>
    </xf>
    <xf numFmtId="0" fontId="182" fillId="23" borderId="0" xfId="0" applyFont="1" applyFill="1" applyAlignment="1">
      <alignment vertical="center"/>
    </xf>
    <xf numFmtId="0" fontId="183" fillId="23" borderId="0" xfId="0" applyFont="1" applyFill="1" applyAlignment="1">
      <alignment vertical="center"/>
    </xf>
    <xf numFmtId="0" fontId="2" fillId="0" borderId="0" xfId="0" applyFont="1"/>
    <xf numFmtId="0" fontId="121" fillId="0" borderId="1" xfId="5" applyFont="1" applyFill="1" applyAlignment="1">
      <alignment horizontal="left" indent="1"/>
    </xf>
    <xf numFmtId="0" fontId="121" fillId="0" borderId="7" xfId="0" applyFont="1" applyBorder="1"/>
    <xf numFmtId="0" fontId="121" fillId="0" borderId="7" xfId="0" applyFont="1" applyBorder="1" applyAlignment="1">
      <alignment horizontal="left" indent="1"/>
    </xf>
    <xf numFmtId="0" fontId="42" fillId="0" borderId="0" xfId="0" applyFont="1" applyAlignment="1">
      <alignment horizontal="center" vertical="top"/>
    </xf>
    <xf numFmtId="0" fontId="36" fillId="0" borderId="24" xfId="49" applyFont="1" applyAlignment="1">
      <alignment horizontal="left" vertical="center"/>
    </xf>
    <xf numFmtId="0" fontId="5" fillId="2" borderId="1" xfId="2" applyAlignment="1">
      <alignment vertical="center" wrapText="1"/>
    </xf>
    <xf numFmtId="0" fontId="21" fillId="0" borderId="24" xfId="49" applyFont="1" applyAlignment="1">
      <alignment horizontal="center" vertical="center"/>
    </xf>
    <xf numFmtId="0" fontId="5" fillId="2" borderId="1" xfId="2" applyAlignment="1">
      <alignment wrapText="1"/>
    </xf>
    <xf numFmtId="0" fontId="184" fillId="0" borderId="0" xfId="0" applyFont="1" applyAlignment="1">
      <alignment horizontal="left" vertical="center"/>
    </xf>
    <xf numFmtId="0" fontId="184" fillId="0" borderId="0" xfId="0" applyFont="1" applyAlignment="1">
      <alignment horizontal="left" vertical="center" indent="3"/>
    </xf>
    <xf numFmtId="0" fontId="40" fillId="0" borderId="0" xfId="0" applyFont="1" applyAlignment="1">
      <alignment horizontal="left" indent="7"/>
    </xf>
    <xf numFmtId="0" fontId="44" fillId="0" borderId="0" xfId="0" applyFont="1" applyAlignment="1">
      <alignment vertical="center"/>
    </xf>
    <xf numFmtId="0" fontId="185" fillId="0" borderId="0" xfId="0" applyFont="1" applyAlignment="1">
      <alignment horizontal="left" vertical="center" indent="1"/>
    </xf>
    <xf numFmtId="0" fontId="184" fillId="0" borderId="0" xfId="0" applyFont="1" applyAlignment="1">
      <alignment horizontal="left" vertical="center" indent="8"/>
    </xf>
    <xf numFmtId="0" fontId="36" fillId="22" borderId="24" xfId="49" applyFont="1" applyFill="1" applyAlignment="1">
      <alignment horizontal="left" vertical="center" wrapText="1"/>
    </xf>
    <xf numFmtId="0" fontId="36" fillId="22" borderId="24" xfId="49" applyFont="1" applyFill="1" applyAlignment="1">
      <alignment horizontal="left" vertical="center" wrapText="1" indent="3"/>
    </xf>
    <xf numFmtId="0" fontId="23" fillId="0" borderId="0" xfId="0" applyFont="1" applyAlignment="1">
      <alignment horizontal="right"/>
    </xf>
    <xf numFmtId="0" fontId="23" fillId="0" borderId="0" xfId="0" applyFont="1" applyAlignment="1">
      <alignment horizontal="left"/>
    </xf>
    <xf numFmtId="0" fontId="75" fillId="7" borderId="24" xfId="49" applyFont="1" applyFill="1" applyAlignment="1">
      <alignment wrapText="1"/>
    </xf>
    <xf numFmtId="0" fontId="39" fillId="0" borderId="0" xfId="0" applyFont="1" applyAlignment="1">
      <alignment horizontal="left"/>
    </xf>
    <xf numFmtId="0" fontId="139" fillId="5" borderId="0" xfId="0" applyFont="1" applyFill="1" applyAlignment="1">
      <alignment horizontal="left"/>
    </xf>
    <xf numFmtId="0" fontId="36" fillId="4" borderId="24" xfId="0" applyFont="1" applyFill="1" applyBorder="1" applyAlignment="1">
      <alignment wrapText="1"/>
    </xf>
    <xf numFmtId="0" fontId="36" fillId="7" borderId="24" xfId="49" applyFont="1" applyFill="1" applyAlignment="1">
      <alignment wrapText="1"/>
    </xf>
    <xf numFmtId="0" fontId="36" fillId="22" borderId="24" xfId="49" applyFont="1" applyFill="1" applyAlignment="1">
      <alignment horizontal="left" vertical="top" wrapText="1" indent="4"/>
    </xf>
    <xf numFmtId="0" fontId="36" fillId="22" borderId="24" xfId="49" applyFont="1" applyFill="1" applyAlignment="1">
      <alignment wrapText="1"/>
    </xf>
    <xf numFmtId="0" fontId="23" fillId="0" borderId="0" xfId="0" applyFont="1"/>
    <xf numFmtId="0" fontId="36" fillId="22" borderId="24" xfId="49" applyFont="1" applyFill="1" applyAlignment="1">
      <alignment horizontal="left" vertical="center" wrapText="1" indent="4"/>
    </xf>
    <xf numFmtId="0" fontId="36" fillId="7" borderId="24" xfId="49" applyFont="1" applyFill="1" applyAlignment="1">
      <alignment horizontal="left" wrapText="1"/>
    </xf>
    <xf numFmtId="0" fontId="186" fillId="0" borderId="0" xfId="0" applyFont="1" applyAlignment="1">
      <alignment wrapText="1"/>
    </xf>
    <xf numFmtId="0" fontId="36" fillId="22" borderId="24" xfId="49" applyFont="1" applyFill="1" applyAlignment="1">
      <alignment horizontal="left" wrapText="1"/>
    </xf>
    <xf numFmtId="0" fontId="36" fillId="0" borderId="24" xfId="49" applyFont="1" applyAlignment="1">
      <alignment horizontal="left" vertical="center" wrapText="1" indent="4"/>
    </xf>
    <xf numFmtId="0" fontId="39" fillId="4" borderId="0" xfId="0" applyFont="1" applyFill="1" applyAlignment="1">
      <alignment horizontal="left"/>
    </xf>
    <xf numFmtId="0" fontId="124" fillId="0" borderId="0" xfId="0" applyFont="1" applyAlignment="1">
      <alignment horizontal="left" wrapText="1"/>
    </xf>
    <xf numFmtId="0" fontId="184" fillId="0" borderId="0" xfId="0" applyFont="1" applyAlignment="1">
      <alignment vertical="center"/>
    </xf>
    <xf numFmtId="0" fontId="143" fillId="0" borderId="0" xfId="0" applyFont="1" applyAlignment="1">
      <alignment horizontal="center" vertical="center" wrapText="1"/>
    </xf>
    <xf numFmtId="0" fontId="142" fillId="0" borderId="0" xfId="0" applyFont="1" applyAlignment="1">
      <alignment horizontal="left" vertical="center"/>
    </xf>
    <xf numFmtId="0" fontId="142" fillId="0" borderId="0" xfId="0" applyFont="1" applyAlignment="1">
      <alignment horizontal="center" vertical="center"/>
    </xf>
    <xf numFmtId="0" fontId="189" fillId="5" borderId="0" xfId="0" applyFont="1" applyFill="1" applyAlignment="1">
      <alignment horizontal="left" vertical="center" indent="1"/>
    </xf>
    <xf numFmtId="0" fontId="191" fillId="0" borderId="0" xfId="0" applyFont="1" applyAlignment="1">
      <alignment vertical="top" wrapText="1"/>
    </xf>
    <xf numFmtId="0" fontId="168" fillId="0" borderId="0" xfId="0" applyFont="1" applyAlignment="1">
      <alignment vertical="center" wrapText="1"/>
    </xf>
    <xf numFmtId="0" fontId="192" fillId="0" borderId="0" xfId="0" applyFont="1" applyAlignment="1">
      <alignment vertical="top" wrapText="1"/>
    </xf>
    <xf numFmtId="0" fontId="71" fillId="18" borderId="0" xfId="0" applyFont="1" applyFill="1"/>
    <xf numFmtId="0" fontId="50" fillId="19" borderId="0" xfId="0" applyFont="1" applyFill="1"/>
    <xf numFmtId="0" fontId="38" fillId="19" borderId="0" xfId="0" applyFont="1" applyFill="1"/>
    <xf numFmtId="0" fontId="50" fillId="0" borderId="12" xfId="0" applyFont="1" applyBorder="1"/>
    <xf numFmtId="0" fontId="40" fillId="17" borderId="15" xfId="0" applyFont="1" applyFill="1" applyBorder="1"/>
    <xf numFmtId="0" fontId="50" fillId="17" borderId="12" xfId="0" applyFont="1" applyFill="1" applyBorder="1"/>
    <xf numFmtId="0" fontId="40" fillId="16" borderId="15" xfId="0" applyFont="1" applyFill="1" applyBorder="1"/>
    <xf numFmtId="0" fontId="40" fillId="0" borderId="12" xfId="0" applyFont="1" applyBorder="1"/>
    <xf numFmtId="0" fontId="72" fillId="17" borderId="12" xfId="0" applyFont="1" applyFill="1" applyBorder="1"/>
    <xf numFmtId="0" fontId="40" fillId="0" borderId="15" xfId="0" applyFont="1" applyBorder="1"/>
    <xf numFmtId="43" fontId="70" fillId="0" borderId="1" xfId="0" applyNumberFormat="1" applyFont="1" applyBorder="1" applyAlignment="1">
      <alignment vertical="top"/>
    </xf>
    <xf numFmtId="0" fontId="72" fillId="0" borderId="12" xfId="0" applyFont="1" applyBorder="1"/>
    <xf numFmtId="0" fontId="40" fillId="4" borderId="15" xfId="0" applyFont="1" applyFill="1" applyBorder="1"/>
    <xf numFmtId="43" fontId="69" fillId="0" borderId="7" xfId="0" applyNumberFormat="1" applyFont="1" applyBorder="1" applyAlignment="1">
      <alignment vertical="top"/>
    </xf>
    <xf numFmtId="43" fontId="10" fillId="0" borderId="13" xfId="0" applyNumberFormat="1" applyFont="1" applyBorder="1" applyAlignment="1">
      <alignment vertical="top"/>
    </xf>
    <xf numFmtId="43" fontId="69" fillId="0" borderId="7" xfId="0" applyNumberFormat="1" applyFont="1" applyBorder="1"/>
    <xf numFmtId="43" fontId="10" fillId="19" borderId="11" xfId="0" applyNumberFormat="1" applyFont="1" applyFill="1" applyBorder="1" applyAlignment="1">
      <alignment vertical="top"/>
    </xf>
    <xf numFmtId="43" fontId="75" fillId="0" borderId="26" xfId="0" applyNumberFormat="1" applyFont="1" applyBorder="1"/>
    <xf numFmtId="0" fontId="48" fillId="17" borderId="12" xfId="0" applyFont="1" applyFill="1" applyBorder="1"/>
    <xf numFmtId="0" fontId="195" fillId="16" borderId="0" xfId="0" applyFont="1" applyFill="1" applyAlignment="1">
      <alignment horizontal="left" vertical="center"/>
    </xf>
    <xf numFmtId="0" fontId="194" fillId="0" borderId="0" xfId="0" applyFont="1" applyAlignment="1">
      <alignment horizontal="center" vertical="center" wrapText="1"/>
    </xf>
    <xf numFmtId="0" fontId="197" fillId="0" borderId="0" xfId="0" applyFont="1" applyAlignment="1">
      <alignment horizontal="center"/>
    </xf>
    <xf numFmtId="0" fontId="198" fillId="0" borderId="0" xfId="0" applyFont="1" applyAlignment="1">
      <alignment vertical="center" wrapText="1"/>
    </xf>
    <xf numFmtId="0" fontId="201" fillId="0" borderId="0" xfId="0" applyFont="1" applyAlignment="1">
      <alignment vertical="center"/>
    </xf>
    <xf numFmtId="0" fontId="196" fillId="0" borderId="0" xfId="0" applyFont="1" applyAlignment="1">
      <alignment horizontal="center" vertical="center"/>
    </xf>
    <xf numFmtId="0" fontId="196" fillId="0" borderId="0" xfId="0" applyFont="1" applyAlignment="1">
      <alignment horizontal="left" vertical="center"/>
    </xf>
    <xf numFmtId="0" fontId="197" fillId="0" borderId="0" xfId="0" applyFont="1" applyAlignment="1">
      <alignment horizontal="center" vertical="center"/>
    </xf>
    <xf numFmtId="0" fontId="199" fillId="0" borderId="0" xfId="0" applyFont="1" applyAlignment="1">
      <alignment vertical="center"/>
    </xf>
    <xf numFmtId="0" fontId="199" fillId="0" borderId="0" xfId="0" applyFont="1" applyAlignment="1">
      <alignment horizontal="left" vertical="center"/>
    </xf>
    <xf numFmtId="0" fontId="203" fillId="8" borderId="16" xfId="5" applyFont="1" applyFill="1" applyBorder="1" applyAlignment="1">
      <alignment horizontal="left"/>
    </xf>
    <xf numFmtId="0" fontId="203" fillId="8" borderId="16" xfId="5" applyFont="1" applyFill="1" applyBorder="1" applyAlignment="1">
      <alignment horizontal="center"/>
    </xf>
    <xf numFmtId="0" fontId="149" fillId="0" borderId="0" xfId="0" applyFont="1"/>
    <xf numFmtId="0" fontId="6" fillId="0" borderId="0" xfId="0" applyFont="1" applyAlignment="1">
      <alignment horizontal="left"/>
    </xf>
    <xf numFmtId="0" fontId="115" fillId="0" borderId="0" xfId="0" applyFont="1" applyAlignment="1">
      <alignment readingOrder="1"/>
    </xf>
    <xf numFmtId="14" fontId="6" fillId="0" borderId="0" xfId="0" applyNumberFormat="1" applyFont="1" applyAlignment="1">
      <alignment horizontal="center"/>
    </xf>
    <xf numFmtId="0" fontId="51" fillId="0" borderId="0" xfId="0" applyFont="1" applyAlignment="1">
      <alignment horizontal="center"/>
    </xf>
    <xf numFmtId="0" fontId="115" fillId="0" borderId="0" xfId="0" applyFont="1" applyAlignment="1">
      <alignment horizontal="left"/>
    </xf>
    <xf numFmtId="0" fontId="6" fillId="0" borderId="0" xfId="0" applyFont="1" applyAlignment="1">
      <alignment horizontal="left" vertical="center"/>
    </xf>
    <xf numFmtId="0" fontId="143" fillId="0" borderId="0" xfId="0" applyFont="1" applyAlignment="1">
      <alignment vertical="center"/>
    </xf>
    <xf numFmtId="0" fontId="114" fillId="0" borderId="0" xfId="0" applyFont="1" applyAlignment="1">
      <alignment horizontal="left" vertical="center"/>
    </xf>
    <xf numFmtId="0" fontId="114" fillId="0" borderId="0" xfId="0" applyFont="1" applyAlignment="1">
      <alignment horizontal="center"/>
    </xf>
    <xf numFmtId="0" fontId="114" fillId="0" borderId="0" xfId="0" applyFont="1" applyAlignment="1">
      <alignment horizontal="center" wrapText="1"/>
    </xf>
    <xf numFmtId="0" fontId="114" fillId="0" borderId="0" xfId="0" applyFont="1" applyAlignment="1">
      <alignment horizontal="center" vertical="center"/>
    </xf>
    <xf numFmtId="0" fontId="7" fillId="0" borderId="0" xfId="0" applyFont="1" applyAlignment="1">
      <alignment horizontal="center"/>
    </xf>
    <xf numFmtId="0" fontId="39" fillId="0" borderId="0" xfId="0" applyFont="1"/>
    <xf numFmtId="0" fontId="53" fillId="0" borderId="0" xfId="0" applyFont="1" applyAlignment="1">
      <alignment wrapText="1"/>
    </xf>
    <xf numFmtId="0" fontId="0" fillId="0" borderId="0" xfId="0" applyAlignment="1">
      <alignment horizontal="center"/>
    </xf>
    <xf numFmtId="0" fontId="7" fillId="0" borderId="0" xfId="0" applyFont="1" applyAlignment="1">
      <alignment horizontal="center" vertical="center"/>
    </xf>
    <xf numFmtId="0" fontId="40" fillId="0" borderId="0" xfId="0" applyFont="1" applyAlignment="1">
      <alignment vertical="top"/>
    </xf>
    <xf numFmtId="0" fontId="38" fillId="0" borderId="0" xfId="0" applyFont="1" applyAlignment="1">
      <alignment vertical="top"/>
    </xf>
    <xf numFmtId="0" fontId="31" fillId="0" borderId="0" xfId="0" applyFont="1" applyAlignment="1">
      <alignment vertical="top"/>
    </xf>
    <xf numFmtId="0" fontId="31" fillId="0" borderId="0" xfId="0" applyFont="1" applyAlignment="1">
      <alignment horizontal="center" vertical="top"/>
    </xf>
    <xf numFmtId="0" fontId="110" fillId="0" borderId="0" xfId="0" applyFont="1" applyAlignment="1">
      <alignment horizontal="left" vertical="center" indent="6" readingOrder="1"/>
    </xf>
    <xf numFmtId="0" fontId="23" fillId="0" borderId="0" xfId="0" applyFont="1" applyAlignment="1">
      <alignment horizontal="left" vertical="center"/>
    </xf>
    <xf numFmtId="0" fontId="110" fillId="0" borderId="0" xfId="0" applyFont="1" applyAlignment="1">
      <alignment vertical="center" readingOrder="1"/>
    </xf>
    <xf numFmtId="0" fontId="115" fillId="0" borderId="0" xfId="0" applyFont="1" applyAlignment="1">
      <alignment vertical="center"/>
    </xf>
    <xf numFmtId="0" fontId="113" fillId="0" borderId="0" xfId="0" applyFont="1" applyAlignment="1">
      <alignment vertical="center"/>
    </xf>
    <xf numFmtId="0" fontId="39" fillId="0" borderId="0" xfId="0" applyFont="1" applyAlignment="1">
      <alignment horizontal="center"/>
    </xf>
    <xf numFmtId="0" fontId="34" fillId="0" borderId="25" xfId="0" applyFont="1" applyBorder="1" applyAlignment="1">
      <alignment horizontal="left"/>
    </xf>
    <xf numFmtId="0" fontId="34" fillId="0" borderId="0" xfId="0" applyFont="1" applyAlignment="1">
      <alignment horizontal="left"/>
    </xf>
    <xf numFmtId="0" fontId="114" fillId="0" borderId="0" xfId="0" applyFont="1" applyAlignment="1">
      <alignment readingOrder="1"/>
    </xf>
    <xf numFmtId="0" fontId="115" fillId="0" borderId="0" xfId="0" applyFont="1" applyAlignment="1">
      <alignment horizontal="left" wrapText="1" readingOrder="1"/>
    </xf>
    <xf numFmtId="0" fontId="115" fillId="0" borderId="0" xfId="0" applyFont="1" applyAlignment="1">
      <alignment horizontal="center" wrapText="1" readingOrder="1"/>
    </xf>
    <xf numFmtId="0" fontId="61" fillId="0" borderId="0" xfId="0" applyFont="1" applyAlignment="1">
      <alignment vertical="center"/>
    </xf>
    <xf numFmtId="43" fontId="39" fillId="0" borderId="0" xfId="0" applyNumberFormat="1" applyFont="1" applyAlignment="1">
      <alignment horizontal="center" vertical="center"/>
    </xf>
    <xf numFmtId="0" fontId="117" fillId="0" borderId="0" xfId="0" applyFont="1"/>
    <xf numFmtId="0" fontId="115" fillId="0" borderId="0" xfId="0" applyFont="1" applyAlignment="1">
      <alignment horizontal="center"/>
    </xf>
    <xf numFmtId="0" fontId="115" fillId="0" borderId="0" xfId="0" applyFont="1"/>
    <xf numFmtId="14" fontId="117" fillId="0" borderId="0" xfId="0" applyNumberFormat="1" applyFont="1" applyAlignment="1">
      <alignment horizontal="center"/>
    </xf>
    <xf numFmtId="0" fontId="85" fillId="0" borderId="0" xfId="0" applyFont="1" applyAlignment="1">
      <alignment horizontal="left"/>
    </xf>
    <xf numFmtId="0" fontId="115" fillId="0" borderId="0" xfId="0" applyFont="1" applyAlignment="1">
      <alignment horizontal="left" indent="3"/>
    </xf>
    <xf numFmtId="0" fontId="118" fillId="0" borderId="0" xfId="0" applyFont="1" applyAlignment="1">
      <alignment horizontal="left"/>
    </xf>
    <xf numFmtId="43" fontId="115" fillId="0" borderId="0" xfId="0" applyNumberFormat="1" applyFont="1" applyAlignment="1">
      <alignment horizontal="left"/>
    </xf>
    <xf numFmtId="43" fontId="119" fillId="0" borderId="0" xfId="0" applyNumberFormat="1" applyFont="1" applyAlignment="1">
      <alignment vertical="center" wrapText="1"/>
    </xf>
    <xf numFmtId="0" fontId="119" fillId="0" borderId="0" xfId="0" applyFont="1" applyAlignment="1">
      <alignment vertical="center" wrapText="1"/>
    </xf>
    <xf numFmtId="0" fontId="111" fillId="0" borderId="0" xfId="0" applyFont="1" applyAlignment="1">
      <alignment horizontal="left" vertical="center" indent="9"/>
    </xf>
    <xf numFmtId="0" fontId="111" fillId="0" borderId="0" xfId="0" applyFont="1" applyAlignment="1">
      <alignment horizontal="left" vertical="center" wrapText="1" indent="18"/>
    </xf>
    <xf numFmtId="0" fontId="111" fillId="0" borderId="0" xfId="0" applyFont="1" applyAlignment="1">
      <alignment horizontal="center" vertical="center" wrapText="1"/>
    </xf>
    <xf numFmtId="0" fontId="111" fillId="0" borderId="0" xfId="0" applyFont="1" applyAlignment="1">
      <alignment horizontal="center" wrapText="1"/>
    </xf>
    <xf numFmtId="0" fontId="115" fillId="0" borderId="0" xfId="0" applyFont="1" applyAlignment="1">
      <alignment horizontal="left" vertical="center"/>
    </xf>
    <xf numFmtId="0" fontId="115" fillId="0" borderId="0" xfId="0" applyFont="1" applyAlignment="1">
      <alignment horizontal="left" vertical="center" wrapText="1"/>
    </xf>
    <xf numFmtId="0" fontId="153" fillId="0" borderId="0" xfId="0" applyFont="1" applyAlignment="1">
      <alignment vertical="center"/>
    </xf>
    <xf numFmtId="0" fontId="8" fillId="0" borderId="0" xfId="0" applyFont="1" applyAlignment="1">
      <alignment vertical="center" wrapText="1"/>
    </xf>
    <xf numFmtId="0" fontId="153" fillId="0" borderId="0" xfId="0" applyFont="1" applyAlignment="1">
      <alignment vertical="center" wrapText="1"/>
    </xf>
    <xf numFmtId="0" fontId="189" fillId="0" borderId="0" xfId="0" applyFont="1" applyAlignment="1">
      <alignment vertical="center"/>
    </xf>
    <xf numFmtId="43" fontId="203" fillId="0" borderId="16" xfId="5" applyNumberFormat="1" applyFont="1" applyFill="1" applyBorder="1" applyAlignment="1">
      <alignment horizontal="center" wrapText="1"/>
    </xf>
    <xf numFmtId="43" fontId="203" fillId="0" borderId="16" xfId="5" applyNumberFormat="1" applyFont="1" applyFill="1" applyBorder="1" applyAlignment="1">
      <alignment horizontal="left" wrapText="1"/>
    </xf>
    <xf numFmtId="43" fontId="8" fillId="0" borderId="0" xfId="0" applyNumberFormat="1" applyFont="1" applyAlignment="1">
      <alignment horizontal="left"/>
    </xf>
    <xf numFmtId="0" fontId="203" fillId="0" borderId="16" xfId="5" applyFont="1" applyFill="1" applyBorder="1" applyAlignment="1">
      <alignment horizontal="left"/>
    </xf>
    <xf numFmtId="0" fontId="2" fillId="6" borderId="0" xfId="0" applyFont="1" applyFill="1"/>
    <xf numFmtId="0" fontId="2" fillId="12" borderId="0" xfId="0" applyFont="1" applyFill="1" applyAlignment="1">
      <alignment horizontal="left"/>
    </xf>
    <xf numFmtId="0" fontId="2" fillId="0" borderId="0" xfId="0" applyFont="1" applyAlignment="1">
      <alignment horizontal="left"/>
    </xf>
    <xf numFmtId="0" fontId="2" fillId="8" borderId="0" xfId="0" applyFont="1" applyFill="1"/>
    <xf numFmtId="0" fontId="2" fillId="26" borderId="0" xfId="0" applyFont="1" applyFill="1"/>
    <xf numFmtId="0" fontId="2" fillId="26" borderId="0" xfId="0" applyFont="1" applyFill="1" applyAlignment="1">
      <alignment horizontal="right"/>
    </xf>
    <xf numFmtId="0" fontId="2" fillId="26" borderId="0" xfId="0" applyFont="1" applyFill="1" applyAlignment="1">
      <alignment horizontal="center"/>
    </xf>
    <xf numFmtId="0" fontId="2" fillId="0" borderId="0" xfId="0" applyFont="1" applyAlignment="1">
      <alignment horizontal="right"/>
    </xf>
    <xf numFmtId="0" fontId="2" fillId="12" borderId="0" xfId="0" applyFont="1" applyFill="1"/>
    <xf numFmtId="0" fontId="2" fillId="28" borderId="0" xfId="0" applyFont="1" applyFill="1"/>
    <xf numFmtId="0" fontId="204" fillId="0" borderId="0" xfId="0" applyFont="1" applyAlignment="1">
      <alignment vertical="center" wrapText="1"/>
    </xf>
    <xf numFmtId="0" fontId="205" fillId="0" borderId="0" xfId="0" applyFont="1" applyAlignment="1">
      <alignment vertical="center" wrapText="1"/>
    </xf>
    <xf numFmtId="0" fontId="83" fillId="23" borderId="0" xfId="0" applyFont="1" applyFill="1"/>
    <xf numFmtId="0" fontId="206" fillId="0" borderId="0" xfId="0" applyFont="1"/>
    <xf numFmtId="0" fontId="207" fillId="0" borderId="0" xfId="0" applyFont="1"/>
    <xf numFmtId="0" fontId="208" fillId="0" borderId="1" xfId="5" applyFont="1" applyFill="1" applyAlignment="1">
      <alignment horizontal="left" vertical="center"/>
    </xf>
    <xf numFmtId="43" fontId="203" fillId="0" borderId="16" xfId="5" applyNumberFormat="1" applyFont="1" applyFill="1" applyBorder="1" applyAlignment="1">
      <alignment horizontal="left"/>
    </xf>
    <xf numFmtId="0" fontId="125" fillId="0" borderId="0" xfId="0" applyFont="1" applyAlignment="1">
      <alignment horizontal="center"/>
    </xf>
    <xf numFmtId="0" fontId="213" fillId="10" borderId="0" xfId="0" applyFont="1" applyFill="1" applyAlignment="1">
      <alignment horizontal="left"/>
    </xf>
    <xf numFmtId="0" fontId="217" fillId="10" borderId="0" xfId="0" applyFont="1" applyFill="1" applyAlignment="1">
      <alignment horizontal="right"/>
    </xf>
    <xf numFmtId="0" fontId="214" fillId="10" borderId="1" xfId="5" applyFont="1" applyFill="1" applyAlignment="1">
      <alignment horizontal="left"/>
    </xf>
    <xf numFmtId="0" fontId="212" fillId="8" borderId="1" xfId="5" applyFont="1" applyFill="1" applyAlignment="1">
      <alignment horizontal="left"/>
    </xf>
    <xf numFmtId="0" fontId="168" fillId="22" borderId="0" xfId="0" applyFont="1" applyFill="1" applyAlignment="1">
      <alignment horizontal="left"/>
    </xf>
    <xf numFmtId="0" fontId="217" fillId="22" borderId="0" xfId="0" applyFont="1" applyFill="1" applyAlignment="1">
      <alignment horizontal="right"/>
    </xf>
    <xf numFmtId="0" fontId="0" fillId="16" borderId="1" xfId="0" applyFill="1" applyBorder="1" applyAlignment="1">
      <alignment horizontal="left"/>
    </xf>
    <xf numFmtId="0" fontId="215" fillId="22" borderId="27" xfId="0" applyFont="1" applyFill="1" applyBorder="1" applyAlignment="1">
      <alignment horizontal="left"/>
    </xf>
    <xf numFmtId="0" fontId="215" fillId="22" borderId="7" xfId="0" applyFont="1" applyFill="1" applyBorder="1" applyAlignment="1">
      <alignment horizontal="left" indent="1"/>
    </xf>
    <xf numFmtId="0" fontId="215" fillId="22" borderId="27" xfId="0" applyFont="1" applyFill="1" applyBorder="1" applyAlignment="1">
      <alignment horizontal="left" indent="1"/>
    </xf>
    <xf numFmtId="0" fontId="215" fillId="22" borderId="7" xfId="0" applyFont="1" applyFill="1" applyBorder="1" applyAlignment="1">
      <alignment horizontal="left" vertical="center"/>
    </xf>
    <xf numFmtId="0" fontId="215" fillId="22" borderId="7" xfId="0" applyFont="1" applyFill="1" applyBorder="1" applyAlignment="1">
      <alignment horizontal="left"/>
    </xf>
    <xf numFmtId="0" fontId="34" fillId="16" borderId="7" xfId="0" applyFont="1" applyFill="1" applyBorder="1" applyAlignment="1">
      <alignment horizontal="left"/>
    </xf>
    <xf numFmtId="0" fontId="215" fillId="22" borderId="7" xfId="0" applyFont="1" applyFill="1" applyBorder="1"/>
    <xf numFmtId="0" fontId="215" fillId="22" borderId="7" xfId="0" applyFont="1" applyFill="1" applyBorder="1" applyAlignment="1">
      <alignment horizontal="left" indent="2"/>
    </xf>
    <xf numFmtId="0" fontId="211" fillId="16" borderId="7" xfId="0" applyFont="1" applyFill="1" applyBorder="1" applyAlignment="1">
      <alignment horizontal="left" vertical="center"/>
    </xf>
    <xf numFmtId="0" fontId="215" fillId="22" borderId="7" xfId="0" applyFont="1" applyFill="1" applyBorder="1" applyAlignment="1">
      <alignment horizontal="left" vertical="center" indent="1"/>
    </xf>
    <xf numFmtId="0" fontId="215" fillId="16" borderId="7" xfId="0" applyFont="1" applyFill="1" applyBorder="1" applyAlignment="1">
      <alignment horizontal="left"/>
    </xf>
    <xf numFmtId="164" fontId="0" fillId="0" borderId="0" xfId="0" applyNumberFormat="1"/>
    <xf numFmtId="43" fontId="219" fillId="0" borderId="16" xfId="5" applyNumberFormat="1" applyFont="1" applyFill="1" applyBorder="1" applyAlignment="1">
      <alignment horizontal="left"/>
    </xf>
    <xf numFmtId="0" fontId="220" fillId="0" borderId="16" xfId="5" applyFont="1" applyFill="1" applyBorder="1" applyAlignment="1">
      <alignment horizontal="left"/>
    </xf>
    <xf numFmtId="0" fontId="70" fillId="0" borderId="7" xfId="0" applyFont="1" applyBorder="1"/>
    <xf numFmtId="0" fontId="70" fillId="4" borderId="13" xfId="0" applyFont="1" applyFill="1" applyBorder="1"/>
    <xf numFmtId="0" fontId="70" fillId="0" borderId="13" xfId="0" applyFont="1" applyBorder="1"/>
    <xf numFmtId="0" fontId="70" fillId="4" borderId="7" xfId="0" applyFont="1" applyFill="1" applyBorder="1"/>
    <xf numFmtId="0" fontId="70" fillId="0" borderId="7" xfId="0" applyFont="1" applyBorder="1" applyAlignment="1">
      <alignment horizontal="left"/>
    </xf>
    <xf numFmtId="0" fontId="70" fillId="16" borderId="13" xfId="0" applyFont="1" applyFill="1" applyBorder="1" applyAlignment="1">
      <alignment horizontal="left"/>
    </xf>
    <xf numFmtId="0" fontId="70" fillId="0" borderId="13" xfId="0" applyFont="1" applyBorder="1" applyAlignment="1">
      <alignment horizontal="left"/>
    </xf>
    <xf numFmtId="0" fontId="70" fillId="4" borderId="7" xfId="0" applyFont="1" applyFill="1" applyBorder="1" applyAlignment="1">
      <alignment horizontal="left"/>
    </xf>
    <xf numFmtId="0" fontId="70" fillId="4" borderId="13" xfId="0" applyFont="1" applyFill="1" applyBorder="1" applyAlignment="1">
      <alignment horizontal="left"/>
    </xf>
    <xf numFmtId="43" fontId="219" fillId="8" borderId="16" xfId="5" applyNumberFormat="1" applyFont="1" applyFill="1" applyBorder="1" applyAlignment="1">
      <alignment horizontal="left"/>
    </xf>
    <xf numFmtId="0" fontId="38" fillId="9" borderId="23" xfId="0" applyFont="1" applyFill="1" applyBorder="1" applyAlignment="1">
      <alignment vertical="center" textRotation="255"/>
    </xf>
    <xf numFmtId="43" fontId="218" fillId="8" borderId="16" xfId="5" applyNumberFormat="1" applyFont="1" applyFill="1" applyBorder="1" applyAlignment="1">
      <alignment horizontal="left"/>
    </xf>
    <xf numFmtId="0" fontId="70" fillId="0" borderId="7" xfId="0" applyFont="1" applyBorder="1" applyAlignment="1">
      <alignment horizontal="center"/>
    </xf>
    <xf numFmtId="0" fontId="70" fillId="16" borderId="13" xfId="0" applyFont="1" applyFill="1" applyBorder="1" applyAlignment="1">
      <alignment horizontal="center"/>
    </xf>
    <xf numFmtId="0" fontId="70" fillId="0" borderId="13" xfId="0" applyFont="1" applyBorder="1" applyAlignment="1">
      <alignment horizontal="center"/>
    </xf>
    <xf numFmtId="0" fontId="70" fillId="16" borderId="7" xfId="0" applyFont="1" applyFill="1" applyBorder="1" applyAlignment="1">
      <alignment horizontal="left"/>
    </xf>
    <xf numFmtId="0" fontId="0" fillId="0" borderId="0" xfId="0" applyAlignment="1">
      <alignment horizontal="left"/>
    </xf>
    <xf numFmtId="0" fontId="34" fillId="16" borderId="7" xfId="0" applyFont="1" applyFill="1" applyBorder="1" applyAlignment="1">
      <alignment horizontal="left" vertical="center"/>
    </xf>
    <xf numFmtId="0" fontId="216" fillId="16" borderId="7" xfId="0" applyFont="1" applyFill="1" applyBorder="1" applyAlignment="1">
      <alignment horizontal="left"/>
    </xf>
    <xf numFmtId="164" fontId="125" fillId="0" borderId="0" xfId="0" applyNumberFormat="1" applyFont="1"/>
    <xf numFmtId="0" fontId="215" fillId="22" borderId="0" xfId="0" applyFont="1" applyFill="1" applyAlignment="1">
      <alignment horizontal="left" indent="1"/>
    </xf>
    <xf numFmtId="0" fontId="55" fillId="23" borderId="23" xfId="0" applyFont="1" applyFill="1" applyBorder="1" applyAlignment="1">
      <alignment vertical="center" textRotation="255"/>
    </xf>
    <xf numFmtId="0" fontId="125" fillId="0" borderId="0" xfId="0" applyFont="1" applyAlignment="1">
      <alignment horizontal="right"/>
    </xf>
    <xf numFmtId="0" fontId="215" fillId="47" borderId="7" xfId="0" applyFont="1" applyFill="1" applyBorder="1" applyAlignment="1">
      <alignment horizontal="left"/>
    </xf>
    <xf numFmtId="0" fontId="102" fillId="16" borderId="1" xfId="0" applyFont="1" applyFill="1" applyBorder="1" applyAlignment="1">
      <alignment horizontal="left"/>
    </xf>
    <xf numFmtId="0" fontId="214" fillId="10" borderId="1" xfId="5" applyFont="1" applyFill="1" applyAlignment="1">
      <alignment horizontal="right"/>
    </xf>
    <xf numFmtId="0" fontId="121" fillId="0" borderId="1" xfId="5" applyFont="1" applyFill="1" applyAlignment="1">
      <alignment vertical="center"/>
    </xf>
    <xf numFmtId="0" fontId="0" fillId="6" borderId="0" xfId="0" applyFill="1" applyAlignment="1">
      <alignment horizontal="center" vertical="center" textRotation="255"/>
    </xf>
    <xf numFmtId="0" fontId="70" fillId="10" borderId="1" xfId="5" applyFont="1" applyFill="1" applyAlignment="1">
      <alignment horizontal="left"/>
    </xf>
    <xf numFmtId="0" fontId="121" fillId="0" borderId="6" xfId="5" applyFont="1" applyFill="1" applyBorder="1" applyAlignment="1">
      <alignment horizontal="left" indent="1"/>
    </xf>
    <xf numFmtId="0" fontId="221" fillId="8" borderId="1" xfId="5" applyFont="1" applyFill="1" applyAlignment="1">
      <alignment vertical="center"/>
    </xf>
    <xf numFmtId="0" fontId="129" fillId="8" borderId="1" xfId="5" applyFont="1" applyFill="1" applyAlignment="1">
      <alignment horizontal="left"/>
    </xf>
    <xf numFmtId="0" fontId="127" fillId="8" borderId="1" xfId="5" applyFont="1" applyFill="1" applyAlignment="1">
      <alignment horizontal="left"/>
    </xf>
    <xf numFmtId="0" fontId="223" fillId="5" borderId="1" xfId="5" applyFont="1" applyFill="1" applyAlignment="1">
      <alignment horizontal="left"/>
    </xf>
    <xf numFmtId="0" fontId="221" fillId="0" borderId="0" xfId="0" applyFont="1" applyAlignment="1">
      <alignment horizontal="center"/>
    </xf>
    <xf numFmtId="0" fontId="203" fillId="0" borderId="16" xfId="5" applyFont="1" applyFill="1" applyBorder="1" applyAlignment="1">
      <alignment horizontal="center"/>
    </xf>
    <xf numFmtId="0" fontId="121" fillId="10" borderId="1" xfId="5" applyFont="1" applyFill="1" applyAlignment="1"/>
    <xf numFmtId="0" fontId="46" fillId="10" borderId="23" xfId="0" applyFont="1" applyFill="1" applyBorder="1" applyAlignment="1">
      <alignment horizontal="center" vertical="center" textRotation="255"/>
    </xf>
    <xf numFmtId="0" fontId="52" fillId="10" borderId="23" xfId="0" applyFont="1" applyFill="1" applyBorder="1" applyAlignment="1">
      <alignment horizontal="center" textRotation="255"/>
    </xf>
    <xf numFmtId="0" fontId="96" fillId="10" borderId="23" xfId="0" applyFont="1" applyFill="1" applyBorder="1" applyAlignment="1">
      <alignment horizontal="center" textRotation="255"/>
    </xf>
    <xf numFmtId="0" fontId="0" fillId="10" borderId="23" xfId="0" applyFill="1" applyBorder="1" applyAlignment="1">
      <alignment horizontal="center" textRotation="255"/>
    </xf>
    <xf numFmtId="0" fontId="121" fillId="0" borderId="1" xfId="0" applyFont="1" applyBorder="1" applyAlignment="1">
      <alignment vertical="center"/>
    </xf>
    <xf numFmtId="0" fontId="121" fillId="0" borderId="27" xfId="0" applyFont="1" applyBorder="1" applyAlignment="1">
      <alignment horizontal="left" indent="1"/>
    </xf>
    <xf numFmtId="0" fontId="221" fillId="16" borderId="7" xfId="0" applyFont="1" applyFill="1" applyBorder="1" applyAlignment="1">
      <alignment vertical="center"/>
    </xf>
    <xf numFmtId="0" fontId="121" fillId="0" borderId="7" xfId="0" applyFont="1" applyBorder="1" applyAlignment="1">
      <alignment vertical="center"/>
    </xf>
    <xf numFmtId="0" fontId="121" fillId="22" borderId="7" xfId="0" applyFont="1" applyFill="1" applyBorder="1"/>
    <xf numFmtId="0" fontId="127" fillId="16" borderId="7" xfId="0" applyFont="1" applyFill="1" applyBorder="1" applyAlignment="1">
      <alignment horizontal="left"/>
    </xf>
    <xf numFmtId="0" fontId="220" fillId="8" borderId="1" xfId="5" applyFont="1" applyFill="1" applyAlignment="1">
      <alignment horizontal="left"/>
    </xf>
    <xf numFmtId="0" fontId="87" fillId="0" borderId="1" xfId="5" applyFont="1" applyFill="1" applyAlignment="1"/>
    <xf numFmtId="0" fontId="87" fillId="0" borderId="1" xfId="5" applyFont="1" applyFill="1" applyAlignment="1">
      <alignment vertical="center"/>
    </xf>
    <xf numFmtId="0" fontId="87" fillId="0" borderId="6" xfId="5" applyFont="1" applyFill="1" applyBorder="1" applyAlignment="1">
      <alignment horizontal="left" indent="1"/>
    </xf>
    <xf numFmtId="0" fontId="87" fillId="0" borderId="6" xfId="5" applyFont="1" applyFill="1" applyBorder="1" applyAlignment="1"/>
    <xf numFmtId="0" fontId="87" fillId="0" borderId="1" xfId="5" applyFont="1" applyFill="1" applyAlignment="1">
      <alignment horizontal="left" indent="1"/>
    </xf>
    <xf numFmtId="0" fontId="87" fillId="0" borderId="6" xfId="0" applyFont="1" applyBorder="1"/>
    <xf numFmtId="0" fontId="125" fillId="0" borderId="0" xfId="0" applyFont="1" applyAlignment="1">
      <alignment horizontal="left"/>
    </xf>
    <xf numFmtId="0" fontId="87" fillId="0" borderId="6" xfId="0" applyFont="1" applyBorder="1" applyAlignment="1">
      <alignment horizontal="left" indent="1"/>
    </xf>
    <xf numFmtId="0" fontId="87" fillId="0" borderId="1" xfId="0" applyFont="1" applyBorder="1" applyAlignment="1">
      <alignment horizontal="left" indent="1"/>
    </xf>
    <xf numFmtId="0" fontId="221" fillId="0" borderId="0" xfId="0" applyFont="1" applyAlignment="1">
      <alignment horizontal="left" indent="2"/>
    </xf>
    <xf numFmtId="0" fontId="127" fillId="8" borderId="1" xfId="5" applyFont="1" applyFill="1" applyAlignment="1"/>
    <xf numFmtId="0" fontId="224" fillId="8" borderId="1" xfId="5" applyFont="1" applyFill="1" applyAlignment="1">
      <alignment horizontal="left" vertical="center"/>
    </xf>
    <xf numFmtId="0" fontId="220" fillId="0" borderId="1" xfId="5" applyFont="1" applyFill="1" applyAlignment="1">
      <alignment horizontal="left" vertical="center"/>
    </xf>
    <xf numFmtId="0" fontId="224" fillId="8" borderId="1" xfId="5" applyFont="1" applyFill="1" applyAlignment="1"/>
    <xf numFmtId="0" fontId="70" fillId="22" borderId="1" xfId="0" applyFont="1" applyFill="1" applyBorder="1" applyAlignment="1">
      <alignment horizontal="left"/>
    </xf>
    <xf numFmtId="0" fontId="70" fillId="22" borderId="11" xfId="0" applyFont="1" applyFill="1" applyBorder="1" applyAlignment="1">
      <alignment horizontal="left"/>
    </xf>
    <xf numFmtId="0" fontId="70" fillId="45" borderId="1" xfId="5" applyFont="1" applyFill="1" applyAlignment="1">
      <alignment horizontal="left"/>
    </xf>
    <xf numFmtId="0" fontId="128" fillId="8" borderId="1" xfId="0" applyFont="1" applyFill="1" applyBorder="1"/>
    <xf numFmtId="0" fontId="121" fillId="10" borderId="1" xfId="0" applyFont="1" applyFill="1" applyBorder="1"/>
    <xf numFmtId="0" fontId="222" fillId="0" borderId="16" xfId="5" applyFont="1" applyFill="1" applyBorder="1" applyAlignment="1">
      <alignment horizontal="left"/>
    </xf>
    <xf numFmtId="0" fontId="222" fillId="8" borderId="1" xfId="5" applyFont="1" applyFill="1" applyAlignment="1">
      <alignment horizontal="left"/>
    </xf>
    <xf numFmtId="0" fontId="222" fillId="0" borderId="1" xfId="5" applyFont="1" applyFill="1" applyAlignment="1">
      <alignment horizontal="left"/>
    </xf>
    <xf numFmtId="164" fontId="129" fillId="0" borderId="16" xfId="5" applyNumberFormat="1" applyFont="1" applyFill="1" applyBorder="1" applyAlignment="1">
      <alignment horizontal="right"/>
    </xf>
    <xf numFmtId="0" fontId="129" fillId="0" borderId="1" xfId="5" applyFont="1" applyFill="1" applyAlignment="1">
      <alignment horizontal="left"/>
    </xf>
    <xf numFmtId="0" fontId="129" fillId="10" borderId="1" xfId="5" applyFont="1" applyFill="1" applyAlignment="1">
      <alignment horizontal="left"/>
    </xf>
    <xf numFmtId="0" fontId="223" fillId="4" borderId="1" xfId="0" applyFont="1" applyFill="1" applyBorder="1" applyAlignment="1">
      <alignment horizontal="left"/>
    </xf>
    <xf numFmtId="0" fontId="87" fillId="0" borderId="27" xfId="0" applyFont="1" applyBorder="1" applyAlignment="1">
      <alignment horizontal="left" indent="1"/>
    </xf>
    <xf numFmtId="0" fontId="87" fillId="0" borderId="7" xfId="0" applyFont="1" applyBorder="1" applyAlignment="1">
      <alignment horizontal="left" indent="1"/>
    </xf>
    <xf numFmtId="0" fontId="87" fillId="0" borderId="27" xfId="0" applyFont="1" applyBorder="1"/>
    <xf numFmtId="0" fontId="87" fillId="0" borderId="7" xfId="0" applyFont="1" applyBorder="1" applyAlignment="1">
      <alignment vertical="center"/>
    </xf>
    <xf numFmtId="0" fontId="123" fillId="0" borderId="0" xfId="0" applyFont="1" applyAlignment="1">
      <alignment horizontal="left"/>
    </xf>
    <xf numFmtId="0" fontId="87" fillId="0" borderId="1" xfId="0" applyFont="1" applyBorder="1"/>
    <xf numFmtId="0" fontId="127" fillId="16" borderId="7" xfId="0" applyFont="1" applyFill="1" applyBorder="1"/>
    <xf numFmtId="0" fontId="87" fillId="0" borderId="7" xfId="0" applyFont="1" applyBorder="1"/>
    <xf numFmtId="0" fontId="220" fillId="16" borderId="7" xfId="0" applyFont="1" applyFill="1" applyBorder="1" applyAlignment="1">
      <alignment horizontal="left"/>
    </xf>
    <xf numFmtId="0" fontId="224" fillId="16" borderId="7" xfId="0" applyFont="1" applyFill="1" applyBorder="1" applyAlignment="1">
      <alignment horizontal="left" vertical="center"/>
    </xf>
    <xf numFmtId="0" fontId="220" fillId="0" borderId="7" xfId="0" applyFont="1" applyBorder="1" applyAlignment="1">
      <alignment horizontal="left" vertical="center"/>
    </xf>
    <xf numFmtId="0" fontId="224" fillId="16" borderId="7" xfId="0" applyFont="1" applyFill="1" applyBorder="1"/>
    <xf numFmtId="0" fontId="128" fillId="16" borderId="7" xfId="0" applyFont="1" applyFill="1" applyBorder="1"/>
    <xf numFmtId="164" fontId="129" fillId="0" borderId="16" xfId="5" applyNumberFormat="1" applyFont="1" applyFill="1" applyBorder="1" applyAlignment="1">
      <alignment vertical="center"/>
    </xf>
    <xf numFmtId="0" fontId="70" fillId="22" borderId="7" xfId="0" applyFont="1" applyFill="1" applyBorder="1" applyAlignment="1">
      <alignment horizontal="left"/>
    </xf>
    <xf numFmtId="0" fontId="70" fillId="22" borderId="13" xfId="0" applyFont="1" applyFill="1" applyBorder="1" applyAlignment="1">
      <alignment horizontal="left"/>
    </xf>
    <xf numFmtId="0" fontId="70" fillId="48" borderId="13" xfId="0" applyFont="1" applyFill="1" applyBorder="1" applyAlignment="1">
      <alignment horizontal="left"/>
    </xf>
    <xf numFmtId="43" fontId="203" fillId="0" borderId="16" xfId="5" applyNumberFormat="1" applyFont="1" applyFill="1" applyBorder="1" applyAlignment="1"/>
    <xf numFmtId="0" fontId="226" fillId="0" borderId="0" xfId="0" applyFont="1"/>
    <xf numFmtId="0" fontId="8" fillId="0" borderId="0" xfId="0" applyFont="1" applyAlignment="1">
      <alignment horizontal="left"/>
    </xf>
    <xf numFmtId="0" fontId="73" fillId="0" borderId="0" xfId="7" applyAlignment="1">
      <alignment vertical="center" wrapText="1"/>
    </xf>
    <xf numFmtId="0" fontId="73" fillId="0" borderId="0" xfId="7"/>
    <xf numFmtId="0" fontId="230" fillId="0" borderId="0" xfId="0" applyFont="1"/>
    <xf numFmtId="0" fontId="102" fillId="0" borderId="0" xfId="0" applyFont="1" applyAlignment="1">
      <alignment horizontal="left"/>
    </xf>
    <xf numFmtId="0" fontId="116" fillId="22" borderId="0" xfId="0" applyFont="1" applyFill="1" applyAlignment="1">
      <alignment horizontal="left"/>
    </xf>
    <xf numFmtId="0" fontId="208" fillId="49" borderId="7" xfId="0" applyFont="1" applyFill="1" applyBorder="1" applyAlignment="1">
      <alignment horizontal="left"/>
    </xf>
    <xf numFmtId="0" fontId="231" fillId="22" borderId="0" xfId="0" applyFont="1" applyFill="1" applyAlignment="1">
      <alignment horizontal="left"/>
    </xf>
    <xf numFmtId="0" fontId="34" fillId="49" borderId="7" xfId="0" applyFont="1" applyFill="1" applyBorder="1" applyAlignment="1">
      <alignment horizontal="left"/>
    </xf>
    <xf numFmtId="0" fontId="214" fillId="0" borderId="1" xfId="5" applyFont="1" applyFill="1" applyAlignment="1">
      <alignment horizontal="left"/>
    </xf>
    <xf numFmtId="0" fontId="68" fillId="0" borderId="1" xfId="5" applyFont="1" applyFill="1" applyAlignment="1">
      <alignment horizontal="left"/>
    </xf>
    <xf numFmtId="0" fontId="54" fillId="16" borderId="1" xfId="0" applyFont="1" applyFill="1" applyBorder="1" applyAlignment="1">
      <alignment horizontal="left"/>
    </xf>
    <xf numFmtId="0" fontId="34" fillId="22" borderId="7" xfId="0" applyFont="1" applyFill="1" applyBorder="1" applyAlignment="1">
      <alignment horizontal="left"/>
    </xf>
    <xf numFmtId="164" fontId="17" fillId="6" borderId="0" xfId="1" applyNumberFormat="1" applyFont="1" applyFill="1" applyAlignment="1">
      <alignment horizontal="left" vertical="top" indent="2"/>
    </xf>
    <xf numFmtId="164" fontId="68" fillId="0" borderId="23" xfId="1" applyNumberFormat="1" applyFont="1" applyBorder="1" applyAlignment="1">
      <alignment vertical="center" textRotation="255" wrapText="1"/>
    </xf>
    <xf numFmtId="0" fontId="227" fillId="0" borderId="30" xfId="0" applyFont="1" applyBorder="1" applyAlignment="1">
      <alignment horizontal="center"/>
    </xf>
    <xf numFmtId="0" fontId="228" fillId="50" borderId="0" xfId="0" applyFont="1" applyFill="1" applyAlignment="1">
      <alignment horizontal="center"/>
    </xf>
    <xf numFmtId="0" fontId="229" fillId="50" borderId="0" xfId="0" applyFont="1" applyFill="1"/>
    <xf numFmtId="0" fontId="36" fillId="50" borderId="0" xfId="0" applyFont="1" applyFill="1"/>
    <xf numFmtId="0" fontId="224" fillId="0" borderId="16" xfId="5" applyFont="1" applyFill="1" applyBorder="1" applyAlignment="1">
      <alignment horizontal="left"/>
    </xf>
    <xf numFmtId="0" fontId="224" fillId="8" borderId="16" xfId="5" applyFont="1" applyFill="1" applyBorder="1" applyAlignment="1">
      <alignment horizontal="left"/>
    </xf>
    <xf numFmtId="0" fontId="224" fillId="10" borderId="16" xfId="5" applyFont="1" applyFill="1" applyBorder="1" applyAlignment="1">
      <alignment horizontal="left"/>
    </xf>
    <xf numFmtId="43" fontId="224" fillId="0" borderId="16" xfId="5" applyNumberFormat="1" applyFont="1" applyFill="1" applyBorder="1" applyAlignment="1">
      <alignment horizontal="left"/>
    </xf>
    <xf numFmtId="43" fontId="224" fillId="8" borderId="16" xfId="5" applyNumberFormat="1" applyFont="1" applyFill="1" applyBorder="1" applyAlignment="1"/>
    <xf numFmtId="43" fontId="224" fillId="0" borderId="16" xfId="5" applyNumberFormat="1" applyFont="1" applyFill="1" applyBorder="1" applyAlignment="1"/>
    <xf numFmtId="43" fontId="224" fillId="0" borderId="16" xfId="5" applyNumberFormat="1" applyFont="1" applyFill="1" applyBorder="1" applyAlignment="1">
      <alignment horizontal="center"/>
    </xf>
    <xf numFmtId="0" fontId="234" fillId="0" borderId="0" xfId="0" applyFont="1"/>
    <xf numFmtId="0" fontId="235" fillId="0" borderId="16" xfId="0" applyFont="1" applyBorder="1"/>
    <xf numFmtId="0" fontId="236" fillId="0" borderId="16" xfId="5" applyFont="1" applyFill="1" applyBorder="1" applyAlignment="1">
      <alignment horizontal="left"/>
    </xf>
    <xf numFmtId="0" fontId="224" fillId="8" borderId="16" xfId="5" applyFont="1" applyFill="1" applyBorder="1" applyAlignment="1">
      <alignment horizontal="center"/>
    </xf>
    <xf numFmtId="0" fontId="224" fillId="10" borderId="16" xfId="5" applyFont="1" applyFill="1" applyBorder="1" applyAlignment="1">
      <alignment horizontal="center"/>
    </xf>
    <xf numFmtId="164" fontId="215" fillId="0" borderId="16" xfId="5" applyNumberFormat="1" applyFont="1" applyFill="1" applyBorder="1" applyAlignment="1">
      <alignment horizontal="left"/>
    </xf>
    <xf numFmtId="0" fontId="235" fillId="2" borderId="1" xfId="5" applyFont="1" applyAlignment="1"/>
    <xf numFmtId="0" fontId="235" fillId="0" borderId="1" xfId="5" applyFont="1" applyFill="1" applyAlignment="1"/>
    <xf numFmtId="0" fontId="235" fillId="5" borderId="1" xfId="5" applyFont="1" applyFill="1" applyAlignment="1"/>
    <xf numFmtId="0" fontId="235" fillId="0" borderId="1" xfId="5" applyFont="1" applyFill="1" applyAlignment="1">
      <alignment horizontal="center"/>
    </xf>
    <xf numFmtId="0" fontId="235" fillId="8" borderId="1" xfId="5" applyFont="1" applyFill="1" applyAlignment="1">
      <alignment horizontal="center"/>
    </xf>
    <xf numFmtId="0" fontId="235" fillId="8" borderId="1" xfId="5" applyFont="1" applyFill="1" applyAlignment="1">
      <alignment horizontal="left"/>
    </xf>
    <xf numFmtId="0" fontId="235" fillId="0" borderId="1" xfId="5" applyFont="1" applyFill="1" applyAlignment="1">
      <alignment horizontal="left"/>
    </xf>
    <xf numFmtId="0" fontId="235" fillId="5" borderId="1" xfId="5" applyFont="1" applyFill="1" applyAlignment="1">
      <alignment horizontal="left"/>
    </xf>
    <xf numFmtId="0" fontId="235" fillId="0" borderId="1" xfId="0" applyFont="1" applyBorder="1" applyAlignment="1">
      <alignment horizontal="center"/>
    </xf>
    <xf numFmtId="0" fontId="235" fillId="8" borderId="1" xfId="0" applyFont="1" applyFill="1" applyBorder="1" applyAlignment="1">
      <alignment horizontal="center"/>
    </xf>
    <xf numFmtId="0" fontId="235" fillId="0" borderId="11" xfId="0" applyFont="1" applyBorder="1" applyAlignment="1">
      <alignment horizontal="left"/>
    </xf>
    <xf numFmtId="0" fontId="235" fillId="16" borderId="11" xfId="0" applyFont="1" applyFill="1" applyBorder="1" applyAlignment="1">
      <alignment horizontal="left"/>
    </xf>
    <xf numFmtId="0" fontId="237" fillId="0" borderId="1" xfId="5" applyFont="1" applyFill="1" applyAlignment="1">
      <alignment horizontal="left"/>
    </xf>
    <xf numFmtId="0" fontId="237" fillId="10" borderId="1" xfId="5" applyFont="1" applyFill="1" applyAlignment="1">
      <alignment horizontal="left"/>
    </xf>
    <xf numFmtId="0" fontId="237" fillId="8" borderId="1" xfId="5" applyFont="1" applyFill="1" applyAlignment="1">
      <alignment horizontal="left"/>
    </xf>
    <xf numFmtId="0" fontId="235" fillId="4" borderId="1" xfId="0" applyFont="1" applyFill="1" applyBorder="1"/>
    <xf numFmtId="0" fontId="235" fillId="0" borderId="11" xfId="0" applyFont="1" applyBorder="1"/>
    <xf numFmtId="0" fontId="235" fillId="4" borderId="11" xfId="0" applyFont="1" applyFill="1" applyBorder="1"/>
    <xf numFmtId="0" fontId="235" fillId="0" borderId="7" xfId="0" applyFont="1" applyBorder="1"/>
    <xf numFmtId="0" fontId="235" fillId="4" borderId="13" xfId="0" applyFont="1" applyFill="1" applyBorder="1"/>
    <xf numFmtId="0" fontId="235" fillId="0" borderId="13" xfId="0" applyFont="1" applyBorder="1"/>
    <xf numFmtId="0" fontId="235" fillId="4" borderId="7" xfId="0" applyFont="1" applyFill="1" applyBorder="1"/>
    <xf numFmtId="0" fontId="235" fillId="0" borderId="7" xfId="0" applyFont="1" applyBorder="1" applyAlignment="1">
      <alignment horizontal="center"/>
    </xf>
    <xf numFmtId="0" fontId="235" fillId="16" borderId="13" xfId="0" applyFont="1" applyFill="1" applyBorder="1" applyAlignment="1">
      <alignment horizontal="center"/>
    </xf>
    <xf numFmtId="0" fontId="235" fillId="0" borderId="13" xfId="0" applyFont="1" applyBorder="1" applyAlignment="1">
      <alignment horizontal="center"/>
    </xf>
    <xf numFmtId="0" fontId="235" fillId="16" borderId="7" xfId="0" applyFont="1" applyFill="1" applyBorder="1" applyAlignment="1">
      <alignment horizontal="left"/>
    </xf>
    <xf numFmtId="0" fontId="235" fillId="0" borderId="13" xfId="0" applyFont="1" applyBorder="1" applyAlignment="1">
      <alignment horizontal="left"/>
    </xf>
    <xf numFmtId="0" fontId="235" fillId="16" borderId="13" xfId="0" applyFont="1" applyFill="1" applyBorder="1" applyAlignment="1">
      <alignment horizontal="left"/>
    </xf>
    <xf numFmtId="0" fontId="235" fillId="4" borderId="7" xfId="0" applyFont="1" applyFill="1" applyBorder="1" applyAlignment="1">
      <alignment horizontal="left"/>
    </xf>
    <xf numFmtId="0" fontId="235" fillId="4" borderId="13" xfId="0" applyFont="1" applyFill="1" applyBorder="1" applyAlignment="1">
      <alignment horizontal="left"/>
    </xf>
    <xf numFmtId="0" fontId="235" fillId="0" borderId="7" xfId="0" applyFont="1" applyBorder="1" applyAlignment="1">
      <alignment horizontal="left"/>
    </xf>
    <xf numFmtId="43" fontId="224" fillId="8" borderId="16" xfId="5" applyNumberFormat="1" applyFont="1" applyFill="1" applyBorder="1" applyAlignment="1">
      <alignment horizontal="left"/>
    </xf>
    <xf numFmtId="43" fontId="215" fillId="0" borderId="16" xfId="5" applyNumberFormat="1" applyFont="1" applyFill="1" applyBorder="1" applyAlignment="1">
      <alignment horizontal="left"/>
    </xf>
    <xf numFmtId="43" fontId="215" fillId="8" borderId="16" xfId="5" applyNumberFormat="1" applyFont="1" applyFill="1" applyBorder="1" applyAlignment="1">
      <alignment horizontal="left"/>
    </xf>
    <xf numFmtId="164" fontId="215" fillId="0" borderId="16" xfId="5" applyNumberFormat="1" applyFont="1" applyFill="1" applyBorder="1" applyAlignment="1">
      <alignment horizontal="right"/>
    </xf>
    <xf numFmtId="0" fontId="213" fillId="0" borderId="0" xfId="0" applyFont="1" applyAlignment="1">
      <alignment horizontal="left"/>
    </xf>
    <xf numFmtId="0" fontId="235" fillId="16" borderId="0" xfId="0" applyFont="1" applyFill="1" applyAlignment="1">
      <alignment horizontal="left"/>
    </xf>
    <xf numFmtId="43" fontId="224" fillId="0" borderId="16" xfId="5" applyNumberFormat="1" applyFont="1" applyFill="1" applyBorder="1" applyAlignment="1">
      <alignment horizontal="center" wrapText="1"/>
    </xf>
    <xf numFmtId="43" fontId="224" fillId="0" borderId="16" xfId="5" applyNumberFormat="1" applyFont="1" applyFill="1" applyBorder="1" applyAlignment="1">
      <alignment horizontal="left" wrapText="1"/>
    </xf>
    <xf numFmtId="0" fontId="124" fillId="0" borderId="0" xfId="0" applyFont="1"/>
    <xf numFmtId="0" fontId="223" fillId="5" borderId="1" xfId="5" applyFont="1" applyFill="1" applyAlignment="1">
      <alignment horizontal="left" vertical="center"/>
    </xf>
    <xf numFmtId="165" fontId="0" fillId="0" borderId="0" xfId="0" applyNumberFormat="1"/>
    <xf numFmtId="0" fontId="121" fillId="0" borderId="1" xfId="5" applyFont="1" applyFill="1" applyAlignment="1">
      <alignment horizontal="left" vertical="center"/>
    </xf>
    <xf numFmtId="0" fontId="213" fillId="0" borderId="0" xfId="0" applyFont="1"/>
    <xf numFmtId="0" fontId="1" fillId="0" borderId="0" xfId="0" applyFont="1"/>
    <xf numFmtId="0" fontId="193" fillId="0" borderId="0" xfId="0" applyFont="1" applyAlignment="1">
      <alignment horizontal="center" vertical="top" wrapText="1"/>
    </xf>
    <xf numFmtId="0" fontId="95" fillId="8" borderId="0" xfId="0" applyFont="1" applyFill="1" applyAlignment="1">
      <alignment horizontal="center" vertical="center"/>
    </xf>
    <xf numFmtId="0" fontId="93" fillId="0" borderId="0" xfId="0" applyFont="1"/>
    <xf numFmtId="0" fontId="238" fillId="0" borderId="0" xfId="0" applyFont="1"/>
    <xf numFmtId="0" fontId="209" fillId="0" borderId="17" xfId="0" applyFont="1" applyBorder="1" applyAlignment="1">
      <alignment horizontal="left"/>
    </xf>
    <xf numFmtId="0" fontId="238" fillId="0" borderId="17" xfId="0" applyFont="1" applyBorder="1" applyAlignment="1">
      <alignment horizontal="left"/>
    </xf>
    <xf numFmtId="0" fontId="219" fillId="0" borderId="1" xfId="5" applyFont="1" applyFill="1" applyAlignment="1">
      <alignment horizontal="left"/>
    </xf>
    <xf numFmtId="0" fontId="204" fillId="0" borderId="0" xfId="0" applyFont="1" applyAlignment="1">
      <alignment vertical="center"/>
    </xf>
    <xf numFmtId="0" fontId="224" fillId="0" borderId="1" xfId="5" applyFont="1" applyFill="1" applyAlignment="1">
      <alignment horizontal="left" vertical="center"/>
    </xf>
    <xf numFmtId="0" fontId="240" fillId="0" borderId="11" xfId="0" applyFont="1" applyBorder="1" applyAlignment="1">
      <alignment horizontal="left"/>
    </xf>
    <xf numFmtId="0" fontId="239" fillId="0" borderId="1" xfId="5" applyFont="1" applyFill="1" applyAlignment="1">
      <alignment vertical="center"/>
    </xf>
    <xf numFmtId="0" fontId="216" fillId="0" borderId="0" xfId="0" applyFont="1" applyAlignment="1">
      <alignment vertical="center"/>
    </xf>
    <xf numFmtId="0" fontId="125" fillId="0" borderId="0" xfId="0" applyFont="1" applyAlignment="1">
      <alignment vertical="center"/>
    </xf>
    <xf numFmtId="0" fontId="87" fillId="0" borderId="1" xfId="5" applyFont="1" applyFill="1" applyAlignment="1">
      <alignment horizontal="left" vertical="center"/>
    </xf>
    <xf numFmtId="0" fontId="239" fillId="0" borderId="6" xfId="5" applyFont="1" applyFill="1" applyBorder="1" applyAlignment="1">
      <alignment horizontal="left" vertical="center"/>
    </xf>
    <xf numFmtId="0" fontId="87" fillId="0" borderId="6" xfId="0" applyFont="1" applyBorder="1" applyAlignment="1">
      <alignment horizontal="left" vertical="center"/>
    </xf>
    <xf numFmtId="0" fontId="125" fillId="0" borderId="0" xfId="0" applyFont="1" applyAlignment="1">
      <alignment horizontal="left" vertical="center"/>
    </xf>
    <xf numFmtId="0" fontId="5" fillId="0" borderId="0" xfId="0" applyFont="1"/>
    <xf numFmtId="0" fontId="5" fillId="4" borderId="0" xfId="0" applyFont="1" applyFill="1"/>
    <xf numFmtId="0" fontId="211" fillId="0" borderId="0" xfId="0" applyFont="1" applyAlignment="1">
      <alignment vertical="center"/>
    </xf>
    <xf numFmtId="164" fontId="17" fillId="5" borderId="0" xfId="1" applyNumberFormat="1" applyFont="1" applyFill="1" applyAlignment="1">
      <alignment vertical="top"/>
    </xf>
    <xf numFmtId="0" fontId="35" fillId="8" borderId="8" xfId="0" applyFont="1" applyFill="1" applyBorder="1" applyAlignment="1">
      <alignment horizontal="left" vertical="center" indent="7"/>
    </xf>
    <xf numFmtId="0" fontId="36" fillId="0" borderId="0" xfId="0" applyFont="1" applyAlignment="1">
      <alignment horizontal="left" vertical="center"/>
    </xf>
    <xf numFmtId="0" fontId="35" fillId="8" borderId="8" xfId="0" applyFont="1" applyFill="1" applyBorder="1" applyAlignment="1">
      <alignment vertical="center"/>
    </xf>
    <xf numFmtId="164" fontId="242" fillId="10" borderId="0" xfId="1" applyNumberFormat="1" applyFont="1" applyFill="1" applyAlignment="1"/>
    <xf numFmtId="164" fontId="242" fillId="5" borderId="0" xfId="1" applyNumberFormat="1" applyFont="1" applyFill="1" applyAlignment="1"/>
    <xf numFmtId="164" fontId="242" fillId="6" borderId="0" xfId="1" applyNumberFormat="1" applyFont="1" applyFill="1"/>
    <xf numFmtId="14" fontId="2" fillId="0" borderId="0" xfId="0" applyNumberFormat="1" applyFont="1"/>
    <xf numFmtId="0" fontId="105" fillId="0" borderId="0" xfId="0" applyFont="1" applyAlignment="1">
      <alignment vertical="center"/>
    </xf>
    <xf numFmtId="0" fontId="109" fillId="0" borderId="0" xfId="0" applyFont="1" applyAlignment="1">
      <alignment vertical="center" wrapText="1"/>
    </xf>
    <xf numFmtId="0" fontId="100" fillId="28" borderId="0" xfId="0" applyFont="1" applyFill="1" applyAlignment="1">
      <alignment horizontal="center" wrapText="1"/>
    </xf>
    <xf numFmtId="0" fontId="108" fillId="8" borderId="0" xfId="0" applyFont="1" applyFill="1" applyAlignment="1">
      <alignment vertical="center" wrapText="1"/>
    </xf>
    <xf numFmtId="0" fontId="109" fillId="0" borderId="0" xfId="0" applyFont="1" applyAlignment="1">
      <alignment horizontal="left" vertical="center" indent="2"/>
    </xf>
    <xf numFmtId="0" fontId="46" fillId="0" borderId="0" xfId="0" applyFont="1" applyAlignment="1">
      <alignment horizontal="center"/>
    </xf>
    <xf numFmtId="0" fontId="209" fillId="12" borderId="0" xfId="0" applyFont="1" applyFill="1" applyAlignment="1">
      <alignment horizontal="left" vertical="center" indent="1"/>
    </xf>
    <xf numFmtId="0" fontId="91" fillId="0" borderId="0" xfId="0" applyFont="1" applyAlignment="1">
      <alignment horizontal="left" vertical="center" indent="3"/>
    </xf>
    <xf numFmtId="0" fontId="46" fillId="29" borderId="0" xfId="0" applyFont="1" applyFill="1"/>
    <xf numFmtId="0" fontId="46" fillId="0" borderId="0" xfId="0" applyFont="1"/>
    <xf numFmtId="0" fontId="46" fillId="26" borderId="0" xfId="0" applyFont="1" applyFill="1"/>
    <xf numFmtId="0" fontId="245" fillId="6" borderId="11" xfId="0" applyFont="1" applyFill="1" applyBorder="1" applyAlignment="1">
      <alignment horizontal="left"/>
    </xf>
    <xf numFmtId="0" fontId="239" fillId="0" borderId="0" xfId="5" applyFont="1" applyFill="1" applyBorder="1" applyAlignment="1">
      <alignment horizontal="left" vertical="center"/>
    </xf>
    <xf numFmtId="0" fontId="130" fillId="0" borderId="0" xfId="0" applyFont="1" applyAlignment="1">
      <alignment vertical="center"/>
    </xf>
    <xf numFmtId="0" fontId="247" fillId="0" borderId="0" xfId="0" applyFont="1" applyAlignment="1">
      <alignment horizontal="center"/>
    </xf>
    <xf numFmtId="0" fontId="131" fillId="0" borderId="0" xfId="0" applyFont="1" applyAlignment="1">
      <alignment vertical="center"/>
    </xf>
    <xf numFmtId="0" fontId="247" fillId="0" borderId="0" xfId="0" applyFont="1" applyAlignment="1">
      <alignment horizontal="center" vertical="center"/>
    </xf>
    <xf numFmtId="0" fontId="55" fillId="30" borderId="0" xfId="0" applyFont="1" applyFill="1"/>
    <xf numFmtId="0" fontId="55" fillId="15" borderId="0" xfId="0" applyFont="1" applyFill="1" applyAlignment="1">
      <alignment horizontal="center"/>
    </xf>
    <xf numFmtId="0" fontId="55" fillId="0" borderId="0" xfId="0" applyFont="1" applyAlignment="1">
      <alignment vertical="center"/>
    </xf>
    <xf numFmtId="0" fontId="46" fillId="5" borderId="0" xfId="0" applyFont="1" applyFill="1" applyAlignment="1">
      <alignment horizontal="left" indent="12"/>
    </xf>
    <xf numFmtId="0" fontId="46" fillId="6" borderId="0" xfId="0" applyFont="1" applyFill="1"/>
    <xf numFmtId="0" fontId="46" fillId="0" borderId="0" xfId="0" applyFont="1" applyAlignment="1">
      <alignment horizontal="left" indent="2"/>
    </xf>
    <xf numFmtId="0" fontId="109" fillId="29" borderId="0" xfId="0" applyFont="1" applyFill="1" applyAlignment="1">
      <alignment vertical="center"/>
    </xf>
    <xf numFmtId="0" fontId="244" fillId="29" borderId="0" xfId="0" applyFont="1" applyFill="1"/>
    <xf numFmtId="0" fontId="121" fillId="0" borderId="6" xfId="0" applyFont="1" applyBorder="1"/>
    <xf numFmtId="0" fontId="55" fillId="4" borderId="0" xfId="0" applyFont="1" applyFill="1" applyAlignment="1">
      <alignment horizontal="left" indent="12"/>
    </xf>
    <xf numFmtId="0" fontId="209" fillId="0" borderId="0" xfId="0" applyFont="1" applyAlignment="1">
      <alignment vertical="center"/>
    </xf>
    <xf numFmtId="0" fontId="91" fillId="0" borderId="0" xfId="0" applyFont="1" applyAlignment="1">
      <alignment vertical="center"/>
    </xf>
    <xf numFmtId="0" fontId="101" fillId="0" borderId="0" xfId="0" applyFont="1" applyAlignment="1">
      <alignment vertical="center" wrapText="1"/>
    </xf>
    <xf numFmtId="0" fontId="209" fillId="8" borderId="0" xfId="0" applyFont="1" applyFill="1" applyAlignment="1">
      <alignment horizontal="center" vertical="center"/>
    </xf>
    <xf numFmtId="0" fontId="55" fillId="0" borderId="0" xfId="0" applyFont="1" applyAlignment="1">
      <alignment horizontal="left" indent="1"/>
    </xf>
    <xf numFmtId="0" fontId="248" fillId="8" borderId="1" xfId="0" applyFont="1" applyFill="1" applyBorder="1" applyAlignment="1">
      <alignment horizontal="left" vertical="center"/>
    </xf>
    <xf numFmtId="0" fontId="245" fillId="0" borderId="11" xfId="0" applyFont="1" applyBorder="1" applyAlignment="1">
      <alignment horizontal="left"/>
    </xf>
    <xf numFmtId="0" fontId="249" fillId="6" borderId="11" xfId="0" applyFont="1" applyFill="1" applyBorder="1" applyAlignment="1">
      <alignment horizontal="left"/>
    </xf>
    <xf numFmtId="0" fontId="240" fillId="0" borderId="11" xfId="0" applyFont="1" applyBorder="1" applyAlignment="1">
      <alignment horizontal="left" vertical="center"/>
    </xf>
    <xf numFmtId="0" fontId="248" fillId="6" borderId="11" xfId="0" applyFont="1" applyFill="1" applyBorder="1" applyAlignment="1">
      <alignment horizontal="left" vertical="center"/>
    </xf>
    <xf numFmtId="0" fontId="250" fillId="0" borderId="11" xfId="0" applyFont="1" applyBorder="1" applyAlignment="1">
      <alignment horizontal="left"/>
    </xf>
    <xf numFmtId="0" fontId="142" fillId="0" borderId="0" xfId="0" applyFont="1" applyAlignment="1">
      <alignment horizontal="left" vertical="center" indent="5"/>
    </xf>
    <xf numFmtId="0" fontId="189" fillId="5" borderId="0" xfId="0" applyFont="1" applyFill="1" applyAlignment="1">
      <alignment vertical="top"/>
    </xf>
    <xf numFmtId="0" fontId="189" fillId="5" borderId="0" xfId="0" applyFont="1" applyFill="1" applyAlignment="1">
      <alignment horizontal="left" vertical="top" indent="2"/>
    </xf>
    <xf numFmtId="0" fontId="189" fillId="0" borderId="0" xfId="0" applyFont="1" applyAlignment="1">
      <alignment vertical="center" wrapText="1"/>
    </xf>
    <xf numFmtId="0" fontId="143" fillId="0" borderId="0" xfId="0" applyFont="1" applyAlignment="1">
      <alignment horizontal="left" vertical="center" wrapText="1"/>
    </xf>
    <xf numFmtId="0" fontId="192" fillId="0" borderId="0" xfId="0" applyFont="1" applyAlignment="1">
      <alignment horizontal="center" vertical="top" wrapText="1"/>
    </xf>
    <xf numFmtId="0" fontId="142" fillId="0" borderId="0" xfId="0" applyFont="1" applyAlignment="1">
      <alignment horizontal="left" vertical="center" indent="4"/>
    </xf>
    <xf numFmtId="0" fontId="252" fillId="0" borderId="0" xfId="0" applyFont="1" applyAlignment="1">
      <alignment horizontal="center" vertical="center" wrapText="1"/>
    </xf>
    <xf numFmtId="0" fontId="251" fillId="0" borderId="0" xfId="0" applyFont="1" applyAlignment="1">
      <alignment vertical="center" wrapText="1"/>
    </xf>
    <xf numFmtId="0" fontId="61" fillId="8" borderId="0" xfId="0" applyFont="1" applyFill="1"/>
    <xf numFmtId="0" fontId="8" fillId="8" borderId="0" xfId="0" applyFont="1" applyFill="1" applyAlignment="1">
      <alignment horizontal="left" indent="1"/>
    </xf>
    <xf numFmtId="0" fontId="102" fillId="0" borderId="0" xfId="0" applyFont="1" applyAlignment="1">
      <alignment horizontal="left" indent="4"/>
    </xf>
    <xf numFmtId="0" fontId="102" fillId="0" borderId="0" xfId="0" applyFont="1" applyAlignment="1">
      <alignment vertical="center"/>
    </xf>
    <xf numFmtId="0" fontId="253" fillId="0" borderId="6" xfId="0" applyFont="1" applyBorder="1" applyAlignment="1">
      <alignment horizontal="left" vertical="center"/>
    </xf>
    <xf numFmtId="0" fontId="253" fillId="0" borderId="1" xfId="5" applyFont="1" applyFill="1" applyAlignment="1">
      <alignment horizontal="left" vertical="center"/>
    </xf>
    <xf numFmtId="0" fontId="122" fillId="0" borderId="1" xfId="5" applyFont="1" applyFill="1" applyAlignment="1">
      <alignment vertical="center"/>
    </xf>
    <xf numFmtId="0" fontId="226" fillId="0" borderId="0" xfId="0" applyFont="1" applyAlignment="1">
      <alignment vertical="center"/>
    </xf>
    <xf numFmtId="0" fontId="208" fillId="0" borderId="0" xfId="0" applyFont="1" applyAlignment="1">
      <alignment vertical="center"/>
    </xf>
    <xf numFmtId="0" fontId="215" fillId="0" borderId="0" xfId="0" applyFont="1" applyAlignment="1">
      <alignment vertical="center"/>
    </xf>
    <xf numFmtId="0" fontId="208" fillId="0" borderId="0" xfId="0" applyFont="1"/>
    <xf numFmtId="0" fontId="34" fillId="0" borderId="0" xfId="0" applyFont="1" applyAlignment="1">
      <alignment vertical="center"/>
    </xf>
    <xf numFmtId="0" fontId="87" fillId="0" borderId="0" xfId="0" applyFont="1" applyAlignment="1">
      <alignment horizontal="right" vertical="center"/>
    </xf>
    <xf numFmtId="0" fontId="226" fillId="0" borderId="0" xfId="0" applyFont="1" applyAlignment="1">
      <alignment horizontal="right" vertical="center"/>
    </xf>
    <xf numFmtId="0" fontId="87" fillId="0" borderId="0" xfId="0" applyFont="1" applyAlignment="1">
      <alignment vertical="center"/>
    </xf>
    <xf numFmtId="0" fontId="121" fillId="0" borderId="1" xfId="5" applyFont="1" applyFill="1" applyAlignment="1">
      <alignment horizontal="center" vertical="center"/>
    </xf>
    <xf numFmtId="0" fontId="254" fillId="0" borderId="0" xfId="0" applyFont="1" applyAlignment="1">
      <alignment vertical="center"/>
    </xf>
    <xf numFmtId="0" fontId="255" fillId="0" borderId="0" xfId="0" applyFont="1" applyAlignment="1">
      <alignment vertical="center"/>
    </xf>
    <xf numFmtId="0" fontId="21" fillId="0" borderId="0" xfId="0" applyFont="1" applyAlignment="1">
      <alignment vertical="center"/>
    </xf>
    <xf numFmtId="0" fontId="121" fillId="0" borderId="1" xfId="5" applyFont="1" applyFill="1" applyAlignment="1">
      <alignment horizontal="right" vertical="center"/>
    </xf>
    <xf numFmtId="0" fontId="130" fillId="0" borderId="11" xfId="5" applyFont="1" applyFill="1" applyBorder="1" applyAlignment="1">
      <alignment horizontal="right" vertical="center"/>
    </xf>
    <xf numFmtId="0" fontId="237" fillId="0" borderId="0" xfId="0" applyFont="1" applyAlignment="1">
      <alignment vertical="center"/>
    </xf>
    <xf numFmtId="0" fontId="127" fillId="0" borderId="0" xfId="5" applyFont="1" applyFill="1" applyBorder="1" applyAlignment="1"/>
    <xf numFmtId="0" fontId="122" fillId="0" borderId="1" xfId="5" applyFont="1" applyFill="1" applyAlignment="1">
      <alignment horizontal="center" vertical="center"/>
    </xf>
    <xf numFmtId="0" fontId="122" fillId="0" borderId="1" xfId="5" applyFont="1" applyFill="1" applyAlignment="1">
      <alignment horizontal="left" vertical="center"/>
    </xf>
    <xf numFmtId="0" fontId="220" fillId="8" borderId="1" xfId="5" applyFont="1" applyFill="1" applyAlignment="1">
      <alignment horizontal="left" vertical="center"/>
    </xf>
    <xf numFmtId="0" fontId="221" fillId="8" borderId="0" xfId="0" applyFont="1" applyFill="1" applyAlignment="1">
      <alignment vertical="center"/>
    </xf>
    <xf numFmtId="0" fontId="256" fillId="0" borderId="0" xfId="0" applyFont="1"/>
    <xf numFmtId="0" fontId="248" fillId="8" borderId="1" xfId="0" applyFont="1" applyFill="1" applyBorder="1" applyAlignment="1">
      <alignment horizontal="center" vertical="center"/>
    </xf>
    <xf numFmtId="0" fontId="245" fillId="6" borderId="11" xfId="0" applyFont="1" applyFill="1" applyBorder="1" applyAlignment="1">
      <alignment horizontal="center"/>
    </xf>
    <xf numFmtId="0" fontId="245" fillId="0" borderId="11" xfId="0" applyFont="1" applyBorder="1" applyAlignment="1">
      <alignment horizontal="center"/>
    </xf>
    <xf numFmtId="0" fontId="249" fillId="6" borderId="11" xfId="0" applyFont="1" applyFill="1" applyBorder="1" applyAlignment="1">
      <alignment horizontal="center"/>
    </xf>
    <xf numFmtId="0" fontId="240" fillId="0" borderId="11" xfId="0" applyFont="1" applyBorder="1" applyAlignment="1">
      <alignment horizontal="center" vertical="center"/>
    </xf>
    <xf numFmtId="0" fontId="248" fillId="6" borderId="11" xfId="0" applyFont="1" applyFill="1" applyBorder="1" applyAlignment="1">
      <alignment horizontal="center" vertical="center"/>
    </xf>
    <xf numFmtId="0" fontId="240" fillId="0" borderId="11" xfId="0" applyFont="1" applyBorder="1" applyAlignment="1">
      <alignment horizontal="center"/>
    </xf>
    <xf numFmtId="0" fontId="250" fillId="0" borderId="11" xfId="0" applyFont="1" applyBorder="1" applyAlignment="1">
      <alignment horizontal="center"/>
    </xf>
    <xf numFmtId="0" fontId="122" fillId="8" borderId="1" xfId="5" applyFont="1" applyFill="1" applyAlignment="1">
      <alignment horizontal="center"/>
    </xf>
    <xf numFmtId="0" fontId="122" fillId="0" borderId="1" xfId="5" applyFont="1" applyFill="1" applyAlignment="1">
      <alignment horizontal="center"/>
    </xf>
    <xf numFmtId="0" fontId="223" fillId="5" borderId="1" xfId="5" applyFont="1" applyFill="1" applyAlignment="1">
      <alignment horizontal="center"/>
    </xf>
    <xf numFmtId="0" fontId="223" fillId="5" borderId="1" xfId="5" applyFont="1" applyFill="1" applyAlignment="1">
      <alignment horizontal="center" vertical="center"/>
    </xf>
    <xf numFmtId="0" fontId="122" fillId="16" borderId="1" xfId="0" applyFont="1" applyFill="1" applyBorder="1" applyAlignment="1">
      <alignment horizontal="center"/>
    </xf>
    <xf numFmtId="0" fontId="122" fillId="0" borderId="11" xfId="0" applyFont="1" applyBorder="1" applyAlignment="1">
      <alignment horizontal="center"/>
    </xf>
    <xf numFmtId="0" fontId="223" fillId="4" borderId="11" xfId="0" applyFont="1" applyFill="1" applyBorder="1" applyAlignment="1">
      <alignment horizontal="center"/>
    </xf>
    <xf numFmtId="0" fontId="122" fillId="16" borderId="11" xfId="0" applyFont="1" applyFill="1" applyBorder="1" applyAlignment="1">
      <alignment horizontal="center"/>
    </xf>
    <xf numFmtId="0" fontId="223" fillId="4" borderId="11" xfId="0" applyFont="1" applyFill="1" applyBorder="1" applyAlignment="1">
      <alignment horizontal="center" vertical="center"/>
    </xf>
    <xf numFmtId="0" fontId="249" fillId="0" borderId="11" xfId="0" applyFont="1" applyBorder="1" applyAlignment="1">
      <alignment horizontal="center"/>
    </xf>
    <xf numFmtId="0" fontId="121" fillId="0" borderId="0" xfId="5" applyFont="1" applyFill="1" applyBorder="1" applyAlignment="1">
      <alignment horizontal="center" vertical="center"/>
    </xf>
    <xf numFmtId="0" fontId="0" fillId="51" borderId="0" xfId="0" applyFill="1"/>
    <xf numFmtId="0" fontId="36" fillId="51" borderId="0" xfId="0" applyFont="1" applyFill="1"/>
    <xf numFmtId="0" fontId="226" fillId="10" borderId="0" xfId="0" applyFont="1" applyFill="1"/>
    <xf numFmtId="0" fontId="40" fillId="10" borderId="0" xfId="0" applyFont="1" applyFill="1"/>
    <xf numFmtId="0" fontId="0" fillId="10" borderId="0" xfId="0" applyFill="1"/>
    <xf numFmtId="0" fontId="40" fillId="51" borderId="0" xfId="0" applyFont="1" applyFill="1"/>
    <xf numFmtId="0" fontId="38" fillId="10" borderId="0" xfId="0" applyFont="1" applyFill="1"/>
    <xf numFmtId="0" fontId="36" fillId="10" borderId="0" xfId="0" applyFont="1" applyFill="1"/>
    <xf numFmtId="0" fontId="38" fillId="10" borderId="0" xfId="0" applyFont="1" applyFill="1" applyAlignment="1">
      <alignment horizontal="left" indent="9"/>
    </xf>
    <xf numFmtId="0" fontId="38" fillId="51" borderId="0" xfId="0" applyFont="1" applyFill="1" applyAlignment="1">
      <alignment horizontal="left" indent="9"/>
    </xf>
    <xf numFmtId="0" fontId="40" fillId="0" borderId="0" xfId="0" applyFont="1" applyAlignment="1">
      <alignment horizontal="left"/>
    </xf>
    <xf numFmtId="0" fontId="8" fillId="10" borderId="0" xfId="0" applyFont="1" applyFill="1" applyAlignment="1">
      <alignment horizontal="left" indent="1"/>
    </xf>
    <xf numFmtId="0" fontId="34" fillId="0" borderId="0" xfId="0" applyFont="1" applyAlignment="1">
      <alignment vertical="center" wrapText="1"/>
    </xf>
    <xf numFmtId="0" fontId="87" fillId="0" borderId="6" xfId="5" applyFont="1" applyFill="1" applyBorder="1" applyAlignment="1">
      <alignment horizontal="right" vertical="center"/>
    </xf>
    <xf numFmtId="0" fontId="260" fillId="0" borderId="0" xfId="0" applyFont="1" applyAlignment="1">
      <alignment horizontal="left"/>
    </xf>
    <xf numFmtId="43" fontId="261" fillId="0" borderId="6" xfId="0" applyNumberFormat="1" applyFont="1" applyBorder="1" applyAlignment="1">
      <alignment horizontal="left"/>
    </xf>
    <xf numFmtId="1" fontId="31" fillId="0" borderId="0" xfId="0" applyNumberFormat="1" applyFont="1" applyAlignment="1">
      <alignment horizontal="center"/>
    </xf>
    <xf numFmtId="0" fontId="21" fillId="0" borderId="0" xfId="0" applyFont="1" applyAlignment="1">
      <alignment horizontal="right" vertical="center"/>
    </xf>
    <xf numFmtId="0" fontId="216" fillId="0" borderId="0" xfId="0" applyFont="1" applyAlignment="1">
      <alignment horizontal="center" vertical="center"/>
    </xf>
    <xf numFmtId="0" fontId="122" fillId="0" borderId="6" xfId="5" applyFont="1" applyFill="1" applyBorder="1" applyAlignment="1">
      <alignment horizontal="center" vertical="center"/>
    </xf>
    <xf numFmtId="0" fontId="34" fillId="0" borderId="0" xfId="0" applyFont="1" applyAlignment="1">
      <alignment horizontal="center" vertical="center"/>
    </xf>
    <xf numFmtId="0" fontId="208" fillId="0" borderId="0" xfId="0" applyFont="1" applyAlignment="1">
      <alignment horizontal="center" vertical="center"/>
    </xf>
    <xf numFmtId="0" fontId="224" fillId="8" borderId="1" xfId="5" applyFont="1" applyFill="1" applyAlignment="1">
      <alignment horizontal="center" vertical="center"/>
    </xf>
    <xf numFmtId="0" fontId="220" fillId="8" borderId="1" xfId="5" applyFont="1" applyFill="1" applyAlignment="1">
      <alignment horizontal="center" vertical="center"/>
    </xf>
    <xf numFmtId="0" fontId="102" fillId="0" borderId="0" xfId="0" applyFont="1" applyAlignment="1">
      <alignment horizontal="center"/>
    </xf>
    <xf numFmtId="0" fontId="258" fillId="0" borderId="0" xfId="0" applyFont="1" applyAlignment="1">
      <alignment horizontal="center"/>
    </xf>
    <xf numFmtId="0" fontId="231" fillId="0" borderId="0" xfId="0" applyFont="1" applyAlignment="1">
      <alignment horizontal="center"/>
    </xf>
    <xf numFmtId="0" fontId="102" fillId="0" borderId="0" xfId="0" applyFont="1" applyAlignment="1">
      <alignment horizontal="center" vertical="center"/>
    </xf>
    <xf numFmtId="0" fontId="208" fillId="0" borderId="0" xfId="0" applyFont="1" applyAlignment="1">
      <alignment horizontal="center"/>
    </xf>
    <xf numFmtId="0" fontId="91" fillId="0" borderId="0" xfId="0" applyFont="1" applyAlignment="1">
      <alignment horizontal="center"/>
    </xf>
    <xf numFmtId="0" fontId="122" fillId="0" borderId="0" xfId="5" applyFont="1" applyFill="1" applyBorder="1" applyAlignment="1">
      <alignment horizontal="center" vertical="center"/>
    </xf>
    <xf numFmtId="0" fontId="253" fillId="0" borderId="0" xfId="0" applyFont="1" applyAlignment="1">
      <alignment horizontal="center" vertical="center"/>
    </xf>
    <xf numFmtId="0" fontId="220" fillId="0" borderId="1" xfId="5" applyFont="1" applyFill="1" applyAlignment="1">
      <alignment horizontal="center" vertical="center"/>
    </xf>
    <xf numFmtId="0" fontId="54" fillId="0" borderId="0" xfId="0" applyFont="1" applyAlignment="1">
      <alignment horizontal="center"/>
    </xf>
    <xf numFmtId="0" fontId="226" fillId="0" borderId="0" xfId="0" applyFont="1" applyAlignment="1">
      <alignment horizontal="left"/>
    </xf>
    <xf numFmtId="0" fontId="226" fillId="0" borderId="0" xfId="0" applyFont="1" applyAlignment="1">
      <alignment horizontal="left" vertical="center"/>
    </xf>
    <xf numFmtId="0" fontId="127" fillId="16" borderId="1" xfId="0" applyFont="1" applyFill="1" applyBorder="1" applyAlignment="1">
      <alignment horizontal="left" vertical="center"/>
    </xf>
    <xf numFmtId="0" fontId="127" fillId="0" borderId="11" xfId="0" applyFont="1" applyBorder="1" applyAlignment="1">
      <alignment horizontal="center" vertical="center"/>
    </xf>
    <xf numFmtId="0" fontId="121" fillId="0" borderId="7" xfId="0" applyFont="1" applyBorder="1" applyAlignment="1">
      <alignment horizontal="right" vertical="center"/>
    </xf>
    <xf numFmtId="0" fontId="122" fillId="0" borderId="13" xfId="0" applyFont="1" applyBorder="1" applyAlignment="1">
      <alignment horizontal="center" vertical="center"/>
    </xf>
    <xf numFmtId="0" fontId="122" fillId="0" borderId="7" xfId="0" applyFont="1" applyBorder="1" applyAlignment="1">
      <alignment horizontal="center" vertical="center"/>
    </xf>
    <xf numFmtId="0" fontId="122" fillId="0" borderId="1" xfId="0" applyFont="1" applyBorder="1" applyAlignment="1">
      <alignment horizontal="right" vertical="center"/>
    </xf>
    <xf numFmtId="0" fontId="121" fillId="0" borderId="31" xfId="0" applyFont="1" applyBorder="1" applyAlignment="1">
      <alignment horizontal="left" vertical="center"/>
    </xf>
    <xf numFmtId="0" fontId="122" fillId="0" borderId="1" xfId="0" applyFont="1" applyBorder="1" applyAlignment="1">
      <alignment horizontal="center" vertical="center"/>
    </xf>
    <xf numFmtId="0" fontId="121" fillId="0" borderId="0" xfId="0" applyFont="1" applyAlignment="1">
      <alignment horizontal="left" vertical="center"/>
    </xf>
    <xf numFmtId="0" fontId="122" fillId="0" borderId="0" xfId="0" applyFont="1" applyAlignment="1">
      <alignment horizontal="left" vertical="center"/>
    </xf>
    <xf numFmtId="0" fontId="130" fillId="0" borderId="6" xfId="0" applyFont="1" applyBorder="1" applyAlignment="1">
      <alignment vertical="center"/>
    </xf>
    <xf numFmtId="0" fontId="122" fillId="0" borderId="0" xfId="0" applyFont="1" applyAlignment="1">
      <alignment horizontal="center" vertical="center"/>
    </xf>
    <xf numFmtId="0" fontId="130" fillId="0" borderId="0" xfId="0" applyFont="1" applyAlignment="1">
      <alignment horizontal="left" vertical="center"/>
    </xf>
    <xf numFmtId="0" fontId="253" fillId="0" borderId="0" xfId="0" applyFont="1" applyAlignment="1">
      <alignment horizontal="left" vertical="center"/>
    </xf>
    <xf numFmtId="0" fontId="253" fillId="0" borderId="6" xfId="0" applyFont="1" applyBorder="1" applyAlignment="1">
      <alignment horizontal="center" vertical="center"/>
    </xf>
    <xf numFmtId="0" fontId="226" fillId="0" borderId="0" xfId="0" quotePrefix="1" applyFont="1" applyAlignment="1">
      <alignment horizontal="left" vertical="center"/>
    </xf>
    <xf numFmtId="0" fontId="122" fillId="0" borderId="16" xfId="5" applyFont="1" applyFill="1" applyBorder="1" applyAlignment="1">
      <alignment horizontal="center" vertical="center"/>
    </xf>
    <xf numFmtId="0" fontId="253" fillId="0" borderId="0" xfId="5" applyFont="1" applyFill="1" applyBorder="1" applyAlignment="1">
      <alignment horizontal="center" vertical="center"/>
    </xf>
    <xf numFmtId="0" fontId="128" fillId="8" borderId="6" xfId="5" applyFont="1" applyFill="1" applyBorder="1" applyAlignment="1">
      <alignment horizontal="left" vertical="center"/>
    </xf>
    <xf numFmtId="0" fontId="262" fillId="0" borderId="31" xfId="0" applyFont="1" applyBorder="1" applyAlignment="1">
      <alignment horizontal="left" vertical="center"/>
    </xf>
    <xf numFmtId="0" fontId="123" fillId="0" borderId="0" xfId="0" applyFont="1" applyAlignment="1">
      <alignment horizontal="center"/>
    </xf>
    <xf numFmtId="0" fontId="203" fillId="0" borderId="7" xfId="5" applyFont="1" applyFill="1" applyBorder="1" applyAlignment="1">
      <alignment horizontal="center" vertical="top" wrapText="1"/>
    </xf>
    <xf numFmtId="0" fontId="238" fillId="0" borderId="0" xfId="0" applyFont="1" applyAlignment="1">
      <alignment horizontal="center" vertical="center"/>
    </xf>
    <xf numFmtId="0" fontId="264" fillId="0" borderId="0" xfId="0" applyFont="1" applyAlignment="1">
      <alignment horizontal="left" vertical="center"/>
    </xf>
    <xf numFmtId="0" fontId="264" fillId="0" borderId="0" xfId="0" applyFont="1" applyAlignment="1">
      <alignment horizontal="left" vertical="center" indent="1"/>
    </xf>
    <xf numFmtId="0" fontId="238" fillId="0" borderId="0" xfId="0" applyFont="1" applyAlignment="1">
      <alignment horizontal="left" vertical="center" indent="1"/>
    </xf>
    <xf numFmtId="0" fontId="203" fillId="0" borderId="0" xfId="5" applyFont="1" applyFill="1" applyBorder="1" applyAlignment="1">
      <alignment horizontal="center" vertical="top" wrapText="1"/>
    </xf>
    <xf numFmtId="0" fontId="122" fillId="22" borderId="0" xfId="0" applyFont="1" applyFill="1" applyAlignment="1">
      <alignment horizontal="center"/>
    </xf>
    <xf numFmtId="0" fontId="266" fillId="0" borderId="0" xfId="0" applyFont="1" applyAlignment="1">
      <alignment vertical="top"/>
    </xf>
    <xf numFmtId="0" fontId="266" fillId="0" borderId="0" xfId="0" applyFont="1" applyAlignment="1">
      <alignment vertical="center"/>
    </xf>
    <xf numFmtId="0" fontId="267" fillId="0" borderId="0" xfId="0" applyFont="1"/>
    <xf numFmtId="0" fontId="268" fillId="0" borderId="0" xfId="0" applyFont="1" applyAlignment="1">
      <alignment vertical="center"/>
    </xf>
    <xf numFmtId="0" fontId="268" fillId="0" borderId="0" xfId="0" applyFont="1" applyAlignment="1">
      <alignment vertical="top"/>
    </xf>
    <xf numFmtId="0" fontId="268" fillId="0" borderId="0" xfId="0" applyFont="1"/>
    <xf numFmtId="0" fontId="266" fillId="0" borderId="0" xfId="0" applyFont="1" applyAlignment="1">
      <alignment horizontal="center" vertical="top" wrapText="1"/>
    </xf>
    <xf numFmtId="0" fontId="269" fillId="0" borderId="0" xfId="0" applyFont="1"/>
    <xf numFmtId="0" fontId="73" fillId="0" borderId="0" xfId="7" applyAlignment="1">
      <alignment vertical="center"/>
    </xf>
    <xf numFmtId="0" fontId="269" fillId="0" borderId="0" xfId="0" applyFont="1" applyAlignment="1">
      <alignment vertical="center"/>
    </xf>
    <xf numFmtId="0" fontId="270" fillId="0" borderId="0" xfId="0" applyFont="1"/>
    <xf numFmtId="165" fontId="49" fillId="23" borderId="0" xfId="0" applyNumberFormat="1" applyFont="1" applyFill="1" applyAlignment="1">
      <alignment vertical="center"/>
    </xf>
    <xf numFmtId="165" fontId="7" fillId="0" borderId="0" xfId="0" applyNumberFormat="1" applyFont="1"/>
    <xf numFmtId="0" fontId="272" fillId="0" borderId="0" xfId="0" applyFont="1" applyAlignment="1">
      <alignment vertical="center" wrapText="1"/>
    </xf>
    <xf numFmtId="0" fontId="257" fillId="0" borderId="0" xfId="0" applyFont="1" applyAlignment="1">
      <alignment vertical="center" wrapText="1"/>
    </xf>
    <xf numFmtId="0" fontId="266" fillId="0" borderId="0" xfId="0" applyFont="1" applyAlignment="1">
      <alignment vertical="top" wrapText="1"/>
    </xf>
    <xf numFmtId="0" fontId="271" fillId="0" borderId="0" xfId="0" applyFont="1" applyAlignment="1">
      <alignment vertical="top" wrapText="1"/>
    </xf>
    <xf numFmtId="0" fontId="277" fillId="0" borderId="0" xfId="0" applyFont="1" applyAlignment="1">
      <alignment vertical="center"/>
    </xf>
    <xf numFmtId="0" fontId="275" fillId="0" borderId="0" xfId="0" applyFont="1" applyAlignment="1">
      <alignment vertical="center" wrapText="1"/>
    </xf>
    <xf numFmtId="0" fontId="279" fillId="0" borderId="0" xfId="0" applyFont="1" applyAlignment="1">
      <alignment vertical="center" wrapText="1"/>
    </xf>
    <xf numFmtId="0" fontId="280" fillId="0" borderId="0" xfId="0" applyFont="1" applyAlignment="1">
      <alignment vertical="center"/>
    </xf>
    <xf numFmtId="0" fontId="73" fillId="0" borderId="0" xfId="7" applyAlignment="1">
      <alignment horizontal="center" vertical="center"/>
    </xf>
    <xf numFmtId="0" fontId="275" fillId="0" borderId="0" xfId="0" applyFont="1"/>
    <xf numFmtId="0" fontId="278" fillId="0" borderId="0" xfId="0" applyFont="1" applyAlignment="1">
      <alignment vertical="center"/>
    </xf>
    <xf numFmtId="0" fontId="279" fillId="0" borderId="0" xfId="0" applyFont="1" applyAlignment="1">
      <alignment vertical="center"/>
    </xf>
    <xf numFmtId="0" fontId="276" fillId="0" borderId="0" xfId="0" applyFont="1" applyAlignment="1">
      <alignment horizontal="right" vertical="center" indent="6"/>
    </xf>
    <xf numFmtId="0" fontId="61" fillId="0" borderId="0" xfId="0" applyFont="1" applyAlignment="1">
      <alignment horizontal="center"/>
    </xf>
    <xf numFmtId="0" fontId="281" fillId="0" borderId="0" xfId="0" applyFont="1" applyAlignment="1">
      <alignment horizontal="center" vertical="center"/>
    </xf>
    <xf numFmtId="0" fontId="93" fillId="0" borderId="17" xfId="0" applyFont="1" applyBorder="1" applyAlignment="1">
      <alignment horizontal="left" indent="2"/>
    </xf>
    <xf numFmtId="0" fontId="253" fillId="0" borderId="3" xfId="5" applyFont="1" applyFill="1" applyBorder="1" applyAlignment="1">
      <alignment vertical="center"/>
    </xf>
    <xf numFmtId="0" fontId="253" fillId="0" borderId="4" xfId="5" applyFont="1" applyFill="1" applyBorder="1" applyAlignment="1">
      <alignment vertical="center"/>
    </xf>
    <xf numFmtId="0" fontId="38" fillId="8" borderId="0" xfId="0" applyFont="1" applyFill="1" applyAlignment="1">
      <alignment vertical="center"/>
    </xf>
    <xf numFmtId="0" fontId="0" fillId="26" borderId="0" xfId="0" applyFill="1" applyAlignment="1">
      <alignment vertical="center"/>
    </xf>
    <xf numFmtId="0" fontId="38" fillId="26" borderId="0" xfId="0" applyFont="1" applyFill="1" applyAlignment="1">
      <alignment vertical="center"/>
    </xf>
    <xf numFmtId="0" fontId="130" fillId="26" borderId="0" xfId="0" applyFont="1" applyFill="1" applyAlignment="1">
      <alignment vertical="center"/>
    </xf>
    <xf numFmtId="0" fontId="209" fillId="10" borderId="1" xfId="5" applyFont="1" applyFill="1" applyAlignment="1">
      <alignment horizontal="left"/>
    </xf>
    <xf numFmtId="0" fontId="2" fillId="0" borderId="0" xfId="0" applyFont="1" applyAlignment="1">
      <alignment vertical="center"/>
    </xf>
    <xf numFmtId="0" fontId="1" fillId="0" borderId="0" xfId="0" applyFont="1" applyAlignment="1">
      <alignment vertical="top"/>
    </xf>
    <xf numFmtId="0" fontId="258" fillId="0" borderId="0" xfId="0" applyFont="1" applyAlignment="1">
      <alignment horizontal="center" vertical="top"/>
    </xf>
    <xf numFmtId="0" fontId="102" fillId="0" borderId="0" xfId="0" applyFont="1" applyAlignment="1">
      <alignment horizontal="center" vertical="top"/>
    </xf>
    <xf numFmtId="0" fontId="283" fillId="8" borderId="1" xfId="0" applyFont="1" applyFill="1" applyBorder="1" applyAlignment="1">
      <alignment horizontal="center" vertical="top"/>
    </xf>
    <xf numFmtId="0" fontId="284" fillId="6" borderId="11" xfId="0" applyFont="1" applyFill="1" applyBorder="1" applyAlignment="1">
      <alignment horizontal="center" vertical="top" wrapText="1"/>
    </xf>
    <xf numFmtId="0" fontId="284" fillId="6" borderId="11" xfId="0" applyFont="1" applyFill="1" applyBorder="1" applyAlignment="1">
      <alignment horizontal="center" vertical="top"/>
    </xf>
    <xf numFmtId="0" fontId="283" fillId="6" borderId="11" xfId="0" applyFont="1" applyFill="1" applyBorder="1" applyAlignment="1">
      <alignment horizontal="center" vertical="top"/>
    </xf>
    <xf numFmtId="0" fontId="209" fillId="8" borderId="1" xfId="5" applyFont="1" applyFill="1" applyAlignment="1">
      <alignment horizontal="center" vertical="top"/>
    </xf>
    <xf numFmtId="0" fontId="209" fillId="0" borderId="1" xfId="5" applyFont="1" applyFill="1" applyAlignment="1">
      <alignment horizontal="center" vertical="top"/>
    </xf>
    <xf numFmtId="0" fontId="285" fillId="5" borderId="1" xfId="5" applyFont="1" applyFill="1" applyAlignment="1">
      <alignment horizontal="center" vertical="top"/>
    </xf>
    <xf numFmtId="0" fontId="284" fillId="0" borderId="11" xfId="0" applyFont="1" applyBorder="1" applyAlignment="1">
      <alignment horizontal="center" vertical="top" wrapText="1"/>
    </xf>
    <xf numFmtId="0" fontId="286" fillId="0" borderId="11" xfId="0" applyFont="1" applyBorder="1" applyAlignment="1">
      <alignment horizontal="center" vertical="top"/>
    </xf>
    <xf numFmtId="0" fontId="284" fillId="0" borderId="11" xfId="0" applyFont="1" applyBorder="1" applyAlignment="1">
      <alignment horizontal="center" vertical="top"/>
    </xf>
    <xf numFmtId="0" fontId="283" fillId="8" borderId="1" xfId="0" applyFont="1" applyFill="1" applyBorder="1" applyAlignment="1">
      <alignment horizontal="center" vertical="top" wrapText="1"/>
    </xf>
    <xf numFmtId="0" fontId="96" fillId="8" borderId="1" xfId="0" applyFont="1" applyFill="1" applyBorder="1" applyAlignment="1">
      <alignment horizontal="center" vertical="top" wrapText="1"/>
    </xf>
    <xf numFmtId="0" fontId="287" fillId="0" borderId="0" xfId="0" applyFont="1" applyAlignment="1">
      <alignment vertical="top" wrapText="1"/>
    </xf>
    <xf numFmtId="0" fontId="288" fillId="0" borderId="0" xfId="0" applyFont="1" applyAlignment="1">
      <alignment vertical="top" wrapText="1"/>
    </xf>
    <xf numFmtId="0" fontId="283" fillId="8" borderId="1" xfId="0" applyFont="1" applyFill="1" applyBorder="1" applyAlignment="1">
      <alignment horizontal="center" vertical="center"/>
    </xf>
    <xf numFmtId="0" fontId="283" fillId="8" borderId="1" xfId="0" applyFont="1" applyFill="1" applyBorder="1" applyAlignment="1">
      <alignment horizontal="center" vertical="center" wrapText="1"/>
    </xf>
    <xf numFmtId="0" fontId="284" fillId="8" borderId="1" xfId="0" applyFont="1" applyFill="1" applyBorder="1" applyAlignment="1">
      <alignment horizontal="center" vertical="center" wrapText="1"/>
    </xf>
    <xf numFmtId="0" fontId="289" fillId="0" borderId="0" xfId="0" applyFont="1" applyAlignment="1">
      <alignment horizontal="left" vertical="center"/>
    </xf>
    <xf numFmtId="0" fontId="61" fillId="0" borderId="0" xfId="0" applyFont="1"/>
    <xf numFmtId="0" fontId="209" fillId="10" borderId="11" xfId="5" applyFont="1" applyFill="1" applyBorder="1" applyAlignment="1">
      <alignment horizontal="center" vertical="top"/>
    </xf>
    <xf numFmtId="0" fontId="246" fillId="8" borderId="26" xfId="5" applyFont="1" applyFill="1" applyBorder="1" applyAlignment="1">
      <alignment vertical="center" wrapText="1"/>
    </xf>
    <xf numFmtId="0" fontId="246" fillId="8" borderId="0" xfId="5" applyFont="1" applyFill="1" applyBorder="1" applyAlignment="1">
      <alignment vertical="center" wrapText="1"/>
    </xf>
    <xf numFmtId="0" fontId="209" fillId="10" borderId="6" xfId="5" applyFont="1" applyFill="1" applyBorder="1" applyAlignment="1">
      <alignment horizontal="center" vertical="top"/>
    </xf>
    <xf numFmtId="0" fontId="209" fillId="10" borderId="16" xfId="5" applyFont="1" applyFill="1" applyBorder="1" applyAlignment="1">
      <alignment horizontal="center" vertical="top"/>
    </xf>
    <xf numFmtId="43" fontId="203" fillId="0" borderId="32" xfId="5" applyNumberFormat="1" applyFont="1" applyFill="1" applyBorder="1" applyAlignment="1">
      <alignment horizontal="center" vertical="center" wrapText="1"/>
    </xf>
    <xf numFmtId="164" fontId="17" fillId="5" borderId="0" xfId="1" applyNumberFormat="1" applyFont="1" applyFill="1" applyAlignment="1">
      <alignment horizontal="left"/>
    </xf>
    <xf numFmtId="0" fontId="232" fillId="6" borderId="25" xfId="0" applyFont="1" applyFill="1" applyBorder="1" applyAlignment="1">
      <alignment horizontal="left" vertical="center"/>
    </xf>
    <xf numFmtId="0" fontId="232" fillId="6" borderId="0" xfId="0" applyFont="1" applyFill="1" applyAlignment="1">
      <alignment horizontal="left" vertical="center"/>
    </xf>
    <xf numFmtId="0" fontId="232" fillId="6" borderId="23" xfId="0" applyFont="1" applyFill="1" applyBorder="1" applyAlignment="1">
      <alignment horizontal="left" vertical="center"/>
    </xf>
    <xf numFmtId="0" fontId="2" fillId="0" borderId="0" xfId="0" quotePrefix="1" applyFont="1" applyAlignment="1">
      <alignment horizontal="center"/>
    </xf>
    <xf numFmtId="0" fontId="109" fillId="0" borderId="0" xfId="0" applyFont="1" applyAlignment="1">
      <alignment horizontal="center" vertical="center" wrapText="1"/>
    </xf>
    <xf numFmtId="0" fontId="85" fillId="8" borderId="0" xfId="0" applyFont="1" applyFill="1" applyAlignment="1">
      <alignment horizontal="center" vertical="center"/>
    </xf>
    <xf numFmtId="0" fontId="21" fillId="8" borderId="0" xfId="0" applyFont="1" applyFill="1" applyAlignment="1">
      <alignment horizontal="center"/>
      <extLst>
        <ext xmlns:xfpb="http://schemas.microsoft.com/office/spreadsheetml/2022/featurepropertybag" uri="{C7286773-470A-42A8-94C5-96B5CB345126}">
          <xfpb:xfComplement i="0"/>
        </ext>
      </extLst>
    </xf>
    <xf numFmtId="0" fontId="208" fillId="0" borderId="1" xfId="2" quotePrefix="1" applyFont="1" applyFill="1" applyAlignment="1">
      <alignment horizontal="center" vertical="center"/>
      <extLst>
        <ext xmlns:xfpb="http://schemas.microsoft.com/office/spreadsheetml/2022/featurepropertybag" uri="{C7286773-470A-42A8-94C5-96B5CB345126}">
          <xfpb:xfComplement i="0"/>
        </ext>
      </extLst>
    </xf>
    <xf numFmtId="0" fontId="208" fillId="2" borderId="1" xfId="2" applyFont="1" applyAlignment="1">
      <alignment horizontal="center"/>
      <extLst>
        <ext xmlns:xfpb="http://schemas.microsoft.com/office/spreadsheetml/2022/featurepropertybag" uri="{C7286773-470A-42A8-94C5-96B5CB345126}">
          <xfpb:xfComplement i="0"/>
        </ext>
      </extLst>
    </xf>
    <xf numFmtId="0" fontId="208" fillId="2" borderId="1" xfId="2" applyFont="1" applyAlignment="1">
      <alignment horizontal="center" vertical="center"/>
      <extLst>
        <ext xmlns:xfpb="http://schemas.microsoft.com/office/spreadsheetml/2022/featurepropertybag" uri="{C7286773-470A-42A8-94C5-96B5CB345126}">
          <xfpb:xfComplement i="0"/>
        </ext>
      </extLst>
    </xf>
    <xf numFmtId="164" fontId="290" fillId="0" borderId="0" xfId="1" applyNumberFormat="1" applyFont="1" applyAlignment="1">
      <alignment horizontal="center" vertical="center"/>
    </xf>
    <xf numFmtId="0" fontId="208" fillId="0" borderId="1" xfId="0" applyFont="1" applyBorder="1" applyAlignment="1">
      <alignment horizontal="center" vertical="center"/>
      <extLst>
        <ext xmlns:xfpb="http://schemas.microsoft.com/office/spreadsheetml/2022/featurepropertybag" uri="{C7286773-470A-42A8-94C5-96B5CB345126}">
          <xfpb:xfComplement i="0"/>
        </ext>
      </extLst>
    </xf>
    <xf numFmtId="0" fontId="33" fillId="0" borderId="9" xfId="4" quotePrefix="1" applyFont="1" applyFill="1" applyBorder="1" applyAlignment="1">
      <alignment horizontal="center"/>
      <extLst>
        <ext xmlns:xfpb="http://schemas.microsoft.com/office/spreadsheetml/2022/featurepropertybag" uri="{C7286773-470A-42A8-94C5-96B5CB345126}">
          <xfpb:xfComplement i="0"/>
        </ext>
      </extLst>
    </xf>
    <xf numFmtId="164" fontId="291" fillId="0" borderId="0" xfId="1" applyNumberFormat="1" applyFont="1" applyAlignment="1">
      <alignment horizontal="center"/>
    </xf>
    <xf numFmtId="0" fontId="208" fillId="4" borderId="1" xfId="0" applyFont="1" applyFill="1" applyBorder="1" applyAlignment="1">
      <alignment horizontal="center"/>
      <extLst>
        <ext xmlns:xfpb="http://schemas.microsoft.com/office/spreadsheetml/2022/featurepropertybag" uri="{C7286773-470A-42A8-94C5-96B5CB345126}">
          <xfpb:xfComplement i="0"/>
        </ext>
      </extLst>
    </xf>
    <xf numFmtId="0" fontId="208" fillId="0" borderId="7" xfId="0" applyFont="1" applyBorder="1" applyAlignment="1">
      <alignment horizontal="center" vertical="center"/>
      <extLst>
        <ext xmlns:xfpb="http://schemas.microsoft.com/office/spreadsheetml/2022/featurepropertybag" uri="{C7286773-470A-42A8-94C5-96B5CB345126}">
          <xfpb:xfComplement i="0"/>
        </ext>
      </extLst>
    </xf>
    <xf numFmtId="0" fontId="232" fillId="6" borderId="0" xfId="0" applyFont="1" applyFill="1" applyAlignment="1">
      <alignment horizontal="center" vertical="center"/>
      <extLst>
        <ext xmlns:xfpb="http://schemas.microsoft.com/office/spreadsheetml/2022/featurepropertybag" uri="{C7286773-470A-42A8-94C5-96B5CB345126}">
          <xfpb:xfComplement i="0"/>
        </ext>
      </extLst>
    </xf>
    <xf numFmtId="0" fontId="208" fillId="4" borderId="7" xfId="0" applyFont="1" applyFill="1" applyBorder="1" applyAlignment="1">
      <alignment horizontal="center" vertical="center"/>
      <extLst>
        <ext xmlns:xfpb="http://schemas.microsoft.com/office/spreadsheetml/2022/featurepropertybag" uri="{C7286773-470A-42A8-94C5-96B5CB345126}">
          <xfpb:xfComplement i="0"/>
        </ext>
      </extLst>
    </xf>
    <xf numFmtId="0" fontId="208" fillId="4" borderId="0" xfId="0" applyFont="1" applyFill="1" applyAlignment="1">
      <alignment horizontal="center" vertical="center"/>
      <extLst>
        <ext xmlns:xfpb="http://schemas.microsoft.com/office/spreadsheetml/2022/featurepropertybag" uri="{C7286773-470A-42A8-94C5-96B5CB345126}">
          <xfpb:xfComplement i="0"/>
        </ext>
      </extLst>
    </xf>
    <xf numFmtId="164" fontId="291" fillId="5" borderId="0" xfId="1" applyNumberFormat="1" applyFont="1" applyFill="1" applyAlignment="1">
      <alignment horizontal="center"/>
    </xf>
    <xf numFmtId="0" fontId="208" fillId="0" borderId="7" xfId="0" applyFont="1" applyBorder="1" applyAlignment="1">
      <alignment horizontal="center" vertical="center"/>
    </xf>
    <xf numFmtId="164" fontId="291" fillId="10" borderId="0" xfId="1" applyNumberFormat="1" applyFont="1" applyFill="1" applyAlignment="1">
      <alignment horizontal="center"/>
      <extLst>
        <ext xmlns:xfpb="http://schemas.microsoft.com/office/spreadsheetml/2022/featurepropertybag" uri="{C7286773-470A-42A8-94C5-96B5CB345126}">
          <xfpb:xfComplement i="0"/>
        </ext>
      </extLst>
    </xf>
    <xf numFmtId="0" fontId="292" fillId="0" borderId="0" xfId="0" applyFont="1"/>
    <xf numFmtId="0" fontId="0" fillId="0" borderId="0" xfId="0" applyAlignment="1">
      <alignment horizontal="left" vertical="center" indent="5"/>
    </xf>
    <xf numFmtId="0" fontId="0" fillId="0" borderId="0" xfId="0" applyAlignment="1">
      <alignment wrapText="1"/>
    </xf>
    <xf numFmtId="0" fontId="0" fillId="52" borderId="0" xfId="0" applyFill="1" applyAlignment="1">
      <alignment horizontal="left" vertical="center" indent="5"/>
    </xf>
    <xf numFmtId="0" fontId="0" fillId="52" borderId="0" xfId="0" applyFill="1"/>
    <xf numFmtId="0" fontId="279" fillId="53" borderId="0" xfId="0" applyFont="1" applyFill="1" applyAlignment="1">
      <alignment vertical="center"/>
    </xf>
    <xf numFmtId="0" fontId="279" fillId="53" borderId="0" xfId="0" applyFont="1" applyFill="1" applyAlignment="1">
      <alignment vertical="center" wrapText="1"/>
    </xf>
    <xf numFmtId="0" fontId="0" fillId="54" borderId="0" xfId="0" applyFill="1" applyAlignment="1">
      <alignment horizontal="left" vertical="center" indent="5"/>
    </xf>
    <xf numFmtId="0" fontId="0" fillId="54" borderId="0" xfId="0" applyFill="1"/>
    <xf numFmtId="0" fontId="272" fillId="0" borderId="0" xfId="0" applyFont="1" applyAlignment="1">
      <alignment vertical="center"/>
    </xf>
    <xf numFmtId="0" fontId="0" fillId="55" borderId="0" xfId="0" applyFill="1" applyAlignment="1">
      <alignment vertical="center"/>
    </xf>
    <xf numFmtId="0" fontId="0" fillId="56" borderId="0" xfId="0" applyFill="1" applyAlignment="1">
      <alignment vertical="center"/>
    </xf>
    <xf numFmtId="0" fontId="0" fillId="57" borderId="0" xfId="0" applyFill="1" applyAlignment="1">
      <alignment vertical="center"/>
    </xf>
    <xf numFmtId="0" fontId="257" fillId="0" borderId="0" xfId="0" applyFont="1" applyAlignment="1">
      <alignment vertical="center"/>
    </xf>
    <xf numFmtId="0" fontId="131" fillId="0" borderId="0" xfId="10"/>
    <xf numFmtId="0" fontId="277" fillId="0" borderId="0" xfId="0" applyFont="1"/>
    <xf numFmtId="0" fontId="293" fillId="0" borderId="0" xfId="0" applyFont="1" applyAlignment="1">
      <alignment vertical="center"/>
    </xf>
    <xf numFmtId="0" fontId="294" fillId="23" borderId="0" xfId="0" applyFont="1" applyFill="1" applyAlignment="1">
      <alignment vertical="top" wrapText="1"/>
    </xf>
    <xf numFmtId="165" fontId="293" fillId="23" borderId="0" xfId="0" applyNumberFormat="1" applyFont="1" applyFill="1" applyAlignment="1">
      <alignment vertical="center"/>
    </xf>
    <xf numFmtId="0" fontId="295" fillId="0" borderId="0" xfId="0" applyFont="1" applyAlignment="1">
      <alignment vertical="center"/>
    </xf>
    <xf numFmtId="0" fontId="296" fillId="23" borderId="0" xfId="0" applyFont="1" applyFill="1" applyAlignment="1">
      <alignment vertical="center"/>
    </xf>
    <xf numFmtId="0" fontId="297" fillId="0" borderId="0" xfId="0" applyFont="1"/>
    <xf numFmtId="0" fontId="297" fillId="23" borderId="0" xfId="0" applyFont="1" applyFill="1"/>
    <xf numFmtId="0" fontId="296" fillId="15" borderId="0" xfId="0" applyFont="1" applyFill="1" applyAlignment="1">
      <alignment vertical="center"/>
    </xf>
    <xf numFmtId="14" fontId="296" fillId="0" borderId="0" xfId="0" applyNumberFormat="1" applyFont="1" applyAlignment="1">
      <alignment vertical="center"/>
    </xf>
    <xf numFmtId="0" fontId="296" fillId="11" borderId="0" xfId="0" applyFont="1" applyFill="1" applyAlignment="1">
      <alignment vertical="center"/>
    </xf>
    <xf numFmtId="0" fontId="296" fillId="0" borderId="0" xfId="0" applyFont="1" applyAlignment="1">
      <alignment vertical="center"/>
    </xf>
    <xf numFmtId="0" fontId="296" fillId="0" borderId="0" xfId="0" applyFont="1" applyAlignment="1">
      <alignment horizontal="left" vertical="center"/>
    </xf>
    <xf numFmtId="0" fontId="297" fillId="11" borderId="0" xfId="0" applyFont="1" applyFill="1" applyAlignment="1">
      <alignment horizontal="left" vertical="center"/>
    </xf>
    <xf numFmtId="14" fontId="297" fillId="15" borderId="0" xfId="0" applyNumberFormat="1" applyFont="1" applyFill="1"/>
    <xf numFmtId="0" fontId="298" fillId="15" borderId="0" xfId="0" applyFont="1" applyFill="1" applyAlignment="1">
      <alignment vertical="center"/>
    </xf>
    <xf numFmtId="0" fontId="299" fillId="0" borderId="0" xfId="0" applyFont="1" applyAlignment="1">
      <alignment vertical="center"/>
    </xf>
    <xf numFmtId="0" fontId="299" fillId="24" borderId="0" xfId="0" applyFont="1" applyFill="1" applyAlignment="1">
      <alignment vertical="center"/>
    </xf>
    <xf numFmtId="0" fontId="296" fillId="0" borderId="0" xfId="0" applyFont="1"/>
    <xf numFmtId="0" fontId="293" fillId="24" borderId="0" xfId="0" applyFont="1" applyFill="1" applyAlignment="1">
      <alignment vertical="center"/>
    </xf>
    <xf numFmtId="0" fontId="296" fillId="24" borderId="0" xfId="0" applyFont="1" applyFill="1" applyAlignment="1">
      <alignment vertical="center"/>
    </xf>
    <xf numFmtId="0" fontId="298" fillId="35" borderId="0" xfId="0" applyFont="1" applyFill="1" applyAlignment="1">
      <alignment horizontal="left" vertical="center"/>
    </xf>
    <xf numFmtId="43" fontId="300" fillId="0" borderId="0" xfId="0" applyNumberFormat="1" applyFont="1" applyAlignment="1">
      <alignment vertical="center"/>
    </xf>
    <xf numFmtId="0" fontId="301" fillId="15" borderId="0" xfId="0" applyFont="1" applyFill="1" applyAlignment="1">
      <alignment horizontal="center" vertical="center"/>
    </xf>
    <xf numFmtId="0" fontId="293" fillId="11" borderId="0" xfId="0" applyFont="1" applyFill="1" applyAlignment="1">
      <alignment vertical="center"/>
    </xf>
    <xf numFmtId="0" fontId="302" fillId="0" borderId="0" xfId="0" applyFont="1" applyAlignment="1">
      <alignment horizontal="left" vertical="center"/>
    </xf>
    <xf numFmtId="0" fontId="303" fillId="15" borderId="0" xfId="0" applyFont="1" applyFill="1" applyAlignment="1">
      <alignment horizontal="left"/>
    </xf>
    <xf numFmtId="0" fontId="296" fillId="11" borderId="0" xfId="0" applyFont="1" applyFill="1" applyAlignment="1">
      <alignment horizontal="left"/>
    </xf>
    <xf numFmtId="0" fontId="296" fillId="0" borderId="19" xfId="0" applyFont="1" applyBorder="1" applyAlignment="1">
      <alignment horizontal="left"/>
    </xf>
    <xf numFmtId="0" fontId="296" fillId="11" borderId="19" xfId="0" applyFont="1" applyFill="1" applyBorder="1" applyAlignment="1">
      <alignment horizontal="left"/>
    </xf>
    <xf numFmtId="0" fontId="296" fillId="0" borderId="0" xfId="0" applyFont="1" applyAlignment="1">
      <alignment horizontal="left"/>
    </xf>
    <xf numFmtId="0" fontId="304" fillId="11" borderId="0" xfId="0" applyFont="1" applyFill="1" applyAlignment="1">
      <alignment horizontal="left"/>
    </xf>
    <xf numFmtId="0" fontId="296" fillId="25" borderId="0" xfId="0" applyFont="1" applyFill="1" applyAlignment="1">
      <alignment horizontal="left" wrapText="1"/>
    </xf>
    <xf numFmtId="0" fontId="305" fillId="0" borderId="0" xfId="0" applyFont="1"/>
    <xf numFmtId="14" fontId="297" fillId="0" borderId="0" xfId="0" applyNumberFormat="1" applyFont="1"/>
    <xf numFmtId="0" fontId="44" fillId="0" borderId="0" xfId="0" applyFont="1" applyAlignment="1">
      <alignment horizontal="left"/>
    </xf>
    <xf numFmtId="0" fontId="83" fillId="0" borderId="0" xfId="0" applyFont="1" applyAlignment="1">
      <alignment horizontal="left" vertical="center"/>
    </xf>
    <xf numFmtId="0" fontId="154" fillId="0" borderId="0" xfId="0" applyFont="1" applyAlignment="1">
      <alignment horizontal="left"/>
    </xf>
    <xf numFmtId="0" fontId="241" fillId="0" borderId="0" xfId="0" applyFont="1" applyAlignment="1">
      <alignment horizontal="center" vertical="center" textRotation="255"/>
    </xf>
    <xf numFmtId="0" fontId="0" fillId="0" borderId="0" xfId="0" applyAlignment="1">
      <alignment horizontal="center" vertical="center"/>
    </xf>
    <xf numFmtId="165" fontId="54" fillId="0" borderId="17" xfId="0" applyNumberFormat="1" applyFont="1" applyBorder="1" applyAlignment="1">
      <alignment horizontal="center"/>
    </xf>
    <xf numFmtId="0" fontId="121" fillId="0" borderId="31" xfId="5" applyFont="1" applyFill="1" applyBorder="1" applyAlignment="1">
      <alignment horizontal="center" vertical="center" wrapText="1"/>
    </xf>
    <xf numFmtId="0" fontId="121" fillId="0" borderId="0" xfId="5" applyFont="1" applyFill="1" applyBorder="1" applyAlignment="1">
      <alignment horizontal="center" vertical="center" wrapText="1"/>
    </xf>
    <xf numFmtId="0" fontId="246" fillId="8" borderId="26" xfId="5" applyFont="1" applyFill="1" applyBorder="1" applyAlignment="1">
      <alignment vertical="center"/>
    </xf>
    <xf numFmtId="0" fontId="246" fillId="8" borderId="0" xfId="5" applyFont="1" applyFill="1" applyBorder="1" applyAlignment="1">
      <alignment vertical="center"/>
    </xf>
    <xf numFmtId="0" fontId="203" fillId="0" borderId="13" xfId="5" applyFont="1" applyFill="1" applyBorder="1" applyAlignment="1">
      <alignment horizontal="center" vertical="center" wrapText="1"/>
    </xf>
    <xf numFmtId="0" fontId="203" fillId="0" borderId="5" xfId="5" applyFont="1" applyFill="1" applyBorder="1" applyAlignment="1">
      <alignment horizontal="center" vertical="center" wrapText="1"/>
    </xf>
    <xf numFmtId="0" fontId="203" fillId="0" borderId="32" xfId="5" applyFont="1" applyFill="1" applyBorder="1" applyAlignment="1">
      <alignment horizontal="center" vertical="center" wrapText="1"/>
    </xf>
    <xf numFmtId="0" fontId="93" fillId="0" borderId="17" xfId="0" applyFont="1" applyBorder="1" applyAlignment="1">
      <alignment horizontal="left"/>
    </xf>
    <xf numFmtId="0" fontId="93" fillId="0" borderId="17" xfId="0" applyFont="1" applyBorder="1" applyAlignment="1">
      <alignment horizontal="center"/>
    </xf>
    <xf numFmtId="0" fontId="209" fillId="0" borderId="0" xfId="0" applyFont="1" applyAlignment="1">
      <alignment horizontal="center" vertical="center"/>
    </xf>
    <xf numFmtId="0" fontId="99" fillId="0" borderId="0" xfId="0" applyFont="1" applyAlignment="1">
      <alignment horizontal="center"/>
    </xf>
    <xf numFmtId="0" fontId="48" fillId="0" borderId="0" xfId="0" applyFont="1" applyAlignment="1">
      <alignment horizontal="center" vertical="center"/>
    </xf>
    <xf numFmtId="0" fontId="2" fillId="0" borderId="0" xfId="0" applyFont="1" applyAlignment="1">
      <alignment horizontal="center"/>
    </xf>
    <xf numFmtId="0" fontId="46" fillId="0" borderId="0" xfId="0" applyFont="1" applyAlignment="1">
      <alignment horizontal="left"/>
    </xf>
    <xf numFmtId="0" fontId="5" fillId="0" borderId="1" xfId="2" applyFill="1" applyAlignment="1">
      <alignment horizontal="center"/>
    </xf>
    <xf numFmtId="0" fontId="5" fillId="2" borderId="1" xfId="2" applyAlignment="1">
      <alignment horizontal="center"/>
    </xf>
    <xf numFmtId="0" fontId="55" fillId="0" borderId="0" xfId="0" applyFont="1" applyAlignment="1">
      <alignment horizontal="center"/>
    </xf>
    <xf numFmtId="0" fontId="51" fillId="0" borderId="0" xfId="0" applyFont="1" applyAlignment="1">
      <alignment horizontal="center" vertical="center"/>
    </xf>
    <xf numFmtId="0" fontId="115" fillId="0" borderId="0" xfId="0" applyFont="1" applyAlignment="1">
      <alignment horizontal="center" vertical="center"/>
    </xf>
    <xf numFmtId="0" fontId="38" fillId="0" borderId="0" xfId="0" applyFont="1" applyAlignment="1">
      <alignment horizontal="center"/>
    </xf>
    <xf numFmtId="0" fontId="111" fillId="0" borderId="0" xfId="0" applyFont="1" applyAlignment="1">
      <alignment horizontal="left" vertical="center" wrapText="1" indent="9"/>
    </xf>
    <xf numFmtId="0" fontId="111" fillId="0" borderId="0" xfId="0" applyFont="1" applyAlignment="1">
      <alignment horizontal="center"/>
    </xf>
    <xf numFmtId="0" fontId="164" fillId="8" borderId="0" xfId="0" applyFont="1" applyFill="1" applyAlignment="1">
      <alignment horizontal="center" vertical="center" wrapText="1"/>
    </xf>
    <xf numFmtId="0" fontId="199" fillId="0" borderId="0" xfId="0" applyFont="1" applyAlignment="1">
      <alignment horizontal="center" vertical="center"/>
    </xf>
    <xf numFmtId="0" fontId="167" fillId="6" borderId="0" xfId="10" applyFont="1" applyFill="1" applyAlignment="1">
      <alignment horizontal="center" wrapText="1"/>
    </xf>
    <xf numFmtId="0" fontId="93" fillId="12" borderId="0" xfId="10" applyFont="1" applyFill="1" applyAlignment="1">
      <alignment horizontal="right" vertical="center" wrapText="1"/>
    </xf>
    <xf numFmtId="0" fontId="55" fillId="23" borderId="23" xfId="0" applyFont="1" applyFill="1" applyBorder="1" applyAlignment="1">
      <alignment horizontal="center" vertical="center" textRotation="255"/>
    </xf>
    <xf numFmtId="0" fontId="46" fillId="31" borderId="23" xfId="0" applyFont="1" applyFill="1" applyBorder="1" applyAlignment="1">
      <alignment horizontal="center" vertical="center" textRotation="255"/>
    </xf>
    <xf numFmtId="0" fontId="46" fillId="32" borderId="23" xfId="0" applyFont="1" applyFill="1" applyBorder="1" applyAlignment="1">
      <alignment horizontal="center" vertical="center" textRotation="255"/>
    </xf>
    <xf numFmtId="0" fontId="234" fillId="0" borderId="17" xfId="0" applyFont="1" applyBorder="1" applyAlignment="1">
      <alignment horizontal="center"/>
    </xf>
    <xf numFmtId="0" fontId="122" fillId="10" borderId="6" xfId="5" applyFont="1" applyFill="1" applyBorder="1" applyAlignment="1">
      <alignment horizontal="center"/>
    </xf>
    <xf numFmtId="0" fontId="122" fillId="10" borderId="16" xfId="5" applyFont="1" applyFill="1" applyBorder="1" applyAlignment="1">
      <alignment horizontal="center"/>
    </xf>
    <xf numFmtId="0" fontId="122" fillId="10" borderId="11" xfId="5" applyFont="1" applyFill="1" applyBorder="1" applyAlignment="1">
      <alignment horizontal="center"/>
    </xf>
    <xf numFmtId="0" fontId="122" fillId="22" borderId="6" xfId="0" applyFont="1" applyFill="1" applyBorder="1" applyAlignment="1">
      <alignment horizontal="center"/>
    </xf>
    <xf numFmtId="0" fontId="122" fillId="22" borderId="16" xfId="0" applyFont="1" applyFill="1" applyBorder="1" applyAlignment="1">
      <alignment horizontal="center"/>
    </xf>
    <xf numFmtId="0" fontId="122" fillId="22" borderId="11" xfId="0" applyFont="1" applyFill="1" applyBorder="1" applyAlignment="1">
      <alignment horizontal="center"/>
    </xf>
    <xf numFmtId="43" fontId="203" fillId="0" borderId="5" xfId="5" applyNumberFormat="1" applyFont="1" applyFill="1" applyBorder="1" applyAlignment="1">
      <alignment horizontal="center" vertical="center" wrapText="1"/>
    </xf>
    <xf numFmtId="43" fontId="203" fillId="0" borderId="4" xfId="5" applyNumberFormat="1" applyFont="1" applyFill="1" applyBorder="1" applyAlignment="1">
      <alignment horizontal="center" vertical="center" wrapText="1"/>
    </xf>
    <xf numFmtId="0" fontId="253" fillId="0" borderId="3" xfId="5" applyFont="1" applyFill="1" applyBorder="1" applyAlignment="1">
      <alignment horizontal="center" vertical="center"/>
    </xf>
    <xf numFmtId="0" fontId="253" fillId="0" borderId="4" xfId="5" applyFont="1" applyFill="1" applyBorder="1" applyAlignment="1">
      <alignment horizontal="center" vertical="center"/>
    </xf>
    <xf numFmtId="0" fontId="274" fillId="6" borderId="5" xfId="5" applyFont="1" applyFill="1" applyBorder="1" applyAlignment="1">
      <alignment horizontal="center" vertical="center" wrapText="1"/>
    </xf>
    <xf numFmtId="0" fontId="274" fillId="6" borderId="32" xfId="5" applyFont="1" applyFill="1" applyBorder="1" applyAlignment="1">
      <alignment horizontal="center" vertical="center" wrapText="1"/>
    </xf>
    <xf numFmtId="0" fontId="263" fillId="0" borderId="0" xfId="0" applyFont="1" applyAlignment="1">
      <alignment horizontal="center"/>
    </xf>
    <xf numFmtId="165" fontId="54" fillId="0" borderId="17" xfId="0" applyNumberFormat="1" applyFont="1" applyBorder="1" applyAlignment="1">
      <alignment horizontal="center"/>
    </xf>
    <xf numFmtId="0" fontId="121" fillId="0" borderId="31" xfId="5" applyFont="1" applyFill="1" applyBorder="1" applyAlignment="1">
      <alignment horizontal="center" vertical="center" wrapText="1"/>
    </xf>
    <xf numFmtId="0" fontId="121" fillId="0" borderId="0" xfId="5" applyFont="1" applyFill="1" applyBorder="1" applyAlignment="1">
      <alignment horizontal="center" vertical="center" wrapText="1"/>
    </xf>
    <xf numFmtId="0" fontId="246" fillId="8" borderId="26" xfId="5" applyFont="1" applyFill="1" applyBorder="1" applyAlignment="1">
      <alignment vertical="center"/>
    </xf>
    <xf numFmtId="0" fontId="246" fillId="8" borderId="0" xfId="5" applyFont="1" applyFill="1" applyBorder="1" applyAlignment="1">
      <alignment vertical="center"/>
    </xf>
    <xf numFmtId="0" fontId="203" fillId="0" borderId="4" xfId="5" applyFont="1" applyFill="1" applyBorder="1" applyAlignment="1">
      <alignment horizontal="center" vertical="center" wrapText="1"/>
    </xf>
    <xf numFmtId="0" fontId="203" fillId="0" borderId="13" xfId="5" applyFont="1" applyFill="1" applyBorder="1" applyAlignment="1">
      <alignment horizontal="center" vertical="center" wrapText="1"/>
    </xf>
    <xf numFmtId="0" fontId="119" fillId="0" borderId="27" xfId="5" applyFont="1" applyFill="1" applyBorder="1" applyAlignment="1">
      <alignment horizontal="center" vertical="center"/>
    </xf>
    <xf numFmtId="0" fontId="119" fillId="0" borderId="17" xfId="5" applyFont="1" applyFill="1" applyBorder="1" applyAlignment="1">
      <alignment horizontal="center" vertical="center"/>
    </xf>
    <xf numFmtId="0" fontId="127" fillId="0" borderId="6" xfId="5" applyFont="1" applyFill="1" applyBorder="1" applyAlignment="1">
      <alignment horizontal="center"/>
    </xf>
    <xf numFmtId="0" fontId="127" fillId="0" borderId="11" xfId="5" applyFont="1" applyFill="1" applyBorder="1" applyAlignment="1">
      <alignment horizontal="center"/>
    </xf>
    <xf numFmtId="0" fontId="203" fillId="0" borderId="5" xfId="5" applyFont="1" applyFill="1" applyBorder="1" applyAlignment="1">
      <alignment horizontal="center" vertical="center" wrapText="1"/>
    </xf>
    <xf numFmtId="0" fontId="203" fillId="0" borderId="32" xfId="5" applyFont="1" applyFill="1" applyBorder="1" applyAlignment="1">
      <alignment horizontal="center" vertical="center" wrapText="1"/>
    </xf>
    <xf numFmtId="0" fontId="223" fillId="8" borderId="31" xfId="5" applyFont="1" applyFill="1" applyBorder="1" applyAlignment="1">
      <alignment horizontal="center" vertical="center"/>
    </xf>
    <xf numFmtId="0" fontId="223" fillId="8" borderId="0" xfId="5" applyFont="1" applyFill="1" applyBorder="1" applyAlignment="1">
      <alignment horizontal="center" vertical="center"/>
    </xf>
    <xf numFmtId="0" fontId="93" fillId="0" borderId="17" xfId="0" applyFont="1" applyBorder="1" applyAlignment="1">
      <alignment horizontal="left"/>
    </xf>
    <xf numFmtId="0" fontId="93" fillId="0" borderId="17" xfId="0" applyFont="1" applyBorder="1" applyAlignment="1">
      <alignment horizontal="center"/>
    </xf>
    <xf numFmtId="0" fontId="54" fillId="0" borderId="0" xfId="0" applyFont="1" applyAlignment="1">
      <alignment horizontal="center" vertical="center"/>
    </xf>
    <xf numFmtId="0" fontId="265" fillId="0" borderId="0" xfId="0" applyFont="1" applyAlignment="1">
      <alignment horizontal="center" vertical="center"/>
    </xf>
    <xf numFmtId="0" fontId="102" fillId="8" borderId="0" xfId="0" quotePrefix="1" applyFont="1" applyFill="1" applyAlignment="1">
      <alignment horizontal="center" vertical="center" wrapText="1"/>
    </xf>
    <xf numFmtId="0" fontId="102" fillId="8" borderId="0" xfId="0" applyFont="1" applyFill="1" applyAlignment="1">
      <alignment horizontal="center" vertical="center" wrapText="1"/>
    </xf>
    <xf numFmtId="0" fontId="227" fillId="0" borderId="31" xfId="0" applyFont="1" applyBorder="1" applyAlignment="1">
      <alignment horizontal="center"/>
    </xf>
    <xf numFmtId="0" fontId="227" fillId="0" borderId="0" xfId="0" applyFont="1" applyAlignment="1">
      <alignment horizontal="center"/>
    </xf>
    <xf numFmtId="0" fontId="227" fillId="0" borderId="23" xfId="0" applyFont="1" applyBorder="1" applyAlignment="1">
      <alignment horizontal="center"/>
    </xf>
    <xf numFmtId="0" fontId="241" fillId="0" borderId="26" xfId="0" applyFont="1" applyBorder="1" applyAlignment="1">
      <alignment horizontal="center" vertical="center" textRotation="255"/>
    </xf>
    <xf numFmtId="0" fontId="241" fillId="0" borderId="0" xfId="0" applyFont="1" applyAlignment="1">
      <alignment horizontal="center" vertical="center" textRotation="255"/>
    </xf>
    <xf numFmtId="0" fontId="221" fillId="8" borderId="31" xfId="0" applyFont="1" applyFill="1" applyBorder="1" applyAlignment="1">
      <alignment horizontal="center" vertical="center"/>
    </xf>
    <xf numFmtId="0" fontId="221" fillId="8" borderId="0" xfId="0" applyFont="1" applyFill="1" applyAlignment="1">
      <alignment horizontal="center" vertical="center"/>
    </xf>
    <xf numFmtId="0" fontId="0" fillId="0" borderId="0" xfId="0" applyAlignment="1">
      <alignment horizontal="center" vertical="center"/>
    </xf>
    <xf numFmtId="0" fontId="40" fillId="8" borderId="0" xfId="0" applyFont="1" applyFill="1" applyAlignment="1">
      <alignment horizontal="center" vertical="center" textRotation="255"/>
    </xf>
    <xf numFmtId="0" fontId="23" fillId="0" borderId="0" xfId="0" applyFont="1" applyAlignment="1">
      <alignment horizontal="center"/>
    </xf>
    <xf numFmtId="0" fontId="73" fillId="0" borderId="0" xfId="7" applyAlignment="1">
      <alignment horizontal="center"/>
    </xf>
    <xf numFmtId="0" fontId="62" fillId="7" borderId="14" xfId="0" applyFont="1" applyFill="1" applyBorder="1" applyAlignment="1">
      <alignment horizontal="center" vertical="center" textRotation="255"/>
    </xf>
    <xf numFmtId="0" fontId="62" fillId="7" borderId="0" xfId="0" applyFont="1" applyFill="1" applyAlignment="1">
      <alignment horizontal="center" vertical="center" textRotation="255"/>
    </xf>
    <xf numFmtId="0" fontId="46" fillId="0" borderId="0" xfId="0" applyFont="1" applyAlignment="1">
      <alignment horizontal="center" vertical="center" textRotation="255" wrapText="1"/>
    </xf>
    <xf numFmtId="0" fontId="24" fillId="5" borderId="0" xfId="0" applyFont="1" applyFill="1" applyAlignment="1">
      <alignment horizontal="center" vertical="center" textRotation="255"/>
    </xf>
    <xf numFmtId="0" fontId="35" fillId="0" borderId="0" xfId="0" applyFont="1" applyAlignment="1">
      <alignment horizontal="center" vertical="center" textRotation="255" wrapText="1"/>
    </xf>
    <xf numFmtId="0" fontId="74" fillId="20" borderId="0" xfId="0" applyFont="1" applyFill="1" applyAlignment="1">
      <alignment horizontal="center" vertical="center" wrapText="1"/>
    </xf>
    <xf numFmtId="0" fontId="15" fillId="6" borderId="0" xfId="0" applyFont="1" applyFill="1" applyAlignment="1">
      <alignment horizontal="center" vertical="center"/>
    </xf>
    <xf numFmtId="164" fontId="13" fillId="0" borderId="0" xfId="1" applyNumberFormat="1" applyFont="1" applyAlignment="1">
      <alignment horizontal="center" wrapText="1"/>
    </xf>
    <xf numFmtId="0" fontId="22" fillId="6" borderId="0" xfId="0" applyFont="1" applyFill="1" applyAlignment="1">
      <alignment horizontal="center" vertical="center"/>
    </xf>
    <xf numFmtId="0" fontId="22" fillId="9" borderId="0" xfId="0" applyFont="1" applyFill="1" applyAlignment="1">
      <alignment horizontal="center" vertical="center"/>
    </xf>
    <xf numFmtId="0" fontId="93" fillId="0" borderId="0" xfId="0" applyFont="1" applyAlignment="1">
      <alignment horizontal="center" vertical="center"/>
    </xf>
    <xf numFmtId="0" fontId="48" fillId="0" borderId="0" xfId="0" applyFont="1" applyAlignment="1">
      <alignment horizontal="center" vertical="center"/>
    </xf>
    <xf numFmtId="0" fontId="2" fillId="0" borderId="0" xfId="0" applyFont="1" applyAlignment="1">
      <alignment horizontal="center"/>
    </xf>
    <xf numFmtId="0" fontId="94" fillId="12" borderId="0" xfId="0" applyFont="1" applyFill="1" applyAlignment="1">
      <alignment horizontal="center" vertical="center"/>
    </xf>
    <xf numFmtId="165" fontId="2" fillId="0" borderId="0" xfId="0" applyNumberFormat="1" applyFont="1" applyAlignment="1">
      <alignment horizontal="center"/>
    </xf>
    <xf numFmtId="0" fontId="2" fillId="12" borderId="0" xfId="0" applyFont="1" applyFill="1" applyAlignment="1">
      <alignment horizontal="center"/>
    </xf>
    <xf numFmtId="0" fontId="46" fillId="0" borderId="0" xfId="0" applyFont="1" applyAlignment="1">
      <alignment horizontal="left"/>
    </xf>
    <xf numFmtId="0" fontId="46" fillId="12" borderId="0" xfId="0" applyFont="1" applyFill="1" applyAlignment="1">
      <alignment horizontal="left"/>
    </xf>
    <xf numFmtId="0" fontId="243" fillId="0" borderId="0" xfId="0" applyFont="1" applyAlignment="1">
      <alignment horizontal="center" vertical="center" wrapText="1"/>
    </xf>
    <xf numFmtId="0" fontId="103" fillId="0" borderId="0" xfId="0" applyFont="1" applyAlignment="1">
      <alignment horizontal="center" vertical="center"/>
    </xf>
    <xf numFmtId="0" fontId="55" fillId="0" borderId="0" xfId="0" applyFont="1" applyAlignment="1">
      <alignment horizontal="center" vertical="center" wrapText="1"/>
    </xf>
    <xf numFmtId="0" fontId="105" fillId="0" borderId="0" xfId="0" applyFont="1" applyAlignment="1">
      <alignment horizontal="center" vertical="center"/>
    </xf>
    <xf numFmtId="0" fontId="55" fillId="22" borderId="0" xfId="0" applyFont="1" applyFill="1" applyAlignment="1">
      <alignment horizontal="center" vertical="center" wrapText="1"/>
    </xf>
    <xf numFmtId="0" fontId="104" fillId="0" borderId="0" xfId="0" applyFont="1" applyAlignment="1">
      <alignment horizontal="center" vertical="center"/>
    </xf>
    <xf numFmtId="0" fontId="209" fillId="0" borderId="0" xfId="0" applyFont="1" applyAlignment="1">
      <alignment horizontal="center" vertical="center"/>
    </xf>
    <xf numFmtId="0" fontId="55" fillId="15" borderId="0" xfId="0" applyFont="1" applyFill="1" applyAlignment="1">
      <alignment horizontal="center" vertical="center" wrapText="1"/>
    </xf>
    <xf numFmtId="0" fontId="99" fillId="0" borderId="0" xfId="0" applyFont="1" applyAlignment="1">
      <alignment horizontal="center"/>
    </xf>
    <xf numFmtId="0" fontId="187" fillId="0" borderId="0" xfId="0" applyFont="1" applyAlignment="1">
      <alignment horizontal="center" vertical="center"/>
    </xf>
    <xf numFmtId="0" fontId="44" fillId="0" borderId="0" xfId="0" applyFont="1" applyAlignment="1">
      <alignment horizontal="left" wrapText="1"/>
    </xf>
    <xf numFmtId="0" fontId="190" fillId="0" borderId="0" xfId="0" applyFont="1" applyAlignment="1">
      <alignment horizontal="center" vertical="top" wrapText="1"/>
    </xf>
    <xf numFmtId="0" fontId="5" fillId="0" borderId="1" xfId="2" applyFill="1" applyAlignment="1"/>
    <xf numFmtId="0" fontId="5" fillId="2" borderId="1" xfId="2" applyAlignment="1">
      <alignment horizontal="center"/>
    </xf>
    <xf numFmtId="0" fontId="5" fillId="0" borderId="1" xfId="2" applyFill="1" applyAlignment="1">
      <alignment horizontal="center"/>
    </xf>
    <xf numFmtId="0" fontId="55" fillId="0" borderId="0" xfId="0" applyFont="1" applyAlignment="1">
      <alignment horizontal="center"/>
    </xf>
    <xf numFmtId="0" fontId="192" fillId="0" borderId="0" xfId="0" applyFont="1" applyAlignment="1">
      <alignment horizontal="left" vertical="top" wrapText="1"/>
    </xf>
    <xf numFmtId="0" fontId="5" fillId="2" borderId="5" xfId="2" applyBorder="1" applyAlignment="1">
      <alignment horizontal="center" vertical="center" wrapText="1"/>
    </xf>
    <xf numFmtId="0" fontId="5" fillId="2" borderId="7" xfId="2" applyBorder="1" applyAlignment="1">
      <alignment horizontal="center" vertical="center" wrapText="1"/>
    </xf>
    <xf numFmtId="0" fontId="5" fillId="2" borderId="5" xfId="2" applyBorder="1" applyAlignment="1">
      <alignment horizontal="center" wrapText="1"/>
    </xf>
    <xf numFmtId="0" fontId="5" fillId="2" borderId="7" xfId="2" applyBorder="1" applyAlignment="1">
      <alignment horizontal="center" wrapText="1"/>
    </xf>
    <xf numFmtId="0" fontId="43" fillId="0" borderId="0" xfId="0" applyFont="1" applyAlignment="1">
      <alignment horizontal="center" vertical="top" textRotation="15"/>
    </xf>
    <xf numFmtId="0" fontId="5" fillId="2" borderId="1" xfId="2" applyAlignment="1"/>
    <xf numFmtId="0" fontId="5" fillId="5" borderId="5" xfId="2" applyFill="1" applyBorder="1" applyAlignment="1">
      <alignment horizontal="center"/>
    </xf>
    <xf numFmtId="0" fontId="5" fillId="5" borderId="7" xfId="2" applyFill="1" applyBorder="1" applyAlignment="1">
      <alignment horizontal="center"/>
    </xf>
    <xf numFmtId="0" fontId="5" fillId="0" borderId="5" xfId="2" applyFill="1" applyBorder="1" applyAlignment="1">
      <alignment horizontal="center"/>
    </xf>
    <xf numFmtId="0" fontId="5" fillId="0" borderId="7" xfId="2" applyFill="1" applyBorder="1" applyAlignment="1">
      <alignment horizontal="center"/>
    </xf>
    <xf numFmtId="0" fontId="38" fillId="0" borderId="0" xfId="0" applyFont="1" applyAlignment="1">
      <alignment horizontal="center"/>
    </xf>
    <xf numFmtId="0" fontId="111" fillId="0" borderId="0" xfId="0" applyFont="1" applyAlignment="1">
      <alignment horizontal="left" vertical="center" wrapText="1" indent="9"/>
    </xf>
    <xf numFmtId="0" fontId="111" fillId="0" borderId="0" xfId="0" applyFont="1" applyAlignment="1">
      <alignment horizontal="center"/>
    </xf>
    <xf numFmtId="0" fontId="180" fillId="0" borderId="0" xfId="0" applyFont="1" applyAlignment="1">
      <alignment horizontal="left" vertical="center" wrapText="1"/>
    </xf>
    <xf numFmtId="0" fontId="115" fillId="0" borderId="0" xfId="0" applyFont="1" applyAlignment="1">
      <alignment horizontal="center" vertical="center"/>
    </xf>
    <xf numFmtId="0" fontId="26" fillId="0" borderId="0" xfId="0" applyFont="1" applyAlignment="1">
      <alignment horizontal="left" wrapText="1"/>
    </xf>
    <xf numFmtId="0" fontId="39" fillId="0" borderId="0" xfId="0" applyFont="1" applyAlignment="1">
      <alignment horizontal="left" wrapText="1"/>
    </xf>
    <xf numFmtId="0" fontId="115" fillId="0" borderId="0" xfId="0" applyFont="1" applyAlignment="1">
      <alignment horizontal="center" vertical="center" wrapText="1"/>
    </xf>
    <xf numFmtId="0" fontId="112" fillId="0" borderId="25" xfId="0" applyFont="1" applyBorder="1" applyAlignment="1">
      <alignment horizontal="center"/>
    </xf>
    <xf numFmtId="0" fontId="112" fillId="0" borderId="0" xfId="0" applyFont="1" applyAlignment="1">
      <alignment horizontal="center"/>
    </xf>
    <xf numFmtId="0" fontId="37" fillId="0" borderId="0" xfId="0" applyFont="1" applyAlignment="1">
      <alignment horizontal="center" vertical="center"/>
    </xf>
    <xf numFmtId="0" fontId="31" fillId="0" borderId="0" xfId="0" applyFont="1" applyAlignment="1">
      <alignment horizontal="center" vertical="center"/>
    </xf>
    <xf numFmtId="0" fontId="51" fillId="0" borderId="0" xfId="0" applyFont="1" applyAlignment="1">
      <alignment horizontal="center" vertical="center"/>
    </xf>
    <xf numFmtId="0" fontId="116" fillId="0" borderId="0" xfId="0" applyFont="1" applyAlignment="1">
      <alignment horizontal="center" vertical="center" wrapText="1"/>
    </xf>
    <xf numFmtId="0" fontId="47" fillId="0" borderId="16" xfId="0" applyFont="1" applyBorder="1" applyAlignment="1">
      <alignment horizontal="center" vertical="center"/>
    </xf>
    <xf numFmtId="0" fontId="6" fillId="8" borderId="0" xfId="0" applyFont="1" applyFill="1" applyAlignment="1">
      <alignment horizontal="center" vertical="center" wrapText="1"/>
    </xf>
    <xf numFmtId="0" fontId="149" fillId="0" borderId="0" xfId="0" applyFont="1" applyAlignment="1">
      <alignment horizontal="left" wrapText="1"/>
    </xf>
    <xf numFmtId="0" fontId="149" fillId="0" borderId="0" xfId="0" applyFont="1" applyAlignment="1">
      <alignment horizontal="center" vertical="center"/>
    </xf>
    <xf numFmtId="0" fontId="8" fillId="8" borderId="0" xfId="0" applyFont="1" applyFill="1" applyAlignment="1">
      <alignment horizontal="center" vertical="center" wrapText="1"/>
    </xf>
    <xf numFmtId="0" fontId="164" fillId="8" borderId="0" xfId="0" applyFont="1" applyFill="1" applyAlignment="1">
      <alignment horizontal="center" vertical="center" wrapText="1"/>
    </xf>
    <xf numFmtId="0" fontId="163" fillId="8" borderId="0" xfId="0" applyFont="1" applyFill="1" applyAlignment="1">
      <alignment horizontal="center" vertical="center" wrapText="1"/>
    </xf>
    <xf numFmtId="0" fontId="199" fillId="0" borderId="0" xfId="0" applyFont="1" applyAlignment="1">
      <alignment horizontal="center" vertical="center"/>
    </xf>
    <xf numFmtId="0" fontId="200" fillId="0" borderId="0" xfId="0" applyFont="1" applyAlignment="1">
      <alignment horizontal="center" vertical="center" wrapText="1"/>
    </xf>
    <xf numFmtId="43" fontId="200" fillId="0" borderId="0" xfId="0" applyNumberFormat="1" applyFont="1" applyAlignment="1">
      <alignment horizontal="center" vertical="center" wrapText="1"/>
    </xf>
    <xf numFmtId="43" fontId="202" fillId="0" borderId="0" xfId="0" applyNumberFormat="1" applyFont="1" applyAlignment="1">
      <alignment horizontal="center" vertical="center" wrapText="1"/>
    </xf>
    <xf numFmtId="0" fontId="202" fillId="0" borderId="0" xfId="0" applyFont="1" applyAlignment="1">
      <alignment horizontal="center" vertical="center" wrapText="1"/>
    </xf>
    <xf numFmtId="0" fontId="201" fillId="0" borderId="0" xfId="0" applyFont="1" applyAlignment="1">
      <alignment horizontal="center" vertical="center"/>
    </xf>
    <xf numFmtId="0" fontId="251" fillId="0" borderId="0" xfId="0" applyFont="1" applyAlignment="1">
      <alignment horizontal="center" vertical="center" wrapText="1"/>
    </xf>
    <xf numFmtId="43" fontId="251" fillId="0" borderId="0" xfId="0" applyNumberFormat="1" applyFont="1" applyAlignment="1">
      <alignment horizontal="center" vertical="center" wrapText="1"/>
    </xf>
    <xf numFmtId="43" fontId="251" fillId="0" borderId="0" xfId="0" applyNumberFormat="1" applyFont="1" applyAlignment="1">
      <alignment horizontal="center" wrapText="1"/>
    </xf>
    <xf numFmtId="0" fontId="251" fillId="0" borderId="0" xfId="0" applyFont="1" applyAlignment="1">
      <alignment horizontal="center" wrapText="1"/>
    </xf>
    <xf numFmtId="43" fontId="201" fillId="0" borderId="0" xfId="0" applyNumberFormat="1" applyFont="1" applyAlignment="1">
      <alignment horizontal="center" vertical="center" wrapText="1"/>
    </xf>
    <xf numFmtId="0" fontId="201" fillId="0" borderId="0" xfId="0" applyFont="1" applyAlignment="1">
      <alignment horizontal="center" vertical="center" wrapText="1"/>
    </xf>
    <xf numFmtId="0" fontId="85" fillId="0" borderId="26" xfId="10" applyFont="1" applyBorder="1" applyAlignment="1">
      <alignment horizontal="right" vertical="center" wrapText="1"/>
    </xf>
    <xf numFmtId="0" fontId="85" fillId="0" borderId="0" xfId="10" applyFont="1" applyAlignment="1">
      <alignment horizontal="right" vertical="center" wrapText="1"/>
    </xf>
    <xf numFmtId="0" fontId="145" fillId="35" borderId="0" xfId="0" applyFont="1" applyFill="1" applyAlignment="1">
      <alignment horizontal="center" vertical="top" textRotation="255"/>
    </xf>
    <xf numFmtId="0" fontId="158" fillId="0" borderId="0" xfId="0" applyFont="1" applyAlignment="1"/>
    <xf numFmtId="0" fontId="104" fillId="36" borderId="0" xfId="0" applyFont="1" applyFill="1" applyAlignment="1">
      <alignment horizontal="center" vertical="top" textRotation="255" wrapText="1"/>
    </xf>
    <xf numFmtId="0" fontId="155" fillId="34" borderId="0" xfId="0" applyFont="1" applyFill="1" applyAlignment="1">
      <alignment horizontal="center" vertical="center" textRotation="255" wrapText="1"/>
    </xf>
    <xf numFmtId="0" fontId="93" fillId="12" borderId="0" xfId="10" applyFont="1" applyFill="1" applyAlignment="1">
      <alignment horizontal="right" vertical="center" textRotation="180" wrapText="1"/>
    </xf>
    <xf numFmtId="0" fontId="181" fillId="0" borderId="0" xfId="10" applyFont="1" applyAlignment="1">
      <alignment horizontal="right" vertical="center" textRotation="180" wrapText="1"/>
    </xf>
    <xf numFmtId="0" fontId="160" fillId="0" borderId="0" xfId="0" applyFont="1" applyAlignment="1">
      <alignment horizontal="center" vertical="center" textRotation="255"/>
    </xf>
    <xf numFmtId="0" fontId="93" fillId="12" borderId="0" xfId="10" applyFont="1" applyFill="1" applyAlignment="1">
      <alignment horizontal="right" vertical="center"/>
    </xf>
    <xf numFmtId="0" fontId="93" fillId="0" borderId="0" xfId="10" applyFont="1" applyAlignment="1">
      <alignment horizontal="right" vertical="top" textRotation="180" wrapText="1"/>
    </xf>
    <xf numFmtId="0" fontId="93" fillId="0" borderId="0" xfId="10" applyFont="1" applyAlignment="1">
      <alignment horizontal="right" vertical="center" wrapText="1"/>
    </xf>
    <xf numFmtId="0" fontId="105" fillId="12" borderId="0" xfId="10" applyFont="1" applyFill="1" applyAlignment="1">
      <alignment horizontal="right" vertical="center" wrapText="1"/>
    </xf>
    <xf numFmtId="0" fontId="167" fillId="6" borderId="0" xfId="10" applyFont="1" applyFill="1" applyAlignment="1">
      <alignment horizontal="center" wrapText="1"/>
    </xf>
    <xf numFmtId="0" fontId="105" fillId="0" borderId="0" xfId="10" applyFont="1" applyAlignment="1">
      <alignment horizontal="right" vertical="center" wrapText="1"/>
    </xf>
    <xf numFmtId="0" fontId="93" fillId="0" borderId="0" xfId="10" applyFont="1" applyAlignment="1">
      <alignment horizontal="right" vertical="center" textRotation="180" wrapText="1"/>
    </xf>
    <xf numFmtId="0" fontId="131" fillId="0" borderId="0" xfId="10" applyAlignment="1">
      <alignment wrapText="1"/>
    </xf>
    <xf numFmtId="0" fontId="93" fillId="12" borderId="17" xfId="10" applyFont="1" applyFill="1" applyBorder="1" applyAlignment="1">
      <alignment horizontal="right" vertical="center" textRotation="180" wrapText="1"/>
    </xf>
    <xf numFmtId="0" fontId="93" fillId="12" borderId="0" xfId="10" applyFont="1" applyFill="1" applyAlignment="1">
      <alignment horizontal="right" vertical="center" wrapText="1"/>
    </xf>
    <xf numFmtId="0" fontId="93" fillId="12" borderId="17" xfId="10" applyFont="1" applyFill="1" applyBorder="1" applyAlignment="1">
      <alignment horizontal="right" vertical="center" wrapText="1"/>
    </xf>
    <xf numFmtId="0" fontId="85" fillId="0" borderId="26" xfId="10" applyFont="1" applyBorder="1" applyAlignment="1">
      <alignment horizontal="right" vertical="center" textRotation="180" wrapText="1"/>
    </xf>
    <xf numFmtId="0" fontId="131" fillId="0" borderId="0" xfId="10" applyAlignment="1"/>
    <xf numFmtId="0" fontId="38" fillId="16" borderId="23" xfId="0" applyFont="1" applyFill="1" applyBorder="1" applyAlignment="1">
      <alignment horizontal="center" textRotation="255"/>
    </xf>
    <xf numFmtId="0" fontId="38" fillId="9" borderId="23" xfId="0" applyFont="1" applyFill="1" applyBorder="1" applyAlignment="1">
      <alignment horizontal="center" vertical="center" textRotation="255"/>
    </xf>
    <xf numFmtId="0" fontId="55" fillId="23" borderId="23" xfId="0" applyFont="1" applyFill="1" applyBorder="1" applyAlignment="1">
      <alignment horizontal="center" vertical="center" textRotation="255"/>
    </xf>
    <xf numFmtId="0" fontId="55" fillId="33" borderId="23" xfId="0" applyFont="1" applyFill="1" applyBorder="1" applyAlignment="1">
      <alignment horizontal="center" vertical="center" textRotation="255"/>
    </xf>
    <xf numFmtId="0" fontId="146" fillId="9" borderId="23" xfId="0" applyFont="1" applyFill="1" applyBorder="1" applyAlignment="1">
      <alignment horizontal="center" textRotation="255"/>
    </xf>
    <xf numFmtId="0" fontId="147" fillId="33" borderId="23" xfId="0" applyFont="1" applyFill="1" applyBorder="1" applyAlignment="1">
      <alignment horizontal="center" textRotation="255"/>
    </xf>
    <xf numFmtId="0" fontId="126" fillId="0" borderId="17" xfId="0" applyFont="1" applyBorder="1" applyAlignment="1">
      <alignment horizontal="center"/>
    </xf>
    <xf numFmtId="0" fontId="46" fillId="31" borderId="23" xfId="0" applyFont="1" applyFill="1" applyBorder="1" applyAlignment="1">
      <alignment horizontal="center" vertical="center" textRotation="255"/>
    </xf>
    <xf numFmtId="0" fontId="46" fillId="32" borderId="23" xfId="0" applyFont="1" applyFill="1" applyBorder="1" applyAlignment="1">
      <alignment horizontal="center" vertical="center" textRotation="255"/>
    </xf>
    <xf numFmtId="0" fontId="225" fillId="6" borderId="23" xfId="0" applyFont="1" applyFill="1" applyBorder="1" applyAlignment="1">
      <alignment horizontal="center" textRotation="255"/>
    </xf>
    <xf numFmtId="0" fontId="96" fillId="32" borderId="23" xfId="0" applyFont="1" applyFill="1" applyBorder="1" applyAlignment="1">
      <alignment horizontal="center" textRotation="255"/>
    </xf>
    <xf numFmtId="0" fontId="0" fillId="8" borderId="23" xfId="0" applyFill="1" applyBorder="1" applyAlignment="1">
      <alignment horizontal="center" textRotation="255"/>
    </xf>
    <xf numFmtId="0" fontId="0" fillId="6" borderId="23" xfId="0" applyFill="1" applyBorder="1" applyAlignment="1">
      <alignment horizontal="center" vertical="center" textRotation="255"/>
    </xf>
    <xf numFmtId="0" fontId="2" fillId="0" borderId="17" xfId="0" applyFont="1" applyBorder="1" applyAlignment="1">
      <alignment horizontal="center"/>
    </xf>
    <xf numFmtId="0" fontId="2" fillId="0" borderId="17" xfId="0" applyFont="1" applyBorder="1" applyAlignment="1">
      <alignment horizontal="center" vertical="center"/>
    </xf>
    <xf numFmtId="0" fontId="52" fillId="6" borderId="23" xfId="0" applyFont="1" applyFill="1" applyBorder="1" applyAlignment="1">
      <alignment horizontal="center" textRotation="255"/>
    </xf>
    <xf numFmtId="0" fontId="234" fillId="0" borderId="17" xfId="0" applyFont="1" applyBorder="1" applyAlignment="1">
      <alignment horizontal="center"/>
    </xf>
    <xf numFmtId="0" fontId="146" fillId="33" borderId="23" xfId="0" applyFont="1" applyFill="1" applyBorder="1" applyAlignment="1">
      <alignment horizontal="center" textRotation="255"/>
    </xf>
    <xf numFmtId="0" fontId="234" fillId="0" borderId="16" xfId="0" applyFont="1" applyBorder="1" applyAlignment="1">
      <alignment horizontal="center"/>
    </xf>
    <xf numFmtId="0" fontId="54" fillId="45" borderId="23" xfId="0" applyFont="1" applyFill="1" applyBorder="1" applyAlignment="1">
      <alignment horizontal="center" vertical="center" textRotation="255"/>
    </xf>
    <xf numFmtId="0" fontId="54" fillId="46" borderId="23" xfId="0" applyFont="1" applyFill="1" applyBorder="1" applyAlignment="1">
      <alignment horizontal="center" vertical="center" textRotation="255"/>
    </xf>
    <xf numFmtId="0" fontId="210" fillId="10" borderId="23" xfId="0" applyFont="1" applyFill="1" applyBorder="1" applyAlignment="1">
      <alignment horizontal="center" vertical="center" textRotation="255"/>
    </xf>
    <xf numFmtId="0" fontId="209" fillId="31" borderId="23" xfId="0" applyFont="1" applyFill="1" applyBorder="1" applyAlignment="1">
      <alignment horizontal="center" vertical="center" textRotation="255"/>
    </xf>
    <xf numFmtId="0" fontId="210" fillId="10" borderId="23" xfId="0" applyFont="1" applyFill="1" applyBorder="1" applyAlignment="1">
      <alignment horizontal="center" textRotation="255"/>
    </xf>
    <xf numFmtId="0" fontId="209" fillId="45" borderId="23" xfId="0" applyFont="1" applyFill="1" applyBorder="1" applyAlignment="1">
      <alignment horizontal="center" vertical="center" textRotation="255"/>
    </xf>
    <xf numFmtId="0" fontId="117" fillId="0" borderId="17" xfId="0" applyFont="1" applyBorder="1" applyAlignment="1">
      <alignment horizontal="center" vertical="center"/>
    </xf>
    <xf numFmtId="0" fontId="116" fillId="0" borderId="17" xfId="0" applyFont="1" applyBorder="1" applyAlignment="1">
      <alignment horizontal="left" vertical="center"/>
    </xf>
    <xf numFmtId="0" fontId="122" fillId="10" borderId="6" xfId="5" applyFont="1" applyFill="1" applyBorder="1" applyAlignment="1">
      <alignment horizontal="center"/>
    </xf>
    <xf numFmtId="0" fontId="122" fillId="10" borderId="16" xfId="5" applyFont="1" applyFill="1" applyBorder="1" applyAlignment="1">
      <alignment horizontal="center"/>
    </xf>
    <xf numFmtId="0" fontId="122" fillId="10" borderId="11" xfId="5" applyFont="1" applyFill="1" applyBorder="1" applyAlignment="1">
      <alignment horizontal="center"/>
    </xf>
    <xf numFmtId="0" fontId="122" fillId="22" borderId="6" xfId="0" applyFont="1" applyFill="1" applyBorder="1" applyAlignment="1">
      <alignment horizontal="center"/>
    </xf>
    <xf numFmtId="0" fontId="122" fillId="22" borderId="16" xfId="0" applyFont="1" applyFill="1" applyBorder="1" applyAlignment="1">
      <alignment horizontal="center"/>
    </xf>
    <xf numFmtId="0" fontId="122" fillId="22" borderId="11" xfId="0" applyFont="1" applyFill="1" applyBorder="1" applyAlignment="1">
      <alignment horizontal="center"/>
    </xf>
    <xf numFmtId="0" fontId="274" fillId="6" borderId="5" xfId="5" applyFont="1" applyFill="1" applyBorder="1" applyAlignment="1">
      <alignment horizontal="center" vertical="center" wrapText="1"/>
    </xf>
    <xf numFmtId="0" fontId="274" fillId="6" borderId="32" xfId="5" applyFont="1" applyFill="1" applyBorder="1" applyAlignment="1">
      <alignment horizontal="center" vertical="center" wrapText="1"/>
    </xf>
    <xf numFmtId="43" fontId="203" fillId="0" borderId="5" xfId="5" applyNumberFormat="1" applyFont="1" applyFill="1" applyBorder="1" applyAlignment="1">
      <alignment horizontal="center" vertical="center" wrapText="1"/>
    </xf>
    <xf numFmtId="0" fontId="282" fillId="0" borderId="31" xfId="5" applyFont="1" applyFill="1" applyBorder="1" applyAlignment="1">
      <alignment horizontal="center" vertical="center" wrapText="1"/>
    </xf>
    <xf numFmtId="0" fontId="282" fillId="0" borderId="0" xfId="5" applyFont="1" applyFill="1" applyBorder="1" applyAlignment="1">
      <alignment horizontal="center" vertical="center" wrapText="1"/>
    </xf>
    <xf numFmtId="43" fontId="203" fillId="0" borderId="4" xfId="5" applyNumberFormat="1" applyFont="1" applyFill="1" applyBorder="1" applyAlignment="1">
      <alignment horizontal="center" vertical="center" wrapText="1"/>
    </xf>
    <xf numFmtId="0" fontId="87" fillId="0" borderId="31" xfId="5" applyFont="1" applyFill="1" applyBorder="1" applyAlignment="1">
      <alignment horizontal="center" vertical="center" wrapText="1"/>
    </xf>
    <xf numFmtId="0" fontId="87" fillId="0" borderId="0" xfId="5" applyFont="1" applyFill="1" applyBorder="1" applyAlignment="1">
      <alignment horizontal="center" vertical="center" wrapText="1"/>
    </xf>
    <xf numFmtId="0" fontId="253" fillId="0" borderId="3" xfId="5" applyFont="1" applyFill="1" applyBorder="1" applyAlignment="1">
      <alignment horizontal="center" vertical="center"/>
    </xf>
    <xf numFmtId="0" fontId="253" fillId="0" borderId="4" xfId="5" applyFont="1" applyFill="1" applyBorder="1" applyAlignment="1">
      <alignment horizontal="center" vertical="center"/>
    </xf>
    <xf numFmtId="0" fontId="246" fillId="8" borderId="4" xfId="5" applyFont="1" applyFill="1" applyBorder="1" applyAlignment="1">
      <alignment vertical="center"/>
    </xf>
    <xf numFmtId="0" fontId="246" fillId="8" borderId="13" xfId="5" applyFont="1" applyFill="1" applyBorder="1" applyAlignment="1">
      <alignment vertical="center"/>
    </xf>
  </cellXfs>
  <cellStyles count="53">
    <cellStyle name="20% - Accent1 2" xfId="52" xr:uid="{6894A37B-360E-4115-85A7-0273DB8C185E}"/>
    <cellStyle name="20% - Accent2 2" xfId="50" xr:uid="{6D518D0E-E1DB-4C9C-BE43-A4CEB4EEFE40}"/>
    <cellStyle name="20% - Accent3 2" xfId="34" xr:uid="{0A519C92-13F8-4054-B02B-20B9426581A4}"/>
    <cellStyle name="20% - Accent3 2 2" xfId="45" xr:uid="{42782643-EE77-4A05-AB1C-6CD9C02906D9}"/>
    <cellStyle name="20% - Accent3 3" xfId="40" xr:uid="{3A445D48-DE36-4B7E-AD54-1D5806D2EC4D}"/>
    <cellStyle name="20% - Accent5 2" xfId="48" xr:uid="{334A950A-46DD-43D2-B853-843ACE7A73B6}"/>
    <cellStyle name="40% - Accent2 2 2" xfId="15" xr:uid="{12886078-497B-423D-A6F1-6DCDA1E665FE}"/>
    <cellStyle name="40% - Accent2 2 2 2" xfId="39" xr:uid="{C0D18B9F-E5E8-4DD0-9C26-5C0A131AFAD4}"/>
    <cellStyle name="Accent2 2" xfId="18" xr:uid="{F6864DAA-5097-4AFA-A245-0C76B9B8F2D4}"/>
    <cellStyle name="Accent3 2" xfId="17" xr:uid="{87F749FB-431E-4973-A0BE-E99456D2BC3C}"/>
    <cellStyle name="Calculation" xfId="2" builtinId="22"/>
    <cellStyle name="Calculation 2" xfId="5" xr:uid="{D0031C95-9208-4E2C-BE69-B4CD88D68F62}"/>
    <cellStyle name="Calculation 3" xfId="3" xr:uid="{A952A0B2-83FD-41AF-ADCE-2D1A6378E6AD}"/>
    <cellStyle name="Calculation 4" xfId="51" xr:uid="{4E63B34E-5F57-4AFD-8837-7FA40F7173AA}"/>
    <cellStyle name="Check Cell 2" xfId="4" xr:uid="{8D2F55CA-1199-42C9-BF85-ADBA91969CB4}"/>
    <cellStyle name="Check Cell 3" xfId="12" xr:uid="{343BC626-7485-4F40-9B36-10DDEECC3121}"/>
    <cellStyle name="Comma" xfId="1" builtinId="3"/>
    <cellStyle name="Comma 2" xfId="32" xr:uid="{25F36240-EF46-40C1-8554-A307330B0080}"/>
    <cellStyle name="Comma 4" xfId="31" xr:uid="{DD8F3329-1166-4C76-9E76-F8AD56E6998E}"/>
    <cellStyle name="Currency 2" xfId="14" xr:uid="{D9190C7B-1A86-47A7-B7D5-EE26C779F2DD}"/>
    <cellStyle name="Currency 3" xfId="21" xr:uid="{E6DE35A3-65D3-45E3-B0D8-6C24D18C10AC}"/>
    <cellStyle name="Currency 4" xfId="25" xr:uid="{6E2DA233-F9FA-437E-A005-0308822DF4A3}"/>
    <cellStyle name="Currency 4 2" xfId="43" xr:uid="{7820ABE1-F748-4A13-91A9-2FDE9B07ADE6}"/>
    <cellStyle name="Good 2" xfId="16" xr:uid="{8485DC3D-48DD-4A95-8466-363DC8CB967F}"/>
    <cellStyle name="Hyperlink" xfId="7" builtinId="8"/>
    <cellStyle name="Hyperlink 2" xfId="20" xr:uid="{31BA3BC0-02FE-41D0-A363-DAA7CD236272}"/>
    <cellStyle name="Hyperlink 2 2" xfId="30" xr:uid="{F2A9F155-0EB5-48B6-BE55-069D4FF2B833}"/>
    <cellStyle name="Hyperlink 3" xfId="27" xr:uid="{4F1F1D9C-C9CC-4690-A935-74282EEE1CEC}"/>
    <cellStyle name="Hyperlink 3 2" xfId="33" xr:uid="{7CEA38A1-404B-43C9-B38F-DB6536E95F09}"/>
    <cellStyle name="Hyperlink 4" xfId="38" xr:uid="{599A508B-EFC0-4E7D-AEA4-D51E1C1C2324}"/>
    <cellStyle name="Hyperlink 5" xfId="13" xr:uid="{0266F7FC-FFE8-4DEA-8C94-7D5B23215CBA}"/>
    <cellStyle name="Linked Cell 2" xfId="8" xr:uid="{DE606BFA-C950-4507-A2ED-EAFEBF16A120}"/>
    <cellStyle name="Linked Cell 3" xfId="49" xr:uid="{31BD674A-899D-49A4-A415-BEE4A7FA6699}"/>
    <cellStyle name="Normal" xfId="0" builtinId="0"/>
    <cellStyle name="Normal 2" xfId="9" xr:uid="{24B60863-CFB0-47C0-8167-4761B72AF4F0}"/>
    <cellStyle name="Normal 2 2" xfId="22" xr:uid="{3EA1ED92-5CD0-4881-BF10-D740AE7FA6BB}"/>
    <cellStyle name="Normal 2 2 2" xfId="28" xr:uid="{50E21D71-3E36-4660-8CDF-08C4C699017A}"/>
    <cellStyle name="Normal 2 2 3" xfId="41" xr:uid="{6193B24A-70CB-408F-B9E6-1DCF61193A07}"/>
    <cellStyle name="Normal 3" xfId="10" xr:uid="{465C4DC2-88A2-435E-9E95-18A51F0598CB}"/>
    <cellStyle name="Normal 3 2" xfId="42" xr:uid="{09FF7D7A-50FB-4981-BB22-550A09035466}"/>
    <cellStyle name="Normal 3 3" xfId="24" xr:uid="{7057B51D-ECD0-49C2-A978-AE3987EB4389}"/>
    <cellStyle name="Normal 4" xfId="29" xr:uid="{9E3A02EA-A5BB-4EED-9B5B-BB36D0FE829C}"/>
    <cellStyle name="Normal 5" xfId="23" xr:uid="{F4C4A9B3-8C80-4551-8C86-24EB64DA1C6A}"/>
    <cellStyle name="Normal 6" xfId="6" xr:uid="{734F2C0E-7702-448B-97E3-3F41C30A24C9}"/>
    <cellStyle name="Normal 6 2" xfId="46" xr:uid="{1A9945C8-F188-4521-8640-2BF73DFF1869}"/>
    <cellStyle name="Normal 7" xfId="11" xr:uid="{F82A5CDF-D7CB-45B2-959D-661840755412}"/>
    <cellStyle name="Normal 7 2" xfId="37" xr:uid="{588CD342-E430-48C0-9343-A4FB978D8DD5}"/>
    <cellStyle name="Output 2" xfId="36" xr:uid="{E3E43822-B883-4775-B7EE-0ED1421A5C77}"/>
    <cellStyle name="Percent 2" xfId="19" xr:uid="{9E6AB706-DE57-49D8-ACA9-619EC4206FC0}"/>
    <cellStyle name="Percent 3" xfId="26" xr:uid="{8F0E854C-BDC3-424C-A7E3-71AE096C0E0E}"/>
    <cellStyle name="Percent 3 2" xfId="44" xr:uid="{86B740E1-02C7-4474-A114-5023B5ACED36}"/>
    <cellStyle name="Title 2" xfId="35" xr:uid="{3898386C-FF84-43AB-A2C9-E345A99AD909}"/>
    <cellStyle name="Total 2" xfId="47" xr:uid="{D1745984-61B8-4A9D-BC18-75D89C8E5877}"/>
  </cellStyles>
  <dxfs count="14">
    <dxf>
      <font>
        <b val="0"/>
        <i val="0"/>
        <strike val="0"/>
        <condense val="0"/>
        <extend val="0"/>
        <outline val="0"/>
        <shadow val="0"/>
        <u val="none"/>
        <vertAlign val="baseline"/>
        <sz val="14"/>
        <color rgb="FF000000"/>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ertAlign val="baseline"/>
        <sz val="11"/>
        <color theme="1"/>
        <name val="Calibri"/>
        <family val="2"/>
        <scheme val="minor"/>
      </font>
    </dxf>
    <dxf>
      <font>
        <b val="0"/>
        <i val="0"/>
        <strike val="0"/>
        <condense val="0"/>
        <extend val="0"/>
        <outline val="0"/>
        <shadow val="0"/>
        <u val="none"/>
        <vertAlign val="baseline"/>
        <sz val="12"/>
        <color theme="1"/>
        <name val="Calibri"/>
        <family val="2"/>
        <scheme val="minor"/>
      </font>
    </dxf>
    <dxf>
      <border outline="0">
        <top style="thin">
          <color rgb="FF7F7F7F"/>
        </top>
      </border>
    </dxf>
    <dxf>
      <font>
        <b val="0"/>
        <i val="0"/>
        <strike val="0"/>
        <condense val="0"/>
        <extend val="0"/>
        <outline val="0"/>
        <shadow val="0"/>
        <u val="none"/>
        <vertAlign val="baseline"/>
        <sz val="14"/>
        <color rgb="FF000000"/>
        <name val="Calibri"/>
        <family val="2"/>
        <scheme val="minor"/>
      </font>
      <fill>
        <patternFill>
          <bgColor theme="0"/>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4"/>
        <color rgb="FF000000"/>
        <name val="Calibri"/>
        <family val="2"/>
        <scheme val="minor"/>
      </font>
      <fill>
        <patternFill>
          <bgColor theme="0"/>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4"/>
        <color rgb="FF000000"/>
        <name val="Calibri"/>
        <family val="2"/>
        <scheme val="minor"/>
      </font>
      <fill>
        <patternFill>
          <bgColor theme="0"/>
        </patternFill>
      </fill>
    </dxf>
    <dxf>
      <font>
        <b val="0"/>
        <i val="0"/>
        <strike val="0"/>
        <condense val="0"/>
        <extend val="0"/>
        <outline val="0"/>
        <shadow val="0"/>
        <u val="none"/>
        <vertAlign val="baseline"/>
        <sz val="14"/>
        <color rgb="FF000000"/>
        <name val="Calibri"/>
        <family val="2"/>
        <scheme val="minor"/>
      </font>
      <fill>
        <patternFill>
          <bgColor theme="0"/>
        </patternFill>
      </fill>
    </dxf>
    <dxf>
      <border outline="0">
        <top style="thin">
          <color rgb="FF7F7F7F"/>
        </top>
      </border>
    </dxf>
    <dxf>
      <font>
        <b val="0"/>
        <i val="0"/>
        <strike val="0"/>
        <condense val="0"/>
        <extend val="0"/>
        <outline val="0"/>
        <shadow val="0"/>
        <u val="none"/>
        <vertAlign val="baseline"/>
        <sz val="14"/>
        <color rgb="FF000000"/>
        <name val="Calibri"/>
        <family val="2"/>
        <scheme val="minor"/>
      </font>
      <fill>
        <patternFill>
          <bgColor theme="0"/>
        </patternFill>
      </fill>
    </dxf>
    <dxf>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293</xdr:row>
      <xdr:rowOff>0</xdr:rowOff>
    </xdr:from>
    <xdr:to>
      <xdr:col>0</xdr:col>
      <xdr:colOff>304800</xdr:colOff>
      <xdr:row>294</xdr:row>
      <xdr:rowOff>121920</xdr:rowOff>
    </xdr:to>
    <xdr:sp macro="" textlink="">
      <xdr:nvSpPr>
        <xdr:cNvPr id="25601" name="pendo-image-badge-9f298f30">
          <a:extLst>
            <a:ext uri="{FF2B5EF4-FFF2-40B4-BE49-F238E27FC236}">
              <a16:creationId xmlns:a16="http://schemas.microsoft.com/office/drawing/2014/main" id="{BF022B12-5CE6-6199-F53D-9E7495481377}"/>
            </a:ext>
          </a:extLst>
        </xdr:cNvPr>
        <xdr:cNvSpPr>
          <a:spLocks noChangeAspect="1" noChangeArrowheads="1"/>
        </xdr:cNvSpPr>
      </xdr:nvSpPr>
      <xdr:spPr bwMode="auto">
        <a:xfrm>
          <a:off x="0" y="11545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148</xdr:row>
      <xdr:rowOff>0</xdr:rowOff>
    </xdr:from>
    <xdr:to>
      <xdr:col>3</xdr:col>
      <xdr:colOff>304800</xdr:colOff>
      <xdr:row>149</xdr:row>
      <xdr:rowOff>129540</xdr:rowOff>
    </xdr:to>
    <xdr:sp macro="" textlink="">
      <xdr:nvSpPr>
        <xdr:cNvPr id="1025" name="pendo-image-badge-9f298f30">
          <a:extLst>
            <a:ext uri="{FF2B5EF4-FFF2-40B4-BE49-F238E27FC236}">
              <a16:creationId xmlns:a16="http://schemas.microsoft.com/office/drawing/2014/main" id="{7599FD8E-0A12-333F-995E-4DF96917F7AB}"/>
            </a:ext>
          </a:extLst>
        </xdr:cNvPr>
        <xdr:cNvSpPr>
          <a:spLocks noChangeAspect="1" noChangeArrowheads="1"/>
        </xdr:cNvSpPr>
      </xdr:nvSpPr>
      <xdr:spPr bwMode="auto">
        <a:xfrm>
          <a:off x="4282440" y="9094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138</xdr:row>
      <xdr:rowOff>0</xdr:rowOff>
    </xdr:from>
    <xdr:to>
      <xdr:col>6</xdr:col>
      <xdr:colOff>304800</xdr:colOff>
      <xdr:row>139</xdr:row>
      <xdr:rowOff>121920</xdr:rowOff>
    </xdr:to>
    <xdr:sp macro="" textlink="">
      <xdr:nvSpPr>
        <xdr:cNvPr id="1026" name="pendo-image-badge-9f298f30">
          <a:extLst>
            <a:ext uri="{FF2B5EF4-FFF2-40B4-BE49-F238E27FC236}">
              <a16:creationId xmlns:a16="http://schemas.microsoft.com/office/drawing/2014/main" id="{A353C545-1526-05B4-A78C-8E9BC978247C}"/>
            </a:ext>
          </a:extLst>
        </xdr:cNvPr>
        <xdr:cNvSpPr>
          <a:spLocks noChangeAspect="1" noChangeArrowheads="1"/>
        </xdr:cNvSpPr>
      </xdr:nvSpPr>
      <xdr:spPr bwMode="auto">
        <a:xfrm>
          <a:off x="9006840" y="112608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138</xdr:row>
      <xdr:rowOff>0</xdr:rowOff>
    </xdr:from>
    <xdr:to>
      <xdr:col>0</xdr:col>
      <xdr:colOff>304800</xdr:colOff>
      <xdr:row>139</xdr:row>
      <xdr:rowOff>121920</xdr:rowOff>
    </xdr:to>
    <xdr:sp macro="" textlink="">
      <xdr:nvSpPr>
        <xdr:cNvPr id="1027" name="pendo-image-badge-9f298f30">
          <a:extLst>
            <a:ext uri="{FF2B5EF4-FFF2-40B4-BE49-F238E27FC236}">
              <a16:creationId xmlns:a16="http://schemas.microsoft.com/office/drawing/2014/main" id="{9A7E0E3D-F4DE-291C-F8F9-4C67D98DC4C1}"/>
            </a:ext>
          </a:extLst>
        </xdr:cNvPr>
        <xdr:cNvSpPr>
          <a:spLocks noChangeAspect="1" noChangeArrowheads="1"/>
        </xdr:cNvSpPr>
      </xdr:nvSpPr>
      <xdr:spPr bwMode="auto">
        <a:xfrm>
          <a:off x="0" y="8307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472439</xdr:colOff>
      <xdr:row>101</xdr:row>
      <xdr:rowOff>160020</xdr:rowOff>
    </xdr:from>
    <xdr:to>
      <xdr:col>4</xdr:col>
      <xdr:colOff>365759</xdr:colOff>
      <xdr:row>102</xdr:row>
      <xdr:rowOff>93345</xdr:rowOff>
    </xdr:to>
    <xdr:sp macro="" textlink="">
      <xdr:nvSpPr>
        <xdr:cNvPr id="2" name="Arrow: Left 1">
          <a:extLst>
            <a:ext uri="{FF2B5EF4-FFF2-40B4-BE49-F238E27FC236}">
              <a16:creationId xmlns:a16="http://schemas.microsoft.com/office/drawing/2014/main" id="{FB28A2AC-40A3-49B1-B37B-F4767CB2F02A}"/>
            </a:ext>
          </a:extLst>
        </xdr:cNvPr>
        <xdr:cNvSpPr/>
      </xdr:nvSpPr>
      <xdr:spPr>
        <a:xfrm rot="19686320">
          <a:off x="4663439" y="21214080"/>
          <a:ext cx="358140" cy="14287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editAs="oneCell">
    <xdr:from>
      <xdr:col>3</xdr:col>
      <xdr:colOff>594360</xdr:colOff>
      <xdr:row>101</xdr:row>
      <xdr:rowOff>99061</xdr:rowOff>
    </xdr:from>
    <xdr:to>
      <xdr:col>4</xdr:col>
      <xdr:colOff>358140</xdr:colOff>
      <xdr:row>102</xdr:row>
      <xdr:rowOff>54840</xdr:rowOff>
    </xdr:to>
    <xdr:sp macro="" textlink="">
      <xdr:nvSpPr>
        <xdr:cNvPr id="3" name="Arrow: Left 2">
          <a:extLst>
            <a:ext uri="{FF2B5EF4-FFF2-40B4-BE49-F238E27FC236}">
              <a16:creationId xmlns:a16="http://schemas.microsoft.com/office/drawing/2014/main" id="{62CBD56F-CC42-45D7-9CF6-012D0A76B2E5}"/>
            </a:ext>
          </a:extLst>
        </xdr:cNvPr>
        <xdr:cNvSpPr/>
      </xdr:nvSpPr>
      <xdr:spPr>
        <a:xfrm rot="19686320">
          <a:off x="4785360" y="21153121"/>
          <a:ext cx="358140" cy="144374"/>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editAs="oneCell">
    <xdr:from>
      <xdr:col>2</xdr:col>
      <xdr:colOff>1089660</xdr:colOff>
      <xdr:row>97</xdr:row>
      <xdr:rowOff>129540</xdr:rowOff>
    </xdr:from>
    <xdr:to>
      <xdr:col>2</xdr:col>
      <xdr:colOff>1447800</xdr:colOff>
      <xdr:row>98</xdr:row>
      <xdr:rowOff>53340</xdr:rowOff>
    </xdr:to>
    <xdr:sp macro="" textlink="">
      <xdr:nvSpPr>
        <xdr:cNvPr id="4" name="Arrow: Left 3">
          <a:extLst>
            <a:ext uri="{FF2B5EF4-FFF2-40B4-BE49-F238E27FC236}">
              <a16:creationId xmlns:a16="http://schemas.microsoft.com/office/drawing/2014/main" id="{F1902DFC-15DC-4A93-A2A5-D9DD4AB2CCF4}"/>
            </a:ext>
          </a:extLst>
        </xdr:cNvPr>
        <xdr:cNvSpPr/>
      </xdr:nvSpPr>
      <xdr:spPr>
        <a:xfrm rot="19686320">
          <a:off x="3248025" y="20421600"/>
          <a:ext cx="361950" cy="140970"/>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editAs="oneCell">
    <xdr:from>
      <xdr:col>2</xdr:col>
      <xdr:colOff>1112520</xdr:colOff>
      <xdr:row>97</xdr:row>
      <xdr:rowOff>129540</xdr:rowOff>
    </xdr:from>
    <xdr:to>
      <xdr:col>2</xdr:col>
      <xdr:colOff>1463040</xdr:colOff>
      <xdr:row>98</xdr:row>
      <xdr:rowOff>54839</xdr:rowOff>
    </xdr:to>
    <xdr:sp macro="" textlink="">
      <xdr:nvSpPr>
        <xdr:cNvPr id="5" name="Arrow: Left 4">
          <a:extLst>
            <a:ext uri="{FF2B5EF4-FFF2-40B4-BE49-F238E27FC236}">
              <a16:creationId xmlns:a16="http://schemas.microsoft.com/office/drawing/2014/main" id="{77C91678-3552-40E1-ADF4-8ACF1C30119F}"/>
            </a:ext>
          </a:extLst>
        </xdr:cNvPr>
        <xdr:cNvSpPr/>
      </xdr:nvSpPr>
      <xdr:spPr>
        <a:xfrm rot="19686320">
          <a:off x="3276600" y="20421600"/>
          <a:ext cx="352425" cy="142469"/>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editAs="oneCell">
    <xdr:from>
      <xdr:col>2</xdr:col>
      <xdr:colOff>1543050</xdr:colOff>
      <xdr:row>117</xdr:row>
      <xdr:rowOff>95250</xdr:rowOff>
    </xdr:from>
    <xdr:to>
      <xdr:col>4</xdr:col>
      <xdr:colOff>196215</xdr:colOff>
      <xdr:row>118</xdr:row>
      <xdr:rowOff>49530</xdr:rowOff>
    </xdr:to>
    <xdr:sp macro="" textlink="">
      <xdr:nvSpPr>
        <xdr:cNvPr id="6" name="Arrow: Left 5">
          <a:extLst>
            <a:ext uri="{FF2B5EF4-FFF2-40B4-BE49-F238E27FC236}">
              <a16:creationId xmlns:a16="http://schemas.microsoft.com/office/drawing/2014/main" id="{FB28A2AC-40A3-49B1-B37B-F4767CB2F02A}"/>
            </a:ext>
          </a:extLst>
        </xdr:cNvPr>
        <xdr:cNvSpPr/>
      </xdr:nvSpPr>
      <xdr:spPr>
        <a:xfrm rot="19686320">
          <a:off x="3248025" y="20421600"/>
          <a:ext cx="358140" cy="14287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editAs="oneCell">
    <xdr:from>
      <xdr:col>2</xdr:col>
      <xdr:colOff>1562100</xdr:colOff>
      <xdr:row>117</xdr:row>
      <xdr:rowOff>104775</xdr:rowOff>
    </xdr:from>
    <xdr:to>
      <xdr:col>4</xdr:col>
      <xdr:colOff>219075</xdr:colOff>
      <xdr:row>118</xdr:row>
      <xdr:rowOff>47219</xdr:rowOff>
    </xdr:to>
    <xdr:sp macro="" textlink="">
      <xdr:nvSpPr>
        <xdr:cNvPr id="7" name="Arrow: Left 6">
          <a:extLst>
            <a:ext uri="{FF2B5EF4-FFF2-40B4-BE49-F238E27FC236}">
              <a16:creationId xmlns:a16="http://schemas.microsoft.com/office/drawing/2014/main" id="{62CBD56F-CC42-45D7-9CF6-012D0A76B2E5}"/>
            </a:ext>
          </a:extLst>
        </xdr:cNvPr>
        <xdr:cNvSpPr/>
      </xdr:nvSpPr>
      <xdr:spPr>
        <a:xfrm rot="19686320">
          <a:off x="3276600" y="20421600"/>
          <a:ext cx="358140" cy="144374"/>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45720</xdr:colOff>
      <xdr:row>48</xdr:row>
      <xdr:rowOff>22860</xdr:rowOff>
    </xdr:from>
    <xdr:to>
      <xdr:col>2</xdr:col>
      <xdr:colOff>408940</xdr:colOff>
      <xdr:row>51</xdr:row>
      <xdr:rowOff>91440</xdr:rowOff>
    </xdr:to>
    <xdr:sp macro="" textlink="">
      <xdr:nvSpPr>
        <xdr:cNvPr id="2" name="Arrow: Curved Left 1">
          <a:extLst>
            <a:ext uri="{FF2B5EF4-FFF2-40B4-BE49-F238E27FC236}">
              <a16:creationId xmlns:a16="http://schemas.microsoft.com/office/drawing/2014/main" id="{548EE6C3-1293-4DFD-A051-7E84DC802535}"/>
            </a:ext>
          </a:extLst>
        </xdr:cNvPr>
        <xdr:cNvSpPr/>
      </xdr:nvSpPr>
      <xdr:spPr>
        <a:xfrm rot="10800000">
          <a:off x="5143500" y="12900660"/>
          <a:ext cx="363220" cy="1264920"/>
        </a:xfrm>
        <a:prstGeom prst="curvedLeft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solidFill>
              <a:schemeClr val="tx1"/>
            </a:solidFill>
          </a:endParaRPr>
        </a:p>
      </xdr:txBody>
    </xdr:sp>
    <xdr:clientData/>
  </xdr:twoCellAnchor>
  <xdr:twoCellAnchor editAs="oneCell">
    <xdr:from>
      <xdr:col>4</xdr:col>
      <xdr:colOff>106680</xdr:colOff>
      <xdr:row>48</xdr:row>
      <xdr:rowOff>45720</xdr:rowOff>
    </xdr:from>
    <xdr:to>
      <xdr:col>4</xdr:col>
      <xdr:colOff>480060</xdr:colOff>
      <xdr:row>51</xdr:row>
      <xdr:rowOff>144780</xdr:rowOff>
    </xdr:to>
    <xdr:sp macro="" textlink="">
      <xdr:nvSpPr>
        <xdr:cNvPr id="3" name="Arrow: Curved Down 2">
          <a:extLst>
            <a:ext uri="{FF2B5EF4-FFF2-40B4-BE49-F238E27FC236}">
              <a16:creationId xmlns:a16="http://schemas.microsoft.com/office/drawing/2014/main" id="{9E686CA7-9173-4B7D-BA97-FD2B7B242801}"/>
            </a:ext>
          </a:extLst>
        </xdr:cNvPr>
        <xdr:cNvSpPr/>
      </xdr:nvSpPr>
      <xdr:spPr>
        <a:xfrm rot="5400000">
          <a:off x="5993130" y="13384530"/>
          <a:ext cx="1295400" cy="373380"/>
        </a:xfrm>
        <a:prstGeom prst="curvedDownArrow">
          <a:avLst>
            <a:gd name="adj1" fmla="val 25000"/>
            <a:gd name="adj2" fmla="val 50000"/>
            <a:gd name="adj3" fmla="val 38452"/>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solidFill>
              <a:schemeClr val="tx1"/>
            </a:solidFill>
          </a:endParaRPr>
        </a:p>
      </xdr:txBody>
    </xdr:sp>
    <xdr:clientData/>
  </xdr:twoCellAnchor>
  <xdr:twoCellAnchor editAs="oneCell">
    <xdr:from>
      <xdr:col>3</xdr:col>
      <xdr:colOff>198120</xdr:colOff>
      <xdr:row>51</xdr:row>
      <xdr:rowOff>0</xdr:rowOff>
    </xdr:from>
    <xdr:to>
      <xdr:col>3</xdr:col>
      <xdr:colOff>358139</xdr:colOff>
      <xdr:row>51</xdr:row>
      <xdr:rowOff>248920</xdr:rowOff>
    </xdr:to>
    <xdr:sp macro="" textlink="">
      <xdr:nvSpPr>
        <xdr:cNvPr id="4" name="Arrow: Down 3">
          <a:extLst>
            <a:ext uri="{FF2B5EF4-FFF2-40B4-BE49-F238E27FC236}">
              <a16:creationId xmlns:a16="http://schemas.microsoft.com/office/drawing/2014/main" id="{78777C79-4989-4E7E-B3D8-389E7F720DF7}"/>
            </a:ext>
          </a:extLst>
        </xdr:cNvPr>
        <xdr:cNvSpPr/>
      </xdr:nvSpPr>
      <xdr:spPr>
        <a:xfrm rot="10800000">
          <a:off x="5958840" y="14074140"/>
          <a:ext cx="160019" cy="24892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Owner/Downloads/ClientFiles/OH25%20CARIB@@%20E88%20GH/01-INFO-OH25%20CARIB.xlsx" TargetMode="External"/><Relationship Id="rId1" Type="http://schemas.openxmlformats.org/officeDocument/2006/relationships/externalLinkPath" Target="/Users/Owner/Downloads/ClientFiles/OH25%20CARIB@@%20E88%20GH/01-INFO-OH25%20CARIB.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WORKFLOW (2)"/>
      <sheetName val="jobinfo(2)"/>
      <sheetName val="docs"/>
      <sheetName val="quick chklst"/>
      <sheetName val="New Files"/>
      <sheetName val="XACTIMATE"/>
      <sheetName val="ENC"/>
      <sheetName val="how2"/>
    </sheetNames>
    <sheetDataSet>
      <sheetData sheetId="0" refreshError="1"/>
      <sheetData sheetId="1" refreshError="1">
        <row r="1">
          <cell r="C1" t="str">
            <v>Carib Investment ,LLC</v>
          </cell>
          <cell r="D1"/>
          <cell r="E1"/>
          <cell r="F1"/>
          <cell r="G1"/>
          <cell r="H1"/>
        </row>
        <row r="2">
          <cell r="D2"/>
          <cell r="E2"/>
          <cell r="F2"/>
          <cell r="G2"/>
          <cell r="H2"/>
        </row>
        <row r="3">
          <cell r="E3"/>
          <cell r="F3"/>
          <cell r="G3"/>
          <cell r="H3"/>
        </row>
        <row r="4">
          <cell r="E4"/>
          <cell r="F4"/>
          <cell r="G4"/>
          <cell r="H4"/>
        </row>
        <row r="5">
          <cell r="E5"/>
          <cell r="F5"/>
          <cell r="G5"/>
          <cell r="H5"/>
        </row>
        <row r="6">
          <cell r="E6"/>
          <cell r="F6"/>
          <cell r="G6"/>
          <cell r="H6"/>
        </row>
        <row r="7">
          <cell r="E7"/>
          <cell r="F7"/>
          <cell r="G7"/>
          <cell r="H7"/>
        </row>
        <row r="8">
          <cell r="E8"/>
          <cell r="F8"/>
          <cell r="G8"/>
          <cell r="H8"/>
        </row>
        <row r="9">
          <cell r="E9"/>
          <cell r="F9"/>
          <cell r="G9"/>
          <cell r="H9"/>
        </row>
        <row r="10">
          <cell r="E10"/>
          <cell r="F10"/>
          <cell r="G10"/>
          <cell r="H10"/>
        </row>
        <row r="11">
          <cell r="D11"/>
          <cell r="E11"/>
          <cell r="F11"/>
          <cell r="H11"/>
          <cell r="I11"/>
          <cell r="J11"/>
        </row>
        <row r="12">
          <cell r="D12"/>
          <cell r="E12"/>
          <cell r="F12"/>
          <cell r="G12"/>
        </row>
        <row r="13">
          <cell r="D13"/>
          <cell r="E13"/>
          <cell r="F13"/>
          <cell r="G13"/>
          <cell r="H13"/>
          <cell r="I13"/>
        </row>
        <row r="14">
          <cell r="D14"/>
          <cell r="E14"/>
          <cell r="F14"/>
          <cell r="G14"/>
          <cell r="H14"/>
          <cell r="I14"/>
        </row>
        <row r="15">
          <cell r="D15"/>
          <cell r="E15"/>
          <cell r="F15"/>
          <cell r="G15"/>
          <cell r="H15"/>
          <cell r="I15"/>
        </row>
        <row r="16">
          <cell r="D16"/>
          <cell r="E16"/>
          <cell r="F16"/>
        </row>
        <row r="17">
          <cell r="D17"/>
          <cell r="E17"/>
          <cell r="F17"/>
        </row>
        <row r="18">
          <cell r="D18"/>
          <cell r="E18"/>
          <cell r="F18"/>
        </row>
        <row r="19">
          <cell r="D19"/>
          <cell r="E19"/>
          <cell r="F19"/>
        </row>
        <row r="20">
          <cell r="D20"/>
          <cell r="E20"/>
          <cell r="F20"/>
        </row>
        <row r="21">
          <cell r="D21"/>
          <cell r="E21"/>
          <cell r="F21"/>
        </row>
        <row r="22">
          <cell r="D22"/>
          <cell r="E22"/>
          <cell r="F22"/>
        </row>
        <row r="23">
          <cell r="D23"/>
          <cell r="E23"/>
          <cell r="F23"/>
          <cell r="G23"/>
        </row>
        <row r="24">
          <cell r="D24"/>
          <cell r="E24"/>
          <cell r="F24"/>
        </row>
        <row r="25">
          <cell r="D25"/>
          <cell r="E25"/>
          <cell r="F25"/>
        </row>
        <row r="26">
          <cell r="D26"/>
          <cell r="E26"/>
          <cell r="F26"/>
          <cell r="G26"/>
        </row>
        <row r="27">
          <cell r="D27"/>
          <cell r="E27"/>
          <cell r="F27"/>
          <cell r="G27"/>
          <cell r="H27"/>
        </row>
        <row r="28">
          <cell r="D28"/>
          <cell r="E28"/>
          <cell r="F28"/>
          <cell r="G28"/>
        </row>
        <row r="29">
          <cell r="D29"/>
          <cell r="E29"/>
          <cell r="F29"/>
          <cell r="G29"/>
        </row>
        <row r="30">
          <cell r="D30"/>
          <cell r="E30"/>
          <cell r="F30"/>
          <cell r="G30"/>
        </row>
        <row r="31">
          <cell r="D31"/>
          <cell r="E31"/>
          <cell r="F31"/>
          <cell r="G31"/>
          <cell r="H31"/>
        </row>
        <row r="32">
          <cell r="D32"/>
          <cell r="E32"/>
          <cell r="F32"/>
          <cell r="G32"/>
        </row>
        <row r="33">
          <cell r="D33"/>
          <cell r="E33"/>
          <cell r="F33"/>
          <cell r="G33"/>
          <cell r="H33"/>
        </row>
        <row r="34">
          <cell r="D34"/>
          <cell r="E34"/>
          <cell r="F34"/>
          <cell r="G34"/>
          <cell r="H34"/>
        </row>
        <row r="35">
          <cell r="D35"/>
          <cell r="E35"/>
          <cell r="F35"/>
          <cell r="G35"/>
        </row>
        <row r="36">
          <cell r="D36"/>
          <cell r="E36"/>
          <cell r="F36"/>
          <cell r="G36"/>
        </row>
        <row r="37">
          <cell r="D37"/>
          <cell r="E37"/>
          <cell r="F37"/>
          <cell r="G37"/>
          <cell r="H37"/>
        </row>
        <row r="38">
          <cell r="D38"/>
          <cell r="E38"/>
          <cell r="F38"/>
          <cell r="G38"/>
        </row>
        <row r="39">
          <cell r="D39"/>
          <cell r="E39"/>
          <cell r="F39"/>
          <cell r="G39"/>
        </row>
        <row r="40">
          <cell r="D40"/>
          <cell r="E40"/>
          <cell r="F40"/>
          <cell r="G40"/>
          <cell r="H40"/>
        </row>
        <row r="41">
          <cell r="D41"/>
          <cell r="E41"/>
          <cell r="F41"/>
          <cell r="G41"/>
        </row>
        <row r="42">
          <cell r="D42"/>
          <cell r="E42"/>
          <cell r="F42"/>
          <cell r="G42"/>
        </row>
        <row r="43">
          <cell r="D43"/>
          <cell r="E43"/>
          <cell r="F43"/>
          <cell r="G43"/>
        </row>
        <row r="44">
          <cell r="D44"/>
          <cell r="E44"/>
          <cell r="F44"/>
          <cell r="G44"/>
        </row>
        <row r="45">
          <cell r="D45"/>
          <cell r="E45"/>
          <cell r="F45"/>
          <cell r="G45"/>
          <cell r="I45" t="str">
            <v xml:space="preserve"> </v>
          </cell>
        </row>
        <row r="46">
          <cell r="D46"/>
          <cell r="E46"/>
          <cell r="F46"/>
          <cell r="G46"/>
        </row>
        <row r="47">
          <cell r="D47"/>
          <cell r="E47"/>
          <cell r="F47"/>
          <cell r="G47"/>
        </row>
        <row r="48">
          <cell r="D48"/>
          <cell r="E48"/>
          <cell r="F48"/>
          <cell r="G48"/>
        </row>
        <row r="49">
          <cell r="D49"/>
          <cell r="E49"/>
          <cell r="F49"/>
          <cell r="G49"/>
          <cell r="H49"/>
          <cell r="I49"/>
          <cell r="J49"/>
        </row>
        <row r="50">
          <cell r="D50"/>
          <cell r="E50"/>
          <cell r="F50"/>
          <cell r="G50"/>
        </row>
        <row r="51">
          <cell r="D51"/>
          <cell r="E51" t="str">
            <v>Room Sizes</v>
          </cell>
          <cell r="F51"/>
          <cell r="H51" t="str">
            <v xml:space="preserve"> AFFECTED AREA %                  AFFECTED AREA SF = </v>
          </cell>
        </row>
        <row r="52">
          <cell r="D52"/>
          <cell r="E52" t="str">
            <v>L</v>
          </cell>
          <cell r="F52" t="str">
            <v>W</v>
          </cell>
          <cell r="G52" t="str">
            <v>H</v>
          </cell>
          <cell r="H52" t="str">
            <v>WALL</v>
          </cell>
          <cell r="I52" t="str">
            <v>FLOOR</v>
          </cell>
          <cell r="J52" t="str">
            <v xml:space="preserve">CEILING </v>
          </cell>
        </row>
        <row r="53">
          <cell r="D53" t="str">
            <v>SPACER COLUMN</v>
          </cell>
          <cell r="E53">
            <v>20</v>
          </cell>
          <cell r="F53">
            <v>20</v>
          </cell>
          <cell r="G53">
            <v>10</v>
          </cell>
          <cell r="H53">
            <v>0.45</v>
          </cell>
          <cell r="I53">
            <v>0.15</v>
          </cell>
          <cell r="J53">
            <v>1</v>
          </cell>
        </row>
        <row r="54">
          <cell r="D54"/>
          <cell r="E54"/>
          <cell r="F54"/>
          <cell r="G54"/>
          <cell r="H54"/>
          <cell r="I54"/>
          <cell r="J54"/>
        </row>
        <row r="55">
          <cell r="D55"/>
          <cell r="E55"/>
          <cell r="F55"/>
          <cell r="G55"/>
          <cell r="H55"/>
          <cell r="I55"/>
          <cell r="J55"/>
        </row>
        <row r="56">
          <cell r="D56"/>
          <cell r="E56"/>
          <cell r="F56"/>
          <cell r="G56"/>
          <cell r="H56"/>
          <cell r="I56"/>
          <cell r="J56"/>
        </row>
        <row r="57">
          <cell r="D57"/>
          <cell r="E57"/>
          <cell r="F57"/>
          <cell r="G57"/>
          <cell r="H57"/>
          <cell r="I57"/>
          <cell r="J57"/>
        </row>
        <row r="58">
          <cell r="D58"/>
          <cell r="E58">
            <v>4</v>
          </cell>
          <cell r="F58">
            <v>3</v>
          </cell>
          <cell r="G58">
            <v>8</v>
          </cell>
          <cell r="H58">
            <v>0.66</v>
          </cell>
          <cell r="I58">
            <v>0.15</v>
          </cell>
          <cell r="J58">
            <v>1</v>
          </cell>
        </row>
        <row r="59">
          <cell r="D59"/>
          <cell r="E59">
            <v>12</v>
          </cell>
          <cell r="F59">
            <v>12</v>
          </cell>
          <cell r="G59">
            <v>8</v>
          </cell>
          <cell r="H59">
            <v>0.33</v>
          </cell>
          <cell r="I59">
            <v>0.15</v>
          </cell>
          <cell r="J59">
            <v>0.33</v>
          </cell>
        </row>
        <row r="60">
          <cell r="D60"/>
          <cell r="E60">
            <v>3</v>
          </cell>
          <cell r="F60">
            <v>3</v>
          </cell>
          <cell r="G60">
            <v>8</v>
          </cell>
          <cell r="H60">
            <v>0.22</v>
          </cell>
          <cell r="I60">
            <v>0.33</v>
          </cell>
          <cell r="J60">
            <v>0.33</v>
          </cell>
        </row>
        <row r="61">
          <cell r="D61"/>
          <cell r="E61"/>
          <cell r="F61"/>
          <cell r="G61"/>
          <cell r="H61"/>
          <cell r="I61"/>
        </row>
        <row r="62">
          <cell r="D62"/>
          <cell r="E62">
            <v>8</v>
          </cell>
          <cell r="F62">
            <v>3</v>
          </cell>
          <cell r="G62">
            <v>8</v>
          </cell>
          <cell r="H62">
            <v>0.66</v>
          </cell>
          <cell r="I62">
            <v>0.66</v>
          </cell>
          <cell r="J62">
            <v>1</v>
          </cell>
        </row>
        <row r="63">
          <cell r="D63"/>
          <cell r="E63">
            <v>15</v>
          </cell>
          <cell r="F63">
            <v>18</v>
          </cell>
          <cell r="G63">
            <v>8</v>
          </cell>
          <cell r="H63">
            <v>0.15</v>
          </cell>
          <cell r="I63">
            <v>1</v>
          </cell>
          <cell r="J63">
            <v>1</v>
          </cell>
        </row>
        <row r="64">
          <cell r="D64"/>
          <cell r="E64"/>
          <cell r="F64"/>
          <cell r="G64"/>
          <cell r="H64"/>
          <cell r="I64"/>
        </row>
        <row r="65">
          <cell r="D65"/>
          <cell r="E65"/>
          <cell r="F65"/>
          <cell r="G65"/>
          <cell r="H65"/>
          <cell r="I65"/>
        </row>
        <row r="66">
          <cell r="D66"/>
          <cell r="E66"/>
          <cell r="F66"/>
          <cell r="G66"/>
          <cell r="H66"/>
          <cell r="I66"/>
        </row>
        <row r="67">
          <cell r="D67"/>
          <cell r="E67"/>
          <cell r="F67"/>
          <cell r="G67"/>
          <cell r="H67"/>
          <cell r="I67"/>
        </row>
        <row r="68">
          <cell r="D68"/>
          <cell r="E68"/>
          <cell r="F68"/>
          <cell r="G68"/>
          <cell r="H68"/>
          <cell r="I68"/>
        </row>
        <row r="69">
          <cell r="D69"/>
          <cell r="E69"/>
          <cell r="F69"/>
          <cell r="G69"/>
          <cell r="H69"/>
          <cell r="I69"/>
        </row>
        <row r="70">
          <cell r="D70"/>
          <cell r="E70"/>
          <cell r="F70"/>
          <cell r="G70"/>
          <cell r="H70"/>
          <cell r="I70"/>
        </row>
        <row r="71">
          <cell r="D71"/>
          <cell r="E71"/>
          <cell r="F71"/>
          <cell r="G71"/>
          <cell r="H71"/>
        </row>
        <row r="72">
          <cell r="D72"/>
          <cell r="E72"/>
          <cell r="F72"/>
          <cell r="G72"/>
          <cell r="H72"/>
        </row>
        <row r="73">
          <cell r="D73"/>
          <cell r="E73"/>
          <cell r="F73"/>
          <cell r="G73"/>
          <cell r="H73"/>
        </row>
        <row r="74">
          <cell r="D74"/>
          <cell r="E74"/>
          <cell r="F74"/>
          <cell r="G74"/>
          <cell r="H74"/>
        </row>
        <row r="75">
          <cell r="D75"/>
          <cell r="E75"/>
          <cell r="F75"/>
          <cell r="G75"/>
          <cell r="H75"/>
        </row>
        <row r="76">
          <cell r="D76"/>
          <cell r="E76"/>
          <cell r="F76"/>
          <cell r="G76"/>
          <cell r="H76"/>
        </row>
        <row r="77">
          <cell r="D77"/>
          <cell r="E77"/>
          <cell r="F77"/>
          <cell r="G77"/>
          <cell r="H77"/>
        </row>
        <row r="78">
          <cell r="D78"/>
          <cell r="E78"/>
          <cell r="F78"/>
          <cell r="G78"/>
          <cell r="H78"/>
        </row>
        <row r="79">
          <cell r="D79"/>
          <cell r="E79"/>
          <cell r="F79"/>
          <cell r="G79"/>
        </row>
        <row r="80">
          <cell r="D80"/>
          <cell r="E80"/>
          <cell r="F80"/>
          <cell r="G80"/>
          <cell r="H80"/>
        </row>
        <row r="81">
          <cell r="D81"/>
          <cell r="E81"/>
          <cell r="F81"/>
          <cell r="G81"/>
          <cell r="H81"/>
        </row>
        <row r="82">
          <cell r="D82"/>
          <cell r="E82"/>
          <cell r="F82"/>
          <cell r="G82"/>
          <cell r="H82"/>
        </row>
        <row r="83">
          <cell r="D83"/>
          <cell r="E83"/>
          <cell r="F83"/>
          <cell r="G83"/>
          <cell r="H83"/>
        </row>
        <row r="84">
          <cell r="D84"/>
          <cell r="E84"/>
          <cell r="F84"/>
          <cell r="G84"/>
        </row>
        <row r="85">
          <cell r="D85"/>
          <cell r="E85"/>
          <cell r="F85"/>
          <cell r="G85"/>
        </row>
        <row r="86">
          <cell r="D86"/>
          <cell r="E86"/>
          <cell r="F86"/>
          <cell r="G86"/>
        </row>
        <row r="87">
          <cell r="D87"/>
          <cell r="E87"/>
          <cell r="F87"/>
          <cell r="G87"/>
        </row>
        <row r="88">
          <cell r="D88"/>
          <cell r="E88"/>
          <cell r="F88"/>
          <cell r="G88"/>
        </row>
        <row r="89">
          <cell r="D89"/>
          <cell r="E89"/>
          <cell r="F89"/>
          <cell r="G89"/>
        </row>
        <row r="90">
          <cell r="D90"/>
          <cell r="E90"/>
          <cell r="F90"/>
          <cell r="G90"/>
        </row>
        <row r="91">
          <cell r="D91"/>
          <cell r="E91"/>
          <cell r="F91"/>
          <cell r="G91"/>
        </row>
        <row r="92">
          <cell r="D92"/>
          <cell r="E92"/>
          <cell r="F92"/>
          <cell r="G92"/>
        </row>
        <row r="93">
          <cell r="D93"/>
          <cell r="E93"/>
          <cell r="F93"/>
          <cell r="G93"/>
        </row>
        <row r="94">
          <cell r="D94"/>
          <cell r="E94"/>
          <cell r="F94"/>
          <cell r="G94"/>
        </row>
        <row r="95">
          <cell r="D95"/>
          <cell r="E95"/>
          <cell r="F95"/>
        </row>
        <row r="96">
          <cell r="D96"/>
          <cell r="E96"/>
          <cell r="F96"/>
        </row>
        <row r="97">
          <cell r="D97"/>
          <cell r="E97"/>
          <cell r="F97"/>
        </row>
        <row r="98">
          <cell r="D98"/>
          <cell r="E98"/>
          <cell r="F98"/>
        </row>
        <row r="99">
          <cell r="D99"/>
          <cell r="E99"/>
          <cell r="F99"/>
        </row>
        <row r="100">
          <cell r="D100"/>
          <cell r="F100"/>
          <cell r="G100"/>
          <cell r="H100"/>
          <cell r="I100"/>
          <cell r="J100"/>
        </row>
        <row r="101">
          <cell r="D101"/>
          <cell r="E101"/>
          <cell r="F101"/>
          <cell r="H101"/>
          <cell r="J101"/>
        </row>
        <row r="102">
          <cell r="D102"/>
          <cell r="E102"/>
          <cell r="F102"/>
          <cell r="G102"/>
          <cell r="H102"/>
          <cell r="J102"/>
        </row>
        <row r="103">
          <cell r="D103"/>
          <cell r="E103"/>
          <cell r="F103"/>
          <cell r="G103"/>
          <cell r="J103"/>
        </row>
        <row r="104">
          <cell r="D104"/>
          <cell r="F104"/>
          <cell r="G104"/>
          <cell r="J104"/>
        </row>
        <row r="105">
          <cell r="D105"/>
          <cell r="F105"/>
          <cell r="G105"/>
          <cell r="H105"/>
          <cell r="J105"/>
        </row>
        <row r="106">
          <cell r="D106"/>
          <cell r="F106"/>
          <cell r="G106"/>
          <cell r="H106"/>
          <cell r="J106"/>
        </row>
        <row r="107">
          <cell r="D107"/>
          <cell r="E107"/>
          <cell r="F107"/>
          <cell r="G107"/>
          <cell r="H107"/>
          <cell r="J107"/>
        </row>
        <row r="108">
          <cell r="D108"/>
          <cell r="E108"/>
          <cell r="F108"/>
          <cell r="G108"/>
          <cell r="H108"/>
          <cell r="J108"/>
        </row>
        <row r="109">
          <cell r="D109"/>
          <cell r="E109"/>
          <cell r="F109"/>
          <cell r="G109"/>
          <cell r="H109"/>
          <cell r="I109"/>
          <cell r="J109"/>
        </row>
        <row r="110">
          <cell r="D110"/>
          <cell r="E110"/>
          <cell r="F110"/>
          <cell r="J110"/>
        </row>
        <row r="111">
          <cell r="D111"/>
          <cell r="E111"/>
          <cell r="F111"/>
          <cell r="G111"/>
          <cell r="H111"/>
          <cell r="J111"/>
        </row>
        <row r="112">
          <cell r="D112"/>
          <cell r="E112"/>
          <cell r="F112"/>
          <cell r="G112"/>
          <cell r="H112"/>
          <cell r="J112"/>
        </row>
        <row r="113">
          <cell r="D113"/>
          <cell r="E113"/>
          <cell r="F113"/>
          <cell r="G113"/>
          <cell r="H113"/>
          <cell r="J113"/>
        </row>
        <row r="114">
          <cell r="D114"/>
          <cell r="E114"/>
          <cell r="F114"/>
          <cell r="G114"/>
          <cell r="H114"/>
          <cell r="J114"/>
        </row>
        <row r="115">
          <cell r="D115"/>
          <cell r="E115"/>
          <cell r="F115"/>
          <cell r="G115"/>
          <cell r="J115"/>
        </row>
        <row r="116">
          <cell r="D116"/>
          <cell r="E116"/>
          <cell r="F116"/>
          <cell r="G116"/>
          <cell r="H116"/>
          <cell r="J116"/>
        </row>
        <row r="117">
          <cell r="D117"/>
          <cell r="E117"/>
          <cell r="F117"/>
          <cell r="J117"/>
        </row>
        <row r="118">
          <cell r="D118"/>
          <cell r="E118"/>
          <cell r="F118"/>
          <cell r="G118"/>
          <cell r="J118" t="str">
            <v>ALE</v>
          </cell>
        </row>
        <row r="119">
          <cell r="D119"/>
          <cell r="E119"/>
          <cell r="F119"/>
          <cell r="G119"/>
          <cell r="J119"/>
        </row>
        <row r="120">
          <cell r="D120"/>
          <cell r="E120"/>
          <cell r="F120"/>
          <cell r="G120"/>
          <cell r="J120"/>
        </row>
        <row r="121">
          <cell r="D121"/>
          <cell r="E121"/>
          <cell r="F121"/>
          <cell r="G121"/>
          <cell r="J121"/>
        </row>
        <row r="122">
          <cell r="D122"/>
          <cell r="E122"/>
          <cell r="F122"/>
          <cell r="G122"/>
        </row>
        <row r="123">
          <cell r="D123"/>
          <cell r="E123"/>
          <cell r="F123"/>
          <cell r="G123"/>
        </row>
        <row r="124">
          <cell r="D124"/>
          <cell r="E124"/>
          <cell r="F124"/>
          <cell r="G124"/>
        </row>
        <row r="125">
          <cell r="D125"/>
          <cell r="E125"/>
          <cell r="F125"/>
          <cell r="G125"/>
        </row>
        <row r="126">
          <cell r="D126"/>
          <cell r="E126"/>
          <cell r="F126"/>
        </row>
        <row r="127">
          <cell r="D127"/>
          <cell r="E127"/>
          <cell r="F127"/>
        </row>
        <row r="128">
          <cell r="D128"/>
          <cell r="E128"/>
          <cell r="F128"/>
        </row>
        <row r="129">
          <cell r="D129"/>
          <cell r="E129"/>
          <cell r="F129"/>
        </row>
        <row r="130">
          <cell r="D130"/>
          <cell r="E130"/>
          <cell r="F130"/>
        </row>
        <row r="131">
          <cell r="D131"/>
          <cell r="E131"/>
          <cell r="F131"/>
          <cell r="J131" t="str">
            <v>ALE</v>
          </cell>
        </row>
        <row r="132">
          <cell r="D132"/>
          <cell r="E132"/>
          <cell r="F132"/>
        </row>
        <row r="133">
          <cell r="D133"/>
          <cell r="E133"/>
          <cell r="F133"/>
        </row>
        <row r="134">
          <cell r="D134"/>
          <cell r="E134"/>
          <cell r="F134"/>
        </row>
        <row r="135">
          <cell r="D135"/>
          <cell r="E135"/>
          <cell r="F135"/>
        </row>
        <row r="136">
          <cell r="D136"/>
          <cell r="E136"/>
          <cell r="F136"/>
        </row>
        <row r="137">
          <cell r="D137"/>
          <cell r="E137"/>
          <cell r="F137"/>
        </row>
        <row r="138">
          <cell r="D138"/>
          <cell r="E138"/>
          <cell r="F138"/>
        </row>
        <row r="139">
          <cell r="D139"/>
          <cell r="E139"/>
          <cell r="F139"/>
        </row>
        <row r="140">
          <cell r="D140"/>
          <cell r="E140"/>
          <cell r="F140"/>
        </row>
        <row r="141">
          <cell r="D141"/>
          <cell r="E141"/>
          <cell r="F141"/>
        </row>
        <row r="142">
          <cell r="D142"/>
          <cell r="E142"/>
          <cell r="F142"/>
        </row>
        <row r="143">
          <cell r="D143"/>
          <cell r="E143"/>
          <cell r="F143"/>
        </row>
        <row r="144">
          <cell r="D144"/>
          <cell r="E144"/>
          <cell r="F144"/>
        </row>
        <row r="145">
          <cell r="D145"/>
          <cell r="E145"/>
          <cell r="F145"/>
        </row>
        <row r="146">
          <cell r="D146"/>
          <cell r="E146"/>
          <cell r="F146"/>
        </row>
        <row r="147">
          <cell r="D147"/>
          <cell r="E147"/>
          <cell r="F147"/>
        </row>
        <row r="148">
          <cell r="D148"/>
          <cell r="E148"/>
          <cell r="F148"/>
        </row>
        <row r="149">
          <cell r="D149"/>
          <cell r="E149"/>
          <cell r="F149"/>
        </row>
        <row r="150">
          <cell r="D150"/>
          <cell r="E150"/>
          <cell r="F150"/>
        </row>
        <row r="151">
          <cell r="D151"/>
          <cell r="E151"/>
          <cell r="F151"/>
        </row>
        <row r="152">
          <cell r="D152"/>
          <cell r="E152"/>
          <cell r="F152"/>
        </row>
        <row r="153">
          <cell r="D153"/>
          <cell r="E153"/>
          <cell r="F153"/>
        </row>
        <row r="154">
          <cell r="D154"/>
          <cell r="E154"/>
          <cell r="F154"/>
        </row>
        <row r="155">
          <cell r="D155"/>
          <cell r="E155"/>
          <cell r="F155"/>
        </row>
        <row r="156">
          <cell r="D156"/>
          <cell r="E156"/>
          <cell r="F156"/>
        </row>
        <row r="157">
          <cell r="D157"/>
          <cell r="E157"/>
          <cell r="F157"/>
        </row>
        <row r="158">
          <cell r="D158"/>
          <cell r="E158"/>
          <cell r="F158"/>
        </row>
      </sheetData>
      <sheetData sheetId="2" refreshError="1"/>
      <sheetData sheetId="3" refreshError="1"/>
      <sheetData sheetId="4" refreshError="1"/>
      <sheetData sheetId="5" refreshError="1"/>
      <sheetData sheetId="6" refreshError="1"/>
      <sheetData sheetId="7"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2FED94-B010-4C73-A74B-BAD3E06D4C3B}" name="Table2" displayName="Table2" ref="C18:F31" headerRowCount="0" totalsRowShown="0" headerRowDxfId="13" dataDxfId="12" tableBorderDxfId="11">
  <tableColumns count="4">
    <tableColumn id="1" xr3:uid="{E38E3232-0B54-42A1-808F-CFA24A09FBF8}" name="Column1" dataDxfId="10"/>
    <tableColumn id="4" xr3:uid="{475CA54A-93A0-4BE2-9D67-C7F03EBDAF8E}" name="Column4" dataDxfId="9"/>
    <tableColumn id="2" xr3:uid="{F80675D5-EBB0-41FA-84EF-DDB8980F2CAD}" name="Column2" headerRowDxfId="8" dataDxfId="7"/>
    <tableColumn id="3" xr3:uid="{6E3A6AA2-E442-47C9-95A3-AAE69E7F0EE4}" name="Column3" headerRowDxfId="6" dataDxfId="5"/>
  </tableColumns>
  <tableStyleInfo name="TableStyleLight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0DA5E-5072-44DB-BC3D-175CA2020207}" name="Table3" displayName="Table3" ref="A3:D16" totalsRowShown="0" tableBorderDxfId="4">
  <autoFilter ref="A3:D16" xr:uid="{A99EA4BA-AB56-4382-AEF7-53CF4C899ACE}"/>
  <tableColumns count="4">
    <tableColumn id="1" xr3:uid="{0CA8ADB4-D408-4B3C-BDF5-9077B51B8A2B}" name="HMR" dataDxfId="3"/>
    <tableColumn id="2" xr3:uid="{6309E6BC-4854-47B8-9B50-DDAD03A7ADD4}" name="AREA IMPACTED" dataDxfId="2"/>
    <tableColumn id="3" xr3:uid="{643EE7B8-411A-4373-8D53-0ABFF76F7FF5}" name="Action Needed"/>
    <tableColumn id="4" xr3:uid="{6FC2C04D-6573-4F88-A328-4872E36269A7}" name="SURVEY &amp; samples" dataDxfId="1"/>
  </tableColumns>
  <tableStyleInfo name="TableStyleLight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71FF6AA-593E-4D13-B38B-13C0A8E3B8AF}" name="Table24" displayName="Table24" ref="C8:D27" totalsRowShown="0">
  <autoFilter ref="C8:D27" xr:uid="{10EC4480-E2E1-4E6F-8B42-9694B1F5DD3A}"/>
  <tableColumns count="2">
    <tableColumn id="1" xr3:uid="{6F4F6616-ABFD-4B95-AC10-5F3CE951AA2B}" name="Caulk Failure" dataDxfId="0"/>
    <tableColumn id="2" xr3:uid="{60EB38A3-43E3-42F4-864C-761BDD1E5C63}" name="Column2"/>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ddevonJohnson@gmail.com" TargetMode="External"/><Relationship Id="rId2" Type="http://schemas.openxmlformats.org/officeDocument/2006/relationships/hyperlink" Target="mailto:wsbjoe9@gmail.com" TargetMode="External"/><Relationship Id="rId1" Type="http://schemas.openxmlformats.org/officeDocument/2006/relationships/hyperlink" Target="mailto:info@myapcllc.com" TargetMode="External"/><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https://www.notus.org/florida/citizens-hurricane-debby-claim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C5F5C-DDEF-4681-8193-716ECD1E991D}">
  <sheetPr codeName="Sheet8">
    <tabColor rgb="FFFFFF00"/>
  </sheetPr>
  <dimension ref="A1:BA138"/>
  <sheetViews>
    <sheetView tabSelected="1" view="pageBreakPreview" zoomScaleNormal="100" zoomScaleSheetLayoutView="100" workbookViewId="0">
      <selection activeCell="D5" sqref="D5"/>
    </sheetView>
  </sheetViews>
  <sheetFormatPr defaultColWidth="5.28515625" defaultRowHeight="28.15" customHeight="1"/>
  <cols>
    <col min="1" max="1" width="2.42578125" style="646" customWidth="1"/>
    <col min="2" max="2" width="11.7109375" style="488" customWidth="1"/>
    <col min="3" max="3" width="6.42578125" style="148" customWidth="1"/>
    <col min="4" max="5" width="7.28515625" style="148" customWidth="1"/>
    <col min="6" max="6" width="6.28515625" customWidth="1"/>
    <col min="7" max="18" width="7.28515625" customWidth="1"/>
    <col min="19" max="19" width="6.5703125" customWidth="1"/>
    <col min="21" max="21" width="1.85546875" customWidth="1"/>
    <col min="22" max="22" width="21.42578125" customWidth="1"/>
    <col min="23" max="23" width="10.7109375" style="352" customWidth="1"/>
    <col min="24" max="24" width="1.28515625" customWidth="1"/>
    <col min="25" max="25" width="17.42578125" customWidth="1"/>
    <col min="26" max="26" width="10.7109375" customWidth="1"/>
    <col min="27" max="27" width="9.42578125" customWidth="1"/>
    <col min="28" max="28" width="14.28515625" customWidth="1"/>
    <col min="29" max="29" width="11.7109375" customWidth="1"/>
    <col min="30" max="30" width="1.42578125" customWidth="1"/>
    <col min="31" max="31" width="7.7109375" customWidth="1"/>
    <col min="32" max="32" width="6" customWidth="1"/>
    <col min="33" max="33" width="6.7109375" customWidth="1"/>
    <col min="35" max="35" width="6.5703125" customWidth="1"/>
    <col min="36" max="36" width="7.28515625" customWidth="1"/>
    <col min="42" max="42" width="7.7109375" customWidth="1"/>
  </cols>
  <sheetData>
    <row r="1" spans="1:23" ht="22.15" customHeight="1">
      <c r="A1" s="978" t="s">
        <v>0</v>
      </c>
      <c r="B1" s="979"/>
      <c r="C1" s="979"/>
      <c r="D1" s="992" t="str">
        <f>+'jobinfo(2)'!$C$1</f>
        <v>Hatten, Nedra</v>
      </c>
      <c r="E1" s="992"/>
      <c r="F1" s="992"/>
      <c r="G1" s="993" t="str">
        <f>+'jobinfo(2)'!$C$2</f>
        <v>628 Quilliams Road</v>
      </c>
      <c r="H1" s="993"/>
      <c r="I1" s="993"/>
      <c r="J1" s="993"/>
      <c r="K1" s="993"/>
      <c r="L1" s="371" t="str">
        <f>'jobinfo(2)'!L53</f>
        <v>FLOOR1 DN</v>
      </c>
      <c r="O1" s="706" t="str">
        <f>'jobinfo(2)'!$C$11</f>
        <v>BATHTUB OVERFLOW</v>
      </c>
      <c r="P1" s="129" t="str">
        <f>'jobinfo(2)'!$C$26</f>
        <v>LIBERTY MUTUAL</v>
      </c>
      <c r="R1" s="977" t="str">
        <f>'jobinfo(2)'!C27</f>
        <v>#059633981</v>
      </c>
      <c r="S1" s="977"/>
      <c r="W1" s="759"/>
    </row>
    <row r="2" spans="1:23" s="602" customFormat="1" ht="30" customHeight="1">
      <c r="A2" s="980">
        <f>+'jobinfo(2)'!A53</f>
        <v>1</v>
      </c>
      <c r="B2" s="982" t="str">
        <f>+'jobinfo(2)'!C53</f>
        <v xml:space="preserve">  LIVING ROOM  </v>
      </c>
      <c r="C2" s="830" t="s">
        <v>1</v>
      </c>
      <c r="D2" s="831" t="s">
        <v>2</v>
      </c>
      <c r="E2" s="837" t="s">
        <v>3</v>
      </c>
      <c r="F2" s="831" t="s">
        <v>4</v>
      </c>
      <c r="G2" s="838" t="s">
        <v>5</v>
      </c>
      <c r="H2" s="832" t="s">
        <v>6</v>
      </c>
      <c r="I2" s="839" t="s">
        <v>7</v>
      </c>
      <c r="J2" s="831" t="s">
        <v>4</v>
      </c>
      <c r="K2" s="838" t="s">
        <v>8</v>
      </c>
      <c r="L2" s="832" t="s">
        <v>9</v>
      </c>
      <c r="M2" s="832" t="s">
        <v>10</v>
      </c>
      <c r="N2" s="833" t="s">
        <v>11</v>
      </c>
      <c r="O2" s="838" t="s">
        <v>12</v>
      </c>
      <c r="P2" s="832" t="s">
        <v>10</v>
      </c>
      <c r="Q2" s="839" t="s">
        <v>13</v>
      </c>
      <c r="R2" s="832" t="s">
        <v>14</v>
      </c>
      <c r="S2" s="838" t="s">
        <v>10</v>
      </c>
      <c r="T2" s="147"/>
      <c r="U2" s="827"/>
      <c r="V2" s="827"/>
      <c r="W2" s="828"/>
    </row>
    <row r="3" spans="1:23" ht="25.5" customHeight="1">
      <c r="A3" s="981"/>
      <c r="B3" s="983"/>
      <c r="C3" s="834"/>
      <c r="D3" s="835"/>
      <c r="E3" s="836"/>
      <c r="F3" s="835"/>
      <c r="G3" s="834"/>
      <c r="H3" s="835"/>
      <c r="I3" s="836"/>
      <c r="J3" s="835"/>
      <c r="K3" s="834"/>
      <c r="L3" s="835"/>
      <c r="M3" s="836"/>
      <c r="N3" s="835"/>
      <c r="O3" s="834"/>
      <c r="P3" s="835"/>
      <c r="Q3" s="836"/>
      <c r="R3" s="835"/>
      <c r="S3" s="836"/>
      <c r="T3" s="147"/>
      <c r="U3" s="147"/>
      <c r="V3" s="147"/>
      <c r="W3" s="829"/>
    </row>
    <row r="4" spans="1:23" ht="25.5" customHeight="1">
      <c r="A4" s="787" t="s">
        <v>15</v>
      </c>
      <c r="C4" s="834"/>
      <c r="D4" s="835"/>
      <c r="E4" s="836"/>
      <c r="F4" s="835"/>
      <c r="G4" s="834"/>
      <c r="H4" s="835"/>
      <c r="I4" s="853"/>
      <c r="J4" s="835"/>
      <c r="K4" s="834"/>
      <c r="L4" s="835"/>
      <c r="M4" s="836"/>
      <c r="N4" s="835"/>
      <c r="O4" s="834"/>
      <c r="P4" s="835"/>
      <c r="Q4" s="836"/>
      <c r="R4" s="835"/>
      <c r="S4" s="836"/>
      <c r="T4" s="355"/>
      <c r="U4" s="355"/>
      <c r="V4" s="147"/>
      <c r="W4" s="829"/>
    </row>
    <row r="5" spans="1:23" ht="25.5" customHeight="1">
      <c r="A5" s="980">
        <f>+'jobinfo(2)'!A54</f>
        <v>2</v>
      </c>
      <c r="B5" s="982" t="str">
        <f>+'jobinfo(2)'!C54</f>
        <v xml:space="preserve">  DINING ROOM  </v>
      </c>
      <c r="C5" s="840" t="str">
        <f>C2</f>
        <v>CLG</v>
      </c>
      <c r="D5" s="831" t="str">
        <f>D2</f>
        <v>LIT/ ELE / SD /ETC</v>
      </c>
      <c r="E5" s="840" t="str">
        <f t="shared" ref="E5:S5" si="0">E2</f>
        <v>HVC/ CRN / AVG</v>
      </c>
      <c r="F5" s="840" t="str">
        <f t="shared" si="0"/>
        <v>MISC / INS</v>
      </c>
      <c r="G5" s="840" t="str">
        <f t="shared" si="0"/>
        <v>WALL</v>
      </c>
      <c r="H5" s="840" t="str">
        <f t="shared" si="0"/>
        <v>ELE</v>
      </c>
      <c r="I5" s="840" t="str">
        <f t="shared" si="0"/>
        <v>HVC / INS</v>
      </c>
      <c r="J5" s="840" t="str">
        <f t="shared" si="0"/>
        <v>MISC / INS</v>
      </c>
      <c r="K5" s="840" t="str">
        <f t="shared" si="0"/>
        <v>FLR</v>
      </c>
      <c r="L5" s="840" t="str">
        <f t="shared" si="0"/>
        <v>BB</v>
      </c>
      <c r="M5" s="840" t="str">
        <f t="shared" si="0"/>
        <v>MISC</v>
      </c>
      <c r="N5" s="840" t="str">
        <f t="shared" si="0"/>
        <v>DOR</v>
      </c>
      <c r="O5" s="840" t="str">
        <f t="shared" si="0"/>
        <v>OPEN</v>
      </c>
      <c r="P5" s="840" t="str">
        <f t="shared" si="0"/>
        <v>MISC</v>
      </c>
      <c r="Q5" s="841" t="str">
        <f t="shared" si="0"/>
        <v>WINDOW</v>
      </c>
      <c r="R5" s="840" t="str">
        <f t="shared" si="0"/>
        <v>WDT</v>
      </c>
      <c r="S5" s="840" t="str">
        <f t="shared" si="0"/>
        <v>MISC</v>
      </c>
      <c r="T5" s="842"/>
      <c r="U5" s="842"/>
      <c r="V5" s="843"/>
      <c r="W5" s="829"/>
    </row>
    <row r="6" spans="1:23" ht="25.5" customHeight="1">
      <c r="A6" s="981"/>
      <c r="B6" s="983"/>
      <c r="C6" s="834"/>
      <c r="D6" s="835"/>
      <c r="E6" s="836"/>
      <c r="F6" s="835"/>
      <c r="G6" s="834"/>
      <c r="H6" s="835"/>
      <c r="I6" s="836"/>
      <c r="J6" s="835"/>
      <c r="K6" s="834"/>
      <c r="L6" s="834"/>
      <c r="M6" s="836"/>
      <c r="N6" s="835"/>
      <c r="O6" s="834"/>
      <c r="P6" s="835"/>
      <c r="Q6" s="836"/>
      <c r="R6" s="835"/>
      <c r="S6" s="836"/>
      <c r="T6" s="147"/>
      <c r="U6" s="147"/>
      <c r="V6" s="147"/>
      <c r="W6" s="829"/>
    </row>
    <row r="7" spans="1:23" ht="25.5" customHeight="1">
      <c r="A7" s="787" t="s">
        <v>15</v>
      </c>
      <c r="B7" s="784"/>
      <c r="C7" s="834"/>
      <c r="D7" s="835"/>
      <c r="E7" s="836"/>
      <c r="F7" s="835"/>
      <c r="G7" s="834"/>
      <c r="H7" s="835"/>
      <c r="I7" s="836"/>
      <c r="J7" s="835"/>
      <c r="K7" s="834"/>
      <c r="L7" s="834"/>
      <c r="M7" s="836"/>
      <c r="N7" s="835"/>
      <c r="O7" s="834"/>
      <c r="P7" s="835"/>
      <c r="Q7" s="836"/>
      <c r="R7" s="835"/>
      <c r="S7" s="849"/>
      <c r="T7" s="147"/>
      <c r="U7" s="147"/>
      <c r="V7" s="147"/>
      <c r="W7" s="829"/>
    </row>
    <row r="8" spans="1:23" ht="25.5" customHeight="1">
      <c r="A8" s="980">
        <f>+'jobinfo(2)'!A55</f>
        <v>3</v>
      </c>
      <c r="B8" s="988" t="str">
        <f>+'jobinfo(2)'!C55</f>
        <v xml:space="preserve">  KITCHEN  </v>
      </c>
      <c r="C8" s="840" t="str">
        <f>C5</f>
        <v>CLG</v>
      </c>
      <c r="D8" s="831" t="str">
        <f>D5</f>
        <v>LIT/ ELE / SD /ETC</v>
      </c>
      <c r="E8" s="840" t="str">
        <f t="shared" ref="E8:S8" si="1">E5</f>
        <v>HVC/ CRN / AVG</v>
      </c>
      <c r="F8" s="840" t="str">
        <f t="shared" si="1"/>
        <v>MISC / INS</v>
      </c>
      <c r="G8" s="840" t="str">
        <f t="shared" si="1"/>
        <v>WALL</v>
      </c>
      <c r="H8" s="840" t="str">
        <f t="shared" si="1"/>
        <v>ELE</v>
      </c>
      <c r="I8" s="840" t="str">
        <f t="shared" si="1"/>
        <v>HVC / INS</v>
      </c>
      <c r="J8" s="840" t="str">
        <f t="shared" si="1"/>
        <v>MISC / INS</v>
      </c>
      <c r="K8" s="840" t="str">
        <f t="shared" si="1"/>
        <v>FLR</v>
      </c>
      <c r="L8" s="840" t="str">
        <f t="shared" si="1"/>
        <v>BB</v>
      </c>
      <c r="M8" s="840" t="str">
        <f t="shared" si="1"/>
        <v>MISC</v>
      </c>
      <c r="N8" s="840" t="str">
        <f t="shared" si="1"/>
        <v>DOR</v>
      </c>
      <c r="O8" s="840" t="str">
        <f t="shared" si="1"/>
        <v>OPEN</v>
      </c>
      <c r="P8" s="840" t="str">
        <f t="shared" si="1"/>
        <v>MISC</v>
      </c>
      <c r="Q8" s="841" t="str">
        <f t="shared" si="1"/>
        <v>WINDOW</v>
      </c>
      <c r="R8" s="840" t="str">
        <f t="shared" si="1"/>
        <v>WDT</v>
      </c>
      <c r="S8" s="840" t="str">
        <f t="shared" si="1"/>
        <v>MISC</v>
      </c>
      <c r="T8" s="147"/>
      <c r="U8" s="147"/>
      <c r="V8" s="147"/>
      <c r="W8" s="829"/>
    </row>
    <row r="9" spans="1:23" ht="25.5" customHeight="1">
      <c r="A9" s="981"/>
      <c r="B9" s="989"/>
      <c r="C9" s="834"/>
      <c r="D9" s="835"/>
      <c r="E9" s="836"/>
      <c r="F9" s="835"/>
      <c r="G9" s="834"/>
      <c r="H9" s="835"/>
      <c r="I9" s="836"/>
      <c r="J9" s="835"/>
      <c r="K9" s="834"/>
      <c r="L9" s="835"/>
      <c r="M9" s="836"/>
      <c r="N9" s="835"/>
      <c r="O9" s="834"/>
      <c r="P9" s="835"/>
      <c r="Q9" s="836"/>
      <c r="R9" s="835"/>
      <c r="S9" s="836"/>
      <c r="T9" s="147"/>
      <c r="U9" s="147"/>
      <c r="V9" s="147"/>
      <c r="W9" s="829"/>
    </row>
    <row r="10" spans="1:23" ht="25.5" customHeight="1">
      <c r="A10" s="787" t="s">
        <v>15</v>
      </c>
      <c r="B10" s="784"/>
      <c r="C10" s="834"/>
      <c r="D10" s="835"/>
      <c r="E10" s="836"/>
      <c r="F10" s="835"/>
      <c r="G10" s="834"/>
      <c r="H10" s="835"/>
      <c r="I10" s="836"/>
      <c r="J10" s="835"/>
      <c r="K10" s="834"/>
      <c r="L10" s="835"/>
      <c r="M10" s="836"/>
      <c r="N10" s="835"/>
      <c r="O10" s="834"/>
      <c r="P10" s="835"/>
      <c r="Q10" s="836"/>
      <c r="R10" s="835"/>
      <c r="S10" s="836"/>
      <c r="T10" s="355"/>
      <c r="U10" s="355"/>
      <c r="V10" s="147"/>
      <c r="W10" s="829"/>
    </row>
    <row r="11" spans="1:23" ht="25.5" customHeight="1">
      <c r="A11" s="980">
        <f>+'jobinfo(2)'!A56</f>
        <v>4</v>
      </c>
      <c r="B11" s="988" t="str">
        <f>+'jobinfo(2)'!C56</f>
        <v xml:space="preserve">  HALL FLR1  </v>
      </c>
      <c r="C11" s="840" t="str">
        <f>C8</f>
        <v>CLG</v>
      </c>
      <c r="D11" s="831" t="str">
        <f>D8</f>
        <v>LIT/ ELE / SD /ETC</v>
      </c>
      <c r="E11" s="840" t="str">
        <f t="shared" ref="E11:S11" si="2">E8</f>
        <v>HVC/ CRN / AVG</v>
      </c>
      <c r="F11" s="840" t="str">
        <f t="shared" si="2"/>
        <v>MISC / INS</v>
      </c>
      <c r="G11" s="840" t="str">
        <f t="shared" si="2"/>
        <v>WALL</v>
      </c>
      <c r="H11" s="840" t="str">
        <f t="shared" si="2"/>
        <v>ELE</v>
      </c>
      <c r="I11" s="840" t="str">
        <f t="shared" si="2"/>
        <v>HVC / INS</v>
      </c>
      <c r="J11" s="840" t="str">
        <f t="shared" si="2"/>
        <v>MISC / INS</v>
      </c>
      <c r="K11" s="840" t="str">
        <f t="shared" si="2"/>
        <v>FLR</v>
      </c>
      <c r="L11" s="840" t="str">
        <f t="shared" si="2"/>
        <v>BB</v>
      </c>
      <c r="M11" s="840" t="str">
        <f t="shared" si="2"/>
        <v>MISC</v>
      </c>
      <c r="N11" s="840" t="str">
        <f t="shared" si="2"/>
        <v>DOR</v>
      </c>
      <c r="O11" s="840" t="str">
        <f t="shared" si="2"/>
        <v>OPEN</v>
      </c>
      <c r="P11" s="840" t="str">
        <f t="shared" si="2"/>
        <v>MISC</v>
      </c>
      <c r="Q11" s="841" t="str">
        <f t="shared" si="2"/>
        <v>WINDOW</v>
      </c>
      <c r="R11" s="840" t="str">
        <f t="shared" si="2"/>
        <v>WDT</v>
      </c>
      <c r="S11" s="840" t="str">
        <f t="shared" si="2"/>
        <v>MISC</v>
      </c>
      <c r="T11" s="355"/>
      <c r="U11" s="355"/>
      <c r="V11" s="147"/>
      <c r="W11" s="829"/>
    </row>
    <row r="12" spans="1:23" ht="25.5" customHeight="1">
      <c r="A12" s="981"/>
      <c r="B12" s="989"/>
      <c r="C12" s="834"/>
      <c r="D12" s="835"/>
      <c r="E12" s="836"/>
      <c r="F12" s="835"/>
      <c r="G12" s="834"/>
      <c r="H12" s="835"/>
      <c r="I12" s="836"/>
      <c r="J12" s="835"/>
      <c r="K12" s="834"/>
      <c r="L12" s="835"/>
      <c r="M12" s="836"/>
      <c r="N12" s="835"/>
      <c r="O12" s="834"/>
      <c r="P12" s="835"/>
      <c r="Q12" s="836"/>
      <c r="R12" s="835"/>
      <c r="S12" s="836"/>
      <c r="T12" s="147"/>
      <c r="U12" s="147"/>
      <c r="V12" s="147"/>
      <c r="W12" s="829"/>
    </row>
    <row r="13" spans="1:23" ht="25.5" customHeight="1">
      <c r="A13" s="786" t="s">
        <v>15</v>
      </c>
      <c r="B13" s="785"/>
      <c r="C13" s="852"/>
      <c r="D13" s="853"/>
      <c r="E13" s="853"/>
      <c r="F13" s="853"/>
      <c r="G13" s="852"/>
      <c r="H13" s="853"/>
      <c r="I13" s="853"/>
      <c r="J13" s="853"/>
      <c r="K13" s="852"/>
      <c r="L13" s="853"/>
      <c r="M13" s="849"/>
      <c r="N13" s="852"/>
      <c r="O13" s="853"/>
      <c r="P13" s="849"/>
      <c r="Q13" s="852"/>
      <c r="R13" s="853"/>
      <c r="S13" s="849"/>
      <c r="T13" s="147"/>
      <c r="U13" s="147"/>
      <c r="V13" s="147"/>
      <c r="W13" s="829"/>
    </row>
    <row r="14" spans="1:23" ht="25.5" customHeight="1">
      <c r="A14" s="936">
        <f>+'jobinfo(2)'!A57</f>
        <v>5</v>
      </c>
      <c r="B14" s="939" t="str">
        <f>+'jobinfo(2)'!C57</f>
        <v xml:space="preserve">  STAIRS UP  </v>
      </c>
      <c r="C14" s="840" t="str">
        <f>C11</f>
        <v>CLG</v>
      </c>
      <c r="D14" s="831" t="str">
        <f>D11</f>
        <v>LIT/ ELE / SD /ETC</v>
      </c>
      <c r="E14" s="840" t="str">
        <f t="shared" ref="E14:S14" si="3">E11</f>
        <v>HVC/ CRN / AVG</v>
      </c>
      <c r="F14" s="840" t="str">
        <f t="shared" si="3"/>
        <v>MISC / INS</v>
      </c>
      <c r="G14" s="840" t="str">
        <f t="shared" si="3"/>
        <v>WALL</v>
      </c>
      <c r="H14" s="840" t="str">
        <f t="shared" si="3"/>
        <v>ELE</v>
      </c>
      <c r="I14" s="840" t="str">
        <f t="shared" si="3"/>
        <v>HVC / INS</v>
      </c>
      <c r="J14" s="840" t="str">
        <f t="shared" si="3"/>
        <v>MISC / INS</v>
      </c>
      <c r="K14" s="840" t="str">
        <f t="shared" si="3"/>
        <v>FLR</v>
      </c>
      <c r="L14" s="840" t="str">
        <f t="shared" si="3"/>
        <v>BB</v>
      </c>
      <c r="M14" s="840" t="str">
        <f t="shared" si="3"/>
        <v>MISC</v>
      </c>
      <c r="N14" s="840" t="str">
        <f t="shared" si="3"/>
        <v>DOR</v>
      </c>
      <c r="O14" s="840" t="str">
        <f t="shared" si="3"/>
        <v>OPEN</v>
      </c>
      <c r="P14" s="840" t="str">
        <f t="shared" si="3"/>
        <v>MISC</v>
      </c>
      <c r="Q14" s="841" t="str">
        <f t="shared" si="3"/>
        <v>WINDOW</v>
      </c>
      <c r="R14" s="840" t="str">
        <f t="shared" si="3"/>
        <v>WDT</v>
      </c>
      <c r="S14" s="840" t="str">
        <f t="shared" si="3"/>
        <v>MISC</v>
      </c>
      <c r="T14" s="147"/>
      <c r="U14" s="147"/>
      <c r="V14" s="147"/>
      <c r="W14" s="829"/>
    </row>
    <row r="15" spans="1:23" ht="25.5" customHeight="1">
      <c r="A15" s="937"/>
      <c r="B15" s="940"/>
      <c r="C15" s="834"/>
      <c r="D15" s="835"/>
      <c r="E15" s="836"/>
      <c r="F15" s="835"/>
      <c r="G15" s="834"/>
      <c r="H15" s="835"/>
      <c r="I15" s="836"/>
      <c r="J15" s="835"/>
      <c r="K15" s="834"/>
      <c r="L15" s="835"/>
      <c r="M15" s="836"/>
      <c r="N15" s="835"/>
      <c r="O15" s="834"/>
      <c r="P15" s="835"/>
      <c r="Q15" s="836"/>
      <c r="R15" s="835"/>
      <c r="S15" s="836"/>
      <c r="T15" s="147"/>
      <c r="U15" s="147"/>
      <c r="V15" s="147"/>
      <c r="W15" s="829"/>
    </row>
    <row r="16" spans="1:23" ht="25.5" customHeight="1">
      <c r="A16" s="786" t="s">
        <v>15</v>
      </c>
      <c r="B16" s="785"/>
      <c r="C16" s="852"/>
      <c r="D16" s="853"/>
      <c r="E16" s="853"/>
      <c r="F16" s="853"/>
      <c r="G16" s="852"/>
      <c r="H16" s="853"/>
      <c r="I16" s="853"/>
      <c r="J16" s="853"/>
      <c r="K16" s="852"/>
      <c r="L16" s="853"/>
      <c r="M16" s="849"/>
      <c r="N16" s="852"/>
      <c r="O16" s="853"/>
      <c r="P16" s="849"/>
      <c r="Q16" s="852"/>
      <c r="R16" s="853"/>
      <c r="S16" s="849"/>
      <c r="T16" s="147"/>
      <c r="U16" s="147"/>
      <c r="V16" s="147"/>
      <c r="W16" s="829"/>
    </row>
    <row r="17" spans="1:23" ht="25.5" customHeight="1">
      <c r="A17" s="936">
        <f>+'jobinfo(2)'!A58</f>
        <v>6</v>
      </c>
      <c r="B17" s="970" t="str">
        <f>+'jobinfo(2)'!C58</f>
        <v xml:space="preserve">  Hallway UP @ BR &amp; BATH  </v>
      </c>
      <c r="C17" s="840" t="str">
        <f>C14</f>
        <v>CLG</v>
      </c>
      <c r="D17" s="831" t="str">
        <f>D14</f>
        <v>LIT/ ELE / SD /ETC</v>
      </c>
      <c r="E17" s="840" t="str">
        <f t="shared" ref="E17:S17" si="4">E14</f>
        <v>HVC/ CRN / AVG</v>
      </c>
      <c r="F17" s="840" t="str">
        <f t="shared" si="4"/>
        <v>MISC / INS</v>
      </c>
      <c r="G17" s="840" t="str">
        <f t="shared" si="4"/>
        <v>WALL</v>
      </c>
      <c r="H17" s="840" t="str">
        <f t="shared" si="4"/>
        <v>ELE</v>
      </c>
      <c r="I17" s="840" t="str">
        <f t="shared" si="4"/>
        <v>HVC / INS</v>
      </c>
      <c r="J17" s="840" t="str">
        <f t="shared" si="4"/>
        <v>MISC / INS</v>
      </c>
      <c r="K17" s="840" t="str">
        <f t="shared" si="4"/>
        <v>FLR</v>
      </c>
      <c r="L17" s="840" t="str">
        <f t="shared" si="4"/>
        <v>BB</v>
      </c>
      <c r="M17" s="840" t="str">
        <f t="shared" si="4"/>
        <v>MISC</v>
      </c>
      <c r="N17" s="840" t="str">
        <f t="shared" si="4"/>
        <v>DOR</v>
      </c>
      <c r="O17" s="840" t="str">
        <f t="shared" si="4"/>
        <v>OPEN</v>
      </c>
      <c r="P17" s="840" t="str">
        <f t="shared" si="4"/>
        <v>MISC</v>
      </c>
      <c r="Q17" s="841" t="str">
        <f t="shared" si="4"/>
        <v>WINDOW</v>
      </c>
      <c r="R17" s="840" t="str">
        <f t="shared" si="4"/>
        <v>WDT</v>
      </c>
      <c r="S17" s="840" t="str">
        <f t="shared" si="4"/>
        <v>MISC</v>
      </c>
      <c r="T17" s="147"/>
      <c r="U17" s="147"/>
      <c r="V17" s="147"/>
      <c r="W17" s="829"/>
    </row>
    <row r="18" spans="1:23" ht="25.5" customHeight="1">
      <c r="A18" s="937"/>
      <c r="B18" s="940"/>
      <c r="C18" s="834"/>
      <c r="D18" s="835"/>
      <c r="E18" s="836"/>
      <c r="F18" s="835"/>
      <c r="G18" s="834"/>
      <c r="H18" s="835"/>
      <c r="I18" s="836"/>
      <c r="J18" s="835"/>
      <c r="K18" s="834"/>
      <c r="L18" s="835"/>
      <c r="M18" s="836"/>
      <c r="N18" s="835"/>
      <c r="O18" s="834"/>
      <c r="P18" s="835"/>
      <c r="Q18" s="836"/>
      <c r="R18" s="835"/>
      <c r="S18" s="836"/>
      <c r="T18" s="147"/>
      <c r="U18" s="147"/>
      <c r="V18" s="147"/>
      <c r="W18" s="829"/>
    </row>
    <row r="19" spans="1:23" ht="25.5" customHeight="1">
      <c r="A19" s="786" t="s">
        <v>15</v>
      </c>
      <c r="B19" s="785"/>
      <c r="C19" s="852"/>
      <c r="D19" s="853"/>
      <c r="E19" s="853"/>
      <c r="F19" s="853"/>
      <c r="G19" s="852"/>
      <c r="H19" s="853"/>
      <c r="I19" s="853"/>
      <c r="J19" s="853"/>
      <c r="K19" s="852"/>
      <c r="L19" s="853"/>
      <c r="M19" s="849"/>
      <c r="N19" s="852"/>
      <c r="O19" s="853"/>
      <c r="P19" s="849"/>
      <c r="Q19" s="852"/>
      <c r="R19" s="853"/>
      <c r="S19" s="849"/>
      <c r="T19" s="147"/>
      <c r="U19" s="147"/>
      <c r="V19" s="147"/>
      <c r="W19" s="829"/>
    </row>
    <row r="20" spans="1:23" ht="25.5" customHeight="1">
      <c r="A20" s="936">
        <f>+'jobinfo(2)'!A59</f>
        <v>7</v>
      </c>
      <c r="B20" s="850" t="str">
        <f>+'jobinfo(2)'!C59</f>
        <v xml:space="preserve">  BATHROOM  </v>
      </c>
      <c r="C20" s="840" t="str">
        <f>C17</f>
        <v>CLG</v>
      </c>
      <c r="D20" s="831" t="str">
        <f>D17</f>
        <v>LIT/ ELE / SD /ETC</v>
      </c>
      <c r="E20" s="840" t="str">
        <f t="shared" ref="E20:S20" si="5">E17</f>
        <v>HVC/ CRN / AVG</v>
      </c>
      <c r="F20" s="840" t="str">
        <f t="shared" si="5"/>
        <v>MISC / INS</v>
      </c>
      <c r="G20" s="840" t="str">
        <f t="shared" si="5"/>
        <v>WALL</v>
      </c>
      <c r="H20" s="840" t="str">
        <f t="shared" si="5"/>
        <v>ELE</v>
      </c>
      <c r="I20" s="840" t="str">
        <f t="shared" si="5"/>
        <v>HVC / INS</v>
      </c>
      <c r="J20" s="840" t="str">
        <f t="shared" si="5"/>
        <v>MISC / INS</v>
      </c>
      <c r="K20" s="840" t="str">
        <f t="shared" si="5"/>
        <v>FLR</v>
      </c>
      <c r="L20" s="840" t="str">
        <f t="shared" si="5"/>
        <v>BB</v>
      </c>
      <c r="M20" s="840" t="str">
        <f t="shared" si="5"/>
        <v>MISC</v>
      </c>
      <c r="N20" s="840" t="str">
        <f t="shared" si="5"/>
        <v>DOR</v>
      </c>
      <c r="O20" s="840" t="str">
        <f t="shared" si="5"/>
        <v>OPEN</v>
      </c>
      <c r="P20" s="840" t="str">
        <f t="shared" si="5"/>
        <v>MISC</v>
      </c>
      <c r="Q20" s="841" t="str">
        <f t="shared" si="5"/>
        <v>WINDOW</v>
      </c>
      <c r="R20" s="840" t="str">
        <f t="shared" si="5"/>
        <v>WDT</v>
      </c>
      <c r="S20" s="840" t="str">
        <f t="shared" si="5"/>
        <v>MISC</v>
      </c>
      <c r="T20" s="147"/>
      <c r="U20" s="147"/>
      <c r="V20" s="147"/>
      <c r="W20" s="829"/>
    </row>
    <row r="21" spans="1:23" ht="25.5" customHeight="1">
      <c r="A21" s="937"/>
      <c r="B21" s="851"/>
      <c r="C21" s="834"/>
      <c r="D21" s="835"/>
      <c r="E21" s="836"/>
      <c r="F21" s="835"/>
      <c r="G21" s="834"/>
      <c r="H21" s="835"/>
      <c r="I21" s="836"/>
      <c r="J21" s="835"/>
      <c r="K21" s="834"/>
      <c r="L21" s="835"/>
      <c r="M21" s="836"/>
      <c r="N21" s="835"/>
      <c r="O21" s="834"/>
      <c r="P21" s="835"/>
      <c r="Q21" s="836"/>
      <c r="R21" s="835"/>
      <c r="S21" s="836"/>
      <c r="T21" s="147"/>
      <c r="U21" s="147"/>
      <c r="V21" s="147"/>
      <c r="W21" s="829"/>
    </row>
    <row r="22" spans="1:23" ht="25.5" customHeight="1">
      <c r="A22" s="787" t="s">
        <v>15</v>
      </c>
      <c r="B22" s="784"/>
      <c r="C22" s="852"/>
      <c r="D22" s="853"/>
      <c r="E22" s="853"/>
      <c r="F22" s="853"/>
      <c r="G22" s="852"/>
      <c r="H22" s="853"/>
      <c r="I22" s="853"/>
      <c r="J22" s="853"/>
      <c r="K22" s="852"/>
      <c r="L22" s="853"/>
      <c r="M22" s="849"/>
      <c r="N22" s="852"/>
      <c r="O22" s="853"/>
      <c r="P22" s="849"/>
      <c r="Q22" s="852"/>
      <c r="R22" s="853"/>
      <c r="S22" s="849"/>
      <c r="T22" s="147"/>
      <c r="U22" s="147"/>
      <c r="V22" s="147"/>
      <c r="W22" s="829"/>
    </row>
    <row r="23" spans="1:23" ht="22.15" customHeight="1">
      <c r="A23" s="934" t="str">
        <f>A1</f>
        <v>Work SCOPE</v>
      </c>
      <c r="B23" s="935"/>
      <c r="C23" s="935"/>
      <c r="D23" s="941" t="str">
        <f>+'jobinfo(2)'!$C$1</f>
        <v>Hatten, Nedra</v>
      </c>
      <c r="E23" s="941"/>
      <c r="F23" s="941"/>
      <c r="G23" s="942" t="str">
        <f>+'jobinfo(2)'!$C$2</f>
        <v>628 Quilliams Road</v>
      </c>
      <c r="H23" s="942"/>
      <c r="I23" s="942"/>
      <c r="J23" s="942"/>
      <c r="K23" s="942"/>
      <c r="L23" s="371" t="str">
        <f>L1</f>
        <v>FLOOR1 DN</v>
      </c>
      <c r="O23" s="706" t="str">
        <f>'jobinfo(2)'!$C$11</f>
        <v>BATHTUB OVERFLOW</v>
      </c>
      <c r="P23" s="129" t="str">
        <f>'jobinfo(2)'!$C$26</f>
        <v>LIBERTY MUTUAL</v>
      </c>
      <c r="R23" s="933" t="str">
        <f>'jobinfo(2)'!C27</f>
        <v>#059633981</v>
      </c>
      <c r="S23" s="933"/>
      <c r="W23" s="750"/>
    </row>
    <row r="24" spans="1:23" ht="25.5" customHeight="1">
      <c r="A24" s="936">
        <f>+'jobinfo(2)'!A60</f>
        <v>8</v>
      </c>
      <c r="B24" s="850" t="str">
        <f>+'jobinfo(2)'!C60</f>
        <v xml:space="preserve">  LINEN  </v>
      </c>
      <c r="C24" s="840" t="str">
        <f>C20</f>
        <v>CLG</v>
      </c>
      <c r="D24" s="840" t="str">
        <f t="shared" ref="D24:S24" si="6">D20</f>
        <v>LIT/ ELE / SD /ETC</v>
      </c>
      <c r="E24" s="840" t="str">
        <f t="shared" si="6"/>
        <v>HVC/ CRN / AVG</v>
      </c>
      <c r="F24" s="840" t="str">
        <f t="shared" si="6"/>
        <v>MISC / INS</v>
      </c>
      <c r="G24" s="840" t="str">
        <f t="shared" si="6"/>
        <v>WALL</v>
      </c>
      <c r="H24" s="840" t="str">
        <f t="shared" si="6"/>
        <v>ELE</v>
      </c>
      <c r="I24" s="840" t="str">
        <f t="shared" si="6"/>
        <v>HVC / INS</v>
      </c>
      <c r="J24" s="840" t="str">
        <f t="shared" si="6"/>
        <v>MISC / INS</v>
      </c>
      <c r="K24" s="840" t="str">
        <f t="shared" si="6"/>
        <v>FLR</v>
      </c>
      <c r="L24" s="840" t="str">
        <f t="shared" si="6"/>
        <v>BB</v>
      </c>
      <c r="M24" s="840" t="str">
        <f t="shared" si="6"/>
        <v>MISC</v>
      </c>
      <c r="N24" s="840" t="str">
        <f t="shared" si="6"/>
        <v>DOR</v>
      </c>
      <c r="O24" s="840" t="str">
        <f t="shared" si="6"/>
        <v>OPEN</v>
      </c>
      <c r="P24" s="840" t="str">
        <f t="shared" si="6"/>
        <v>MISC</v>
      </c>
      <c r="Q24" s="840" t="str">
        <f t="shared" si="6"/>
        <v>WINDOW</v>
      </c>
      <c r="R24" s="840" t="str">
        <f t="shared" si="6"/>
        <v>WDT</v>
      </c>
      <c r="S24" s="840" t="str">
        <f t="shared" si="6"/>
        <v>MISC</v>
      </c>
      <c r="T24" s="147"/>
      <c r="U24" s="147"/>
      <c r="V24" s="147"/>
      <c r="W24" s="829"/>
    </row>
    <row r="25" spans="1:23" ht="25.5" customHeight="1">
      <c r="A25" s="937"/>
      <c r="B25" s="851"/>
      <c r="C25" s="715"/>
      <c r="D25" s="716"/>
      <c r="E25" s="717"/>
      <c r="F25" s="716"/>
      <c r="G25" s="715"/>
      <c r="H25" s="716"/>
      <c r="I25" s="718"/>
      <c r="J25" s="716"/>
      <c r="K25" s="715"/>
      <c r="L25" s="716"/>
      <c r="M25" s="717"/>
      <c r="N25" s="716"/>
      <c r="O25" s="715"/>
      <c r="P25" s="716"/>
      <c r="Q25" s="718"/>
      <c r="R25" s="716"/>
      <c r="S25" s="718"/>
      <c r="W25" s="750"/>
    </row>
    <row r="26" spans="1:23" ht="25.5" customHeight="1">
      <c r="A26" s="786" t="s">
        <v>15</v>
      </c>
      <c r="B26" s="785"/>
      <c r="C26" s="964"/>
      <c r="D26" s="965"/>
      <c r="E26" s="965"/>
      <c r="F26" s="965"/>
      <c r="G26" s="964"/>
      <c r="H26" s="965"/>
      <c r="I26" s="965"/>
      <c r="J26" s="965"/>
      <c r="K26" s="964"/>
      <c r="L26" s="965"/>
      <c r="M26" s="966"/>
      <c r="N26" s="964"/>
      <c r="O26" s="965"/>
      <c r="P26" s="966"/>
      <c r="Q26" s="964"/>
      <c r="R26" s="965"/>
      <c r="S26" s="966"/>
      <c r="W26" s="750"/>
    </row>
    <row r="27" spans="1:23" ht="25.5" customHeight="1">
      <c r="A27" s="936">
        <f>+'jobinfo(2)'!A61</f>
        <v>9</v>
      </c>
      <c r="B27" s="970" t="str">
        <f>+'jobinfo(2)'!C61</f>
        <v xml:space="preserve">  PBR  </v>
      </c>
      <c r="C27" s="707" t="s">
        <v>1</v>
      </c>
      <c r="D27" s="708" t="s">
        <v>16</v>
      </c>
      <c r="E27" s="709" t="s">
        <v>17</v>
      </c>
      <c r="F27" s="710" t="s">
        <v>10</v>
      </c>
      <c r="G27" s="711" t="str">
        <f>$G$5</f>
        <v>WALL</v>
      </c>
      <c r="H27" s="708" t="s">
        <v>6</v>
      </c>
      <c r="I27" s="709" t="s">
        <v>17</v>
      </c>
      <c r="J27" s="710" t="s">
        <v>10</v>
      </c>
      <c r="K27" s="711" t="s">
        <v>8</v>
      </c>
      <c r="L27" s="708" t="s">
        <v>9</v>
      </c>
      <c r="M27" s="710" t="s">
        <v>10</v>
      </c>
      <c r="N27" s="712" t="s">
        <v>11</v>
      </c>
      <c r="O27" s="713" t="s">
        <v>12</v>
      </c>
      <c r="P27" s="710" t="s">
        <v>10</v>
      </c>
      <c r="Q27" s="714" t="s">
        <v>18</v>
      </c>
      <c r="R27" s="708" t="s">
        <v>14</v>
      </c>
      <c r="S27" s="711" t="s">
        <v>10</v>
      </c>
      <c r="W27" s="750"/>
    </row>
    <row r="28" spans="1:23" ht="25.5" customHeight="1">
      <c r="A28" s="937"/>
      <c r="B28" s="940"/>
      <c r="C28" s="715"/>
      <c r="D28" s="716"/>
      <c r="E28" s="717"/>
      <c r="F28" s="716"/>
      <c r="G28" s="715"/>
      <c r="H28" s="716"/>
      <c r="I28" s="718"/>
      <c r="J28" s="716"/>
      <c r="K28" s="715"/>
      <c r="L28" s="716"/>
      <c r="M28" s="717"/>
      <c r="N28" s="716"/>
      <c r="O28" s="715"/>
      <c r="P28" s="716"/>
      <c r="Q28" s="718"/>
      <c r="R28" s="716"/>
      <c r="S28" s="718"/>
      <c r="W28" s="750"/>
    </row>
    <row r="29" spans="1:23" ht="25.5" customHeight="1">
      <c r="A29" s="786" t="s">
        <v>15</v>
      </c>
      <c r="B29" s="785"/>
      <c r="C29" s="964"/>
      <c r="D29" s="965"/>
      <c r="E29" s="965"/>
      <c r="F29" s="965"/>
      <c r="G29" s="964"/>
      <c r="H29" s="965"/>
      <c r="I29" s="965"/>
      <c r="J29" s="965"/>
      <c r="K29" s="964"/>
      <c r="L29" s="965"/>
      <c r="M29" s="966"/>
      <c r="N29" s="964"/>
      <c r="O29" s="965"/>
      <c r="P29" s="966"/>
      <c r="Q29" s="964"/>
      <c r="R29" s="965"/>
      <c r="S29" s="966"/>
      <c r="W29" s="750"/>
    </row>
    <row r="30" spans="1:23" ht="25.5" customHeight="1">
      <c r="A30" s="936">
        <f>+'jobinfo(2)'!A62</f>
        <v>10</v>
      </c>
      <c r="B30" s="970" t="str">
        <f>+'jobinfo(2)'!C62</f>
        <v xml:space="preserve">  PBR CLOSET  </v>
      </c>
      <c r="C30" s="707" t="s">
        <v>1</v>
      </c>
      <c r="D30" s="708" t="s">
        <v>16</v>
      </c>
      <c r="E30" s="709" t="s">
        <v>17</v>
      </c>
      <c r="F30" s="710" t="s">
        <v>10</v>
      </c>
      <c r="G30" s="711" t="str">
        <f>$G$5</f>
        <v>WALL</v>
      </c>
      <c r="H30" s="708" t="s">
        <v>6</v>
      </c>
      <c r="I30" s="709" t="s">
        <v>17</v>
      </c>
      <c r="J30" s="710" t="s">
        <v>10</v>
      </c>
      <c r="K30" s="711" t="s">
        <v>8</v>
      </c>
      <c r="L30" s="708" t="s">
        <v>9</v>
      </c>
      <c r="M30" s="710" t="s">
        <v>10</v>
      </c>
      <c r="N30" s="712" t="s">
        <v>11</v>
      </c>
      <c r="O30" s="713" t="s">
        <v>12</v>
      </c>
      <c r="P30" s="710" t="s">
        <v>10</v>
      </c>
      <c r="Q30" s="714" t="s">
        <v>18</v>
      </c>
      <c r="R30" s="708" t="s">
        <v>14</v>
      </c>
      <c r="S30" s="711" t="s">
        <v>10</v>
      </c>
      <c r="W30" s="750"/>
    </row>
    <row r="31" spans="1:23" ht="25.5" customHeight="1">
      <c r="A31" s="937"/>
      <c r="B31" s="940"/>
      <c r="C31" s="719" t="s">
        <v>19</v>
      </c>
      <c r="D31" s="720"/>
      <c r="E31" s="721"/>
      <c r="F31" s="720"/>
      <c r="G31" s="722"/>
      <c r="H31" s="720"/>
      <c r="I31" s="723"/>
      <c r="J31" s="720"/>
      <c r="K31" s="722"/>
      <c r="L31" s="720"/>
      <c r="M31" s="721"/>
      <c r="N31" s="720"/>
      <c r="O31" s="722"/>
      <c r="P31" s="720"/>
      <c r="Q31" s="723"/>
      <c r="R31" s="720"/>
      <c r="S31" s="723"/>
      <c r="W31" s="750"/>
    </row>
    <row r="32" spans="1:23" ht="25.5" customHeight="1">
      <c r="A32" s="972" t="s">
        <v>15</v>
      </c>
      <c r="B32" s="973"/>
      <c r="C32" s="964"/>
      <c r="D32" s="965"/>
      <c r="E32" s="965"/>
      <c r="F32" s="965"/>
      <c r="G32" s="964"/>
      <c r="H32" s="965"/>
      <c r="I32" s="965"/>
      <c r="J32" s="965"/>
      <c r="K32" s="964"/>
      <c r="L32" s="965"/>
      <c r="M32" s="966"/>
      <c r="N32" s="964"/>
      <c r="O32" s="965"/>
      <c r="P32" s="966"/>
      <c r="Q32" s="964"/>
      <c r="R32" s="965"/>
      <c r="S32" s="966"/>
      <c r="W32" s="750"/>
    </row>
    <row r="33" spans="1:23" ht="25.5" customHeight="1">
      <c r="A33" s="936">
        <f>+'jobinfo(2)'!A63</f>
        <v>11</v>
      </c>
      <c r="B33" s="971" t="str">
        <f>+'jobinfo(2)'!C63</f>
        <v xml:space="preserve">  BR2  </v>
      </c>
      <c r="C33" s="707" t="s">
        <v>1</v>
      </c>
      <c r="D33" s="708" t="s">
        <v>16</v>
      </c>
      <c r="E33" s="724" t="s">
        <v>17</v>
      </c>
      <c r="F33" s="710" t="s">
        <v>10</v>
      </c>
      <c r="G33" s="711" t="str">
        <f>$G$5</f>
        <v>WALL</v>
      </c>
      <c r="H33" s="708" t="s">
        <v>6</v>
      </c>
      <c r="I33" s="709" t="s">
        <v>17</v>
      </c>
      <c r="J33" s="710" t="s">
        <v>10</v>
      </c>
      <c r="K33" s="711" t="s">
        <v>8</v>
      </c>
      <c r="L33" s="708" t="s">
        <v>9</v>
      </c>
      <c r="M33" s="710" t="s">
        <v>10</v>
      </c>
      <c r="N33" s="712" t="s">
        <v>11</v>
      </c>
      <c r="O33" s="713" t="s">
        <v>12</v>
      </c>
      <c r="P33" s="710" t="s">
        <v>10</v>
      </c>
      <c r="Q33" s="714" t="s">
        <v>18</v>
      </c>
      <c r="R33" s="708" t="s">
        <v>14</v>
      </c>
      <c r="S33" s="711" t="s">
        <v>10</v>
      </c>
      <c r="W33" s="750"/>
    </row>
    <row r="34" spans="1:23" ht="25.5" customHeight="1">
      <c r="A34" s="937"/>
      <c r="B34" s="938"/>
      <c r="C34" s="715"/>
      <c r="D34" s="716"/>
      <c r="E34" s="717"/>
      <c r="F34" s="716"/>
      <c r="G34" s="715"/>
      <c r="H34" s="716"/>
      <c r="I34" s="718"/>
      <c r="J34" s="716"/>
      <c r="K34" s="715"/>
      <c r="L34" s="716"/>
      <c r="M34" s="717"/>
      <c r="N34" s="716"/>
      <c r="O34" s="715"/>
      <c r="P34" s="716"/>
      <c r="Q34" s="718"/>
      <c r="R34" s="716"/>
      <c r="S34" s="718"/>
      <c r="W34" s="750"/>
    </row>
    <row r="35" spans="1:23" ht="25.5" customHeight="1">
      <c r="A35" s="787" t="s">
        <v>15</v>
      </c>
      <c r="C35" s="964"/>
      <c r="D35" s="965"/>
      <c r="E35" s="965"/>
      <c r="F35" s="966"/>
      <c r="G35" s="964"/>
      <c r="H35" s="965"/>
      <c r="I35" s="965"/>
      <c r="J35" s="966"/>
      <c r="K35" s="964"/>
      <c r="L35" s="965"/>
      <c r="M35" s="966"/>
      <c r="N35" s="964"/>
      <c r="O35" s="965"/>
      <c r="P35" s="966"/>
      <c r="Q35" s="964"/>
      <c r="R35" s="965"/>
      <c r="S35" s="966"/>
      <c r="W35" s="750"/>
    </row>
    <row r="36" spans="1:23" ht="25.5" customHeight="1">
      <c r="A36" s="936">
        <f>+'jobinfo(2)'!A64</f>
        <v>12</v>
      </c>
      <c r="B36" s="971" t="str">
        <f>+'jobinfo(2)'!C64</f>
        <v xml:space="preserve">  BR2 CLOSET  </v>
      </c>
      <c r="C36" s="707" t="s">
        <v>1</v>
      </c>
      <c r="D36" s="708" t="s">
        <v>16</v>
      </c>
      <c r="E36" s="709" t="s">
        <v>17</v>
      </c>
      <c r="F36" s="710" t="s">
        <v>10</v>
      </c>
      <c r="G36" s="711" t="str">
        <f>G33</f>
        <v>WALL</v>
      </c>
      <c r="H36" s="708" t="s">
        <v>6</v>
      </c>
      <c r="I36" s="709" t="s">
        <v>17</v>
      </c>
      <c r="J36" s="710" t="s">
        <v>10</v>
      </c>
      <c r="K36" s="711" t="s">
        <v>8</v>
      </c>
      <c r="L36" s="708" t="s">
        <v>9</v>
      </c>
      <c r="M36" s="710" t="s">
        <v>10</v>
      </c>
      <c r="N36" s="712" t="s">
        <v>11</v>
      </c>
      <c r="O36" s="713" t="s">
        <v>12</v>
      </c>
      <c r="P36" s="710" t="s">
        <v>10</v>
      </c>
      <c r="Q36" s="714" t="s">
        <v>18</v>
      </c>
      <c r="R36" s="708" t="s">
        <v>14</v>
      </c>
      <c r="S36" s="711" t="s">
        <v>10</v>
      </c>
      <c r="W36" s="750"/>
    </row>
    <row r="37" spans="1:23" ht="25.5" customHeight="1">
      <c r="A37" s="937"/>
      <c r="B37" s="938"/>
      <c r="C37" s="719"/>
      <c r="D37" s="720"/>
      <c r="E37" s="721"/>
      <c r="F37" s="720"/>
      <c r="G37" s="715"/>
      <c r="H37" s="716"/>
      <c r="I37" s="718"/>
      <c r="J37" s="716"/>
      <c r="K37" s="722"/>
      <c r="L37" s="720"/>
      <c r="M37" s="721"/>
      <c r="N37" s="720"/>
      <c r="O37" s="722"/>
      <c r="P37" s="720"/>
      <c r="Q37" s="723"/>
      <c r="R37" s="720"/>
      <c r="S37" s="723"/>
      <c r="W37" s="750"/>
    </row>
    <row r="38" spans="1:23" ht="25.5" customHeight="1">
      <c r="A38" s="787" t="s">
        <v>15</v>
      </c>
      <c r="B38" s="784"/>
      <c r="C38" s="967"/>
      <c r="D38" s="968"/>
      <c r="E38" s="968"/>
      <c r="F38" s="969"/>
      <c r="G38" s="964"/>
      <c r="H38" s="965"/>
      <c r="I38" s="965"/>
      <c r="J38" s="965"/>
      <c r="K38" s="967"/>
      <c r="L38" s="968"/>
      <c r="M38" s="969"/>
      <c r="N38" s="967"/>
      <c r="O38" s="968"/>
      <c r="P38" s="969"/>
      <c r="Q38" s="967"/>
      <c r="R38" s="968"/>
      <c r="S38" s="969"/>
      <c r="W38" s="750"/>
    </row>
    <row r="39" spans="1:23" ht="25.5" customHeight="1">
      <c r="A39" s="936">
        <f>+'jobinfo(2)'!A65</f>
        <v>13</v>
      </c>
      <c r="B39" s="970" t="str">
        <f>+'jobinfo(2)'!C65</f>
        <v xml:space="preserve">   Basement Stairs   </v>
      </c>
      <c r="C39" s="707" t="s">
        <v>1</v>
      </c>
      <c r="D39" s="708" t="s">
        <v>16</v>
      </c>
      <c r="E39" s="709" t="s">
        <v>17</v>
      </c>
      <c r="F39" s="710" t="s">
        <v>10</v>
      </c>
      <c r="G39" s="711" t="str">
        <f>$G$5</f>
        <v>WALL</v>
      </c>
      <c r="H39" s="708" t="s">
        <v>6</v>
      </c>
      <c r="I39" s="709" t="s">
        <v>17</v>
      </c>
      <c r="J39" s="710" t="s">
        <v>10</v>
      </c>
      <c r="K39" s="711" t="s">
        <v>8</v>
      </c>
      <c r="L39" s="708" t="s">
        <v>9</v>
      </c>
      <c r="M39" s="710" t="s">
        <v>10</v>
      </c>
      <c r="N39" s="712" t="s">
        <v>11</v>
      </c>
      <c r="O39" s="713" t="s">
        <v>12</v>
      </c>
      <c r="P39" s="710" t="s">
        <v>10</v>
      </c>
      <c r="Q39" s="714" t="s">
        <v>18</v>
      </c>
      <c r="R39" s="708" t="s">
        <v>14</v>
      </c>
      <c r="S39" s="711" t="s">
        <v>10</v>
      </c>
      <c r="W39" s="750"/>
    </row>
    <row r="40" spans="1:23" ht="25.5" customHeight="1">
      <c r="A40" s="937"/>
      <c r="B40" s="940"/>
      <c r="C40" s="715"/>
      <c r="D40" s="716"/>
      <c r="E40" s="717"/>
      <c r="F40" s="716"/>
      <c r="G40" s="715"/>
      <c r="H40" s="716"/>
      <c r="I40" s="718"/>
      <c r="J40" s="716"/>
      <c r="K40" s="715"/>
      <c r="L40" s="716"/>
      <c r="M40" s="717"/>
      <c r="N40" s="716"/>
      <c r="O40" s="715"/>
      <c r="P40" s="716"/>
      <c r="Q40" s="718"/>
      <c r="R40" s="716"/>
      <c r="S40" s="718"/>
      <c r="W40" s="750"/>
    </row>
    <row r="41" spans="1:23" ht="25.5" customHeight="1">
      <c r="A41" s="787" t="s">
        <v>15</v>
      </c>
      <c r="B41" s="784"/>
      <c r="C41" s="964"/>
      <c r="D41" s="965"/>
      <c r="E41" s="965"/>
      <c r="F41" s="965"/>
      <c r="G41" s="964"/>
      <c r="H41" s="965"/>
      <c r="I41" s="965"/>
      <c r="J41" s="965"/>
      <c r="K41" s="964"/>
      <c r="L41" s="965"/>
      <c r="M41" s="966"/>
      <c r="N41" s="964"/>
      <c r="O41" s="965"/>
      <c r="P41" s="966"/>
      <c r="Q41" s="964"/>
      <c r="R41" s="965"/>
      <c r="S41" s="966"/>
      <c r="W41" s="750"/>
    </row>
    <row r="42" spans="1:23" ht="25.5" customHeight="1">
      <c r="A42" s="936">
        <f>+'jobinfo(2)'!A66</f>
        <v>14</v>
      </c>
      <c r="B42" s="970" t="str">
        <f>+'jobinfo(2)'!C66</f>
        <v xml:space="preserve">   Basement Rec Room   </v>
      </c>
      <c r="C42" s="707" t="s">
        <v>1</v>
      </c>
      <c r="D42" s="708" t="s">
        <v>16</v>
      </c>
      <c r="E42" s="709" t="s">
        <v>17</v>
      </c>
      <c r="F42" s="710" t="s">
        <v>10</v>
      </c>
      <c r="G42" s="711" t="str">
        <f>$G$5</f>
        <v>WALL</v>
      </c>
      <c r="H42" s="708" t="s">
        <v>6</v>
      </c>
      <c r="I42" s="709" t="s">
        <v>17</v>
      </c>
      <c r="J42" s="710" t="s">
        <v>10</v>
      </c>
      <c r="K42" s="711" t="s">
        <v>8</v>
      </c>
      <c r="L42" s="708" t="s">
        <v>9</v>
      </c>
      <c r="M42" s="710" t="s">
        <v>10</v>
      </c>
      <c r="N42" s="712" t="s">
        <v>11</v>
      </c>
      <c r="O42" s="713" t="s">
        <v>12</v>
      </c>
      <c r="P42" s="710" t="s">
        <v>10</v>
      </c>
      <c r="Q42" s="714" t="s">
        <v>18</v>
      </c>
      <c r="R42" s="708" t="s">
        <v>14</v>
      </c>
      <c r="S42" s="711" t="s">
        <v>10</v>
      </c>
      <c r="W42" s="750"/>
    </row>
    <row r="43" spans="1:23" ht="25.5" customHeight="1">
      <c r="A43" s="937"/>
      <c r="B43" s="940"/>
      <c r="C43" s="715"/>
      <c r="D43" s="716"/>
      <c r="E43" s="717"/>
      <c r="F43" s="716"/>
      <c r="G43" s="715"/>
      <c r="H43" s="716"/>
      <c r="I43" s="718"/>
      <c r="J43" s="716"/>
      <c r="K43" s="715"/>
      <c r="L43" s="716"/>
      <c r="M43" s="717"/>
      <c r="N43" s="716"/>
      <c r="O43" s="715"/>
      <c r="P43" s="716"/>
      <c r="Q43" s="718"/>
      <c r="R43" s="716"/>
      <c r="S43" s="718"/>
      <c r="W43" s="750"/>
    </row>
    <row r="44" spans="1:23" ht="25.5" customHeight="1">
      <c r="A44" s="786" t="s">
        <v>15</v>
      </c>
      <c r="B44" s="785"/>
      <c r="C44" s="964"/>
      <c r="D44" s="965"/>
      <c r="E44" s="965"/>
      <c r="F44" s="965"/>
      <c r="G44" s="964"/>
      <c r="H44" s="965"/>
      <c r="I44" s="965"/>
      <c r="J44" s="965"/>
      <c r="K44" s="964"/>
      <c r="L44" s="965"/>
      <c r="M44" s="966"/>
      <c r="N44" s="964"/>
      <c r="O44" s="965"/>
      <c r="P44" s="966"/>
      <c r="Q44" s="964"/>
      <c r="R44" s="965"/>
      <c r="S44" s="966"/>
      <c r="W44" s="750"/>
    </row>
    <row r="45" spans="1:23" ht="25.5" customHeight="1">
      <c r="A45" s="934" t="str">
        <f>A23</f>
        <v>Work SCOPE</v>
      </c>
      <c r="B45" s="935"/>
      <c r="C45" s="935"/>
      <c r="D45" s="941" t="str">
        <f>+'jobinfo(2)'!$C$1</f>
        <v>Hatten, Nedra</v>
      </c>
      <c r="E45" s="941"/>
      <c r="F45" s="941"/>
      <c r="G45" s="942" t="str">
        <f>+'jobinfo(2)'!$C$2</f>
        <v>628 Quilliams Road</v>
      </c>
      <c r="H45" s="942"/>
      <c r="I45" s="942"/>
      <c r="J45" s="942"/>
      <c r="K45" s="942"/>
      <c r="L45" s="371" t="str">
        <f>L23</f>
        <v>FLOOR1 DN</v>
      </c>
      <c r="O45" s="706" t="str">
        <f>'jobinfo(2)'!$C$11</f>
        <v>BATHTUB OVERFLOW</v>
      </c>
      <c r="P45" s="129" t="str">
        <f>'jobinfo(2)'!$C$26</f>
        <v>LIBERTY MUTUAL</v>
      </c>
      <c r="R45" s="933" t="str">
        <f>'jobinfo(2)'!$C$27</f>
        <v>#059633981</v>
      </c>
      <c r="S45" s="933"/>
      <c r="W45" s="750"/>
    </row>
    <row r="46" spans="1:23" ht="25.5" customHeight="1">
      <c r="A46" s="936">
        <f>+'jobinfo(2)'!A67</f>
        <v>15</v>
      </c>
      <c r="B46" s="970" t="str">
        <f>+'jobinfo(2)'!C67</f>
        <v xml:space="preserve">   Utility / LAUNDRY   </v>
      </c>
      <c r="C46" s="707" t="s">
        <v>1</v>
      </c>
      <c r="D46" s="708" t="s">
        <v>16</v>
      </c>
      <c r="E46" s="709" t="s">
        <v>17</v>
      </c>
      <c r="F46" s="710" t="s">
        <v>10</v>
      </c>
      <c r="G46" s="711" t="str">
        <f>$G$5</f>
        <v>WALL</v>
      </c>
      <c r="H46" s="708" t="s">
        <v>6</v>
      </c>
      <c r="I46" s="709" t="s">
        <v>17</v>
      </c>
      <c r="J46" s="710" t="s">
        <v>10</v>
      </c>
      <c r="K46" s="711" t="s">
        <v>8</v>
      </c>
      <c r="L46" s="708" t="s">
        <v>9</v>
      </c>
      <c r="M46" s="710" t="s">
        <v>10</v>
      </c>
      <c r="N46" s="712" t="s">
        <v>11</v>
      </c>
      <c r="O46" s="713" t="s">
        <v>12</v>
      </c>
      <c r="P46" s="710" t="s">
        <v>10</v>
      </c>
      <c r="Q46" s="714" t="s">
        <v>18</v>
      </c>
      <c r="R46" s="708" t="s">
        <v>14</v>
      </c>
      <c r="S46" s="711" t="s">
        <v>10</v>
      </c>
      <c r="W46" s="750"/>
    </row>
    <row r="47" spans="1:23" ht="25.5" customHeight="1">
      <c r="A47" s="937"/>
      <c r="B47" s="940"/>
      <c r="C47" s="715"/>
      <c r="D47" s="716"/>
      <c r="E47" s="717"/>
      <c r="F47" s="716"/>
      <c r="G47" s="715"/>
      <c r="H47" s="716"/>
      <c r="I47" s="718"/>
      <c r="J47" s="716"/>
      <c r="K47" s="715"/>
      <c r="L47" s="716"/>
      <c r="M47" s="717"/>
      <c r="N47" s="716"/>
      <c r="O47" s="715"/>
      <c r="P47" s="716"/>
      <c r="Q47" s="718"/>
      <c r="R47" s="716"/>
      <c r="S47" s="718"/>
      <c r="W47" s="750"/>
    </row>
    <row r="48" spans="1:23" ht="25.5" customHeight="1">
      <c r="A48" s="786" t="s">
        <v>15</v>
      </c>
      <c r="B48" s="785"/>
      <c r="C48" s="964"/>
      <c r="D48" s="965"/>
      <c r="E48" s="965"/>
      <c r="F48" s="965"/>
      <c r="G48" s="964"/>
      <c r="H48" s="965"/>
      <c r="I48" s="965"/>
      <c r="J48" s="965"/>
      <c r="K48" s="964"/>
      <c r="L48" s="965"/>
      <c r="M48" s="966"/>
      <c r="N48" s="964"/>
      <c r="O48" s="965"/>
      <c r="P48" s="966"/>
      <c r="Q48" s="964"/>
      <c r="R48" s="965"/>
      <c r="S48" s="966"/>
      <c r="W48" s="750"/>
    </row>
    <row r="49" spans="1:24" ht="25.5" customHeight="1">
      <c r="A49" s="936">
        <f>+'jobinfo(2)'!A68</f>
        <v>16</v>
      </c>
      <c r="B49" s="970">
        <f>+'jobinfo(2)'!C68</f>
        <v>0</v>
      </c>
      <c r="C49" s="707" t="s">
        <v>1</v>
      </c>
      <c r="D49" s="708" t="s">
        <v>16</v>
      </c>
      <c r="E49" s="709" t="s">
        <v>17</v>
      </c>
      <c r="F49" s="710" t="s">
        <v>10</v>
      </c>
      <c r="G49" s="711" t="str">
        <f>$G$5</f>
        <v>WALL</v>
      </c>
      <c r="H49" s="708" t="s">
        <v>6</v>
      </c>
      <c r="I49" s="709" t="s">
        <v>17</v>
      </c>
      <c r="J49" s="710" t="s">
        <v>10</v>
      </c>
      <c r="K49" s="711" t="s">
        <v>8</v>
      </c>
      <c r="L49" s="708" t="s">
        <v>9</v>
      </c>
      <c r="M49" s="710" t="s">
        <v>10</v>
      </c>
      <c r="N49" s="712" t="s">
        <v>11</v>
      </c>
      <c r="O49" s="713" t="s">
        <v>12</v>
      </c>
      <c r="P49" s="710" t="s">
        <v>10</v>
      </c>
      <c r="Q49" s="714" t="s">
        <v>18</v>
      </c>
      <c r="R49" s="708" t="s">
        <v>14</v>
      </c>
      <c r="S49" s="711" t="s">
        <v>10</v>
      </c>
      <c r="W49" s="750"/>
    </row>
    <row r="50" spans="1:24" ht="25.5" customHeight="1">
      <c r="A50" s="937"/>
      <c r="B50" s="854"/>
      <c r="C50" s="715"/>
      <c r="D50" s="716"/>
      <c r="E50" s="717"/>
      <c r="F50" s="716"/>
      <c r="G50" s="722"/>
      <c r="H50" s="720"/>
      <c r="I50" s="723"/>
      <c r="J50" s="720"/>
      <c r="K50" s="715"/>
      <c r="L50" s="716"/>
      <c r="M50" s="717"/>
      <c r="N50" s="716"/>
      <c r="O50" s="715"/>
      <c r="P50" s="716"/>
      <c r="Q50" s="718"/>
      <c r="R50" s="716"/>
      <c r="S50" s="718"/>
      <c r="W50" s="750"/>
    </row>
    <row r="51" spans="1:24" ht="25.5" customHeight="1">
      <c r="A51" s="786" t="s">
        <v>15</v>
      </c>
      <c r="B51" s="785"/>
      <c r="C51" s="964"/>
      <c r="D51" s="965"/>
      <c r="E51" s="965"/>
      <c r="F51" s="965"/>
      <c r="G51" s="967"/>
      <c r="H51" s="968"/>
      <c r="I51" s="968"/>
      <c r="J51" s="969"/>
      <c r="K51" s="964"/>
      <c r="L51" s="965"/>
      <c r="M51" s="966"/>
      <c r="N51" s="964"/>
      <c r="O51" s="965"/>
      <c r="P51" s="966"/>
      <c r="Q51" s="964"/>
      <c r="R51" s="965"/>
      <c r="S51" s="966"/>
      <c r="W51" s="750"/>
    </row>
    <row r="52" spans="1:24" ht="25.5" customHeight="1">
      <c r="A52" s="936">
        <f>+'jobinfo(2)'!A69</f>
        <v>17</v>
      </c>
      <c r="B52" s="970">
        <f>+'jobinfo(2)'!C69</f>
        <v>0</v>
      </c>
      <c r="C52" s="707" t="s">
        <v>1</v>
      </c>
      <c r="D52" s="708" t="s">
        <v>16</v>
      </c>
      <c r="E52" s="709" t="s">
        <v>17</v>
      </c>
      <c r="F52" s="710" t="s">
        <v>10</v>
      </c>
      <c r="G52" s="711" t="str">
        <f>$G$5</f>
        <v>WALL</v>
      </c>
      <c r="H52" s="708" t="s">
        <v>6</v>
      </c>
      <c r="I52" s="709" t="s">
        <v>17</v>
      </c>
      <c r="J52" s="710" t="s">
        <v>10</v>
      </c>
      <c r="K52" s="711" t="s">
        <v>8</v>
      </c>
      <c r="L52" s="708" t="s">
        <v>9</v>
      </c>
      <c r="M52" s="710" t="s">
        <v>10</v>
      </c>
      <c r="N52" s="712" t="s">
        <v>11</v>
      </c>
      <c r="O52" s="713" t="s">
        <v>12</v>
      </c>
      <c r="P52" s="710" t="s">
        <v>10</v>
      </c>
      <c r="Q52" s="714" t="s">
        <v>18</v>
      </c>
      <c r="R52" s="708" t="s">
        <v>14</v>
      </c>
      <c r="S52" s="711" t="s">
        <v>10</v>
      </c>
      <c r="W52" s="750"/>
    </row>
    <row r="53" spans="1:24" ht="25.5" customHeight="1">
      <c r="A53" s="937"/>
      <c r="B53" s="940"/>
      <c r="C53" s="715"/>
      <c r="D53" s="716"/>
      <c r="E53" s="717"/>
      <c r="F53" s="716"/>
      <c r="G53" s="715"/>
      <c r="H53" s="716"/>
      <c r="I53" s="718"/>
      <c r="J53" s="716"/>
      <c r="K53" s="715"/>
      <c r="L53" s="716"/>
      <c r="M53" s="717"/>
      <c r="N53" s="716"/>
      <c r="O53" s="715"/>
      <c r="P53" s="716"/>
      <c r="Q53" s="718"/>
      <c r="R53" s="716"/>
      <c r="S53" s="718"/>
      <c r="W53" s="750"/>
    </row>
    <row r="54" spans="1:24" ht="25.5" customHeight="1">
      <c r="A54" s="787" t="s">
        <v>15</v>
      </c>
      <c r="B54" s="784"/>
      <c r="C54" s="964"/>
      <c r="D54" s="965"/>
      <c r="E54" s="965"/>
      <c r="F54" s="965"/>
      <c r="G54" s="964"/>
      <c r="H54" s="965"/>
      <c r="I54" s="965"/>
      <c r="J54" s="965"/>
      <c r="K54" s="964"/>
      <c r="L54" s="965"/>
      <c r="M54" s="966"/>
      <c r="N54" s="964"/>
      <c r="O54" s="965"/>
      <c r="P54" s="966"/>
      <c r="Q54" s="964"/>
      <c r="R54" s="965"/>
      <c r="S54" s="966"/>
      <c r="W54" s="750"/>
    </row>
    <row r="55" spans="1:24" ht="25.5" customHeight="1">
      <c r="A55" s="936">
        <f>+'jobinfo(2)'!A70</f>
        <v>18</v>
      </c>
      <c r="B55" s="970">
        <f>+'jobinfo(2)'!C70</f>
        <v>0</v>
      </c>
      <c r="C55" s="707" t="s">
        <v>1</v>
      </c>
      <c r="D55" s="708" t="s">
        <v>16</v>
      </c>
      <c r="E55" s="709" t="s">
        <v>17</v>
      </c>
      <c r="F55" s="710" t="s">
        <v>10</v>
      </c>
      <c r="G55" s="711" t="str">
        <f>$G$5</f>
        <v>WALL</v>
      </c>
      <c r="H55" s="708" t="s">
        <v>6</v>
      </c>
      <c r="I55" s="709" t="s">
        <v>17</v>
      </c>
      <c r="J55" s="710" t="s">
        <v>10</v>
      </c>
      <c r="K55" s="711" t="s">
        <v>8</v>
      </c>
      <c r="L55" s="708" t="s">
        <v>9</v>
      </c>
      <c r="M55" s="710" t="s">
        <v>10</v>
      </c>
      <c r="N55" s="712" t="s">
        <v>11</v>
      </c>
      <c r="O55" s="713" t="s">
        <v>12</v>
      </c>
      <c r="P55" s="710" t="s">
        <v>10</v>
      </c>
      <c r="Q55" s="714" t="s">
        <v>18</v>
      </c>
      <c r="R55" s="708" t="s">
        <v>14</v>
      </c>
      <c r="S55" s="711" t="s">
        <v>10</v>
      </c>
      <c r="W55" s="750"/>
    </row>
    <row r="56" spans="1:24" ht="25.5" customHeight="1">
      <c r="A56" s="937"/>
      <c r="B56" s="854"/>
      <c r="C56" s="719"/>
      <c r="D56" s="720"/>
      <c r="E56" s="721"/>
      <c r="F56" s="720"/>
      <c r="G56" s="715"/>
      <c r="H56" s="716"/>
      <c r="I56" s="718"/>
      <c r="J56" s="716"/>
      <c r="K56" s="722"/>
      <c r="L56" s="720"/>
      <c r="M56" s="721"/>
      <c r="N56" s="720"/>
      <c r="O56" s="722"/>
      <c r="P56" s="720"/>
      <c r="Q56" s="723"/>
      <c r="R56" s="720"/>
      <c r="S56" s="723"/>
      <c r="W56" s="750"/>
    </row>
    <row r="57" spans="1:24" ht="25.5" customHeight="1">
      <c r="A57" s="786" t="s">
        <v>15</v>
      </c>
      <c r="B57" s="785"/>
      <c r="C57" s="967"/>
      <c r="D57" s="968"/>
      <c r="E57" s="968"/>
      <c r="F57" s="969"/>
      <c r="G57" s="964"/>
      <c r="H57" s="965"/>
      <c r="I57" s="965"/>
      <c r="J57" s="965"/>
      <c r="K57" s="967"/>
      <c r="L57" s="968"/>
      <c r="M57" s="969"/>
      <c r="N57" s="967"/>
      <c r="O57" s="968"/>
      <c r="P57" s="969"/>
      <c r="Q57" s="967"/>
      <c r="R57" s="968"/>
      <c r="S57" s="969"/>
      <c r="W57" s="750"/>
    </row>
    <row r="58" spans="1:24" ht="25.5" customHeight="1">
      <c r="A58" s="936">
        <f>+'jobinfo(2)'!A71</f>
        <v>19</v>
      </c>
      <c r="B58" s="970">
        <f>+'jobinfo(2)'!C71</f>
        <v>0</v>
      </c>
      <c r="C58" s="707" t="s">
        <v>1</v>
      </c>
      <c r="D58" s="708" t="s">
        <v>16</v>
      </c>
      <c r="E58" s="709" t="s">
        <v>17</v>
      </c>
      <c r="F58" s="710" t="s">
        <v>10</v>
      </c>
      <c r="G58" s="711" t="str">
        <f>$G$5</f>
        <v>WALL</v>
      </c>
      <c r="H58" s="708" t="s">
        <v>6</v>
      </c>
      <c r="I58" s="709" t="s">
        <v>17</v>
      </c>
      <c r="J58" s="710" t="s">
        <v>10</v>
      </c>
      <c r="K58" s="711" t="s">
        <v>8</v>
      </c>
      <c r="L58" s="708" t="s">
        <v>9</v>
      </c>
      <c r="M58" s="710" t="s">
        <v>10</v>
      </c>
      <c r="N58" s="712" t="s">
        <v>11</v>
      </c>
      <c r="O58" s="713" t="s">
        <v>12</v>
      </c>
      <c r="P58" s="710" t="s">
        <v>10</v>
      </c>
      <c r="Q58" s="714" t="s">
        <v>18</v>
      </c>
      <c r="R58" s="708" t="s">
        <v>14</v>
      </c>
      <c r="S58" s="711" t="s">
        <v>10</v>
      </c>
      <c r="W58" s="750"/>
    </row>
    <row r="59" spans="1:24" ht="25.5" customHeight="1">
      <c r="A59" s="937"/>
      <c r="B59" s="940"/>
      <c r="C59" s="715"/>
      <c r="D59" s="716"/>
      <c r="E59" s="717"/>
      <c r="F59" s="716"/>
      <c r="G59" s="715"/>
      <c r="H59" s="716"/>
      <c r="I59" s="718"/>
      <c r="J59" s="716"/>
      <c r="K59" s="715"/>
      <c r="L59" s="716"/>
      <c r="M59" s="717"/>
      <c r="N59" s="716"/>
      <c r="O59" s="715"/>
      <c r="P59" s="716"/>
      <c r="Q59" s="718"/>
      <c r="R59" s="716"/>
      <c r="S59" s="718"/>
      <c r="T59" s="49"/>
      <c r="U59" s="49"/>
      <c r="V59" s="49"/>
      <c r="W59" s="752"/>
      <c r="X59" s="49"/>
    </row>
    <row r="60" spans="1:24" ht="25.5" customHeight="1">
      <c r="A60" s="786" t="s">
        <v>15</v>
      </c>
      <c r="B60" s="785"/>
      <c r="C60" s="964"/>
      <c r="D60" s="965"/>
      <c r="E60" s="965"/>
      <c r="F60" s="965"/>
      <c r="G60" s="964"/>
      <c r="H60" s="965"/>
      <c r="I60" s="965"/>
      <c r="J60" s="965"/>
      <c r="K60" s="964"/>
      <c r="L60" s="965"/>
      <c r="M60" s="966"/>
      <c r="N60" s="964"/>
      <c r="O60" s="965"/>
      <c r="P60" s="966"/>
      <c r="Q60" s="964"/>
      <c r="R60" s="965"/>
      <c r="S60" s="966"/>
      <c r="W60" s="750"/>
    </row>
    <row r="61" spans="1:24" ht="25.5" customHeight="1">
      <c r="A61" s="936">
        <f>+'jobinfo(2)'!A72</f>
        <v>20</v>
      </c>
      <c r="B61" s="970">
        <f>+'jobinfo(2)'!C72</f>
        <v>0</v>
      </c>
      <c r="C61" s="707" t="s">
        <v>1</v>
      </c>
      <c r="D61" s="708" t="s">
        <v>16</v>
      </c>
      <c r="E61" s="709" t="s">
        <v>17</v>
      </c>
      <c r="F61" s="710" t="s">
        <v>10</v>
      </c>
      <c r="G61" s="711" t="str">
        <f>$G$5</f>
        <v>WALL</v>
      </c>
      <c r="H61" s="708" t="s">
        <v>6</v>
      </c>
      <c r="I61" s="709" t="s">
        <v>17</v>
      </c>
      <c r="J61" s="710" t="s">
        <v>10</v>
      </c>
      <c r="K61" s="711" t="s">
        <v>8</v>
      </c>
      <c r="L61" s="708" t="s">
        <v>9</v>
      </c>
      <c r="M61" s="710" t="s">
        <v>10</v>
      </c>
      <c r="N61" s="712" t="s">
        <v>11</v>
      </c>
      <c r="O61" s="713" t="s">
        <v>12</v>
      </c>
      <c r="P61" s="710" t="s">
        <v>10</v>
      </c>
      <c r="Q61" s="714" t="s">
        <v>18</v>
      </c>
      <c r="R61" s="708" t="s">
        <v>14</v>
      </c>
      <c r="S61" s="711" t="s">
        <v>10</v>
      </c>
      <c r="W61" s="750"/>
    </row>
    <row r="62" spans="1:24" ht="25.5" customHeight="1">
      <c r="A62" s="937"/>
      <c r="B62" s="940"/>
      <c r="C62" s="715"/>
      <c r="D62" s="716"/>
      <c r="E62" s="717"/>
      <c r="F62" s="716"/>
      <c r="G62" s="722"/>
      <c r="H62" s="720"/>
      <c r="I62" s="723"/>
      <c r="J62" s="720"/>
      <c r="K62" s="715"/>
      <c r="L62" s="716"/>
      <c r="M62" s="717"/>
      <c r="N62" s="716"/>
      <c r="O62" s="715"/>
      <c r="P62" s="716"/>
      <c r="Q62" s="718"/>
      <c r="R62" s="716"/>
      <c r="S62" s="718"/>
      <c r="W62" s="750"/>
    </row>
    <row r="63" spans="1:24" ht="25.5" customHeight="1">
      <c r="A63" s="786" t="s">
        <v>15</v>
      </c>
      <c r="B63" s="785"/>
      <c r="C63" s="964"/>
      <c r="D63" s="965"/>
      <c r="E63" s="965"/>
      <c r="F63" s="965"/>
      <c r="G63" s="964"/>
      <c r="H63" s="965"/>
      <c r="I63" s="965"/>
      <c r="J63" s="965"/>
      <c r="K63" s="964"/>
      <c r="L63" s="965"/>
      <c r="M63" s="966"/>
      <c r="N63" s="964"/>
      <c r="O63" s="965"/>
      <c r="P63" s="966"/>
      <c r="Q63" s="964"/>
      <c r="R63" s="965"/>
      <c r="S63" s="966"/>
      <c r="W63" s="750"/>
    </row>
    <row r="64" spans="1:24" ht="25.5" customHeight="1">
      <c r="A64" s="936">
        <f>+'jobinfo(2)'!A73</f>
        <v>21</v>
      </c>
      <c r="B64" s="970">
        <f>+'jobinfo(2)'!C73</f>
        <v>0</v>
      </c>
      <c r="C64" s="664" t="s">
        <v>1</v>
      </c>
      <c r="D64" s="643" t="s">
        <v>16</v>
      </c>
      <c r="E64" s="665" t="s">
        <v>17</v>
      </c>
      <c r="F64" s="666" t="s">
        <v>10</v>
      </c>
      <c r="G64" s="667" t="s">
        <v>20</v>
      </c>
      <c r="H64" s="643" t="s">
        <v>6</v>
      </c>
      <c r="I64" s="665" t="s">
        <v>17</v>
      </c>
      <c r="J64" s="666" t="s">
        <v>10</v>
      </c>
      <c r="K64" s="667" t="s">
        <v>8</v>
      </c>
      <c r="L64" s="643" t="s">
        <v>9</v>
      </c>
      <c r="M64" s="666" t="s">
        <v>10</v>
      </c>
      <c r="N64" s="668" t="s">
        <v>11</v>
      </c>
      <c r="O64" s="613" t="s">
        <v>12</v>
      </c>
      <c r="P64" s="666" t="s">
        <v>10</v>
      </c>
      <c r="Q64" s="669" t="s">
        <v>18</v>
      </c>
      <c r="R64" s="643" t="s">
        <v>14</v>
      </c>
      <c r="S64" s="667" t="s">
        <v>10</v>
      </c>
      <c r="W64" s="750"/>
    </row>
    <row r="65" spans="1:53" ht="25.5" customHeight="1">
      <c r="A65" s="937"/>
      <c r="B65" s="940"/>
      <c r="C65" s="149"/>
      <c r="D65" s="150"/>
      <c r="E65" s="467"/>
      <c r="F65" s="150"/>
      <c r="G65" s="149"/>
      <c r="H65" s="150"/>
      <c r="I65" s="599"/>
      <c r="J65" s="150"/>
      <c r="K65" s="149"/>
      <c r="L65" s="150"/>
      <c r="M65" s="467"/>
      <c r="N65" s="150"/>
      <c r="O65" s="149"/>
      <c r="P65" s="150"/>
      <c r="Q65" s="599"/>
      <c r="R65" s="150"/>
      <c r="S65" s="599"/>
      <c r="T65" s="49"/>
      <c r="U65" s="49"/>
      <c r="V65" s="49"/>
      <c r="W65" s="752"/>
      <c r="X65" s="49"/>
    </row>
    <row r="66" spans="1:53" ht="25.5" customHeight="1">
      <c r="A66" s="786" t="s">
        <v>15</v>
      </c>
      <c r="B66" s="785"/>
      <c r="C66" s="964"/>
      <c r="D66" s="965"/>
      <c r="E66" s="965"/>
      <c r="F66" s="965"/>
      <c r="G66" s="964"/>
      <c r="H66" s="965"/>
      <c r="I66" s="965"/>
      <c r="J66" s="965"/>
      <c r="K66" s="964"/>
      <c r="L66" s="965"/>
      <c r="M66" s="966"/>
      <c r="N66" s="964"/>
      <c r="O66" s="965"/>
      <c r="P66" s="966"/>
      <c r="Q66" s="964"/>
      <c r="R66" s="965"/>
      <c r="S66" s="966"/>
      <c r="W66" s="750"/>
    </row>
    <row r="67" spans="1:53" ht="25.5" customHeight="1">
      <c r="A67" s="934" t="str">
        <f>A45</f>
        <v>Work SCOPE</v>
      </c>
      <c r="B67" s="935"/>
      <c r="C67" s="935"/>
      <c r="D67" s="941" t="str">
        <f>+'jobinfo(2)'!$C$1</f>
        <v>Hatten, Nedra</v>
      </c>
      <c r="E67" s="941"/>
      <c r="F67" s="941"/>
      <c r="G67" s="942" t="str">
        <f>+'jobinfo(2)'!$C$2</f>
        <v>628 Quilliams Road</v>
      </c>
      <c r="H67" s="942"/>
      <c r="I67" s="942"/>
      <c r="J67" s="942"/>
      <c r="K67" s="942"/>
      <c r="L67" s="371" t="str">
        <f>L45</f>
        <v>FLOOR1 DN</v>
      </c>
      <c r="O67" s="706" t="str">
        <f>'jobinfo(2)'!$C$11</f>
        <v>BATHTUB OVERFLOW</v>
      </c>
      <c r="P67" s="129" t="str">
        <f>'jobinfo(2)'!$C$26</f>
        <v>LIBERTY MUTUAL</v>
      </c>
      <c r="R67" s="933" t="str">
        <f>'jobinfo(2)'!$C$27</f>
        <v>#059633981</v>
      </c>
      <c r="S67" s="933"/>
      <c r="W67" s="750"/>
    </row>
    <row r="68" spans="1:53" ht="25.5" customHeight="1">
      <c r="A68" s="936">
        <f>+'jobinfo(2)'!A74</f>
        <v>22</v>
      </c>
      <c r="B68" s="970">
        <f>+'jobinfo(2)'!C74</f>
        <v>0</v>
      </c>
      <c r="C68" s="664" t="s">
        <v>1</v>
      </c>
      <c r="D68" s="643" t="s">
        <v>16</v>
      </c>
      <c r="E68" s="665" t="s">
        <v>17</v>
      </c>
      <c r="F68" s="666" t="s">
        <v>10</v>
      </c>
      <c r="G68" s="667" t="s">
        <v>20</v>
      </c>
      <c r="H68" s="643" t="s">
        <v>6</v>
      </c>
      <c r="I68" s="665" t="s">
        <v>17</v>
      </c>
      <c r="J68" s="666" t="s">
        <v>10</v>
      </c>
      <c r="K68" s="667" t="s">
        <v>8</v>
      </c>
      <c r="L68" s="643" t="s">
        <v>9</v>
      </c>
      <c r="M68" s="666" t="s">
        <v>10</v>
      </c>
      <c r="N68" s="668" t="s">
        <v>11</v>
      </c>
      <c r="O68" s="613" t="s">
        <v>12</v>
      </c>
      <c r="P68" s="666" t="s">
        <v>10</v>
      </c>
      <c r="Q68" s="669" t="s">
        <v>18</v>
      </c>
      <c r="R68" s="643" t="s">
        <v>14</v>
      </c>
      <c r="S68" s="667" t="s">
        <v>10</v>
      </c>
      <c r="W68" s="750"/>
    </row>
    <row r="69" spans="1:53" ht="25.5" customHeight="1">
      <c r="A69" s="937"/>
      <c r="B69" s="940"/>
      <c r="C69" s="149"/>
      <c r="D69" s="150"/>
      <c r="E69" s="467"/>
      <c r="F69" s="150"/>
      <c r="G69" s="149"/>
      <c r="H69" s="150"/>
      <c r="I69" s="599"/>
      <c r="J69" s="150"/>
      <c r="K69" s="149"/>
      <c r="L69" s="150"/>
      <c r="M69" s="467"/>
      <c r="N69" s="150"/>
      <c r="O69" s="149"/>
      <c r="P69" s="150"/>
      <c r="Q69" s="599"/>
      <c r="R69" s="150"/>
      <c r="S69" s="599"/>
      <c r="W69" s="750"/>
    </row>
    <row r="70" spans="1:53" ht="25.5" customHeight="1">
      <c r="A70" s="786" t="s">
        <v>15</v>
      </c>
      <c r="B70" s="785"/>
      <c r="C70" s="964"/>
      <c r="D70" s="965"/>
      <c r="E70" s="965"/>
      <c r="F70" s="965"/>
      <c r="G70" s="964"/>
      <c r="H70" s="965"/>
      <c r="I70" s="965"/>
      <c r="J70" s="965"/>
      <c r="K70" s="964"/>
      <c r="L70" s="965"/>
      <c r="M70" s="966"/>
      <c r="N70" s="964"/>
      <c r="O70" s="965"/>
      <c r="P70" s="966"/>
      <c r="Q70" s="964"/>
      <c r="R70" s="965"/>
      <c r="S70" s="966"/>
      <c r="W70" s="750"/>
    </row>
    <row r="71" spans="1:53" ht="25.5" customHeight="1">
      <c r="A71" s="936">
        <f>+'jobinfo(2)'!A75</f>
        <v>23</v>
      </c>
      <c r="B71" s="970">
        <f>+'jobinfo(2)'!C75</f>
        <v>0</v>
      </c>
      <c r="C71" s="664" t="s">
        <v>1</v>
      </c>
      <c r="D71" s="643" t="s">
        <v>16</v>
      </c>
      <c r="E71" s="665" t="s">
        <v>17</v>
      </c>
      <c r="F71" s="666" t="s">
        <v>10</v>
      </c>
      <c r="G71" s="667" t="s">
        <v>20</v>
      </c>
      <c r="H71" s="643" t="s">
        <v>6</v>
      </c>
      <c r="I71" s="665" t="s">
        <v>17</v>
      </c>
      <c r="J71" s="666" t="s">
        <v>10</v>
      </c>
      <c r="K71" s="667" t="s">
        <v>8</v>
      </c>
      <c r="L71" s="643" t="s">
        <v>9</v>
      </c>
      <c r="M71" s="666" t="s">
        <v>10</v>
      </c>
      <c r="N71" s="668" t="s">
        <v>11</v>
      </c>
      <c r="O71" s="613" t="s">
        <v>12</v>
      </c>
      <c r="P71" s="666" t="s">
        <v>10</v>
      </c>
      <c r="Q71" s="669" t="s">
        <v>18</v>
      </c>
      <c r="R71" s="643" t="s">
        <v>14</v>
      </c>
      <c r="S71" s="667" t="s">
        <v>10</v>
      </c>
      <c r="W71" s="750"/>
    </row>
    <row r="72" spans="1:53" ht="25.5" customHeight="1">
      <c r="A72" s="937"/>
      <c r="B72" s="940"/>
      <c r="C72" s="149"/>
      <c r="D72" s="150"/>
      <c r="E72" s="467"/>
      <c r="F72" s="150"/>
      <c r="G72" s="149"/>
      <c r="H72" s="150"/>
      <c r="I72" s="599"/>
      <c r="J72" s="150"/>
      <c r="K72" s="149"/>
      <c r="L72" s="150"/>
      <c r="M72" s="467"/>
      <c r="N72" s="150"/>
      <c r="O72" s="149"/>
      <c r="P72" s="150"/>
      <c r="Q72" s="599"/>
      <c r="R72" s="150"/>
      <c r="S72" s="599"/>
      <c r="T72" s="49"/>
      <c r="U72" s="49"/>
      <c r="V72" s="49"/>
      <c r="W72" s="752"/>
      <c r="X72" s="49"/>
    </row>
    <row r="73" spans="1:53" ht="25.5" customHeight="1">
      <c r="A73" s="786" t="s">
        <v>15</v>
      </c>
      <c r="B73" s="785"/>
      <c r="C73" s="964"/>
      <c r="D73" s="965"/>
      <c r="E73" s="965"/>
      <c r="F73" s="965"/>
      <c r="G73" s="964"/>
      <c r="H73" s="965"/>
      <c r="I73" s="965"/>
      <c r="J73" s="965"/>
      <c r="K73" s="964"/>
      <c r="L73" s="965"/>
      <c r="M73" s="966"/>
      <c r="N73" s="964"/>
      <c r="O73" s="965"/>
      <c r="P73" s="966"/>
      <c r="Q73" s="964"/>
      <c r="R73" s="965"/>
      <c r="S73" s="966"/>
      <c r="W73" s="750"/>
    </row>
    <row r="74" spans="1:53" ht="25.5" customHeight="1">
      <c r="A74" s="936">
        <f>+'jobinfo(2)'!A77</f>
        <v>25</v>
      </c>
      <c r="B74" s="970">
        <f>+'jobinfo(2)'!C76</f>
        <v>0</v>
      </c>
      <c r="C74" s="664" t="s">
        <v>1</v>
      </c>
      <c r="D74" s="643" t="s">
        <v>16</v>
      </c>
      <c r="E74" s="665" t="s">
        <v>17</v>
      </c>
      <c r="F74" s="666" t="s">
        <v>10</v>
      </c>
      <c r="G74" s="667" t="s">
        <v>20</v>
      </c>
      <c r="H74" s="643" t="s">
        <v>6</v>
      </c>
      <c r="I74" s="665" t="s">
        <v>17</v>
      </c>
      <c r="J74" s="666" t="s">
        <v>10</v>
      </c>
      <c r="K74" s="667" t="s">
        <v>8</v>
      </c>
      <c r="L74" s="643" t="s">
        <v>9</v>
      </c>
      <c r="M74" s="666" t="s">
        <v>10</v>
      </c>
      <c r="N74" s="668" t="s">
        <v>11</v>
      </c>
      <c r="O74" s="613" t="s">
        <v>12</v>
      </c>
      <c r="P74" s="666" t="s">
        <v>10</v>
      </c>
      <c r="Q74" s="669" t="s">
        <v>18</v>
      </c>
      <c r="R74" s="643" t="s">
        <v>14</v>
      </c>
      <c r="S74" s="667" t="s">
        <v>10</v>
      </c>
      <c r="W74" s="750"/>
    </row>
    <row r="75" spans="1:53" ht="25.5" customHeight="1">
      <c r="A75" s="937"/>
      <c r="B75" s="940"/>
      <c r="C75" s="149"/>
      <c r="D75" s="150"/>
      <c r="E75" s="467"/>
      <c r="F75" s="150"/>
      <c r="G75" s="149"/>
      <c r="H75" s="150"/>
      <c r="I75" s="599"/>
      <c r="J75" s="150"/>
      <c r="K75" s="149"/>
      <c r="L75" s="150"/>
      <c r="M75" s="467"/>
      <c r="N75" s="150"/>
      <c r="O75" s="149"/>
      <c r="P75" s="150"/>
      <c r="Q75" s="599"/>
      <c r="R75" s="150"/>
      <c r="S75" s="599"/>
      <c r="T75" s="49"/>
      <c r="U75" s="49"/>
      <c r="V75" s="49"/>
      <c r="W75" s="752"/>
      <c r="X75" s="49"/>
    </row>
    <row r="76" spans="1:53" ht="25.5" customHeight="1">
      <c r="A76" s="786" t="s">
        <v>15</v>
      </c>
      <c r="B76" s="783"/>
      <c r="C76" s="967"/>
      <c r="D76" s="968"/>
      <c r="E76" s="968"/>
      <c r="F76" s="969"/>
      <c r="G76" s="967"/>
      <c r="H76" s="968"/>
      <c r="I76" s="968"/>
      <c r="J76" s="969"/>
      <c r="K76" s="967"/>
      <c r="L76" s="968"/>
      <c r="M76" s="969"/>
      <c r="N76" s="967"/>
      <c r="O76" s="968"/>
      <c r="P76" s="969"/>
      <c r="Q76" s="967"/>
      <c r="R76" s="968"/>
      <c r="S76" s="969"/>
      <c r="W76" s="750"/>
    </row>
    <row r="77" spans="1:53" ht="25.5" customHeight="1">
      <c r="A77" s="936">
        <f>+'jobinfo(2)'!A78</f>
        <v>26</v>
      </c>
      <c r="B77" s="939">
        <f>+'jobinfo(2)'!C77</f>
        <v>0</v>
      </c>
      <c r="C77" s="664" t="s">
        <v>1</v>
      </c>
      <c r="D77" s="643" t="s">
        <v>16</v>
      </c>
      <c r="E77" s="665" t="s">
        <v>17</v>
      </c>
      <c r="F77" s="666" t="s">
        <v>10</v>
      </c>
      <c r="G77" s="667" t="s">
        <v>20</v>
      </c>
      <c r="H77" s="643" t="s">
        <v>6</v>
      </c>
      <c r="I77" s="665" t="s">
        <v>17</v>
      </c>
      <c r="J77" s="666" t="s">
        <v>10</v>
      </c>
      <c r="K77" s="667" t="s">
        <v>8</v>
      </c>
      <c r="L77" s="643" t="s">
        <v>9</v>
      </c>
      <c r="M77" s="666" t="s">
        <v>10</v>
      </c>
      <c r="N77" s="668" t="s">
        <v>11</v>
      </c>
      <c r="O77" s="613" t="s">
        <v>12</v>
      </c>
      <c r="P77" s="666" t="s">
        <v>10</v>
      </c>
      <c r="Q77" s="669" t="s">
        <v>18</v>
      </c>
      <c r="R77" s="643" t="s">
        <v>14</v>
      </c>
      <c r="S77" s="667" t="s">
        <v>10</v>
      </c>
      <c r="W77" s="750"/>
      <c r="AX77" s="2"/>
      <c r="AY77" s="611" t="s">
        <v>21</v>
      </c>
      <c r="AZ77" s="2"/>
      <c r="BA77" s="614" t="s">
        <v>22</v>
      </c>
    </row>
    <row r="78" spans="1:53" ht="25.5" customHeight="1">
      <c r="A78" s="937"/>
      <c r="B78" s="940"/>
      <c r="C78" s="149"/>
      <c r="D78" s="150"/>
      <c r="E78" s="467"/>
      <c r="F78" s="150"/>
      <c r="G78" s="149"/>
      <c r="H78" s="150"/>
      <c r="I78" s="599"/>
      <c r="J78" s="150"/>
      <c r="K78" s="149"/>
      <c r="L78" s="150"/>
      <c r="M78" s="467"/>
      <c r="N78" s="150"/>
      <c r="O78" s="149"/>
      <c r="P78" s="150"/>
      <c r="Q78" s="599"/>
      <c r="R78" s="150"/>
      <c r="S78" s="599"/>
      <c r="W78" s="750"/>
      <c r="AX78" s="2"/>
      <c r="AY78" s="611"/>
      <c r="AZ78" s="2"/>
      <c r="BA78" s="614"/>
    </row>
    <row r="79" spans="1:53" ht="25.5" customHeight="1">
      <c r="A79" s="786" t="s">
        <v>15</v>
      </c>
      <c r="B79" s="785"/>
      <c r="C79" s="964"/>
      <c r="D79" s="965"/>
      <c r="E79" s="965"/>
      <c r="F79" s="965"/>
      <c r="G79" s="964"/>
      <c r="H79" s="965"/>
      <c r="I79" s="965"/>
      <c r="J79" s="965"/>
      <c r="K79" s="964"/>
      <c r="L79" s="965"/>
      <c r="M79" s="966"/>
      <c r="N79" s="964"/>
      <c r="O79" s="965"/>
      <c r="P79" s="966"/>
      <c r="Q79" s="964"/>
      <c r="R79" s="965"/>
      <c r="S79" s="966"/>
      <c r="W79" s="750"/>
      <c r="AX79" s="2"/>
      <c r="AY79" s="611"/>
      <c r="AZ79" s="2"/>
      <c r="BA79" s="614"/>
    </row>
    <row r="80" spans="1:53" s="2" customFormat="1" ht="25.5" customHeight="1">
      <c r="A80" s="936">
        <f>+'jobinfo(2)'!A78</f>
        <v>26</v>
      </c>
      <c r="B80" s="939">
        <f>+'jobinfo(2)'!C78</f>
        <v>0</v>
      </c>
      <c r="C80" s="664" t="s">
        <v>1</v>
      </c>
      <c r="D80" s="643" t="s">
        <v>16</v>
      </c>
      <c r="E80" s="665" t="s">
        <v>17</v>
      </c>
      <c r="F80" s="666" t="s">
        <v>10</v>
      </c>
      <c r="G80" s="667" t="s">
        <v>20</v>
      </c>
      <c r="H80" s="643" t="s">
        <v>6</v>
      </c>
      <c r="I80" s="665" t="s">
        <v>17</v>
      </c>
      <c r="J80" s="666" t="s">
        <v>10</v>
      </c>
      <c r="K80" s="667" t="s">
        <v>8</v>
      </c>
      <c r="L80" s="643" t="s">
        <v>9</v>
      </c>
      <c r="M80" s="666" t="s">
        <v>10</v>
      </c>
      <c r="N80" s="668" t="s">
        <v>11</v>
      </c>
      <c r="O80" s="613" t="s">
        <v>12</v>
      </c>
      <c r="P80" s="666" t="s">
        <v>10</v>
      </c>
      <c r="Q80" s="669" t="s">
        <v>18</v>
      </c>
      <c r="R80" s="643" t="s">
        <v>14</v>
      </c>
      <c r="S80" s="667" t="s">
        <v>10</v>
      </c>
      <c r="W80" s="753"/>
    </row>
    <row r="81" spans="1:33" s="2" customFormat="1" ht="25.5" customHeight="1">
      <c r="A81" s="937"/>
      <c r="B81" s="940"/>
      <c r="C81" s="149"/>
      <c r="D81" s="150"/>
      <c r="E81" s="467"/>
      <c r="F81" s="150"/>
      <c r="G81" s="149"/>
      <c r="H81" s="150"/>
      <c r="I81" s="599"/>
      <c r="J81" s="150"/>
      <c r="K81" s="149"/>
      <c r="L81" s="150"/>
      <c r="M81" s="467"/>
      <c r="N81" s="150"/>
      <c r="O81" s="149"/>
      <c r="P81" s="150"/>
      <c r="Q81" s="599"/>
      <c r="R81" s="150"/>
      <c r="S81" s="599"/>
      <c r="W81" s="753"/>
    </row>
    <row r="82" spans="1:33" s="2" customFormat="1" ht="25.5" customHeight="1">
      <c r="A82" s="786" t="s">
        <v>15</v>
      </c>
      <c r="B82" s="783"/>
      <c r="C82" s="964"/>
      <c r="D82" s="965"/>
      <c r="E82" s="965"/>
      <c r="F82" s="965"/>
      <c r="G82" s="964"/>
      <c r="H82" s="965"/>
      <c r="I82" s="965"/>
      <c r="J82" s="965"/>
      <c r="K82" s="964"/>
      <c r="L82" s="965"/>
      <c r="M82" s="966"/>
      <c r="N82" s="964"/>
      <c r="O82" s="965"/>
      <c r="P82" s="966"/>
      <c r="Q82" s="964"/>
      <c r="R82" s="965"/>
      <c r="S82" s="966"/>
      <c r="W82" s="753"/>
    </row>
    <row r="83" spans="1:33" s="2" customFormat="1" ht="25.5" customHeight="1">
      <c r="A83" s="936">
        <f>+'jobinfo(2)'!A79</f>
        <v>27</v>
      </c>
      <c r="B83" s="939">
        <f>+'jobinfo(2)'!C79</f>
        <v>0</v>
      </c>
      <c r="C83" s="664" t="s">
        <v>1</v>
      </c>
      <c r="D83" s="643" t="s">
        <v>16</v>
      </c>
      <c r="E83" s="665" t="s">
        <v>17</v>
      </c>
      <c r="F83" s="666" t="s">
        <v>10</v>
      </c>
      <c r="G83" s="667" t="s">
        <v>20</v>
      </c>
      <c r="H83" s="643" t="s">
        <v>6</v>
      </c>
      <c r="I83" s="665" t="s">
        <v>17</v>
      </c>
      <c r="J83" s="666" t="s">
        <v>10</v>
      </c>
      <c r="K83" s="667" t="s">
        <v>8</v>
      </c>
      <c r="L83" s="643" t="s">
        <v>9</v>
      </c>
      <c r="M83" s="666" t="s">
        <v>10</v>
      </c>
      <c r="N83" s="668" t="s">
        <v>11</v>
      </c>
      <c r="O83" s="613" t="s">
        <v>12</v>
      </c>
      <c r="P83" s="666" t="s">
        <v>10</v>
      </c>
      <c r="Q83" s="669" t="s">
        <v>18</v>
      </c>
      <c r="R83" s="643" t="s">
        <v>14</v>
      </c>
      <c r="S83" s="667" t="s">
        <v>10</v>
      </c>
      <c r="W83" s="753"/>
    </row>
    <row r="84" spans="1:33" s="2" customFormat="1" ht="25.5" customHeight="1">
      <c r="A84" s="937"/>
      <c r="B84" s="940"/>
      <c r="C84" s="149"/>
      <c r="D84" s="150"/>
      <c r="E84" s="467"/>
      <c r="F84" s="150"/>
      <c r="G84" s="149"/>
      <c r="H84" s="150"/>
      <c r="I84" s="599"/>
      <c r="J84" s="150"/>
      <c r="K84" s="149"/>
      <c r="L84" s="150"/>
      <c r="M84" s="467"/>
      <c r="N84" s="150"/>
      <c r="O84" s="149"/>
      <c r="P84" s="150"/>
      <c r="Q84" s="599"/>
      <c r="R84" s="150"/>
      <c r="S84" s="599"/>
      <c r="W84" s="753"/>
    </row>
    <row r="85" spans="1:33" s="2" customFormat="1" ht="25.5" customHeight="1">
      <c r="A85" s="786" t="s">
        <v>15</v>
      </c>
      <c r="B85" s="785"/>
      <c r="C85" s="967"/>
      <c r="D85" s="968"/>
      <c r="E85" s="968"/>
      <c r="F85" s="969"/>
      <c r="G85" s="967"/>
      <c r="H85" s="968"/>
      <c r="I85" s="968"/>
      <c r="J85" s="969"/>
      <c r="K85" s="967"/>
      <c r="L85" s="968"/>
      <c r="M85" s="969"/>
      <c r="N85" s="967"/>
      <c r="O85" s="968"/>
      <c r="P85" s="969"/>
      <c r="Q85" s="967"/>
      <c r="R85" s="968"/>
      <c r="S85" s="969"/>
      <c r="W85" s="753"/>
    </row>
    <row r="86" spans="1:33" s="2" customFormat="1" ht="25.5" customHeight="1">
      <c r="A86" s="936">
        <f>+'jobinfo(2)'!A80</f>
        <v>28</v>
      </c>
      <c r="B86" s="974">
        <f>+'jobinfo(2)'!C80</f>
        <v>0</v>
      </c>
      <c r="C86" s="664" t="s">
        <v>1</v>
      </c>
      <c r="D86" s="643" t="s">
        <v>16</v>
      </c>
      <c r="E86" s="665" t="s">
        <v>17</v>
      </c>
      <c r="F86" s="666" t="s">
        <v>10</v>
      </c>
      <c r="G86" s="667" t="s">
        <v>20</v>
      </c>
      <c r="H86" s="643" t="s">
        <v>6</v>
      </c>
      <c r="I86" s="665" t="s">
        <v>17</v>
      </c>
      <c r="J86" s="666" t="s">
        <v>10</v>
      </c>
      <c r="K86" s="667" t="s">
        <v>8</v>
      </c>
      <c r="L86" s="643" t="s">
        <v>9</v>
      </c>
      <c r="M86" s="666" t="s">
        <v>10</v>
      </c>
      <c r="N86" s="668" t="s">
        <v>11</v>
      </c>
      <c r="O86" s="613" t="s">
        <v>12</v>
      </c>
      <c r="P86" s="666" t="s">
        <v>10</v>
      </c>
      <c r="Q86" s="669" t="s">
        <v>18</v>
      </c>
      <c r="R86" s="643" t="s">
        <v>14</v>
      </c>
      <c r="S86" s="667" t="s">
        <v>10</v>
      </c>
      <c r="W86" s="753"/>
    </row>
    <row r="87" spans="1:33" s="2" customFormat="1" ht="25.5" customHeight="1">
      <c r="A87" s="937"/>
      <c r="B87" s="975"/>
      <c r="C87" s="149"/>
      <c r="D87" s="150"/>
      <c r="E87" s="467"/>
      <c r="F87" s="150"/>
      <c r="G87" s="149"/>
      <c r="H87" s="150"/>
      <c r="I87" s="599"/>
      <c r="J87" s="150"/>
      <c r="K87" s="149"/>
      <c r="L87" s="150"/>
      <c r="M87" s="467"/>
      <c r="N87" s="150"/>
      <c r="O87" s="149"/>
      <c r="P87" s="150"/>
      <c r="Q87" s="599"/>
      <c r="R87" s="150"/>
      <c r="S87" s="599"/>
      <c r="W87" s="753"/>
    </row>
    <row r="88" spans="1:33" s="2" customFormat="1" ht="25.5" customHeight="1">
      <c r="A88" s="786" t="s">
        <v>15</v>
      </c>
      <c r="B88" s="783"/>
      <c r="C88" s="964"/>
      <c r="D88" s="965"/>
      <c r="E88" s="965"/>
      <c r="F88" s="965"/>
      <c r="G88" s="964"/>
      <c r="H88" s="965"/>
      <c r="I88" s="965"/>
      <c r="J88" s="965"/>
      <c r="K88" s="964"/>
      <c r="L88" s="965"/>
      <c r="M88" s="966"/>
      <c r="N88" s="964"/>
      <c r="O88" s="965"/>
      <c r="P88" s="966"/>
      <c r="Q88" s="964"/>
      <c r="R88" s="965"/>
      <c r="S88" s="966"/>
      <c r="W88" s="753"/>
    </row>
    <row r="89" spans="1:33" s="2" customFormat="1" ht="28.15" customHeight="1">
      <c r="A89" s="786"/>
      <c r="B89" s="788"/>
      <c r="C89" s="789"/>
      <c r="D89" s="789"/>
      <c r="E89" s="789"/>
      <c r="F89" s="789"/>
      <c r="G89" s="789"/>
      <c r="H89" s="789"/>
      <c r="I89" s="789"/>
      <c r="J89" s="789"/>
      <c r="K89" s="789"/>
      <c r="L89" s="789"/>
      <c r="M89" s="789"/>
      <c r="N89" s="789"/>
      <c r="O89" s="789"/>
      <c r="P89" s="789"/>
      <c r="Q89" s="789"/>
      <c r="R89" s="789"/>
      <c r="S89" s="789"/>
      <c r="W89" s="753"/>
    </row>
    <row r="90" spans="1:33" s="2" customFormat="1" ht="33" customHeight="1">
      <c r="A90" s="786"/>
      <c r="B90" s="788"/>
      <c r="C90" s="789"/>
      <c r="D90" s="789"/>
      <c r="E90" s="789"/>
      <c r="F90" s="789"/>
      <c r="G90" s="789"/>
      <c r="H90" s="789"/>
      <c r="I90" s="789"/>
      <c r="J90" s="789"/>
      <c r="K90" s="789"/>
      <c r="L90" s="789"/>
      <c r="M90" s="789"/>
      <c r="N90" s="789"/>
      <c r="O90" s="789"/>
      <c r="P90" s="789"/>
      <c r="Q90" s="789"/>
      <c r="R90" s="789"/>
      <c r="S90" s="789"/>
      <c r="W90" s="753"/>
    </row>
    <row r="91" spans="1:33" s="2" customFormat="1" ht="19.899999999999999" customHeight="1">
      <c r="A91" s="647"/>
      <c r="U91" s="610"/>
      <c r="V91" s="998" t="s">
        <v>23</v>
      </c>
      <c r="W91" s="999"/>
      <c r="X91" s="999"/>
      <c r="Y91" s="999"/>
      <c r="Z91" s="999"/>
      <c r="AA91" s="999"/>
      <c r="AB91" s="999"/>
      <c r="AC91" s="999"/>
      <c r="AD91" s="1000"/>
    </row>
    <row r="92" spans="1:33" s="2" customFormat="1" ht="19.899999999999999" customHeight="1">
      <c r="A92" s="647"/>
      <c r="U92" s="1001" t="s">
        <v>24</v>
      </c>
      <c r="V92" s="986" t="s">
        <v>25</v>
      </c>
      <c r="W92" s="987"/>
      <c r="X92" s="822"/>
      <c r="Y92" s="701" t="s">
        <v>26</v>
      </c>
      <c r="AA92" s="526"/>
      <c r="AB92" s="984" t="s">
        <v>27</v>
      </c>
      <c r="AC92" s="985"/>
      <c r="AD92" s="725"/>
      <c r="AG92" s="686"/>
    </row>
    <row r="93" spans="1:33" s="2" customFormat="1" ht="19.899999999999999" customHeight="1">
      <c r="A93" s="647"/>
      <c r="U93" s="1002"/>
      <c r="V93" s="698" t="s">
        <v>28</v>
      </c>
      <c r="W93" s="702" t="s">
        <v>29</v>
      </c>
      <c r="X93" s="822"/>
      <c r="Y93" s="990" t="s">
        <v>30</v>
      </c>
      <c r="Z93" s="991"/>
      <c r="AB93" s="460" t="s">
        <v>31</v>
      </c>
      <c r="AC93" s="614" t="s">
        <v>32</v>
      </c>
      <c r="AD93" s="725"/>
      <c r="AE93" s="686"/>
      <c r="AF93" s="686"/>
      <c r="AG93" s="690"/>
    </row>
    <row r="94" spans="1:33" s="2" customFormat="1" ht="19.899999999999999" customHeight="1">
      <c r="A94" s="647"/>
      <c r="U94" s="1002"/>
      <c r="V94" s="739" t="s">
        <v>33</v>
      </c>
      <c r="W94" s="745" t="s">
        <v>34</v>
      </c>
      <c r="X94" s="822"/>
      <c r="Y94" s="760" t="s">
        <v>35</v>
      </c>
      <c r="Z94" s="754" t="s">
        <v>36</v>
      </c>
      <c r="AB94" s="460" t="s">
        <v>37</v>
      </c>
      <c r="AC94" s="687" t="s">
        <v>38</v>
      </c>
      <c r="AD94" s="725"/>
      <c r="AE94" s="686"/>
      <c r="AF94" s="686"/>
      <c r="AG94" s="690"/>
    </row>
    <row r="95" spans="1:33" s="2" customFormat="1" ht="19.899999999999999" customHeight="1">
      <c r="A95" s="647"/>
      <c r="U95" s="1002"/>
      <c r="V95" s="698" t="s">
        <v>39</v>
      </c>
      <c r="W95" s="702" t="s">
        <v>40</v>
      </c>
      <c r="X95" s="822"/>
      <c r="Y95" s="761" t="s">
        <v>41</v>
      </c>
      <c r="Z95" s="747" t="s">
        <v>42</v>
      </c>
      <c r="AA95" s="690"/>
      <c r="AB95" s="686" t="s">
        <v>43</v>
      </c>
      <c r="AC95" s="615" t="s">
        <v>44</v>
      </c>
      <c r="AD95" s="725"/>
      <c r="AE95" s="686"/>
      <c r="AF95" s="686"/>
      <c r="AG95" s="690"/>
    </row>
    <row r="96" spans="1:33" s="2" customFormat="1" ht="19.899999999999999" customHeight="1">
      <c r="A96" s="647"/>
      <c r="U96" s="1002"/>
      <c r="V96" s="743" t="s">
        <v>45</v>
      </c>
      <c r="W96" s="746" t="s">
        <v>46</v>
      </c>
      <c r="X96" s="822"/>
      <c r="Y96" s="526" t="s">
        <v>47</v>
      </c>
      <c r="Z96" s="689" t="s">
        <v>48</v>
      </c>
      <c r="AB96" s="725"/>
      <c r="AC96" s="725"/>
      <c r="AD96" s="725"/>
      <c r="AE96" s="686"/>
      <c r="AF96" s="686"/>
      <c r="AG96" s="690"/>
    </row>
    <row r="97" spans="1:34" s="2" customFormat="1" ht="19.899999999999999" customHeight="1">
      <c r="A97" s="647"/>
      <c r="U97" s="1002"/>
      <c r="V97" s="692" t="s">
        <v>49</v>
      </c>
      <c r="W97" s="746" t="s">
        <v>50</v>
      </c>
      <c r="X97" s="822"/>
      <c r="Y97" s="526" t="s">
        <v>12</v>
      </c>
      <c r="Z97" s="150" t="s">
        <v>51</v>
      </c>
      <c r="AA97" s="690"/>
      <c r="AB97" s="725"/>
      <c r="AC97" s="725"/>
      <c r="AD97" s="725"/>
      <c r="AE97" s="686"/>
      <c r="AF97" s="686"/>
      <c r="AG97" s="690"/>
    </row>
    <row r="98" spans="1:34" s="2" customFormat="1" ht="19.899999999999999" customHeight="1">
      <c r="A98" s="647"/>
      <c r="U98" s="1002"/>
      <c r="V98" s="692" t="s">
        <v>52</v>
      </c>
      <c r="W98" s="747" t="s">
        <v>53</v>
      </c>
      <c r="X98" s="822"/>
      <c r="AD98" s="725"/>
      <c r="AE98" s="686"/>
      <c r="AF98" s="686"/>
      <c r="AG98" s="690"/>
    </row>
    <row r="99" spans="1:34" s="2" customFormat="1" ht="19.899999999999999" customHeight="1">
      <c r="A99" s="647"/>
      <c r="U99" s="1002"/>
      <c r="V99" s="740" t="s">
        <v>54</v>
      </c>
      <c r="W99" s="755" t="s">
        <v>55</v>
      </c>
      <c r="X99" s="822"/>
      <c r="Y99" s="994" t="s">
        <v>56</v>
      </c>
      <c r="Z99" s="994"/>
      <c r="AA99" s="994"/>
      <c r="AB99" s="994"/>
      <c r="AC99" s="994"/>
      <c r="AD99" s="725"/>
      <c r="AE99" s="686"/>
      <c r="AF99" s="686"/>
      <c r="AG99" s="690"/>
    </row>
    <row r="100" spans="1:34" s="2" customFormat="1" ht="19.899999999999999" customHeight="1">
      <c r="A100" s="647"/>
      <c r="U100" s="1002"/>
      <c r="V100" s="740" t="s">
        <v>57</v>
      </c>
      <c r="W100" s="755" t="s">
        <v>58</v>
      </c>
      <c r="X100" s="822"/>
      <c r="Y100" s="612" t="s">
        <v>59</v>
      </c>
      <c r="Z100" s="758"/>
      <c r="AA100" s="746" t="s">
        <v>60</v>
      </c>
      <c r="AB100" s="694" t="s">
        <v>61</v>
      </c>
      <c r="AC100" s="702" t="s">
        <v>62</v>
      </c>
      <c r="AD100" s="725"/>
      <c r="AE100" s="686"/>
      <c r="AF100" s="686"/>
      <c r="AG100" s="690"/>
    </row>
    <row r="101" spans="1:34" s="2" customFormat="1" ht="19.899999999999999" customHeight="1">
      <c r="A101" s="647"/>
      <c r="U101" s="1002"/>
      <c r="V101" s="740"/>
      <c r="W101" s="755"/>
      <c r="X101" s="822"/>
      <c r="Y101" s="686" t="s">
        <v>63</v>
      </c>
      <c r="AA101" s="746" t="s">
        <v>64</v>
      </c>
    </row>
    <row r="102" spans="1:34" s="2" customFormat="1" ht="19.899999999999999" customHeight="1">
      <c r="A102" s="647"/>
      <c r="U102" s="1002"/>
      <c r="V102" s="51" t="s">
        <v>65</v>
      </c>
      <c r="W102" s="755" t="s">
        <v>66</v>
      </c>
      <c r="X102" s="823"/>
      <c r="Y102" s="704" t="s">
        <v>67</v>
      </c>
      <c r="Z102" s="749"/>
      <c r="AA102" s="2" t="s">
        <v>68</v>
      </c>
      <c r="AB102" s="697" t="s">
        <v>69</v>
      </c>
      <c r="AC102" s="756" t="s">
        <v>70</v>
      </c>
      <c r="AE102" s="686"/>
      <c r="AF102" s="686"/>
      <c r="AG102" s="690"/>
    </row>
    <row r="103" spans="1:34" s="2" customFormat="1" ht="19.899999999999999" customHeight="1">
      <c r="A103" s="647"/>
      <c r="U103" s="1002"/>
      <c r="V103" s="51" t="s">
        <v>71</v>
      </c>
      <c r="W103" s="755" t="s">
        <v>72</v>
      </c>
      <c r="X103" s="823"/>
      <c r="Y103" s="620" t="s">
        <v>73</v>
      </c>
      <c r="AA103" s="943" t="s">
        <v>74</v>
      </c>
      <c r="AB103" s="725"/>
      <c r="AC103" s="725"/>
      <c r="AD103" s="725"/>
      <c r="AE103" s="686"/>
      <c r="AF103" s="686"/>
      <c r="AG103" s="690"/>
    </row>
    <row r="104" spans="1:34" s="2" customFormat="1" ht="19.899999999999999" customHeight="1">
      <c r="A104" s="647"/>
      <c r="U104" s="1002"/>
      <c r="V104" s="51" t="s">
        <v>75</v>
      </c>
      <c r="W104" s="755" t="s">
        <v>76</v>
      </c>
      <c r="X104" s="823"/>
      <c r="AD104" s="725"/>
      <c r="AE104" s="686"/>
      <c r="AF104" s="686"/>
      <c r="AG104" s="690"/>
    </row>
    <row r="105" spans="1:34" s="2" customFormat="1" ht="19.899999999999999" customHeight="1">
      <c r="A105" s="647"/>
      <c r="U105" s="1002"/>
      <c r="V105" s="51" t="s">
        <v>77</v>
      </c>
      <c r="W105" s="755" t="s">
        <v>78</v>
      </c>
      <c r="X105" s="823"/>
      <c r="Y105" s="493" t="s">
        <v>79</v>
      </c>
      <c r="Z105" s="748"/>
      <c r="AA105" s="601"/>
      <c r="AB105" s="703" t="s">
        <v>80</v>
      </c>
      <c r="AD105" s="686"/>
      <c r="AG105" s="690"/>
    </row>
    <row r="106" spans="1:34" s="2" customFormat="1" ht="19.899999999999999" customHeight="1">
      <c r="A106" s="647"/>
      <c r="U106" s="1002"/>
      <c r="V106" s="51" t="s">
        <v>81</v>
      </c>
      <c r="W106" s="755" t="s">
        <v>82</v>
      </c>
      <c r="X106" s="823"/>
      <c r="Y106" s="682" t="s">
        <v>83</v>
      </c>
      <c r="Z106" s="2" t="s">
        <v>84</v>
      </c>
      <c r="AB106" s="683" t="s">
        <v>85</v>
      </c>
      <c r="AD106" s="725"/>
      <c r="AE106" s="686"/>
      <c r="AF106" s="686"/>
      <c r="AG106" s="690"/>
    </row>
    <row r="107" spans="1:34" s="2" customFormat="1" ht="19.899999999999999" customHeight="1">
      <c r="A107" s="647"/>
      <c r="U107" s="1002"/>
      <c r="V107" s="51"/>
      <c r="W107" s="755"/>
      <c r="X107" s="823"/>
      <c r="Y107" s="697"/>
      <c r="AA107" s="690"/>
      <c r="AB107" s="725"/>
      <c r="AC107" s="725"/>
      <c r="AD107" s="725"/>
      <c r="AE107" s="686"/>
      <c r="AF107" s="686"/>
      <c r="AG107" s="690"/>
    </row>
    <row r="108" spans="1:34" s="2" customFormat="1" ht="19.899999999999999" customHeight="1">
      <c r="A108" s="647"/>
      <c r="U108" s="1002"/>
      <c r="V108" s="762" t="s">
        <v>86</v>
      </c>
      <c r="W108" s="763" t="s">
        <v>18</v>
      </c>
      <c r="X108" s="824"/>
      <c r="Y108" s="780" t="s">
        <v>87</v>
      </c>
      <c r="Z108" s="778" t="s">
        <v>88</v>
      </c>
      <c r="AA108" s="687"/>
      <c r="AB108" s="617" t="s">
        <v>89</v>
      </c>
      <c r="AC108" s="773" t="s">
        <v>90</v>
      </c>
      <c r="AD108" s="1005"/>
      <c r="AE108" s="1005"/>
      <c r="AF108" s="1005"/>
      <c r="AG108" s="1005"/>
      <c r="AH108" s="686"/>
    </row>
    <row r="109" spans="1:34" s="2" customFormat="1" ht="19.899999999999999" customHeight="1">
      <c r="A109" s="647"/>
      <c r="U109" s="1002"/>
      <c r="V109" s="764" t="s">
        <v>91</v>
      </c>
      <c r="W109" s="765" t="s">
        <v>92</v>
      </c>
      <c r="X109" s="823"/>
      <c r="Y109" s="699" t="s">
        <v>93</v>
      </c>
      <c r="Z109" s="779" t="s">
        <v>94</v>
      </c>
      <c r="AB109" s="695" t="s">
        <v>95</v>
      </c>
      <c r="AC109" s="773" t="s">
        <v>96</v>
      </c>
      <c r="AF109" s="1005"/>
      <c r="AG109" s="1005"/>
    </row>
    <row r="110" spans="1:34" s="2" customFormat="1" ht="19.899999999999999" customHeight="1">
      <c r="A110" s="647"/>
      <c r="U110" s="1002"/>
      <c r="V110" s="691" t="s">
        <v>97</v>
      </c>
      <c r="W110" s="766" t="s">
        <v>98</v>
      </c>
      <c r="X110" s="823"/>
      <c r="Y110" s="767"/>
      <c r="AB110" s="1005"/>
      <c r="AC110" s="1005"/>
      <c r="AD110" s="1005"/>
      <c r="AE110" s="686"/>
      <c r="AF110" s="686"/>
      <c r="AG110" s="690"/>
    </row>
    <row r="111" spans="1:34" s="2" customFormat="1" ht="19.899999999999999" customHeight="1">
      <c r="A111" s="647"/>
      <c r="U111" s="1002"/>
      <c r="V111" s="692" t="s">
        <v>99</v>
      </c>
      <c r="W111" s="747" t="s">
        <v>99</v>
      </c>
      <c r="X111" s="823"/>
      <c r="Y111" s="781" t="s">
        <v>100</v>
      </c>
      <c r="Z111" s="774" t="s">
        <v>101</v>
      </c>
      <c r="AA111" s="687" t="s">
        <v>60</v>
      </c>
      <c r="AB111" s="687" t="s">
        <v>102</v>
      </c>
      <c r="AE111" s="686"/>
      <c r="AF111" s="686"/>
      <c r="AG111" s="690"/>
    </row>
    <row r="112" spans="1:34" s="2" customFormat="1" ht="19.899999999999999" customHeight="1">
      <c r="A112" s="647"/>
      <c r="U112" s="1002"/>
      <c r="V112" s="768" t="s">
        <v>103</v>
      </c>
      <c r="W112" s="769"/>
      <c r="X112" s="823"/>
      <c r="Y112" s="687" t="s">
        <v>104</v>
      </c>
      <c r="Z112" s="747" t="s">
        <v>105</v>
      </c>
      <c r="AA112" s="688" t="s">
        <v>106</v>
      </c>
      <c r="AB112" s="687" t="s">
        <v>107</v>
      </c>
      <c r="AE112" s="686"/>
      <c r="AF112" s="686"/>
      <c r="AG112" s="690"/>
    </row>
    <row r="113" spans="1:36" s="2" customFormat="1" ht="19.899999999999999" customHeight="1">
      <c r="A113" s="647"/>
      <c r="U113" s="1002"/>
      <c r="V113" s="770" t="s">
        <v>108</v>
      </c>
      <c r="W113" s="771" t="s">
        <v>109</v>
      </c>
      <c r="X113" s="823"/>
      <c r="Y113" s="645" t="s">
        <v>110</v>
      </c>
      <c r="Z113" s="747" t="s">
        <v>111</v>
      </c>
      <c r="AA113" s="686" t="s">
        <v>112</v>
      </c>
      <c r="AB113" s="687" t="s">
        <v>113</v>
      </c>
      <c r="AE113" s="686"/>
      <c r="AF113" s="686"/>
      <c r="AG113" s="690"/>
    </row>
    <row r="114" spans="1:36" s="2" customFormat="1" ht="19.899999999999999" customHeight="1">
      <c r="A114" s="647"/>
      <c r="U114" s="1002"/>
      <c r="V114" s="686" t="s">
        <v>114</v>
      </c>
      <c r="W114" s="687" t="s">
        <v>115</v>
      </c>
      <c r="X114" s="823"/>
      <c r="Y114" s="691" t="s">
        <v>116</v>
      </c>
      <c r="Z114" s="747" t="s">
        <v>117</v>
      </c>
      <c r="AA114" s="686" t="s">
        <v>118</v>
      </c>
      <c r="AB114" s="687" t="s">
        <v>119</v>
      </c>
      <c r="AE114" s="686"/>
      <c r="AF114" s="686"/>
      <c r="AG114" s="690"/>
    </row>
    <row r="115" spans="1:36" s="2" customFormat="1" ht="19.899999999999999" customHeight="1">
      <c r="A115" s="647"/>
      <c r="U115" s="1002"/>
      <c r="V115" s="686"/>
      <c r="W115" s="687"/>
      <c r="X115" s="823"/>
      <c r="Y115" s="2" t="s">
        <v>120</v>
      </c>
      <c r="Z115" s="747" t="s">
        <v>121</v>
      </c>
      <c r="AA115" s="777" t="s">
        <v>122</v>
      </c>
      <c r="AB115" s="687" t="s">
        <v>123</v>
      </c>
      <c r="AC115" s="932"/>
      <c r="AD115" s="932"/>
      <c r="AE115" s="686"/>
      <c r="AF115" s="686"/>
      <c r="AG115" s="690"/>
    </row>
    <row r="116" spans="1:36" s="2" customFormat="1" ht="19.899999999999999" customHeight="1">
      <c r="A116" s="647"/>
      <c r="U116" s="1002"/>
      <c r="V116" s="772" t="s">
        <v>124</v>
      </c>
      <c r="W116" s="773" t="s">
        <v>17</v>
      </c>
      <c r="X116" s="823"/>
      <c r="Y116" s="619" t="s">
        <v>125</v>
      </c>
      <c r="Z116" s="757"/>
      <c r="AA116" s="615" t="s">
        <v>126</v>
      </c>
      <c r="AB116" s="615" t="s">
        <v>127</v>
      </c>
      <c r="AC116" s="615" t="s">
        <v>128</v>
      </c>
      <c r="AD116" s="932"/>
      <c r="AE116" s="686"/>
      <c r="AF116" s="686"/>
      <c r="AG116" s="690"/>
    </row>
    <row r="117" spans="1:36" s="2" customFormat="1" ht="19.899999999999999" customHeight="1">
      <c r="A117" s="648"/>
      <c r="B117" s="620"/>
      <c r="C117" s="616"/>
      <c r="D117" s="616"/>
      <c r="E117" s="616"/>
      <c r="U117" s="1002"/>
      <c r="V117" s="1003" t="s">
        <v>129</v>
      </c>
      <c r="W117" s="1004"/>
      <c r="X117" s="1004"/>
      <c r="Y117" s="1004"/>
      <c r="Z117" s="1004"/>
      <c r="AA117" s="1004"/>
      <c r="AB117" s="1004"/>
      <c r="AC117" s="1004"/>
      <c r="AD117" s="1004"/>
      <c r="AE117" s="705"/>
      <c r="AF117" s="705"/>
      <c r="AG117" s="705"/>
      <c r="AH117" s="705"/>
      <c r="AI117" s="705"/>
      <c r="AJ117" s="705"/>
    </row>
    <row r="118" spans="1:36" s="2" customFormat="1" ht="19.899999999999999" customHeight="1">
      <c r="A118" s="648"/>
      <c r="B118" s="620"/>
      <c r="C118" s="616"/>
      <c r="D118" s="616"/>
      <c r="E118" s="616"/>
      <c r="U118" s="1002"/>
      <c r="V118" s="483" t="s">
        <v>130</v>
      </c>
      <c r="W118" s="773" t="s">
        <v>131</v>
      </c>
      <c r="X118" s="821"/>
      <c r="Y118" s="693" t="s">
        <v>132</v>
      </c>
      <c r="Z118" s="702" t="s">
        <v>133</v>
      </c>
      <c r="AA118" s="2" t="s">
        <v>134</v>
      </c>
      <c r="AB118" s="687" t="s">
        <v>135</v>
      </c>
      <c r="AC118" s="995" t="s">
        <v>136</v>
      </c>
      <c r="AD118" s="615"/>
      <c r="AI118" s="615"/>
    </row>
    <row r="119" spans="1:36" s="2" customFormat="1" ht="19.899999999999999" customHeight="1">
      <c r="A119" s="648"/>
      <c r="B119" s="620"/>
      <c r="C119" s="616"/>
      <c r="D119" s="616"/>
      <c r="E119" s="616"/>
      <c r="U119" s="1002"/>
      <c r="V119" s="2" t="s">
        <v>137</v>
      </c>
      <c r="W119" s="615" t="s">
        <v>138</v>
      </c>
      <c r="X119" s="821"/>
      <c r="Y119" s="2" t="s">
        <v>139</v>
      </c>
      <c r="AC119" s="995"/>
      <c r="AD119" s="687"/>
      <c r="AH119" s="686"/>
    </row>
    <row r="120" spans="1:36" s="2" customFormat="1" ht="19.899999999999999" customHeight="1">
      <c r="A120" s="648"/>
      <c r="B120" s="620"/>
      <c r="C120" s="616"/>
      <c r="D120" s="616"/>
      <c r="E120" s="616"/>
      <c r="U120" s="1002"/>
      <c r="V120" s="460" t="s">
        <v>140</v>
      </c>
      <c r="W120" s="702" t="s">
        <v>141</v>
      </c>
      <c r="X120" s="821"/>
      <c r="Z120" s="685" t="s">
        <v>142</v>
      </c>
      <c r="AA120" s="618" t="s">
        <v>143</v>
      </c>
      <c r="AC120" s="996" t="s">
        <v>144</v>
      </c>
    </row>
    <row r="121" spans="1:36" s="2" customFormat="1" ht="19.899999999999999" customHeight="1">
      <c r="A121" s="648"/>
      <c r="B121" s="620"/>
      <c r="C121" s="616"/>
      <c r="D121" s="616"/>
      <c r="E121" s="616"/>
      <c r="U121" s="1002"/>
      <c r="V121" s="687" t="s">
        <v>145</v>
      </c>
      <c r="W121" s="773" t="s">
        <v>146</v>
      </c>
      <c r="X121" s="821"/>
      <c r="Z121" s="696" t="s">
        <v>21</v>
      </c>
      <c r="AA121" s="614" t="s">
        <v>22</v>
      </c>
      <c r="AB121" s="775"/>
      <c r="AC121" s="997"/>
      <c r="AD121" s="614"/>
    </row>
    <row r="122" spans="1:36" s="2" customFormat="1" ht="19.899999999999999" customHeight="1">
      <c r="A122" s="648"/>
      <c r="B122" s="620"/>
      <c r="C122" s="616"/>
      <c r="D122" s="616"/>
      <c r="E122" s="616"/>
      <c r="U122" s="1002"/>
      <c r="V122" s="687" t="s">
        <v>147</v>
      </c>
      <c r="W122" s="776" t="s">
        <v>148</v>
      </c>
      <c r="X122" s="821"/>
      <c r="Z122" s="687" t="s">
        <v>149</v>
      </c>
      <c r="AA122" s="773" t="s">
        <v>150</v>
      </c>
      <c r="AC122" s="997"/>
      <c r="AD122" s="614"/>
    </row>
    <row r="123" spans="1:36" s="2" customFormat="1" ht="19.899999999999999" customHeight="1">
      <c r="A123" s="648"/>
      <c r="B123" s="620"/>
      <c r="C123" s="616"/>
      <c r="D123" s="616"/>
      <c r="E123" s="616"/>
      <c r="U123" s="1002"/>
      <c r="V123" s="687" t="s">
        <v>151</v>
      </c>
      <c r="W123" s="684" t="s">
        <v>152</v>
      </c>
      <c r="X123" s="821"/>
      <c r="Z123" s="687" t="s">
        <v>153</v>
      </c>
      <c r="AA123" s="687" t="s">
        <v>154</v>
      </c>
      <c r="AC123" s="997"/>
      <c r="AF123" s="686"/>
      <c r="AG123" s="686"/>
      <c r="AH123" s="687"/>
      <c r="AI123" s="644"/>
      <c r="AJ123" s="615"/>
    </row>
    <row r="124" spans="1:36" s="2" customFormat="1" ht="19.899999999999999" customHeight="1">
      <c r="A124" s="648"/>
      <c r="B124" s="620"/>
      <c r="C124" s="616"/>
      <c r="D124" s="616"/>
      <c r="E124" s="616"/>
      <c r="U124" s="931"/>
      <c r="V124" s="687"/>
      <c r="W124" s="684"/>
      <c r="X124" s="821"/>
      <c r="Z124" s="687"/>
      <c r="AA124" s="687"/>
      <c r="AC124" s="997"/>
      <c r="AF124" s="686"/>
      <c r="AG124" s="686"/>
      <c r="AH124" s="687"/>
      <c r="AI124" s="644"/>
      <c r="AJ124" s="615"/>
    </row>
    <row r="125" spans="1:36" s="2" customFormat="1" ht="19.899999999999999" customHeight="1">
      <c r="A125" s="648"/>
      <c r="B125" s="620"/>
      <c r="C125" s="616"/>
      <c r="D125" s="616"/>
      <c r="E125" s="616"/>
      <c r="U125" s="686"/>
      <c r="V125" s="976" t="s">
        <v>155</v>
      </c>
      <c r="W125" s="976"/>
      <c r="X125" s="976"/>
      <c r="Y125" s="976"/>
      <c r="Z125" s="976"/>
      <c r="AA125" s="976"/>
      <c r="AB125" s="976"/>
      <c r="AC125" s="976"/>
      <c r="AD125" s="686"/>
      <c r="AE125" s="686"/>
      <c r="AF125" s="686"/>
      <c r="AG125" s="686"/>
      <c r="AH125" s="686"/>
      <c r="AI125" s="686"/>
      <c r="AJ125" s="686"/>
    </row>
    <row r="126" spans="1:36" s="2" customFormat="1" ht="19.899999999999999" customHeight="1">
      <c r="A126" s="648"/>
      <c r="B126" s="620"/>
      <c r="C126" s="616"/>
      <c r="D126" s="616"/>
      <c r="E126" s="616"/>
      <c r="U126" s="686"/>
      <c r="V126" s="740" t="s">
        <v>30</v>
      </c>
      <c r="W126" s="782" t="s">
        <v>156</v>
      </c>
      <c r="X126" s="663" t="s">
        <v>157</v>
      </c>
      <c r="Y126" s="51"/>
      <c r="Z126" s="686" t="s">
        <v>158</v>
      </c>
      <c r="AA126" s="686"/>
      <c r="AB126" s="686"/>
      <c r="AC126" s="686"/>
      <c r="AD126" s="686"/>
      <c r="AE126" s="686"/>
      <c r="AF126" s="686"/>
      <c r="AG126" s="686"/>
      <c r="AH126" s="686"/>
      <c r="AI126" s="686"/>
      <c r="AJ126" s="686"/>
    </row>
    <row r="127" spans="1:36" ht="19.899999999999999" customHeight="1">
      <c r="U127" s="526"/>
      <c r="V127" s="687" t="s">
        <v>159</v>
      </c>
      <c r="W127" s="450" t="s">
        <v>160</v>
      </c>
      <c r="Y127" s="51" t="s">
        <v>161</v>
      </c>
      <c r="Z127" s="526" t="s">
        <v>162</v>
      </c>
      <c r="AA127" s="526"/>
      <c r="AB127" s="526" t="s">
        <v>163</v>
      </c>
      <c r="AC127" s="526"/>
      <c r="AD127" s="526"/>
      <c r="AE127" s="526"/>
      <c r="AF127" s="526"/>
      <c r="AG127" s="526"/>
      <c r="AH127" s="526"/>
      <c r="AI127" s="526"/>
      <c r="AJ127" s="526"/>
    </row>
    <row r="128" spans="1:36" ht="28.15" customHeight="1">
      <c r="U128" s="526"/>
      <c r="Y128" s="51"/>
      <c r="Z128" s="526"/>
      <c r="AA128" s="526"/>
      <c r="AB128" s="526"/>
      <c r="AC128" s="526"/>
      <c r="AD128" s="526"/>
      <c r="AE128" s="526"/>
      <c r="AF128" s="526"/>
      <c r="AG128" s="526"/>
      <c r="AH128" s="526"/>
      <c r="AI128" s="526"/>
      <c r="AJ128" s="526"/>
    </row>
    <row r="129" spans="22:25" ht="28.15" customHeight="1">
      <c r="Y129" s="51"/>
    </row>
    <row r="130" spans="22:25" ht="28.15" customHeight="1">
      <c r="Y130" s="51"/>
    </row>
    <row r="131" spans="22:25" ht="28.15" customHeight="1">
      <c r="V131" s="740" t="s">
        <v>164</v>
      </c>
      <c r="W131" s="950">
        <v>12</v>
      </c>
      <c r="X131" s="82" t="s">
        <v>51</v>
      </c>
      <c r="Y131" s="51"/>
    </row>
    <row r="132" spans="22:25" ht="28.15" customHeight="1">
      <c r="V132" s="740" t="s">
        <v>165</v>
      </c>
      <c r="W132" s="950">
        <v>10</v>
      </c>
      <c r="X132" s="82" t="s">
        <v>51</v>
      </c>
      <c r="Y132" s="51"/>
    </row>
    <row r="133" spans="22:25" ht="28.15" customHeight="1">
      <c r="V133" s="740" t="s">
        <v>166</v>
      </c>
      <c r="W133" s="950">
        <v>20</v>
      </c>
      <c r="X133" s="82" t="s">
        <v>51</v>
      </c>
      <c r="Y133" s="51"/>
    </row>
    <row r="134" spans="22:25" ht="28.15" customHeight="1">
      <c r="V134" s="741" t="s">
        <v>167</v>
      </c>
      <c r="W134" s="950">
        <v>15</v>
      </c>
      <c r="X134" s="82" t="s">
        <v>51</v>
      </c>
      <c r="Y134" s="51"/>
    </row>
    <row r="135" spans="22:25" ht="28.15" customHeight="1">
      <c r="V135" s="740" t="s">
        <v>168</v>
      </c>
      <c r="W135" s="742">
        <v>20</v>
      </c>
      <c r="X135" s="82" t="s">
        <v>51</v>
      </c>
      <c r="Y135" s="51"/>
    </row>
    <row r="136" spans="22:25" ht="28.15" customHeight="1">
      <c r="V136" s="740" t="s">
        <v>169</v>
      </c>
      <c r="W136" s="950">
        <v>15</v>
      </c>
      <c r="X136" s="82" t="s">
        <v>170</v>
      </c>
      <c r="Y136" s="51"/>
    </row>
    <row r="137" spans="22:25" ht="28.15" customHeight="1">
      <c r="Y137" s="51"/>
    </row>
    <row r="138" spans="22:25" ht="28.15" customHeight="1">
      <c r="V138" s="740" t="s">
        <v>171</v>
      </c>
    </row>
  </sheetData>
  <mergeCells count="25">
    <mergeCell ref="Y99:AC99"/>
    <mergeCell ref="AC118:AC119"/>
    <mergeCell ref="AC120:AC124"/>
    <mergeCell ref="V91:AD91"/>
    <mergeCell ref="U92:U123"/>
    <mergeCell ref="V117:AD117"/>
    <mergeCell ref="AD108:AG108"/>
    <mergeCell ref="AF109:AG109"/>
    <mergeCell ref="AB110:AD110"/>
    <mergeCell ref="V125:AC125"/>
    <mergeCell ref="R1:S1"/>
    <mergeCell ref="A1:C1"/>
    <mergeCell ref="A2:A3"/>
    <mergeCell ref="A5:A6"/>
    <mergeCell ref="A8:A9"/>
    <mergeCell ref="A11:A12"/>
    <mergeCell ref="B2:B3"/>
    <mergeCell ref="B5:B6"/>
    <mergeCell ref="AB92:AC92"/>
    <mergeCell ref="V92:W92"/>
    <mergeCell ref="B8:B9"/>
    <mergeCell ref="B11:B12"/>
    <mergeCell ref="Y93:Z93"/>
    <mergeCell ref="D1:F1"/>
    <mergeCell ref="G1:K1"/>
  </mergeCells>
  <phoneticPr fontId="259" type="noConversion"/>
  <printOptions horizontalCentered="1" verticalCentered="1" gridLines="1"/>
  <pageMargins left="0.17" right="0.17" top="0.19" bottom="0.36" header="0.17" footer="0.17"/>
  <pageSetup orientation="landscape" r:id="rId1"/>
  <headerFooter>
    <oddFooter>&amp;L&amp;D &amp;T&amp;C&amp;A
&amp;R &amp;F</oddFooter>
  </headerFooter>
  <rowBreaks count="1" manualBreakCount="1">
    <brk id="22" max="18"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5FF39-4FEA-4F63-AE30-D79D84AF8C12}">
  <sheetPr codeName="Sheet13">
    <tabColor rgb="FFFFFF00"/>
  </sheetPr>
  <dimension ref="B1:K150"/>
  <sheetViews>
    <sheetView topLeftCell="A6" workbookViewId="0">
      <selection activeCell="B44" sqref="B44"/>
    </sheetView>
  </sheetViews>
  <sheetFormatPr defaultRowHeight="14.45"/>
  <cols>
    <col min="2" max="2" width="73.28515625" bestFit="1" customWidth="1"/>
    <col min="4" max="4" width="51.140625" bestFit="1" customWidth="1"/>
    <col min="7" max="7" width="51.140625" bestFit="1" customWidth="1"/>
    <col min="8" max="8" width="52.42578125" customWidth="1"/>
    <col min="10" max="10" width="26.28515625" bestFit="1" customWidth="1"/>
    <col min="11" max="11" width="17.42578125" style="880" customWidth="1"/>
  </cols>
  <sheetData>
    <row r="1" spans="2:11">
      <c r="D1" s="803"/>
    </row>
    <row r="2" spans="2:11">
      <c r="B2" s="803" t="s">
        <v>19</v>
      </c>
      <c r="D2" t="s">
        <v>172</v>
      </c>
    </row>
    <row r="3" spans="2:11">
      <c r="B3" s="804"/>
      <c r="D3" s="809" t="s">
        <v>173</v>
      </c>
    </row>
    <row r="4" spans="2:11">
      <c r="B4" s="803" t="s">
        <v>174</v>
      </c>
      <c r="D4" s="809" t="s">
        <v>175</v>
      </c>
    </row>
    <row r="5" spans="2:11" ht="15">
      <c r="B5" s="804"/>
      <c r="D5" s="809" t="s">
        <v>176</v>
      </c>
      <c r="E5" s="879" t="s">
        <v>177</v>
      </c>
      <c r="H5" s="2" t="s">
        <v>178</v>
      </c>
      <c r="J5" s="2" t="s">
        <v>179</v>
      </c>
      <c r="K5" s="887" t="s">
        <v>180</v>
      </c>
    </row>
    <row r="6" spans="2:11" ht="15">
      <c r="B6" s="803" t="s">
        <v>181</v>
      </c>
      <c r="D6" s="809" t="s">
        <v>182</v>
      </c>
      <c r="E6" s="879" t="s">
        <v>183</v>
      </c>
      <c r="H6" s="2" t="s">
        <v>184</v>
      </c>
      <c r="J6" s="2"/>
      <c r="K6" s="804" t="s">
        <v>185</v>
      </c>
    </row>
    <row r="7" spans="2:11" ht="15">
      <c r="B7" s="804"/>
      <c r="D7" s="809" t="s">
        <v>186</v>
      </c>
      <c r="E7" s="879" t="s">
        <v>187</v>
      </c>
      <c r="H7" s="2" t="s">
        <v>188</v>
      </c>
      <c r="J7" s="2" t="s">
        <v>189</v>
      </c>
      <c r="K7" s="804" t="s">
        <v>190</v>
      </c>
    </row>
    <row r="8" spans="2:11" ht="15">
      <c r="D8" s="809" t="s">
        <v>191</v>
      </c>
      <c r="E8" s="879" t="s">
        <v>192</v>
      </c>
      <c r="H8" s="2" t="s">
        <v>193</v>
      </c>
      <c r="J8" s="2" t="s">
        <v>194</v>
      </c>
      <c r="K8" s="804" t="s">
        <v>195</v>
      </c>
    </row>
    <row r="9" spans="2:11" ht="15">
      <c r="D9" s="809" t="s">
        <v>196</v>
      </c>
      <c r="E9" s="879" t="s">
        <v>197</v>
      </c>
      <c r="H9" s="890" t="s">
        <v>198</v>
      </c>
      <c r="J9" s="2" t="s">
        <v>190</v>
      </c>
      <c r="K9" s="804" t="s">
        <v>199</v>
      </c>
    </row>
    <row r="10" spans="2:11" ht="15">
      <c r="D10" s="809" t="s">
        <v>200</v>
      </c>
      <c r="E10" s="879" t="s">
        <v>201</v>
      </c>
      <c r="H10" s="890" t="s">
        <v>202</v>
      </c>
      <c r="J10" s="2" t="s">
        <v>195</v>
      </c>
      <c r="K10" s="804" t="s">
        <v>203</v>
      </c>
    </row>
    <row r="11" spans="2:11" ht="15">
      <c r="B11" s="891" t="s">
        <v>204</v>
      </c>
      <c r="D11" s="809" t="s">
        <v>205</v>
      </c>
      <c r="E11" s="879" t="s">
        <v>206</v>
      </c>
      <c r="H11" s="890" t="s">
        <v>207</v>
      </c>
      <c r="J11" s="2" t="s">
        <v>199</v>
      </c>
      <c r="K11" s="804" t="s">
        <v>208</v>
      </c>
    </row>
    <row r="12" spans="2:11" ht="15">
      <c r="B12" s="891" t="s">
        <v>209</v>
      </c>
      <c r="D12" s="809" t="s">
        <v>210</v>
      </c>
      <c r="E12" s="879" t="s">
        <v>211</v>
      </c>
      <c r="H12" s="2" t="s">
        <v>212</v>
      </c>
      <c r="J12" s="2" t="s">
        <v>213</v>
      </c>
      <c r="K12" s="804" t="s">
        <v>214</v>
      </c>
    </row>
    <row r="13" spans="2:11" ht="15">
      <c r="B13" s="891" t="s">
        <v>215</v>
      </c>
      <c r="D13" s="809" t="s">
        <v>216</v>
      </c>
      <c r="E13" s="879" t="s">
        <v>217</v>
      </c>
      <c r="H13" s="2" t="s">
        <v>218</v>
      </c>
      <c r="J13" s="2" t="s">
        <v>219</v>
      </c>
      <c r="K13" s="804" t="s">
        <v>220</v>
      </c>
    </row>
    <row r="14" spans="2:11" ht="15">
      <c r="B14" s="891" t="s">
        <v>221</v>
      </c>
      <c r="D14" s="809" t="s">
        <v>222</v>
      </c>
      <c r="E14" s="879" t="s">
        <v>223</v>
      </c>
      <c r="H14" s="2" t="s">
        <v>224</v>
      </c>
      <c r="J14" s="2" t="s">
        <v>225</v>
      </c>
      <c r="K14" s="804" t="s">
        <v>226</v>
      </c>
    </row>
    <row r="15" spans="2:11" ht="15">
      <c r="B15" s="891" t="s">
        <v>227</v>
      </c>
      <c r="D15" s="809" t="s">
        <v>228</v>
      </c>
      <c r="E15" s="879" t="s">
        <v>229</v>
      </c>
      <c r="H15" s="889" t="s">
        <v>230</v>
      </c>
      <c r="J15" s="2" t="s">
        <v>231</v>
      </c>
      <c r="K15" s="804" t="s">
        <v>232</v>
      </c>
    </row>
    <row r="16" spans="2:11" ht="15">
      <c r="B16" s="891" t="s">
        <v>233</v>
      </c>
      <c r="D16" s="809" t="s">
        <v>234</v>
      </c>
      <c r="E16" s="879"/>
      <c r="H16" s="889" t="s">
        <v>235</v>
      </c>
      <c r="J16" s="2" t="s">
        <v>226</v>
      </c>
      <c r="K16" s="804" t="s">
        <v>236</v>
      </c>
    </row>
    <row r="17" spans="2:11" ht="15">
      <c r="B17" s="891" t="s">
        <v>237</v>
      </c>
      <c r="D17" s="809" t="s">
        <v>238</v>
      </c>
      <c r="E17" s="879" t="s">
        <v>239</v>
      </c>
      <c r="H17" s="889" t="s">
        <v>240</v>
      </c>
      <c r="J17" s="2" t="s">
        <v>232</v>
      </c>
      <c r="K17" s="804" t="s">
        <v>241</v>
      </c>
    </row>
    <row r="18" spans="2:11" ht="15">
      <c r="B18" s="891" t="s">
        <v>242</v>
      </c>
      <c r="D18" s="809" t="s">
        <v>243</v>
      </c>
      <c r="E18" s="885" t="s">
        <v>244</v>
      </c>
      <c r="F18" s="886"/>
      <c r="G18" s="886"/>
      <c r="H18" s="889" t="s">
        <v>245</v>
      </c>
      <c r="J18" s="2" t="s">
        <v>246</v>
      </c>
      <c r="K18" s="804" t="s">
        <v>247</v>
      </c>
    </row>
    <row r="19" spans="2:11" ht="15">
      <c r="B19" s="891" t="s">
        <v>248</v>
      </c>
      <c r="D19" s="809" t="s">
        <v>249</v>
      </c>
      <c r="E19" s="885" t="s">
        <v>250</v>
      </c>
      <c r="F19" s="886"/>
      <c r="G19" s="886"/>
      <c r="H19" s="2" t="s">
        <v>251</v>
      </c>
      <c r="J19" s="2" t="s">
        <v>241</v>
      </c>
      <c r="K19" s="804" t="s">
        <v>252</v>
      </c>
    </row>
    <row r="20" spans="2:11" ht="26.45">
      <c r="B20" s="891" t="s">
        <v>253</v>
      </c>
      <c r="D20" s="809" t="s">
        <v>254</v>
      </c>
      <c r="E20" s="885" t="s">
        <v>255</v>
      </c>
      <c r="F20" s="886"/>
      <c r="G20" s="886"/>
      <c r="H20" s="2" t="s">
        <v>256</v>
      </c>
      <c r="J20" s="2" t="s">
        <v>247</v>
      </c>
      <c r="K20" s="804" t="s">
        <v>257</v>
      </c>
    </row>
    <row r="21" spans="2:11" ht="15">
      <c r="B21" s="891" t="s">
        <v>258</v>
      </c>
      <c r="D21" s="809" t="s">
        <v>259</v>
      </c>
      <c r="E21" s="885" t="s">
        <v>260</v>
      </c>
      <c r="F21" s="886"/>
      <c r="G21" s="886"/>
      <c r="H21" s="2" t="s">
        <v>261</v>
      </c>
      <c r="J21" s="2" t="s">
        <v>252</v>
      </c>
      <c r="K21" s="804" t="s">
        <v>262</v>
      </c>
    </row>
    <row r="22" spans="2:11" ht="15">
      <c r="B22" s="891" t="s">
        <v>263</v>
      </c>
      <c r="D22" s="809" t="s">
        <v>264</v>
      </c>
      <c r="E22" s="879" t="s">
        <v>265</v>
      </c>
      <c r="H22" s="2" t="s">
        <v>266</v>
      </c>
      <c r="J22" s="2" t="s">
        <v>257</v>
      </c>
      <c r="K22" s="804" t="s">
        <v>267</v>
      </c>
    </row>
    <row r="23" spans="2:11" ht="15">
      <c r="B23" s="891" t="s">
        <v>268</v>
      </c>
      <c r="D23" s="809" t="s">
        <v>269</v>
      </c>
      <c r="E23" s="879" t="s">
        <v>270</v>
      </c>
      <c r="H23" s="2" t="s">
        <v>271</v>
      </c>
      <c r="J23" s="2" t="s">
        <v>262</v>
      </c>
      <c r="K23" s="804" t="s">
        <v>272</v>
      </c>
    </row>
    <row r="24" spans="2:11" ht="15">
      <c r="B24" s="891" t="s">
        <v>273</v>
      </c>
      <c r="D24" s="809" t="s">
        <v>274</v>
      </c>
      <c r="E24" s="879" t="s">
        <v>275</v>
      </c>
      <c r="H24" s="888" t="s">
        <v>276</v>
      </c>
      <c r="J24" s="2" t="s">
        <v>267</v>
      </c>
      <c r="K24" s="804" t="s">
        <v>277</v>
      </c>
    </row>
    <row r="25" spans="2:11" ht="15">
      <c r="B25" s="891" t="s">
        <v>278</v>
      </c>
      <c r="D25" s="809" t="s">
        <v>279</v>
      </c>
      <c r="E25" s="879" t="s">
        <v>280</v>
      </c>
      <c r="H25" s="888" t="s">
        <v>281</v>
      </c>
      <c r="J25" s="2" t="s">
        <v>272</v>
      </c>
    </row>
    <row r="26" spans="2:11" ht="15">
      <c r="B26" s="891" t="s">
        <v>282</v>
      </c>
      <c r="D26" s="809" t="s">
        <v>283</v>
      </c>
      <c r="E26" s="881" t="s">
        <v>284</v>
      </c>
      <c r="F26" s="882"/>
      <c r="G26" s="882"/>
      <c r="H26" s="888" t="s">
        <v>285</v>
      </c>
      <c r="J26" s="2" t="s">
        <v>277</v>
      </c>
    </row>
    <row r="27" spans="2:11" ht="15">
      <c r="B27" s="891" t="s">
        <v>286</v>
      </c>
      <c r="D27" s="809" t="s">
        <v>287</v>
      </c>
      <c r="E27" s="881" t="s">
        <v>288</v>
      </c>
      <c r="F27" s="882"/>
      <c r="G27" s="882"/>
      <c r="H27" s="888" t="s">
        <v>289</v>
      </c>
      <c r="J27" s="2"/>
    </row>
    <row r="28" spans="2:11" ht="15">
      <c r="B28" s="891" t="s">
        <v>290</v>
      </c>
      <c r="D28" s="809" t="s">
        <v>291</v>
      </c>
      <c r="E28" s="881" t="s">
        <v>292</v>
      </c>
      <c r="F28" s="882"/>
      <c r="G28" s="882"/>
      <c r="H28" s="888" t="s">
        <v>293</v>
      </c>
    </row>
    <row r="29" spans="2:11" ht="15">
      <c r="B29" s="891" t="s">
        <v>294</v>
      </c>
      <c r="D29" s="809" t="s">
        <v>295</v>
      </c>
      <c r="E29" s="881" t="s">
        <v>296</v>
      </c>
      <c r="F29" s="882"/>
      <c r="G29" s="882"/>
      <c r="H29" s="888" t="s">
        <v>297</v>
      </c>
    </row>
    <row r="30" spans="2:11" ht="15">
      <c r="B30" s="891" t="s">
        <v>298</v>
      </c>
      <c r="D30" s="809" t="s">
        <v>299</v>
      </c>
      <c r="E30" s="879" t="s">
        <v>300</v>
      </c>
      <c r="H30" s="888" t="s">
        <v>301</v>
      </c>
    </row>
    <row r="31" spans="2:11" ht="15">
      <c r="B31" s="891" t="s">
        <v>302</v>
      </c>
      <c r="D31" s="809" t="s">
        <v>303</v>
      </c>
      <c r="E31" s="879" t="s">
        <v>304</v>
      </c>
      <c r="H31" s="888" t="s">
        <v>305</v>
      </c>
    </row>
    <row r="32" spans="2:11" ht="15">
      <c r="B32" s="891" t="s">
        <v>306</v>
      </c>
      <c r="D32" s="809" t="s">
        <v>307</v>
      </c>
      <c r="E32" s="879" t="s">
        <v>308</v>
      </c>
      <c r="H32" s="888" t="s">
        <v>309</v>
      </c>
    </row>
    <row r="33" spans="2:8" ht="15">
      <c r="B33" s="891" t="s">
        <v>310</v>
      </c>
      <c r="D33" s="809" t="s">
        <v>311</v>
      </c>
      <c r="E33" t="s">
        <v>312</v>
      </c>
      <c r="H33" s="888" t="s">
        <v>313</v>
      </c>
    </row>
    <row r="34" spans="2:8" ht="15">
      <c r="B34" s="891" t="s">
        <v>314</v>
      </c>
      <c r="D34" s="809" t="s">
        <v>315</v>
      </c>
      <c r="H34" s="888" t="s">
        <v>316</v>
      </c>
    </row>
    <row r="35" spans="2:8" ht="15">
      <c r="B35" s="891" t="s">
        <v>317</v>
      </c>
      <c r="D35" s="809" t="s">
        <v>318</v>
      </c>
      <c r="H35" s="888" t="s">
        <v>319</v>
      </c>
    </row>
    <row r="36" spans="2:8" ht="15">
      <c r="B36" s="891" t="s">
        <v>320</v>
      </c>
      <c r="D36" s="809" t="s">
        <v>321</v>
      </c>
      <c r="H36" s="2" t="s">
        <v>322</v>
      </c>
    </row>
    <row r="37" spans="2:8" ht="15">
      <c r="B37" s="891" t="s">
        <v>323</v>
      </c>
      <c r="D37" s="809" t="s">
        <v>324</v>
      </c>
    </row>
    <row r="38" spans="2:8" ht="15">
      <c r="B38" s="891" t="s">
        <v>325</v>
      </c>
      <c r="D38" s="809" t="s">
        <v>326</v>
      </c>
      <c r="H38" s="2"/>
    </row>
    <row r="39" spans="2:8" ht="15">
      <c r="B39" s="891" t="s">
        <v>327</v>
      </c>
      <c r="D39" s="809" t="s">
        <v>328</v>
      </c>
    </row>
    <row r="40" spans="2:8" ht="15">
      <c r="B40" s="891" t="s">
        <v>329</v>
      </c>
      <c r="D40" s="809" t="s">
        <v>330</v>
      </c>
    </row>
    <row r="41" spans="2:8" ht="15">
      <c r="B41" s="891" t="s">
        <v>331</v>
      </c>
      <c r="D41" s="809" t="s">
        <v>332</v>
      </c>
    </row>
    <row r="42" spans="2:8" ht="15">
      <c r="B42" s="891" t="s">
        <v>333</v>
      </c>
      <c r="D42" s="809" t="s">
        <v>334</v>
      </c>
    </row>
    <row r="43" spans="2:8" ht="15">
      <c r="B43" s="891" t="s">
        <v>335</v>
      </c>
      <c r="D43" s="809" t="s">
        <v>336</v>
      </c>
    </row>
    <row r="44" spans="2:8" ht="15">
      <c r="B44" s="891" t="s">
        <v>337</v>
      </c>
      <c r="D44" s="809" t="s">
        <v>338</v>
      </c>
    </row>
    <row r="45" spans="2:8" ht="15">
      <c r="B45" s="891" t="s">
        <v>339</v>
      </c>
      <c r="D45" s="809" t="s">
        <v>340</v>
      </c>
    </row>
    <row r="46" spans="2:8" ht="15">
      <c r="B46" s="891" t="s">
        <v>341</v>
      </c>
      <c r="D46" s="809" t="s">
        <v>342</v>
      </c>
    </row>
    <row r="47" spans="2:8">
      <c r="D47" s="809" t="s">
        <v>343</v>
      </c>
    </row>
    <row r="48" spans="2:8">
      <c r="D48" s="809" t="s">
        <v>344</v>
      </c>
    </row>
    <row r="49" spans="4:7">
      <c r="D49" s="809" t="s">
        <v>345</v>
      </c>
    </row>
    <row r="50" spans="4:7">
      <c r="D50" s="809" t="s">
        <v>346</v>
      </c>
    </row>
    <row r="51" spans="4:7">
      <c r="D51" s="809" t="s">
        <v>347</v>
      </c>
    </row>
    <row r="52" spans="4:7">
      <c r="D52" s="809" t="s">
        <v>348</v>
      </c>
    </row>
    <row r="53" spans="4:7">
      <c r="D53" s="814" t="s">
        <v>349</v>
      </c>
    </row>
    <row r="54" spans="4:7">
      <c r="D54" s="809" t="s">
        <v>350</v>
      </c>
    </row>
    <row r="55" spans="4:7">
      <c r="D55" s="809" t="s">
        <v>351</v>
      </c>
    </row>
    <row r="56" spans="4:7">
      <c r="D56" s="883" t="s">
        <v>352</v>
      </c>
    </row>
    <row r="57" spans="4:7">
      <c r="D57" s="884" t="s">
        <v>353</v>
      </c>
    </row>
    <row r="58" spans="4:7">
      <c r="D58" s="884" t="s">
        <v>354</v>
      </c>
    </row>
    <row r="59" spans="4:7">
      <c r="D59" s="884" t="s">
        <v>355</v>
      </c>
    </row>
    <row r="60" spans="4:7">
      <c r="D60" s="884" t="s">
        <v>356</v>
      </c>
    </row>
    <row r="61" spans="4:7">
      <c r="D61" s="884" t="s">
        <v>357</v>
      </c>
      <c r="G61" s="528"/>
    </row>
    <row r="62" spans="4:7" ht="15">
      <c r="D62" s="884" t="s">
        <v>358</v>
      </c>
      <c r="G62" s="815"/>
    </row>
    <row r="63" spans="4:7">
      <c r="D63" s="884" t="s">
        <v>359</v>
      </c>
      <c r="G63" s="528"/>
    </row>
    <row r="64" spans="4:7">
      <c r="D64" s="884" t="s">
        <v>360</v>
      </c>
      <c r="G64" s="528"/>
    </row>
    <row r="65" spans="4:7">
      <c r="D65" s="884" t="s">
        <v>361</v>
      </c>
      <c r="G65" s="528"/>
    </row>
    <row r="66" spans="4:7">
      <c r="D66" s="884" t="s">
        <v>362</v>
      </c>
      <c r="G66" s="528"/>
    </row>
    <row r="67" spans="4:7">
      <c r="D67" s="884" t="s">
        <v>363</v>
      </c>
      <c r="G67" s="528"/>
    </row>
    <row r="68" spans="4:7">
      <c r="D68" s="884" t="s">
        <v>364</v>
      </c>
      <c r="G68" s="528"/>
    </row>
    <row r="69" spans="4:7">
      <c r="D69" s="809" t="s">
        <v>365</v>
      </c>
      <c r="G69" s="528"/>
    </row>
    <row r="70" spans="4:7">
      <c r="G70" s="528"/>
    </row>
    <row r="71" spans="4:7">
      <c r="G71" s="809"/>
    </row>
    <row r="72" spans="4:7">
      <c r="G72" s="809"/>
    </row>
    <row r="73" spans="4:7">
      <c r="D73" s="809"/>
      <c r="G73" s="809"/>
    </row>
    <row r="74" spans="4:7">
      <c r="D74" s="809"/>
      <c r="G74" s="809"/>
    </row>
    <row r="75" spans="4:7">
      <c r="D75" s="809"/>
      <c r="G75" s="809"/>
    </row>
    <row r="76" spans="4:7">
      <c r="D76" s="809"/>
      <c r="G76" s="809"/>
    </row>
    <row r="77" spans="4:7">
      <c r="D77" s="809"/>
      <c r="G77" s="809"/>
    </row>
    <row r="78" spans="4:7">
      <c r="D78" s="809"/>
      <c r="G78" s="809"/>
    </row>
    <row r="79" spans="4:7">
      <c r="D79" s="809"/>
      <c r="G79" s="809"/>
    </row>
    <row r="80" spans="4:7">
      <c r="D80" s="809"/>
      <c r="G80" s="809"/>
    </row>
    <row r="81" spans="4:7">
      <c r="D81" s="809"/>
      <c r="G81" s="809"/>
    </row>
    <row r="82" spans="4:7">
      <c r="D82" s="809"/>
      <c r="G82" s="809"/>
    </row>
    <row r="83" spans="4:7">
      <c r="D83" s="809"/>
      <c r="G83" s="809"/>
    </row>
    <row r="84" spans="4:7">
      <c r="D84" s="809"/>
      <c r="G84" s="809"/>
    </row>
    <row r="85" spans="4:7">
      <c r="D85" s="809"/>
      <c r="G85" s="809"/>
    </row>
    <row r="86" spans="4:7">
      <c r="D86" s="809"/>
      <c r="G86" s="809"/>
    </row>
    <row r="87" spans="4:7">
      <c r="D87" s="809"/>
      <c r="G87" s="809"/>
    </row>
    <row r="88" spans="4:7">
      <c r="D88" s="809"/>
      <c r="G88" s="809"/>
    </row>
    <row r="89" spans="4:7">
      <c r="D89" s="809"/>
      <c r="G89" s="809"/>
    </row>
    <row r="90" spans="4:7">
      <c r="D90" s="809"/>
      <c r="G90" s="809"/>
    </row>
    <row r="91" spans="4:7">
      <c r="D91" s="809"/>
      <c r="G91" s="809"/>
    </row>
    <row r="92" spans="4:7">
      <c r="D92" s="809"/>
      <c r="G92" s="809"/>
    </row>
    <row r="93" spans="4:7">
      <c r="D93" s="809"/>
      <c r="G93" s="809"/>
    </row>
    <row r="94" spans="4:7">
      <c r="D94" s="809"/>
      <c r="G94" s="809"/>
    </row>
    <row r="95" spans="4:7">
      <c r="D95" s="809"/>
      <c r="G95" s="809"/>
    </row>
    <row r="96" spans="4:7">
      <c r="D96" s="809"/>
      <c r="G96" s="809"/>
    </row>
    <row r="97" spans="4:7">
      <c r="D97" s="809"/>
      <c r="G97" s="809"/>
    </row>
    <row r="98" spans="4:7">
      <c r="D98" s="809"/>
      <c r="G98" s="809"/>
    </row>
    <row r="99" spans="4:7">
      <c r="D99" s="809"/>
      <c r="G99" s="809"/>
    </row>
    <row r="100" spans="4:7">
      <c r="D100" s="809"/>
      <c r="G100" s="809"/>
    </row>
    <row r="101" spans="4:7">
      <c r="D101" s="809"/>
      <c r="G101" s="809"/>
    </row>
    <row r="102" spans="4:7">
      <c r="D102" s="809"/>
      <c r="G102" s="809"/>
    </row>
    <row r="103" spans="4:7">
      <c r="D103" s="809"/>
      <c r="G103" s="809"/>
    </row>
    <row r="104" spans="4:7">
      <c r="D104" s="809"/>
      <c r="G104" s="809"/>
    </row>
    <row r="105" spans="4:7">
      <c r="D105" s="809"/>
      <c r="G105" s="809"/>
    </row>
    <row r="106" spans="4:7">
      <c r="D106" s="809"/>
      <c r="G106" s="809"/>
    </row>
    <row r="107" spans="4:7">
      <c r="D107" s="809"/>
      <c r="G107" s="809"/>
    </row>
    <row r="108" spans="4:7">
      <c r="D108" s="809"/>
      <c r="G108" s="809"/>
    </row>
    <row r="109" spans="4:7">
      <c r="D109" s="809"/>
      <c r="G109" s="809"/>
    </row>
    <row r="110" spans="4:7">
      <c r="D110" s="809"/>
      <c r="G110" s="809"/>
    </row>
    <row r="111" spans="4:7">
      <c r="D111" s="809"/>
      <c r="G111" s="809"/>
    </row>
    <row r="112" spans="4:7">
      <c r="D112" s="809"/>
      <c r="G112" s="809"/>
    </row>
    <row r="113" spans="4:7">
      <c r="D113" s="809"/>
      <c r="G113" s="809"/>
    </row>
    <row r="114" spans="4:7">
      <c r="D114" s="809"/>
      <c r="G114" s="809"/>
    </row>
    <row r="115" spans="4:7">
      <c r="D115" s="809"/>
      <c r="G115" s="809"/>
    </row>
    <row r="116" spans="4:7">
      <c r="D116" s="809"/>
      <c r="G116" s="809"/>
    </row>
    <row r="117" spans="4:7">
      <c r="D117" s="809"/>
      <c r="G117" s="809"/>
    </row>
    <row r="118" spans="4:7">
      <c r="D118" s="809"/>
      <c r="G118" s="809"/>
    </row>
    <row r="119" spans="4:7">
      <c r="D119" s="809"/>
      <c r="G119" s="809"/>
    </row>
    <row r="120" spans="4:7">
      <c r="D120" s="809"/>
      <c r="G120" s="809"/>
    </row>
    <row r="121" spans="4:7">
      <c r="D121" s="809"/>
      <c r="G121" s="809"/>
    </row>
    <row r="122" spans="4:7">
      <c r="G122" s="809"/>
    </row>
    <row r="123" spans="4:7">
      <c r="G123" s="809"/>
    </row>
    <row r="124" spans="4:7">
      <c r="G124" s="809"/>
    </row>
    <row r="125" spans="4:7">
      <c r="G125" s="809"/>
    </row>
    <row r="126" spans="4:7">
      <c r="G126" s="809"/>
    </row>
    <row r="127" spans="4:7">
      <c r="G127" s="809"/>
    </row>
    <row r="128" spans="4:7">
      <c r="G128" s="809"/>
    </row>
    <row r="129" spans="4:7">
      <c r="G129" s="809"/>
    </row>
    <row r="130" spans="4:7">
      <c r="G130" s="809"/>
    </row>
    <row r="131" spans="4:7">
      <c r="G131" s="809"/>
    </row>
    <row r="132" spans="4:7">
      <c r="G132" s="809"/>
    </row>
    <row r="133" spans="4:7">
      <c r="G133" s="809"/>
    </row>
    <row r="134" spans="4:7">
      <c r="G134" s="809"/>
    </row>
    <row r="135" spans="4:7">
      <c r="G135" s="808"/>
    </row>
    <row r="136" spans="4:7" ht="17.45">
      <c r="G136" s="807"/>
    </row>
    <row r="137" spans="4:7">
      <c r="G137" s="808"/>
    </row>
    <row r="138" spans="4:7">
      <c r="G138" s="808"/>
    </row>
    <row r="139" spans="4:7">
      <c r="D139" s="811"/>
    </row>
    <row r="140" spans="4:7" ht="15">
      <c r="D140" s="810"/>
    </row>
    <row r="141" spans="4:7">
      <c r="D141" s="798"/>
    </row>
    <row r="142" spans="4:7">
      <c r="D142" s="811"/>
    </row>
    <row r="143" spans="4:7" ht="15">
      <c r="D143" s="810"/>
    </row>
    <row r="144" spans="4:7">
      <c r="D144" s="798"/>
    </row>
    <row r="145" spans="4:4">
      <c r="D145" s="811"/>
    </row>
    <row r="146" spans="4:4" ht="15">
      <c r="D146" s="810"/>
    </row>
    <row r="147" spans="4:4">
      <c r="D147" s="798"/>
    </row>
    <row r="148" spans="4:4">
      <c r="D148" s="811"/>
    </row>
    <row r="149" spans="4:4">
      <c r="D149" s="812"/>
    </row>
    <row r="150" spans="4:4">
      <c r="D150" s="813"/>
    </row>
  </sheetData>
  <pageMargins left="0.7" right="0.7" top="0.75" bottom="0.75" header="0.3" footer="0.3"/>
  <pageSetup paperSize="287" orientation="portrait" horizontalDpi="203" verticalDpi="203"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E3FB1-3469-4CF7-8CE6-080819300985}">
  <sheetPr codeName="Sheet23">
    <tabColor rgb="FFFFFF00"/>
  </sheetPr>
  <dimension ref="A1:U44"/>
  <sheetViews>
    <sheetView view="pageBreakPreview" topLeftCell="B1" zoomScaleNormal="100" zoomScaleSheetLayoutView="100" workbookViewId="0">
      <selection activeCell="B11" sqref="B11"/>
    </sheetView>
  </sheetViews>
  <sheetFormatPr defaultRowHeight="22.9" customHeight="1"/>
  <cols>
    <col min="1" max="1" width="4.7109375" hidden="1" customWidth="1"/>
    <col min="2" max="2" width="26.140625" customWidth="1"/>
    <col min="3" max="3" width="19.140625" customWidth="1"/>
    <col min="4" max="4" width="17.7109375" customWidth="1"/>
    <col min="5" max="5" width="18.7109375" customWidth="1"/>
    <col min="6" max="6" width="17.85546875" customWidth="1"/>
    <col min="200" max="201" width="35.7109375" customWidth="1"/>
    <col min="202" max="202" width="25.7109375" customWidth="1"/>
    <col min="207" max="207" width="3" customWidth="1"/>
    <col min="208" max="208" width="39.7109375" customWidth="1"/>
    <col min="209" max="209" width="5.7109375" customWidth="1"/>
    <col min="210" max="210" width="35.7109375" customWidth="1"/>
    <col min="214" max="214" width="44.7109375" customWidth="1"/>
    <col min="222" max="222" width="88.7109375" customWidth="1"/>
    <col min="456" max="457" width="35.7109375" customWidth="1"/>
    <col min="458" max="458" width="25.7109375" customWidth="1"/>
    <col min="463" max="463" width="3" customWidth="1"/>
    <col min="464" max="464" width="39.7109375" customWidth="1"/>
    <col min="465" max="465" width="5.7109375" customWidth="1"/>
    <col min="466" max="466" width="35.7109375" customWidth="1"/>
    <col min="470" max="470" width="44.7109375" customWidth="1"/>
    <col min="478" max="478" width="88.7109375" customWidth="1"/>
    <col min="712" max="713" width="35.7109375" customWidth="1"/>
    <col min="714" max="714" width="25.7109375" customWidth="1"/>
    <col min="719" max="719" width="3" customWidth="1"/>
    <col min="720" max="720" width="39.7109375" customWidth="1"/>
    <col min="721" max="721" width="5.7109375" customWidth="1"/>
    <col min="722" max="722" width="35.7109375" customWidth="1"/>
    <col min="726" max="726" width="44.7109375" customWidth="1"/>
    <col min="734" max="734" width="88.7109375" customWidth="1"/>
    <col min="968" max="969" width="35.7109375" customWidth="1"/>
    <col min="970" max="970" width="25.7109375" customWidth="1"/>
    <col min="975" max="975" width="3" customWidth="1"/>
    <col min="976" max="976" width="39.7109375" customWidth="1"/>
    <col min="977" max="977" width="5.7109375" customWidth="1"/>
    <col min="978" max="978" width="35.7109375" customWidth="1"/>
    <col min="982" max="982" width="44.7109375" customWidth="1"/>
    <col min="990" max="990" width="88.7109375" customWidth="1"/>
    <col min="1224" max="1225" width="35.7109375" customWidth="1"/>
    <col min="1226" max="1226" width="25.7109375" customWidth="1"/>
    <col min="1231" max="1231" width="3" customWidth="1"/>
    <col min="1232" max="1232" width="39.7109375" customWidth="1"/>
    <col min="1233" max="1233" width="5.7109375" customWidth="1"/>
    <col min="1234" max="1234" width="35.7109375" customWidth="1"/>
    <col min="1238" max="1238" width="44.7109375" customWidth="1"/>
    <col min="1246" max="1246" width="88.7109375" customWidth="1"/>
    <col min="1480" max="1481" width="35.7109375" customWidth="1"/>
    <col min="1482" max="1482" width="25.7109375" customWidth="1"/>
    <col min="1487" max="1487" width="3" customWidth="1"/>
    <col min="1488" max="1488" width="39.7109375" customWidth="1"/>
    <col min="1489" max="1489" width="5.7109375" customWidth="1"/>
    <col min="1490" max="1490" width="35.7109375" customWidth="1"/>
    <col min="1494" max="1494" width="44.7109375" customWidth="1"/>
    <col min="1502" max="1502" width="88.7109375" customWidth="1"/>
    <col min="1736" max="1737" width="35.7109375" customWidth="1"/>
    <col min="1738" max="1738" width="25.7109375" customWidth="1"/>
    <col min="1743" max="1743" width="3" customWidth="1"/>
    <col min="1744" max="1744" width="39.7109375" customWidth="1"/>
    <col min="1745" max="1745" width="5.7109375" customWidth="1"/>
    <col min="1746" max="1746" width="35.7109375" customWidth="1"/>
    <col min="1750" max="1750" width="44.7109375" customWidth="1"/>
    <col min="1758" max="1758" width="88.7109375" customWidth="1"/>
    <col min="1992" max="1993" width="35.7109375" customWidth="1"/>
    <col min="1994" max="1994" width="25.7109375" customWidth="1"/>
    <col min="1999" max="1999" width="3" customWidth="1"/>
    <col min="2000" max="2000" width="39.7109375" customWidth="1"/>
    <col min="2001" max="2001" width="5.7109375" customWidth="1"/>
    <col min="2002" max="2002" width="35.7109375" customWidth="1"/>
    <col min="2006" max="2006" width="44.7109375" customWidth="1"/>
    <col min="2014" max="2014" width="88.7109375" customWidth="1"/>
    <col min="2248" max="2249" width="35.7109375" customWidth="1"/>
    <col min="2250" max="2250" width="25.7109375" customWidth="1"/>
    <col min="2255" max="2255" width="3" customWidth="1"/>
    <col min="2256" max="2256" width="39.7109375" customWidth="1"/>
    <col min="2257" max="2257" width="5.7109375" customWidth="1"/>
    <col min="2258" max="2258" width="35.7109375" customWidth="1"/>
    <col min="2262" max="2262" width="44.7109375" customWidth="1"/>
    <col min="2270" max="2270" width="88.7109375" customWidth="1"/>
    <col min="2504" max="2505" width="35.7109375" customWidth="1"/>
    <col min="2506" max="2506" width="25.7109375" customWidth="1"/>
    <col min="2511" max="2511" width="3" customWidth="1"/>
    <col min="2512" max="2512" width="39.7109375" customWidth="1"/>
    <col min="2513" max="2513" width="5.7109375" customWidth="1"/>
    <col min="2514" max="2514" width="35.7109375" customWidth="1"/>
    <col min="2518" max="2518" width="44.7109375" customWidth="1"/>
    <col min="2526" max="2526" width="88.7109375" customWidth="1"/>
    <col min="2760" max="2761" width="35.7109375" customWidth="1"/>
    <col min="2762" max="2762" width="25.7109375" customWidth="1"/>
    <col min="2767" max="2767" width="3" customWidth="1"/>
    <col min="2768" max="2768" width="39.7109375" customWidth="1"/>
    <col min="2769" max="2769" width="5.7109375" customWidth="1"/>
    <col min="2770" max="2770" width="35.7109375" customWidth="1"/>
    <col min="2774" max="2774" width="44.7109375" customWidth="1"/>
    <col min="2782" max="2782" width="88.7109375" customWidth="1"/>
    <col min="3016" max="3017" width="35.7109375" customWidth="1"/>
    <col min="3018" max="3018" width="25.7109375" customWidth="1"/>
    <col min="3023" max="3023" width="3" customWidth="1"/>
    <col min="3024" max="3024" width="39.7109375" customWidth="1"/>
    <col min="3025" max="3025" width="5.7109375" customWidth="1"/>
    <col min="3026" max="3026" width="35.7109375" customWidth="1"/>
    <col min="3030" max="3030" width="44.7109375" customWidth="1"/>
    <col min="3038" max="3038" width="88.7109375" customWidth="1"/>
    <col min="3272" max="3273" width="35.7109375" customWidth="1"/>
    <col min="3274" max="3274" width="25.7109375" customWidth="1"/>
    <col min="3279" max="3279" width="3" customWidth="1"/>
    <col min="3280" max="3280" width="39.7109375" customWidth="1"/>
    <col min="3281" max="3281" width="5.7109375" customWidth="1"/>
    <col min="3282" max="3282" width="35.7109375" customWidth="1"/>
    <col min="3286" max="3286" width="44.7109375" customWidth="1"/>
    <col min="3294" max="3294" width="88.7109375" customWidth="1"/>
    <col min="3528" max="3529" width="35.7109375" customWidth="1"/>
    <col min="3530" max="3530" width="25.7109375" customWidth="1"/>
    <col min="3535" max="3535" width="3" customWidth="1"/>
    <col min="3536" max="3536" width="39.7109375" customWidth="1"/>
    <col min="3537" max="3537" width="5.7109375" customWidth="1"/>
    <col min="3538" max="3538" width="35.7109375" customWidth="1"/>
    <col min="3542" max="3542" width="44.7109375" customWidth="1"/>
    <col min="3550" max="3550" width="88.7109375" customWidth="1"/>
    <col min="3784" max="3785" width="35.7109375" customWidth="1"/>
    <col min="3786" max="3786" width="25.7109375" customWidth="1"/>
    <col min="3791" max="3791" width="3" customWidth="1"/>
    <col min="3792" max="3792" width="39.7109375" customWidth="1"/>
    <col min="3793" max="3793" width="5.7109375" customWidth="1"/>
    <col min="3794" max="3794" width="35.7109375" customWidth="1"/>
    <col min="3798" max="3798" width="44.7109375" customWidth="1"/>
    <col min="3806" max="3806" width="88.7109375" customWidth="1"/>
    <col min="4040" max="4041" width="35.7109375" customWidth="1"/>
    <col min="4042" max="4042" width="25.7109375" customWidth="1"/>
    <col min="4047" max="4047" width="3" customWidth="1"/>
    <col min="4048" max="4048" width="39.7109375" customWidth="1"/>
    <col min="4049" max="4049" width="5.7109375" customWidth="1"/>
    <col min="4050" max="4050" width="35.7109375" customWidth="1"/>
    <col min="4054" max="4054" width="44.7109375" customWidth="1"/>
    <col min="4062" max="4062" width="88.7109375" customWidth="1"/>
    <col min="4296" max="4297" width="35.7109375" customWidth="1"/>
    <col min="4298" max="4298" width="25.7109375" customWidth="1"/>
    <col min="4303" max="4303" width="3" customWidth="1"/>
    <col min="4304" max="4304" width="39.7109375" customWidth="1"/>
    <col min="4305" max="4305" width="5.7109375" customWidth="1"/>
    <col min="4306" max="4306" width="35.7109375" customWidth="1"/>
    <col min="4310" max="4310" width="44.7109375" customWidth="1"/>
    <col min="4318" max="4318" width="88.7109375" customWidth="1"/>
    <col min="4552" max="4553" width="35.7109375" customWidth="1"/>
    <col min="4554" max="4554" width="25.7109375" customWidth="1"/>
    <col min="4559" max="4559" width="3" customWidth="1"/>
    <col min="4560" max="4560" width="39.7109375" customWidth="1"/>
    <col min="4561" max="4561" width="5.7109375" customWidth="1"/>
    <col min="4562" max="4562" width="35.7109375" customWidth="1"/>
    <col min="4566" max="4566" width="44.7109375" customWidth="1"/>
    <col min="4574" max="4574" width="88.7109375" customWidth="1"/>
    <col min="4808" max="4809" width="35.7109375" customWidth="1"/>
    <col min="4810" max="4810" width="25.7109375" customWidth="1"/>
    <col min="4815" max="4815" width="3" customWidth="1"/>
    <col min="4816" max="4816" width="39.7109375" customWidth="1"/>
    <col min="4817" max="4817" width="5.7109375" customWidth="1"/>
    <col min="4818" max="4818" width="35.7109375" customWidth="1"/>
    <col min="4822" max="4822" width="44.7109375" customWidth="1"/>
    <col min="4830" max="4830" width="88.7109375" customWidth="1"/>
    <col min="5064" max="5065" width="35.7109375" customWidth="1"/>
    <col min="5066" max="5066" width="25.7109375" customWidth="1"/>
    <col min="5071" max="5071" width="3" customWidth="1"/>
    <col min="5072" max="5072" width="39.7109375" customWidth="1"/>
    <col min="5073" max="5073" width="5.7109375" customWidth="1"/>
    <col min="5074" max="5074" width="35.7109375" customWidth="1"/>
    <col min="5078" max="5078" width="44.7109375" customWidth="1"/>
    <col min="5086" max="5086" width="88.7109375" customWidth="1"/>
    <col min="5320" max="5321" width="35.7109375" customWidth="1"/>
    <col min="5322" max="5322" width="25.7109375" customWidth="1"/>
    <col min="5327" max="5327" width="3" customWidth="1"/>
    <col min="5328" max="5328" width="39.7109375" customWidth="1"/>
    <col min="5329" max="5329" width="5.7109375" customWidth="1"/>
    <col min="5330" max="5330" width="35.7109375" customWidth="1"/>
    <col min="5334" max="5334" width="44.7109375" customWidth="1"/>
    <col min="5342" max="5342" width="88.7109375" customWidth="1"/>
    <col min="5576" max="5577" width="35.7109375" customWidth="1"/>
    <col min="5578" max="5578" width="25.7109375" customWidth="1"/>
    <col min="5583" max="5583" width="3" customWidth="1"/>
    <col min="5584" max="5584" width="39.7109375" customWidth="1"/>
    <col min="5585" max="5585" width="5.7109375" customWidth="1"/>
    <col min="5586" max="5586" width="35.7109375" customWidth="1"/>
    <col min="5590" max="5590" width="44.7109375" customWidth="1"/>
    <col min="5598" max="5598" width="88.7109375" customWidth="1"/>
    <col min="5832" max="5833" width="35.7109375" customWidth="1"/>
    <col min="5834" max="5834" width="25.7109375" customWidth="1"/>
    <col min="5839" max="5839" width="3" customWidth="1"/>
    <col min="5840" max="5840" width="39.7109375" customWidth="1"/>
    <col min="5841" max="5841" width="5.7109375" customWidth="1"/>
    <col min="5842" max="5842" width="35.7109375" customWidth="1"/>
    <col min="5846" max="5846" width="44.7109375" customWidth="1"/>
    <col min="5854" max="5854" width="88.7109375" customWidth="1"/>
    <col min="6088" max="6089" width="35.7109375" customWidth="1"/>
    <col min="6090" max="6090" width="25.7109375" customWidth="1"/>
    <col min="6095" max="6095" width="3" customWidth="1"/>
    <col min="6096" max="6096" width="39.7109375" customWidth="1"/>
    <col min="6097" max="6097" width="5.7109375" customWidth="1"/>
    <col min="6098" max="6098" width="35.7109375" customWidth="1"/>
    <col min="6102" max="6102" width="44.7109375" customWidth="1"/>
    <col min="6110" max="6110" width="88.7109375" customWidth="1"/>
    <col min="6344" max="6345" width="35.7109375" customWidth="1"/>
    <col min="6346" max="6346" width="25.7109375" customWidth="1"/>
    <col min="6351" max="6351" width="3" customWidth="1"/>
    <col min="6352" max="6352" width="39.7109375" customWidth="1"/>
    <col min="6353" max="6353" width="5.7109375" customWidth="1"/>
    <col min="6354" max="6354" width="35.7109375" customWidth="1"/>
    <col min="6358" max="6358" width="44.7109375" customWidth="1"/>
    <col min="6366" max="6366" width="88.7109375" customWidth="1"/>
    <col min="6600" max="6601" width="35.7109375" customWidth="1"/>
    <col min="6602" max="6602" width="25.7109375" customWidth="1"/>
    <col min="6607" max="6607" width="3" customWidth="1"/>
    <col min="6608" max="6608" width="39.7109375" customWidth="1"/>
    <col min="6609" max="6609" width="5.7109375" customWidth="1"/>
    <col min="6610" max="6610" width="35.7109375" customWidth="1"/>
    <col min="6614" max="6614" width="44.7109375" customWidth="1"/>
    <col min="6622" max="6622" width="88.7109375" customWidth="1"/>
    <col min="6856" max="6857" width="35.7109375" customWidth="1"/>
    <col min="6858" max="6858" width="25.7109375" customWidth="1"/>
    <col min="6863" max="6863" width="3" customWidth="1"/>
    <col min="6864" max="6864" width="39.7109375" customWidth="1"/>
    <col min="6865" max="6865" width="5.7109375" customWidth="1"/>
    <col min="6866" max="6866" width="35.7109375" customWidth="1"/>
    <col min="6870" max="6870" width="44.7109375" customWidth="1"/>
    <col min="6878" max="6878" width="88.7109375" customWidth="1"/>
    <col min="7112" max="7113" width="35.7109375" customWidth="1"/>
    <col min="7114" max="7114" width="25.7109375" customWidth="1"/>
    <col min="7119" max="7119" width="3" customWidth="1"/>
    <col min="7120" max="7120" width="39.7109375" customWidth="1"/>
    <col min="7121" max="7121" width="5.7109375" customWidth="1"/>
    <col min="7122" max="7122" width="35.7109375" customWidth="1"/>
    <col min="7126" max="7126" width="44.7109375" customWidth="1"/>
    <col min="7134" max="7134" width="88.7109375" customWidth="1"/>
    <col min="7368" max="7369" width="35.7109375" customWidth="1"/>
    <col min="7370" max="7370" width="25.7109375" customWidth="1"/>
    <col min="7375" max="7375" width="3" customWidth="1"/>
    <col min="7376" max="7376" width="39.7109375" customWidth="1"/>
    <col min="7377" max="7377" width="5.7109375" customWidth="1"/>
    <col min="7378" max="7378" width="35.7109375" customWidth="1"/>
    <col min="7382" max="7382" width="44.7109375" customWidth="1"/>
    <col min="7390" max="7390" width="88.7109375" customWidth="1"/>
    <col min="7624" max="7625" width="35.7109375" customWidth="1"/>
    <col min="7626" max="7626" width="25.7109375" customWidth="1"/>
    <col min="7631" max="7631" width="3" customWidth="1"/>
    <col min="7632" max="7632" width="39.7109375" customWidth="1"/>
    <col min="7633" max="7633" width="5.7109375" customWidth="1"/>
    <col min="7634" max="7634" width="35.7109375" customWidth="1"/>
    <col min="7638" max="7638" width="44.7109375" customWidth="1"/>
    <col min="7646" max="7646" width="88.7109375" customWidth="1"/>
    <col min="7880" max="7881" width="35.7109375" customWidth="1"/>
    <col min="7882" max="7882" width="25.7109375" customWidth="1"/>
    <col min="7887" max="7887" width="3" customWidth="1"/>
    <col min="7888" max="7888" width="39.7109375" customWidth="1"/>
    <col min="7889" max="7889" width="5.7109375" customWidth="1"/>
    <col min="7890" max="7890" width="35.7109375" customWidth="1"/>
    <col min="7894" max="7894" width="44.7109375" customWidth="1"/>
    <col min="7902" max="7902" width="88.7109375" customWidth="1"/>
    <col min="8136" max="8137" width="35.7109375" customWidth="1"/>
    <col min="8138" max="8138" width="25.7109375" customWidth="1"/>
    <col min="8143" max="8143" width="3" customWidth="1"/>
    <col min="8144" max="8144" width="39.7109375" customWidth="1"/>
    <col min="8145" max="8145" width="5.7109375" customWidth="1"/>
    <col min="8146" max="8146" width="35.7109375" customWidth="1"/>
    <col min="8150" max="8150" width="44.7109375" customWidth="1"/>
    <col min="8158" max="8158" width="88.7109375" customWidth="1"/>
    <col min="8392" max="8393" width="35.7109375" customWidth="1"/>
    <col min="8394" max="8394" width="25.7109375" customWidth="1"/>
    <col min="8399" max="8399" width="3" customWidth="1"/>
    <col min="8400" max="8400" width="39.7109375" customWidth="1"/>
    <col min="8401" max="8401" width="5.7109375" customWidth="1"/>
    <col min="8402" max="8402" width="35.7109375" customWidth="1"/>
    <col min="8406" max="8406" width="44.7109375" customWidth="1"/>
    <col min="8414" max="8414" width="88.7109375" customWidth="1"/>
    <col min="8648" max="8649" width="35.7109375" customWidth="1"/>
    <col min="8650" max="8650" width="25.7109375" customWidth="1"/>
    <col min="8655" max="8655" width="3" customWidth="1"/>
    <col min="8656" max="8656" width="39.7109375" customWidth="1"/>
    <col min="8657" max="8657" width="5.7109375" customWidth="1"/>
    <col min="8658" max="8658" width="35.7109375" customWidth="1"/>
    <col min="8662" max="8662" width="44.7109375" customWidth="1"/>
    <col min="8670" max="8670" width="88.7109375" customWidth="1"/>
    <col min="8904" max="8905" width="35.7109375" customWidth="1"/>
    <col min="8906" max="8906" width="25.7109375" customWidth="1"/>
    <col min="8911" max="8911" width="3" customWidth="1"/>
    <col min="8912" max="8912" width="39.7109375" customWidth="1"/>
    <col min="8913" max="8913" width="5.7109375" customWidth="1"/>
    <col min="8914" max="8914" width="35.7109375" customWidth="1"/>
    <col min="8918" max="8918" width="44.7109375" customWidth="1"/>
    <col min="8926" max="8926" width="88.7109375" customWidth="1"/>
    <col min="9160" max="9161" width="35.7109375" customWidth="1"/>
    <col min="9162" max="9162" width="25.7109375" customWidth="1"/>
    <col min="9167" max="9167" width="3" customWidth="1"/>
    <col min="9168" max="9168" width="39.7109375" customWidth="1"/>
    <col min="9169" max="9169" width="5.7109375" customWidth="1"/>
    <col min="9170" max="9170" width="35.7109375" customWidth="1"/>
    <col min="9174" max="9174" width="44.7109375" customWidth="1"/>
    <col min="9182" max="9182" width="88.7109375" customWidth="1"/>
    <col min="9416" max="9417" width="35.7109375" customWidth="1"/>
    <col min="9418" max="9418" width="25.7109375" customWidth="1"/>
    <col min="9423" max="9423" width="3" customWidth="1"/>
    <col min="9424" max="9424" width="39.7109375" customWidth="1"/>
    <col min="9425" max="9425" width="5.7109375" customWidth="1"/>
    <col min="9426" max="9426" width="35.7109375" customWidth="1"/>
    <col min="9430" max="9430" width="44.7109375" customWidth="1"/>
    <col min="9438" max="9438" width="88.7109375" customWidth="1"/>
    <col min="9672" max="9673" width="35.7109375" customWidth="1"/>
    <col min="9674" max="9674" width="25.7109375" customWidth="1"/>
    <col min="9679" max="9679" width="3" customWidth="1"/>
    <col min="9680" max="9680" width="39.7109375" customWidth="1"/>
    <col min="9681" max="9681" width="5.7109375" customWidth="1"/>
    <col min="9682" max="9682" width="35.7109375" customWidth="1"/>
    <col min="9686" max="9686" width="44.7109375" customWidth="1"/>
    <col min="9694" max="9694" width="88.7109375" customWidth="1"/>
    <col min="9928" max="9929" width="35.7109375" customWidth="1"/>
    <col min="9930" max="9930" width="25.7109375" customWidth="1"/>
    <col min="9935" max="9935" width="3" customWidth="1"/>
    <col min="9936" max="9936" width="39.7109375" customWidth="1"/>
    <col min="9937" max="9937" width="5.7109375" customWidth="1"/>
    <col min="9938" max="9938" width="35.7109375" customWidth="1"/>
    <col min="9942" max="9942" width="44.7109375" customWidth="1"/>
    <col min="9950" max="9950" width="88.7109375" customWidth="1"/>
    <col min="10184" max="10185" width="35.7109375" customWidth="1"/>
    <col min="10186" max="10186" width="25.7109375" customWidth="1"/>
    <col min="10191" max="10191" width="3" customWidth="1"/>
    <col min="10192" max="10192" width="39.7109375" customWidth="1"/>
    <col min="10193" max="10193" width="5.7109375" customWidth="1"/>
    <col min="10194" max="10194" width="35.7109375" customWidth="1"/>
    <col min="10198" max="10198" width="44.7109375" customWidth="1"/>
    <col min="10206" max="10206" width="88.7109375" customWidth="1"/>
    <col min="10440" max="10441" width="35.7109375" customWidth="1"/>
    <col min="10442" max="10442" width="25.7109375" customWidth="1"/>
    <col min="10447" max="10447" width="3" customWidth="1"/>
    <col min="10448" max="10448" width="39.7109375" customWidth="1"/>
    <col min="10449" max="10449" width="5.7109375" customWidth="1"/>
    <col min="10450" max="10450" width="35.7109375" customWidth="1"/>
    <col min="10454" max="10454" width="44.7109375" customWidth="1"/>
    <col min="10462" max="10462" width="88.7109375" customWidth="1"/>
    <col min="10696" max="10697" width="35.7109375" customWidth="1"/>
    <col min="10698" max="10698" width="25.7109375" customWidth="1"/>
    <col min="10703" max="10703" width="3" customWidth="1"/>
    <col min="10704" max="10704" width="39.7109375" customWidth="1"/>
    <col min="10705" max="10705" width="5.7109375" customWidth="1"/>
    <col min="10706" max="10706" width="35.7109375" customWidth="1"/>
    <col min="10710" max="10710" width="44.7109375" customWidth="1"/>
    <col min="10718" max="10718" width="88.7109375" customWidth="1"/>
    <col min="10952" max="10953" width="35.7109375" customWidth="1"/>
    <col min="10954" max="10954" width="25.7109375" customWidth="1"/>
    <col min="10959" max="10959" width="3" customWidth="1"/>
    <col min="10960" max="10960" width="39.7109375" customWidth="1"/>
    <col min="10961" max="10961" width="5.7109375" customWidth="1"/>
    <col min="10962" max="10962" width="35.7109375" customWidth="1"/>
    <col min="10966" max="10966" width="44.7109375" customWidth="1"/>
    <col min="10974" max="10974" width="88.7109375" customWidth="1"/>
    <col min="11208" max="11209" width="35.7109375" customWidth="1"/>
    <col min="11210" max="11210" width="25.7109375" customWidth="1"/>
    <col min="11215" max="11215" width="3" customWidth="1"/>
    <col min="11216" max="11216" width="39.7109375" customWidth="1"/>
    <col min="11217" max="11217" width="5.7109375" customWidth="1"/>
    <col min="11218" max="11218" width="35.7109375" customWidth="1"/>
    <col min="11222" max="11222" width="44.7109375" customWidth="1"/>
    <col min="11230" max="11230" width="88.7109375" customWidth="1"/>
    <col min="11464" max="11465" width="35.7109375" customWidth="1"/>
    <col min="11466" max="11466" width="25.7109375" customWidth="1"/>
    <col min="11471" max="11471" width="3" customWidth="1"/>
    <col min="11472" max="11472" width="39.7109375" customWidth="1"/>
    <col min="11473" max="11473" width="5.7109375" customWidth="1"/>
    <col min="11474" max="11474" width="35.7109375" customWidth="1"/>
    <col min="11478" max="11478" width="44.7109375" customWidth="1"/>
    <col min="11486" max="11486" width="88.7109375" customWidth="1"/>
    <col min="11720" max="11721" width="35.7109375" customWidth="1"/>
    <col min="11722" max="11722" width="25.7109375" customWidth="1"/>
    <col min="11727" max="11727" width="3" customWidth="1"/>
    <col min="11728" max="11728" width="39.7109375" customWidth="1"/>
    <col min="11729" max="11729" width="5.7109375" customWidth="1"/>
    <col min="11730" max="11730" width="35.7109375" customWidth="1"/>
    <col min="11734" max="11734" width="44.7109375" customWidth="1"/>
    <col min="11742" max="11742" width="88.7109375" customWidth="1"/>
    <col min="11976" max="11977" width="35.7109375" customWidth="1"/>
    <col min="11978" max="11978" width="25.7109375" customWidth="1"/>
    <col min="11983" max="11983" width="3" customWidth="1"/>
    <col min="11984" max="11984" width="39.7109375" customWidth="1"/>
    <col min="11985" max="11985" width="5.7109375" customWidth="1"/>
    <col min="11986" max="11986" width="35.7109375" customWidth="1"/>
    <col min="11990" max="11990" width="44.7109375" customWidth="1"/>
    <col min="11998" max="11998" width="88.7109375" customWidth="1"/>
    <col min="12232" max="12233" width="35.7109375" customWidth="1"/>
    <col min="12234" max="12234" width="25.7109375" customWidth="1"/>
    <col min="12239" max="12239" width="3" customWidth="1"/>
    <col min="12240" max="12240" width="39.7109375" customWidth="1"/>
    <col min="12241" max="12241" width="5.7109375" customWidth="1"/>
    <col min="12242" max="12242" width="35.7109375" customWidth="1"/>
    <col min="12246" max="12246" width="44.7109375" customWidth="1"/>
    <col min="12254" max="12254" width="88.7109375" customWidth="1"/>
    <col min="12488" max="12489" width="35.7109375" customWidth="1"/>
    <col min="12490" max="12490" width="25.7109375" customWidth="1"/>
    <col min="12495" max="12495" width="3" customWidth="1"/>
    <col min="12496" max="12496" width="39.7109375" customWidth="1"/>
    <col min="12497" max="12497" width="5.7109375" customWidth="1"/>
    <col min="12498" max="12498" width="35.7109375" customWidth="1"/>
    <col min="12502" max="12502" width="44.7109375" customWidth="1"/>
    <col min="12510" max="12510" width="88.7109375" customWidth="1"/>
    <col min="12744" max="12745" width="35.7109375" customWidth="1"/>
    <col min="12746" max="12746" width="25.7109375" customWidth="1"/>
    <col min="12751" max="12751" width="3" customWidth="1"/>
    <col min="12752" max="12752" width="39.7109375" customWidth="1"/>
    <col min="12753" max="12753" width="5.7109375" customWidth="1"/>
    <col min="12754" max="12754" width="35.7109375" customWidth="1"/>
    <col min="12758" max="12758" width="44.7109375" customWidth="1"/>
    <col min="12766" max="12766" width="88.7109375" customWidth="1"/>
    <col min="13000" max="13001" width="35.7109375" customWidth="1"/>
    <col min="13002" max="13002" width="25.7109375" customWidth="1"/>
    <col min="13007" max="13007" width="3" customWidth="1"/>
    <col min="13008" max="13008" width="39.7109375" customWidth="1"/>
    <col min="13009" max="13009" width="5.7109375" customWidth="1"/>
    <col min="13010" max="13010" width="35.7109375" customWidth="1"/>
    <col min="13014" max="13014" width="44.7109375" customWidth="1"/>
    <col min="13022" max="13022" width="88.7109375" customWidth="1"/>
    <col min="13256" max="13257" width="35.7109375" customWidth="1"/>
    <col min="13258" max="13258" width="25.7109375" customWidth="1"/>
    <col min="13263" max="13263" width="3" customWidth="1"/>
    <col min="13264" max="13264" width="39.7109375" customWidth="1"/>
    <col min="13265" max="13265" width="5.7109375" customWidth="1"/>
    <col min="13266" max="13266" width="35.7109375" customWidth="1"/>
    <col min="13270" max="13270" width="44.7109375" customWidth="1"/>
    <col min="13278" max="13278" width="88.7109375" customWidth="1"/>
    <col min="13512" max="13513" width="35.7109375" customWidth="1"/>
    <col min="13514" max="13514" width="25.7109375" customWidth="1"/>
    <col min="13519" max="13519" width="3" customWidth="1"/>
    <col min="13520" max="13520" width="39.7109375" customWidth="1"/>
    <col min="13521" max="13521" width="5.7109375" customWidth="1"/>
    <col min="13522" max="13522" width="35.7109375" customWidth="1"/>
    <col min="13526" max="13526" width="44.7109375" customWidth="1"/>
    <col min="13534" max="13534" width="88.7109375" customWidth="1"/>
    <col min="13768" max="13769" width="35.7109375" customWidth="1"/>
    <col min="13770" max="13770" width="25.7109375" customWidth="1"/>
    <col min="13775" max="13775" width="3" customWidth="1"/>
    <col min="13776" max="13776" width="39.7109375" customWidth="1"/>
    <col min="13777" max="13777" width="5.7109375" customWidth="1"/>
    <col min="13778" max="13778" width="35.7109375" customWidth="1"/>
    <col min="13782" max="13782" width="44.7109375" customWidth="1"/>
    <col min="13790" max="13790" width="88.7109375" customWidth="1"/>
    <col min="14024" max="14025" width="35.7109375" customWidth="1"/>
    <col min="14026" max="14026" width="25.7109375" customWidth="1"/>
    <col min="14031" max="14031" width="3" customWidth="1"/>
    <col min="14032" max="14032" width="39.7109375" customWidth="1"/>
    <col min="14033" max="14033" width="5.7109375" customWidth="1"/>
    <col min="14034" max="14034" width="35.7109375" customWidth="1"/>
    <col min="14038" max="14038" width="44.7109375" customWidth="1"/>
    <col min="14046" max="14046" width="88.7109375" customWidth="1"/>
    <col min="14280" max="14281" width="35.7109375" customWidth="1"/>
    <col min="14282" max="14282" width="25.7109375" customWidth="1"/>
    <col min="14287" max="14287" width="3" customWidth="1"/>
    <col min="14288" max="14288" width="39.7109375" customWidth="1"/>
    <col min="14289" max="14289" width="5.7109375" customWidth="1"/>
    <col min="14290" max="14290" width="35.7109375" customWidth="1"/>
    <col min="14294" max="14294" width="44.7109375" customWidth="1"/>
    <col min="14302" max="14302" width="88.7109375" customWidth="1"/>
    <col min="14536" max="14537" width="35.7109375" customWidth="1"/>
    <col min="14538" max="14538" width="25.7109375" customWidth="1"/>
    <col min="14543" max="14543" width="3" customWidth="1"/>
    <col min="14544" max="14544" width="39.7109375" customWidth="1"/>
    <col min="14545" max="14545" width="5.7109375" customWidth="1"/>
    <col min="14546" max="14546" width="35.7109375" customWidth="1"/>
    <col min="14550" max="14550" width="44.7109375" customWidth="1"/>
    <col min="14558" max="14558" width="88.7109375" customWidth="1"/>
    <col min="14792" max="14793" width="35.7109375" customWidth="1"/>
    <col min="14794" max="14794" width="25.7109375" customWidth="1"/>
    <col min="14799" max="14799" width="3" customWidth="1"/>
    <col min="14800" max="14800" width="39.7109375" customWidth="1"/>
    <col min="14801" max="14801" width="5.7109375" customWidth="1"/>
    <col min="14802" max="14802" width="35.7109375" customWidth="1"/>
    <col min="14806" max="14806" width="44.7109375" customWidth="1"/>
    <col min="14814" max="14814" width="88.7109375" customWidth="1"/>
    <col min="15048" max="15049" width="35.7109375" customWidth="1"/>
    <col min="15050" max="15050" width="25.7109375" customWidth="1"/>
    <col min="15055" max="15055" width="3" customWidth="1"/>
    <col min="15056" max="15056" width="39.7109375" customWidth="1"/>
    <col min="15057" max="15057" width="5.7109375" customWidth="1"/>
    <col min="15058" max="15058" width="35.7109375" customWidth="1"/>
    <col min="15062" max="15062" width="44.7109375" customWidth="1"/>
    <col min="15070" max="15070" width="88.7109375" customWidth="1"/>
    <col min="15304" max="15305" width="35.7109375" customWidth="1"/>
    <col min="15306" max="15306" width="25.7109375" customWidth="1"/>
    <col min="15311" max="15311" width="3" customWidth="1"/>
    <col min="15312" max="15312" width="39.7109375" customWidth="1"/>
    <col min="15313" max="15313" width="5.7109375" customWidth="1"/>
    <col min="15314" max="15314" width="35.7109375" customWidth="1"/>
    <col min="15318" max="15318" width="44.7109375" customWidth="1"/>
    <col min="15326" max="15326" width="88.7109375" customWidth="1"/>
    <col min="15560" max="15561" width="35.7109375" customWidth="1"/>
    <col min="15562" max="15562" width="25.7109375" customWidth="1"/>
    <col min="15567" max="15567" width="3" customWidth="1"/>
    <col min="15568" max="15568" width="39.7109375" customWidth="1"/>
    <col min="15569" max="15569" width="5.7109375" customWidth="1"/>
    <col min="15570" max="15570" width="35.7109375" customWidth="1"/>
    <col min="15574" max="15574" width="44.7109375" customWidth="1"/>
    <col min="15582" max="15582" width="88.7109375" customWidth="1"/>
    <col min="15816" max="15817" width="35.7109375" customWidth="1"/>
    <col min="15818" max="15818" width="25.7109375" customWidth="1"/>
    <col min="15823" max="15823" width="3" customWidth="1"/>
    <col min="15824" max="15824" width="39.7109375" customWidth="1"/>
    <col min="15825" max="15825" width="5.7109375" customWidth="1"/>
    <col min="15826" max="15826" width="35.7109375" customWidth="1"/>
    <col min="15830" max="15830" width="44.7109375" customWidth="1"/>
    <col min="15838" max="15838" width="88.7109375" customWidth="1"/>
    <col min="16072" max="16073" width="35.7109375" customWidth="1"/>
    <col min="16074" max="16074" width="25.7109375" customWidth="1"/>
    <col min="16079" max="16079" width="3" customWidth="1"/>
    <col min="16080" max="16080" width="39.7109375" customWidth="1"/>
    <col min="16081" max="16081" width="5.7109375" customWidth="1"/>
    <col min="16082" max="16082" width="35.7109375" customWidth="1"/>
    <col min="16086" max="16086" width="44.7109375" customWidth="1"/>
    <col min="16094" max="16094" width="88.7109375" customWidth="1"/>
  </cols>
  <sheetData>
    <row r="1" spans="1:21" ht="22.9" customHeight="1">
      <c r="B1" s="606" t="str">
        <f>+'jobinfo(2)'!$C$1</f>
        <v>Hatten, Nedra</v>
      </c>
      <c r="C1" s="608" t="str">
        <f>+'jobinfo(2)'!$C$2</f>
        <v>628 Quilliams Road</v>
      </c>
      <c r="D1" s="608"/>
      <c r="E1" s="609" t="str">
        <f>+'jobinfo(2)'!$C$3</f>
        <v>Cleveland Heights, OH 44121</v>
      </c>
      <c r="F1" s="681" t="str">
        <f>'jobinfo(2)'!$C$11</f>
        <v>BATHTUB OVERFLOW</v>
      </c>
      <c r="G1" s="607"/>
      <c r="H1" s="607"/>
      <c r="I1" s="129"/>
      <c r="K1" s="129"/>
      <c r="L1" s="941"/>
      <c r="T1" s="129" t="str">
        <f>'jobinfo(2)'!$C$5</f>
        <v>(216) 240-4123</v>
      </c>
      <c r="U1" s="129"/>
    </row>
    <row r="2" spans="1:21" ht="22.9" customHeight="1">
      <c r="B2" s="542" t="s">
        <v>366</v>
      </c>
      <c r="C2" s="543" t="s">
        <v>367</v>
      </c>
      <c r="D2" s="543"/>
      <c r="E2" s="544" t="s">
        <v>368</v>
      </c>
      <c r="F2" s="545"/>
      <c r="G2" s="526"/>
    </row>
    <row r="3" spans="1:21" ht="22.9" customHeight="1">
      <c r="B3" s="47" t="s">
        <v>369</v>
      </c>
      <c r="G3" s="526"/>
    </row>
    <row r="4" spans="1:21" ht="22.9" customHeight="1">
      <c r="A4" s="1006" t="s">
        <v>370</v>
      </c>
      <c r="C4" s="726" t="s">
        <v>371</v>
      </c>
      <c r="D4" s="726" t="s">
        <v>371</v>
      </c>
      <c r="E4" s="726" t="s">
        <v>371</v>
      </c>
      <c r="F4" s="727" t="s">
        <v>372</v>
      </c>
      <c r="G4" s="728"/>
    </row>
    <row r="5" spans="1:21" ht="22.9" customHeight="1">
      <c r="A5" s="1006"/>
      <c r="B5" s="42" t="s">
        <v>373</v>
      </c>
      <c r="C5" s="726" t="s">
        <v>371</v>
      </c>
      <c r="D5" s="726" t="s">
        <v>371</v>
      </c>
      <c r="E5" s="726" t="s">
        <v>371</v>
      </c>
      <c r="F5" s="727"/>
      <c r="G5" s="728"/>
    </row>
    <row r="6" spans="1:21" ht="22.9" customHeight="1">
      <c r="A6" s="1006"/>
      <c r="B6" s="42" t="s">
        <v>374</v>
      </c>
      <c r="C6" s="726" t="s">
        <v>371</v>
      </c>
      <c r="D6" s="726" t="s">
        <v>371</v>
      </c>
      <c r="E6" s="726" t="s">
        <v>371</v>
      </c>
      <c r="F6" s="727"/>
      <c r="G6" s="728"/>
    </row>
    <row r="7" spans="1:21" ht="22.9" customHeight="1">
      <c r="A7" s="1006"/>
      <c r="B7" s="42" t="s">
        <v>375</v>
      </c>
      <c r="C7" s="726" t="s">
        <v>371</v>
      </c>
      <c r="D7" s="726" t="s">
        <v>371</v>
      </c>
      <c r="E7" s="726" t="s">
        <v>371</v>
      </c>
      <c r="F7" s="727"/>
      <c r="G7" s="728"/>
    </row>
    <row r="8" spans="1:21" ht="22.9" customHeight="1">
      <c r="A8" s="1006"/>
      <c r="B8" s="42" t="s">
        <v>376</v>
      </c>
      <c r="C8" s="726" t="s">
        <v>371</v>
      </c>
      <c r="D8" s="726" t="s">
        <v>371</v>
      </c>
      <c r="E8" s="726" t="s">
        <v>371</v>
      </c>
      <c r="F8" s="727"/>
      <c r="G8" s="728"/>
    </row>
    <row r="9" spans="1:21" ht="22.9" customHeight="1">
      <c r="A9" s="1006"/>
      <c r="B9" s="42"/>
      <c r="C9" s="726" t="s">
        <v>371</v>
      </c>
      <c r="D9" s="726" t="s">
        <v>371</v>
      </c>
      <c r="E9" s="726" t="s">
        <v>371</v>
      </c>
      <c r="F9" s="727"/>
      <c r="G9" s="728"/>
    </row>
    <row r="10" spans="1:21" ht="22.9" customHeight="1">
      <c r="A10" s="1006"/>
      <c r="B10" s="42"/>
      <c r="C10" s="726" t="s">
        <v>371</v>
      </c>
      <c r="D10" s="726" t="s">
        <v>371</v>
      </c>
      <c r="E10" s="726" t="s">
        <v>371</v>
      </c>
      <c r="F10" s="727"/>
      <c r="G10" s="728"/>
    </row>
    <row r="11" spans="1:21" ht="22.9" customHeight="1">
      <c r="B11" s="42" t="s">
        <v>377</v>
      </c>
      <c r="C11" s="726" t="s">
        <v>371</v>
      </c>
      <c r="D11" s="726" t="s">
        <v>371</v>
      </c>
      <c r="E11" s="726" t="s">
        <v>371</v>
      </c>
      <c r="F11" s="727" t="s">
        <v>372</v>
      </c>
      <c r="G11" s="728"/>
    </row>
    <row r="12" spans="1:21" ht="22.9" customHeight="1">
      <c r="B12" s="49" t="s">
        <v>378</v>
      </c>
      <c r="C12" s="726" t="s">
        <v>371</v>
      </c>
      <c r="D12" s="726"/>
      <c r="E12" s="726"/>
      <c r="F12" s="727"/>
      <c r="G12" s="728"/>
    </row>
    <row r="13" spans="1:21" ht="22.9" customHeight="1">
      <c r="B13" s="42"/>
      <c r="C13" s="726" t="s">
        <v>371</v>
      </c>
      <c r="D13" s="726"/>
      <c r="E13" s="726"/>
      <c r="F13" s="727"/>
      <c r="G13" s="728"/>
    </row>
    <row r="14" spans="1:21" ht="22.9" customHeight="1">
      <c r="B14" s="42" t="s">
        <v>379</v>
      </c>
      <c r="C14" s="726" t="s">
        <v>371</v>
      </c>
      <c r="D14" s="726"/>
      <c r="E14" s="726"/>
      <c r="F14" s="727"/>
      <c r="G14" s="728"/>
    </row>
    <row r="15" spans="1:21" ht="22.9" customHeight="1">
      <c r="B15" s="42"/>
      <c r="C15" s="726"/>
      <c r="D15" s="726"/>
      <c r="E15" s="726"/>
      <c r="F15" s="727"/>
      <c r="G15" s="728"/>
    </row>
    <row r="16" spans="1:21" ht="22.9" customHeight="1">
      <c r="B16" s="42" t="s">
        <v>380</v>
      </c>
      <c r="C16" s="726" t="s">
        <v>381</v>
      </c>
      <c r="D16" s="726" t="s">
        <v>382</v>
      </c>
      <c r="E16" s="726" t="s">
        <v>383</v>
      </c>
      <c r="F16" s="727" t="s">
        <v>384</v>
      </c>
      <c r="G16" s="728"/>
    </row>
    <row r="17" spans="2:7" ht="22.9" customHeight="1">
      <c r="C17" s="47" t="s">
        <v>385</v>
      </c>
      <c r="D17" s="726"/>
      <c r="E17" s="726"/>
      <c r="F17" s="727"/>
      <c r="G17" s="728"/>
    </row>
    <row r="18" spans="2:7" ht="22.9" customHeight="1">
      <c r="B18" s="679" t="s">
        <v>386</v>
      </c>
      <c r="C18" s="729"/>
      <c r="D18" s="729"/>
      <c r="E18" s="729"/>
      <c r="F18" s="729"/>
      <c r="G18" s="730"/>
    </row>
    <row r="19" spans="2:7" ht="22.9" customHeight="1">
      <c r="B19" s="42" t="s">
        <v>387</v>
      </c>
      <c r="C19" s="731"/>
      <c r="D19" s="731"/>
      <c r="E19" s="731" t="s">
        <v>388</v>
      </c>
      <c r="F19" s="729"/>
      <c r="G19" s="730"/>
    </row>
    <row r="20" spans="2:7" ht="22.9" customHeight="1">
      <c r="B20" s="42" t="s">
        <v>389</v>
      </c>
      <c r="C20" s="729" t="s">
        <v>390</v>
      </c>
      <c r="D20" s="729"/>
      <c r="E20" s="734" t="s">
        <v>391</v>
      </c>
      <c r="F20" s="729"/>
      <c r="G20" s="730"/>
    </row>
    <row r="21" spans="2:7" ht="22.9" customHeight="1">
      <c r="B21" s="42" t="s">
        <v>392</v>
      </c>
      <c r="C21" s="731" t="s">
        <v>393</v>
      </c>
      <c r="D21" s="731"/>
      <c r="E21" s="735" t="s">
        <v>391</v>
      </c>
      <c r="F21" s="729"/>
      <c r="G21" s="730"/>
    </row>
    <row r="22" spans="2:7" ht="22.9" customHeight="1">
      <c r="B22" s="42" t="s">
        <v>394</v>
      </c>
      <c r="C22" s="729" t="s">
        <v>393</v>
      </c>
      <c r="D22" s="729"/>
      <c r="E22" s="735" t="s">
        <v>391</v>
      </c>
      <c r="F22" s="729"/>
      <c r="G22" s="730"/>
    </row>
    <row r="23" spans="2:7" ht="22.9" customHeight="1">
      <c r="B23" s="42" t="s">
        <v>395</v>
      </c>
      <c r="C23" s="731" t="s">
        <v>393</v>
      </c>
      <c r="D23" s="731"/>
      <c r="E23" s="735" t="s">
        <v>391</v>
      </c>
      <c r="F23" s="729"/>
      <c r="G23" s="730"/>
    </row>
    <row r="24" spans="2:7" ht="22.9" customHeight="1">
      <c r="B24" s="42" t="s">
        <v>396</v>
      </c>
      <c r="C24" s="729"/>
      <c r="D24" s="729"/>
      <c r="E24" s="729"/>
      <c r="F24" s="729"/>
      <c r="G24" s="730"/>
    </row>
    <row r="25" spans="2:7" ht="22.9" customHeight="1">
      <c r="B25" s="42"/>
      <c r="C25" s="729"/>
      <c r="D25" s="729"/>
      <c r="E25" s="729"/>
      <c r="F25" s="729"/>
      <c r="G25" s="730"/>
    </row>
    <row r="26" spans="2:7" ht="22.15" customHeight="1">
      <c r="B26" s="680" t="s">
        <v>397</v>
      </c>
      <c r="C26" s="729"/>
      <c r="D26" s="729"/>
      <c r="E26" s="729"/>
      <c r="F26" s="732"/>
      <c r="G26" s="730"/>
    </row>
    <row r="27" spans="2:7" ht="22.15" customHeight="1">
      <c r="B27" s="737" t="s">
        <v>398</v>
      </c>
      <c r="C27" s="729" t="s">
        <v>399</v>
      </c>
      <c r="D27" s="729" t="s">
        <v>400</v>
      </c>
      <c r="E27" s="736" t="s">
        <v>401</v>
      </c>
      <c r="F27" s="732"/>
      <c r="G27" s="730"/>
    </row>
    <row r="28" spans="2:7" ht="22.9" customHeight="1">
      <c r="B28" s="527" t="s">
        <v>402</v>
      </c>
      <c r="C28" s="729" t="s">
        <v>403</v>
      </c>
      <c r="D28" s="729"/>
      <c r="E28" s="729"/>
      <c r="F28" s="733"/>
      <c r="G28" s="730"/>
    </row>
    <row r="29" spans="2:7" ht="22.9" customHeight="1">
      <c r="B29" s="41" t="s">
        <v>404</v>
      </c>
      <c r="C29" s="729"/>
      <c r="D29" s="729"/>
      <c r="E29" s="729" t="s">
        <v>393</v>
      </c>
      <c r="F29" s="729" t="s">
        <v>405</v>
      </c>
      <c r="G29" s="730"/>
    </row>
    <row r="30" spans="2:7" ht="22.9" customHeight="1">
      <c r="B30" s="41" t="s">
        <v>406</v>
      </c>
      <c r="C30" s="729" t="s">
        <v>399</v>
      </c>
      <c r="D30" s="729" t="s">
        <v>400</v>
      </c>
      <c r="E30" s="729" t="s">
        <v>393</v>
      </c>
      <c r="F30" s="733"/>
      <c r="G30" s="730"/>
    </row>
    <row r="31" spans="2:7" ht="22.9" customHeight="1">
      <c r="B31" s="41" t="s">
        <v>407</v>
      </c>
      <c r="C31" s="733" t="s">
        <v>408</v>
      </c>
      <c r="D31" s="729"/>
      <c r="E31" s="729"/>
      <c r="F31" s="729"/>
      <c r="G31" s="730"/>
    </row>
    <row r="32" spans="2:7" ht="22.9" customHeight="1">
      <c r="B32" s="41" t="s">
        <v>409</v>
      </c>
      <c r="C32" s="730"/>
      <c r="D32" s="730"/>
      <c r="E32" s="730"/>
      <c r="F32" s="730"/>
      <c r="G32" s="730"/>
    </row>
    <row r="33" spans="3:7" ht="22.9" customHeight="1">
      <c r="C33" s="730"/>
      <c r="D33" s="730"/>
      <c r="E33" s="730"/>
      <c r="F33" s="730"/>
      <c r="G33" s="730"/>
    </row>
    <row r="34" spans="3:7" ht="22.9" customHeight="1">
      <c r="C34" s="730"/>
      <c r="D34" s="730"/>
      <c r="E34" s="730"/>
      <c r="F34" s="730"/>
      <c r="G34" s="730"/>
    </row>
    <row r="35" spans="3:7" ht="22.9" customHeight="1">
      <c r="C35" s="730"/>
      <c r="D35" s="730"/>
      <c r="E35" s="730"/>
      <c r="F35" s="730"/>
      <c r="G35" s="730"/>
    </row>
    <row r="36" spans="3:7" ht="22.9" customHeight="1">
      <c r="C36" s="730"/>
      <c r="D36" s="730"/>
      <c r="E36" s="730"/>
      <c r="F36" s="730"/>
      <c r="G36" s="730"/>
    </row>
    <row r="37" spans="3:7" ht="22.9" customHeight="1">
      <c r="C37" s="730"/>
      <c r="D37" s="730"/>
      <c r="E37" s="730"/>
      <c r="F37" s="730"/>
      <c r="G37" s="730"/>
    </row>
    <row r="38" spans="3:7" ht="22.9" customHeight="1">
      <c r="C38" s="730"/>
      <c r="D38" s="730"/>
      <c r="E38" s="730"/>
      <c r="F38" s="730"/>
      <c r="G38" s="730"/>
    </row>
    <row r="39" spans="3:7" ht="22.9" customHeight="1">
      <c r="C39" s="730"/>
      <c r="D39" s="730"/>
      <c r="E39" s="730"/>
      <c r="F39" s="730"/>
      <c r="G39" s="730"/>
    </row>
    <row r="40" spans="3:7" ht="22.9" customHeight="1">
      <c r="C40" s="730"/>
      <c r="D40" s="730"/>
      <c r="E40" s="730"/>
      <c r="F40" s="730"/>
      <c r="G40" s="730"/>
    </row>
    <row r="41" spans="3:7" ht="22.9" customHeight="1">
      <c r="C41" s="730"/>
      <c r="D41" s="730"/>
      <c r="E41" s="730"/>
      <c r="F41" s="730"/>
      <c r="G41" s="730"/>
    </row>
    <row r="42" spans="3:7" ht="22.9" customHeight="1">
      <c r="C42" s="730"/>
      <c r="D42" s="730"/>
      <c r="E42" s="730"/>
      <c r="F42" s="730"/>
      <c r="G42" s="730"/>
    </row>
    <row r="43" spans="3:7" ht="22.9" customHeight="1">
      <c r="C43" s="730"/>
      <c r="D43" s="730"/>
      <c r="E43" s="730"/>
      <c r="F43" s="730"/>
      <c r="G43" s="730"/>
    </row>
    <row r="44" spans="3:7" ht="22.9" customHeight="1">
      <c r="C44" s="730"/>
      <c r="D44" s="730"/>
      <c r="E44" s="730"/>
      <c r="F44" s="730"/>
      <c r="G44" s="730"/>
    </row>
  </sheetData>
  <mergeCells count="1">
    <mergeCell ref="A4:A10"/>
  </mergeCells>
  <printOptions horizontalCentered="1" verticalCentered="1" gridLines="1"/>
  <pageMargins left="0.25" right="0.25" top="0.19" bottom="0.37" header="0.26" footer="0.21"/>
  <pageSetup orientation="portrait" r:id="rId1"/>
  <headerFooter>
    <oddFooter>&amp;L&amp;A&amp;C
&amp;R
Page  #  &amp;P         &amp;F</oddFooter>
  </headerFooter>
  <colBreaks count="1" manualBreakCount="1">
    <brk id="6" max="31" man="1"/>
  </colBreak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AC063-E2F4-4EC5-AB5B-31779E308B4C}">
  <sheetPr codeName="Sheet22"/>
  <dimension ref="A1:R223"/>
  <sheetViews>
    <sheetView topLeftCell="A43" zoomScaleNormal="100" zoomScaleSheetLayoutView="96" workbookViewId="0">
      <selection activeCell="C1" sqref="C1:C200"/>
    </sheetView>
  </sheetViews>
  <sheetFormatPr defaultRowHeight="15.6"/>
  <cols>
    <col min="1" max="1" width="8" style="1" customWidth="1"/>
    <col min="2" max="2" width="23.42578125" style="1" customWidth="1"/>
    <col min="3" max="3" width="24.7109375" customWidth="1"/>
    <col min="4" max="4" width="0.85546875" style="1" customWidth="1"/>
    <col min="5" max="5" width="19.7109375" style="1" customWidth="1"/>
    <col min="6" max="6" width="19" style="1" customWidth="1"/>
    <col min="7" max="7" width="16.140625" style="1" customWidth="1"/>
    <col min="8" max="8" width="11" customWidth="1"/>
    <col min="12" max="12" width="30.140625" bestFit="1" customWidth="1"/>
    <col min="13" max="13" width="27.5703125" customWidth="1"/>
    <col min="14" max="14" width="25.5703125" bestFit="1" customWidth="1"/>
    <col min="15" max="16" width="25.5703125" customWidth="1"/>
    <col min="18" max="18" width="29" customWidth="1"/>
  </cols>
  <sheetData>
    <row r="1" spans="1:10" ht="19.5" customHeight="1" thickTop="1">
      <c r="A1" s="1009" t="s">
        <v>410</v>
      </c>
      <c r="B1" s="89" t="s">
        <v>411</v>
      </c>
      <c r="C1" s="893" t="s">
        <v>412</v>
      </c>
      <c r="D1" s="76">
        <f>'[1]jobinfo(2)'!$D$1</f>
        <v>0</v>
      </c>
      <c r="E1" s="1">
        <f>'[1]jobinfo(2)'!$E$1</f>
        <v>0</v>
      </c>
      <c r="F1" s="1">
        <f>'[1]jobinfo(2)'!$F$1</f>
        <v>0</v>
      </c>
      <c r="G1" s="1">
        <f>'[1]jobinfo(2)'!$G$1</f>
        <v>0</v>
      </c>
      <c r="H1">
        <f>'[1]jobinfo(2)'!$H$1</f>
        <v>0</v>
      </c>
      <c r="I1" t="e">
        <f>'[1]jobinfo(2)'!$I$1</f>
        <v>#REF!</v>
      </c>
      <c r="J1" t="e">
        <f>'[1]jobinfo(2)'!$J$1</f>
        <v>#REF!</v>
      </c>
    </row>
    <row r="2" spans="1:10">
      <c r="A2" s="1010"/>
      <c r="B2" s="54" t="s">
        <v>413</v>
      </c>
      <c r="C2" s="894" t="s">
        <v>414</v>
      </c>
      <c r="D2" s="1014">
        <f>'[1]jobinfo(2)'!$D$2</f>
        <v>0</v>
      </c>
      <c r="E2" s="1">
        <f>'[1]jobinfo(2)'!$E$2</f>
        <v>0</v>
      </c>
      <c r="F2" s="1">
        <f>'[1]jobinfo(2)'!$F$2</f>
        <v>0</v>
      </c>
      <c r="G2" s="1">
        <f>'[1]jobinfo(2)'!$G$2</f>
        <v>0</v>
      </c>
      <c r="H2">
        <f>'[1]jobinfo(2)'!$H$2</f>
        <v>0</v>
      </c>
      <c r="I2" t="e">
        <f>'[1]jobinfo(2)'!$I$2</f>
        <v>#REF!</v>
      </c>
      <c r="J2" t="e">
        <f>'[1]jobinfo(2)'!$J$2</f>
        <v>#REF!</v>
      </c>
    </row>
    <row r="3" spans="1:10" ht="22.9">
      <c r="A3" s="1010"/>
      <c r="B3" s="257" t="s">
        <v>415</v>
      </c>
      <c r="C3" s="895" t="s">
        <v>416</v>
      </c>
      <c r="D3" s="1014"/>
      <c r="E3" s="1">
        <f>'[1]jobinfo(2)'!$E$3</f>
        <v>0</v>
      </c>
      <c r="F3" s="1">
        <f>'[1]jobinfo(2)'!$F$3</f>
        <v>0</v>
      </c>
      <c r="G3" s="1">
        <f>'[1]jobinfo(2)'!$G$3</f>
        <v>0</v>
      </c>
      <c r="H3">
        <f>'[1]jobinfo(2)'!$H$3</f>
        <v>0</v>
      </c>
      <c r="I3" t="e">
        <f>'[1]jobinfo(2)'!$I$3</f>
        <v>#REF!</v>
      </c>
      <c r="J3" t="e">
        <f>'[1]jobinfo(2)'!$J$3</f>
        <v>#REF!</v>
      </c>
    </row>
    <row r="4" spans="1:10">
      <c r="A4" s="1010"/>
      <c r="B4" s="54" t="s">
        <v>417</v>
      </c>
      <c r="C4" s="894" t="s">
        <v>418</v>
      </c>
      <c r="D4" s="1014"/>
      <c r="E4" s="1">
        <f>'[1]jobinfo(2)'!$E$4</f>
        <v>0</v>
      </c>
      <c r="F4" s="1">
        <f>'[1]jobinfo(2)'!$F$4</f>
        <v>0</v>
      </c>
      <c r="G4" s="1">
        <f>'[1]jobinfo(2)'!$G$4</f>
        <v>0</v>
      </c>
      <c r="H4">
        <f>'[1]jobinfo(2)'!$H$4</f>
        <v>0</v>
      </c>
      <c r="I4" t="e">
        <f>'[1]jobinfo(2)'!$I$4</f>
        <v>#REF!</v>
      </c>
      <c r="J4" t="e">
        <f>'[1]jobinfo(2)'!$J$4</f>
        <v>#REF!</v>
      </c>
    </row>
    <row r="5" spans="1:10" s="600" customFormat="1">
      <c r="A5" s="1010"/>
      <c r="B5" s="801" t="s">
        <v>419</v>
      </c>
      <c r="C5" s="896" t="s">
        <v>420</v>
      </c>
      <c r="D5" s="1014"/>
      <c r="E5" s="802">
        <f>'[1]jobinfo(2)'!$E$5</f>
        <v>0</v>
      </c>
      <c r="F5" s="802">
        <f>'[1]jobinfo(2)'!$F$5</f>
        <v>0</v>
      </c>
      <c r="G5" s="802">
        <f>'[1]jobinfo(2)'!$G$5</f>
        <v>0</v>
      </c>
      <c r="H5" s="600">
        <f>'[1]jobinfo(2)'!$H$5</f>
        <v>0</v>
      </c>
      <c r="I5" s="600" t="e">
        <f>'[1]jobinfo(2)'!$I$5</f>
        <v>#REF!</v>
      </c>
      <c r="J5" s="600" t="e">
        <f>'[1]jobinfo(2)'!$J$5</f>
        <v>#REF!</v>
      </c>
    </row>
    <row r="6" spans="1:10" ht="16.149999999999999">
      <c r="A6" s="1010"/>
      <c r="B6" s="95" t="s">
        <v>421</v>
      </c>
      <c r="C6" s="897" t="s">
        <v>422</v>
      </c>
      <c r="D6" s="1014"/>
      <c r="E6" s="1">
        <f>'[1]jobinfo(2)'!$E$6</f>
        <v>0</v>
      </c>
      <c r="F6" s="1">
        <f>'[1]jobinfo(2)'!$F$6</f>
        <v>0</v>
      </c>
      <c r="G6" s="1">
        <f>'[1]jobinfo(2)'!$G$6</f>
        <v>0</v>
      </c>
      <c r="H6">
        <f>'[1]jobinfo(2)'!$H$6</f>
        <v>0</v>
      </c>
      <c r="I6" t="e">
        <f>'[1]jobinfo(2)'!$I$6</f>
        <v>#REF!</v>
      </c>
      <c r="J6" t="e">
        <f>'[1]jobinfo(2)'!$J$6</f>
        <v>#REF!</v>
      </c>
    </row>
    <row r="7" spans="1:10">
      <c r="A7" s="1010"/>
      <c r="B7" s="96" t="s">
        <v>423</v>
      </c>
      <c r="C7" s="898" t="s">
        <v>422</v>
      </c>
      <c r="D7" s="1014"/>
      <c r="E7" s="1">
        <f>'[1]jobinfo(2)'!$E$7</f>
        <v>0</v>
      </c>
      <c r="F7" s="1">
        <f>'[1]jobinfo(2)'!$F$7</f>
        <v>0</v>
      </c>
      <c r="G7" s="1">
        <f>'[1]jobinfo(2)'!$G$7</f>
        <v>0</v>
      </c>
      <c r="H7">
        <f>'[1]jobinfo(2)'!$H$7</f>
        <v>0</v>
      </c>
      <c r="I7" t="e">
        <f>'[1]jobinfo(2)'!$I$7</f>
        <v>#REF!</v>
      </c>
      <c r="J7" t="e">
        <f>'[1]jobinfo(2)'!$J$7</f>
        <v>#REF!</v>
      </c>
    </row>
    <row r="8" spans="1:10">
      <c r="A8" s="1010"/>
      <c r="B8" s="53" t="s">
        <v>424</v>
      </c>
      <c r="C8" s="899" t="s">
        <v>422</v>
      </c>
      <c r="D8" s="1014"/>
      <c r="E8" s="57">
        <f>'[1]jobinfo(2)'!$E$8</f>
        <v>0</v>
      </c>
      <c r="F8" s="1">
        <f>'[1]jobinfo(2)'!$F$8</f>
        <v>0</v>
      </c>
      <c r="G8" s="1">
        <f>'[1]jobinfo(2)'!$G$8</f>
        <v>0</v>
      </c>
      <c r="H8">
        <f>'[1]jobinfo(2)'!$H$8</f>
        <v>0</v>
      </c>
      <c r="I8" t="e">
        <f>'[1]jobinfo(2)'!$I$8</f>
        <v>#REF!</v>
      </c>
      <c r="J8" t="e">
        <f>'[1]jobinfo(2)'!$J$8</f>
        <v>#REF!</v>
      </c>
    </row>
    <row r="9" spans="1:10">
      <c r="A9" s="1010"/>
      <c r="B9" s="97" t="s">
        <v>425</v>
      </c>
      <c r="C9" s="900" t="s">
        <v>422</v>
      </c>
      <c r="D9" s="1014"/>
      <c r="E9" s="1">
        <f>'[1]jobinfo(2)'!$E$9</f>
        <v>0</v>
      </c>
      <c r="F9" s="1">
        <f>'[1]jobinfo(2)'!$F$9</f>
        <v>0</v>
      </c>
      <c r="G9" s="1">
        <f>'[1]jobinfo(2)'!$G$9</f>
        <v>0</v>
      </c>
      <c r="H9">
        <f>'[1]jobinfo(2)'!$H$9</f>
        <v>0</v>
      </c>
      <c r="I9" t="e">
        <f>'[1]jobinfo(2)'!$I$9</f>
        <v>#REF!</v>
      </c>
      <c r="J9" t="e">
        <f>'[1]jobinfo(2)'!$J$9</f>
        <v>#REF!</v>
      </c>
    </row>
    <row r="10" spans="1:10">
      <c r="A10" s="1010"/>
      <c r="B10" s="53" t="s">
        <v>426</v>
      </c>
      <c r="C10" s="899" t="s">
        <v>422</v>
      </c>
      <c r="D10" s="1014"/>
      <c r="E10" s="46">
        <f>'[1]jobinfo(2)'!$E$10</f>
        <v>0</v>
      </c>
      <c r="F10" s="1">
        <f>'[1]jobinfo(2)'!$F$10</f>
        <v>0</v>
      </c>
      <c r="G10" s="1">
        <f>'[1]jobinfo(2)'!$G$10</f>
        <v>0</v>
      </c>
      <c r="H10">
        <f>'[1]jobinfo(2)'!$H$10</f>
        <v>0</v>
      </c>
      <c r="I10" t="e">
        <f>'[1]jobinfo(2)'!$I$10</f>
        <v>#REF!</v>
      </c>
      <c r="J10" t="e">
        <f>'[1]jobinfo(2)'!$J$10</f>
        <v>#REF!</v>
      </c>
    </row>
    <row r="11" spans="1:10" ht="20.45">
      <c r="A11" s="1011" t="s">
        <v>427</v>
      </c>
      <c r="B11" s="98" t="s">
        <v>428</v>
      </c>
      <c r="C11" s="901" t="s">
        <v>429</v>
      </c>
      <c r="D11" s="77">
        <f>'[1]jobinfo(2)'!$D$11</f>
        <v>0</v>
      </c>
      <c r="E11" s="44">
        <f>'[1]jobinfo(2)'!$E$11</f>
        <v>0</v>
      </c>
      <c r="F11" s="1">
        <f>'[1]jobinfo(2)'!$F$11</f>
        <v>0</v>
      </c>
      <c r="G11" s="1" t="e">
        <f>'[1]jobinfo(2)'!$G$11</f>
        <v>#REF!</v>
      </c>
      <c r="H11">
        <f>'[1]jobinfo(2)'!$H$11</f>
        <v>0</v>
      </c>
      <c r="I11">
        <f>'[1]jobinfo(2)'!$I$11</f>
        <v>0</v>
      </c>
      <c r="J11">
        <f>'[1]jobinfo(2)'!$J$11</f>
        <v>0</v>
      </c>
    </row>
    <row r="12" spans="1:10" ht="20.45">
      <c r="A12" s="1011"/>
      <c r="B12" s="60" t="s">
        <v>430</v>
      </c>
      <c r="C12" s="902" t="s">
        <v>431</v>
      </c>
      <c r="D12" s="78">
        <f>'[1]jobinfo(2)'!$D$12</f>
        <v>0</v>
      </c>
      <c r="E12" s="58">
        <f>'[1]jobinfo(2)'!$E$12</f>
        <v>0</v>
      </c>
      <c r="F12" s="1">
        <f>'[1]jobinfo(2)'!$F$12</f>
        <v>0</v>
      </c>
      <c r="G12" s="1">
        <f>'[1]jobinfo(2)'!$G$12</f>
        <v>0</v>
      </c>
      <c r="H12" t="e">
        <f>'[1]jobinfo(2)'!$H$12</f>
        <v>#REF!</v>
      </c>
      <c r="I12" t="e">
        <f>'[1]jobinfo(2)'!$I$12</f>
        <v>#REF!</v>
      </c>
      <c r="J12" t="e">
        <f>'[1]jobinfo(2)'!$J$12</f>
        <v>#REF!</v>
      </c>
    </row>
    <row r="13" spans="1:10" ht="18">
      <c r="A13" s="1011"/>
      <c r="B13" s="59" t="s">
        <v>432</v>
      </c>
      <c r="C13" s="903" t="s">
        <v>433</v>
      </c>
      <c r="D13" s="79">
        <f>'[1]jobinfo(2)'!$D$13</f>
        <v>0</v>
      </c>
      <c r="E13" s="58">
        <f>'[1]jobinfo(2)'!$E$13</f>
        <v>0</v>
      </c>
      <c r="F13" s="1">
        <f>'[1]jobinfo(2)'!$F$13</f>
        <v>0</v>
      </c>
      <c r="G13" s="1">
        <f>'[1]jobinfo(2)'!$G$13</f>
        <v>0</v>
      </c>
      <c r="H13">
        <f>'[1]jobinfo(2)'!$H$13</f>
        <v>0</v>
      </c>
      <c r="I13">
        <f>'[1]jobinfo(2)'!$I$13</f>
        <v>0</v>
      </c>
      <c r="J13" t="e">
        <f>'[1]jobinfo(2)'!$J$13</f>
        <v>#REF!</v>
      </c>
    </row>
    <row r="14" spans="1:10" ht="18">
      <c r="A14" s="1011"/>
      <c r="B14" s="60" t="s">
        <v>434</v>
      </c>
      <c r="C14" s="904" t="s">
        <v>435</v>
      </c>
      <c r="D14" s="80">
        <f>'[1]jobinfo(2)'!$D$14</f>
        <v>0</v>
      </c>
      <c r="E14" s="46">
        <f>'[1]jobinfo(2)'!$E$14</f>
        <v>0</v>
      </c>
      <c r="F14" s="1">
        <f>'[1]jobinfo(2)'!$F$14</f>
        <v>0</v>
      </c>
      <c r="G14" s="1">
        <f>'[1]jobinfo(2)'!$G$14</f>
        <v>0</v>
      </c>
      <c r="H14">
        <f>'[1]jobinfo(2)'!$H$14</f>
        <v>0</v>
      </c>
      <c r="I14">
        <f>'[1]jobinfo(2)'!$I$14</f>
        <v>0</v>
      </c>
      <c r="J14" t="e">
        <f>'[1]jobinfo(2)'!$J$14</f>
        <v>#REF!</v>
      </c>
    </row>
    <row r="15" spans="1:10" ht="18">
      <c r="A15" s="1011"/>
      <c r="B15" s="59" t="s">
        <v>436</v>
      </c>
      <c r="C15" s="903" t="s">
        <v>437</v>
      </c>
      <c r="D15" s="80">
        <f>'[1]jobinfo(2)'!$D$15</f>
        <v>0</v>
      </c>
      <c r="E15" s="46">
        <f>'[1]jobinfo(2)'!$E$15</f>
        <v>0</v>
      </c>
      <c r="F15" s="58">
        <f>'[1]jobinfo(2)'!$F$15</f>
        <v>0</v>
      </c>
      <c r="G15" s="1">
        <f>'[1]jobinfo(2)'!$G$15</f>
        <v>0</v>
      </c>
      <c r="H15">
        <f>'[1]jobinfo(2)'!$H$15</f>
        <v>0</v>
      </c>
      <c r="I15">
        <f>'[1]jobinfo(2)'!$I$15</f>
        <v>0</v>
      </c>
      <c r="J15" t="e">
        <f>'[1]jobinfo(2)'!$J$15</f>
        <v>#REF!</v>
      </c>
    </row>
    <row r="16" spans="1:10" ht="20.45">
      <c r="A16" s="1011"/>
      <c r="B16" s="56" t="s">
        <v>438</v>
      </c>
      <c r="C16" s="904" t="s">
        <v>439</v>
      </c>
      <c r="D16" s="77">
        <f>'[1]jobinfo(2)'!$D$16</f>
        <v>0</v>
      </c>
      <c r="E16" s="46">
        <f>'[1]jobinfo(2)'!$E$16</f>
        <v>0</v>
      </c>
      <c r="F16" s="1">
        <f>'[1]jobinfo(2)'!$F$16</f>
        <v>0</v>
      </c>
      <c r="G16" s="1" t="e">
        <f>'[1]jobinfo(2)'!$G$16</f>
        <v>#REF!</v>
      </c>
      <c r="H16" t="e">
        <f>'[1]jobinfo(2)'!$H$16</f>
        <v>#REF!</v>
      </c>
      <c r="I16" t="e">
        <f>'[1]jobinfo(2)'!$I$16</f>
        <v>#REF!</v>
      </c>
      <c r="J16" t="e">
        <f>'[1]jobinfo(2)'!$J$16</f>
        <v>#REF!</v>
      </c>
    </row>
    <row r="17" spans="1:10" ht="20.45">
      <c r="A17" s="1011"/>
      <c r="B17" s="61" t="s">
        <v>440</v>
      </c>
      <c r="C17" s="903" t="s">
        <v>439</v>
      </c>
      <c r="D17" s="77">
        <f>'[1]jobinfo(2)'!$D$17</f>
        <v>0</v>
      </c>
      <c r="E17" s="1">
        <f>'[1]jobinfo(2)'!$E$17</f>
        <v>0</v>
      </c>
      <c r="F17" s="1">
        <f>'[1]jobinfo(2)'!$F$17</f>
        <v>0</v>
      </c>
      <c r="G17" s="1" t="e">
        <f>'[1]jobinfo(2)'!$G$17</f>
        <v>#REF!</v>
      </c>
      <c r="H17" t="e">
        <f>'[1]jobinfo(2)'!$H$17</f>
        <v>#REF!</v>
      </c>
      <c r="I17" t="e">
        <f>'[1]jobinfo(2)'!$I$17</f>
        <v>#REF!</v>
      </c>
      <c r="J17" t="e">
        <f>'[1]jobinfo(2)'!$J$17</f>
        <v>#REF!</v>
      </c>
    </row>
    <row r="18" spans="1:10" ht="20.45">
      <c r="A18" s="1011"/>
      <c r="B18" s="99" t="s">
        <v>441</v>
      </c>
      <c r="C18" s="905" t="s">
        <v>442</v>
      </c>
      <c r="D18" s="77">
        <f>'[1]jobinfo(2)'!$D$18</f>
        <v>0</v>
      </c>
      <c r="E18" s="62">
        <f>'[1]jobinfo(2)'!$E$18</f>
        <v>0</v>
      </c>
      <c r="F18" s="1">
        <f>'[1]jobinfo(2)'!$F$18</f>
        <v>0</v>
      </c>
      <c r="G18" s="1" t="e">
        <f>'[1]jobinfo(2)'!$G$18</f>
        <v>#REF!</v>
      </c>
      <c r="H18" t="e">
        <f>'[1]jobinfo(2)'!$H$18</f>
        <v>#REF!</v>
      </c>
      <c r="I18" t="e">
        <f>'[1]jobinfo(2)'!$I$18</f>
        <v>#REF!</v>
      </c>
      <c r="J18" t="e">
        <f>'[1]jobinfo(2)'!$J$18</f>
        <v>#REF!</v>
      </c>
    </row>
    <row r="19" spans="1:10" ht="20.45">
      <c r="A19" s="1012" t="s">
        <v>443</v>
      </c>
      <c r="B19" s="63" t="s">
        <v>444</v>
      </c>
      <c r="C19" s="906" t="s">
        <v>439</v>
      </c>
      <c r="D19" s="77">
        <f>'[1]jobinfo(2)'!$D$19</f>
        <v>0</v>
      </c>
      <c r="E19" s="60">
        <f>'[1]jobinfo(2)'!$E$19</f>
        <v>0</v>
      </c>
      <c r="F19" s="1">
        <f>'[1]jobinfo(2)'!$F$19</f>
        <v>0</v>
      </c>
      <c r="G19" s="1" t="e">
        <f>'[1]jobinfo(2)'!$G$19</f>
        <v>#REF!</v>
      </c>
      <c r="H19" t="e">
        <f>'[1]jobinfo(2)'!$H$19</f>
        <v>#REF!</v>
      </c>
      <c r="I19" t="e">
        <f>'[1]jobinfo(2)'!$I$19</f>
        <v>#REF!</v>
      </c>
      <c r="J19" t="e">
        <f>'[1]jobinfo(2)'!$J$19</f>
        <v>#REF!</v>
      </c>
    </row>
    <row r="20" spans="1:10" ht="20.45">
      <c r="A20" s="1012"/>
      <c r="B20" s="64" t="s">
        <v>445</v>
      </c>
      <c r="C20" s="905" t="s">
        <v>439</v>
      </c>
      <c r="D20" s="77">
        <f>'[1]jobinfo(2)'!$D$20</f>
        <v>0</v>
      </c>
      <c r="E20" s="60">
        <f>'[1]jobinfo(2)'!$E$20</f>
        <v>0</v>
      </c>
      <c r="F20" s="1">
        <f>'[1]jobinfo(2)'!$F$20</f>
        <v>0</v>
      </c>
      <c r="G20" s="1" t="e">
        <f>'[1]jobinfo(2)'!$G$20</f>
        <v>#REF!</v>
      </c>
      <c r="H20" t="e">
        <f>'[1]jobinfo(2)'!$H$20</f>
        <v>#REF!</v>
      </c>
      <c r="I20" t="e">
        <f>'[1]jobinfo(2)'!$I$20</f>
        <v>#REF!</v>
      </c>
      <c r="J20" t="e">
        <f>'[1]jobinfo(2)'!$J$20</f>
        <v>#REF!</v>
      </c>
    </row>
    <row r="21" spans="1:10" ht="20.45">
      <c r="A21" s="1012"/>
      <c r="B21" s="55" t="s">
        <v>446</v>
      </c>
      <c r="C21" s="905" t="s">
        <v>447</v>
      </c>
      <c r="D21" s="77">
        <f>'[1]jobinfo(2)'!$D$21</f>
        <v>0</v>
      </c>
      <c r="E21" s="60">
        <f>'[1]jobinfo(2)'!$E$21</f>
        <v>0</v>
      </c>
      <c r="F21" s="1">
        <f>'[1]jobinfo(2)'!$F$21</f>
        <v>0</v>
      </c>
      <c r="G21" s="1" t="e">
        <f>'[1]jobinfo(2)'!$G$21</f>
        <v>#REF!</v>
      </c>
      <c r="H21" t="e">
        <f>'[1]jobinfo(2)'!$H$21</f>
        <v>#REF!</v>
      </c>
      <c r="I21" t="e">
        <f>'[1]jobinfo(2)'!$I$21</f>
        <v>#REF!</v>
      </c>
      <c r="J21" t="e">
        <f>'[1]jobinfo(2)'!$J$21</f>
        <v>#REF!</v>
      </c>
    </row>
    <row r="22" spans="1:10" ht="20.45">
      <c r="A22" s="1012"/>
      <c r="B22" s="100" t="s">
        <v>448</v>
      </c>
      <c r="C22" s="907">
        <v>45826</v>
      </c>
      <c r="D22" s="77">
        <f>'[1]jobinfo(2)'!$D$22</f>
        <v>0</v>
      </c>
      <c r="E22" s="1">
        <f>'[1]jobinfo(2)'!$E$22</f>
        <v>0</v>
      </c>
      <c r="F22" s="1">
        <f>'[1]jobinfo(2)'!$F$22</f>
        <v>0</v>
      </c>
      <c r="G22" s="1" t="e">
        <f>'[1]jobinfo(2)'!$G$22</f>
        <v>#REF!</v>
      </c>
      <c r="H22" t="e">
        <f>'[1]jobinfo(2)'!$H$22</f>
        <v>#REF!</v>
      </c>
      <c r="I22" t="e">
        <f>'[1]jobinfo(2)'!$I$22</f>
        <v>#REF!</v>
      </c>
      <c r="J22" t="e">
        <f>'[1]jobinfo(2)'!$J$22</f>
        <v>#REF!</v>
      </c>
    </row>
    <row r="23" spans="1:10" ht="20.45">
      <c r="A23" s="65"/>
      <c r="B23" s="53" t="s">
        <v>449</v>
      </c>
      <c r="C23" s="899" t="s">
        <v>439</v>
      </c>
      <c r="D23" s="81">
        <f>'[1]jobinfo(2)'!$D$23</f>
        <v>0</v>
      </c>
      <c r="E23" s="1">
        <f>'[1]jobinfo(2)'!$E$23</f>
        <v>0</v>
      </c>
      <c r="F23" s="1">
        <f>'[1]jobinfo(2)'!$F$23</f>
        <v>0</v>
      </c>
      <c r="G23" s="1">
        <f>'[1]jobinfo(2)'!$G$23</f>
        <v>0</v>
      </c>
      <c r="H23" t="e">
        <f>'[1]jobinfo(2)'!$H$23</f>
        <v>#REF!</v>
      </c>
      <c r="I23" t="e">
        <f>'[1]jobinfo(2)'!$I$23</f>
        <v>#REF!</v>
      </c>
      <c r="J23" t="e">
        <f>'[1]jobinfo(2)'!$J$23</f>
        <v>#REF!</v>
      </c>
    </row>
    <row r="24" spans="1:10" ht="20.45">
      <c r="A24" s="65"/>
      <c r="B24" s="55" t="s">
        <v>450</v>
      </c>
      <c r="C24" s="905" t="s">
        <v>422</v>
      </c>
      <c r="D24" s="77">
        <f>'[1]jobinfo(2)'!$D$24</f>
        <v>0</v>
      </c>
      <c r="E24" s="1">
        <f>'[1]jobinfo(2)'!$E$24</f>
        <v>0</v>
      </c>
      <c r="F24" s="1">
        <f>'[1]jobinfo(2)'!$F$24</f>
        <v>0</v>
      </c>
      <c r="G24" s="1" t="e">
        <f>'[1]jobinfo(2)'!$G$24</f>
        <v>#REF!</v>
      </c>
      <c r="H24" t="e">
        <f>'[1]jobinfo(2)'!$H$24</f>
        <v>#REF!</v>
      </c>
      <c r="I24" t="e">
        <f>'[1]jobinfo(2)'!$I$24</f>
        <v>#REF!</v>
      </c>
      <c r="J24" t="e">
        <f>'[1]jobinfo(2)'!$J$24</f>
        <v>#REF!</v>
      </c>
    </row>
    <row r="25" spans="1:10" ht="20.45">
      <c r="A25" s="65"/>
      <c r="B25" s="55" t="s">
        <v>451</v>
      </c>
      <c r="C25" s="905" t="s">
        <v>422</v>
      </c>
      <c r="D25" s="77">
        <f>'[1]jobinfo(2)'!$D$25</f>
        <v>0</v>
      </c>
      <c r="E25" s="1">
        <f>'[1]jobinfo(2)'!$E$25</f>
        <v>0</v>
      </c>
      <c r="F25" s="1">
        <f>'[1]jobinfo(2)'!$F$25</f>
        <v>0</v>
      </c>
      <c r="G25" s="1" t="e">
        <f>'[1]jobinfo(2)'!$G$25</f>
        <v>#REF!</v>
      </c>
      <c r="H25" t="e">
        <f>'[1]jobinfo(2)'!$H$25</f>
        <v>#REF!</v>
      </c>
      <c r="I25" t="e">
        <f>'[1]jobinfo(2)'!$I$25</f>
        <v>#REF!</v>
      </c>
      <c r="J25" t="e">
        <f>'[1]jobinfo(2)'!$J$25</f>
        <v>#REF!</v>
      </c>
    </row>
    <row r="26" spans="1:10">
      <c r="B26" s="101" t="s">
        <v>452</v>
      </c>
      <c r="C26" s="908" t="s">
        <v>453</v>
      </c>
      <c r="D26" s="82">
        <f>'[1]jobinfo(2)'!$D$26</f>
        <v>0</v>
      </c>
      <c r="E26" s="66">
        <f>'[1]jobinfo(2)'!$E$26</f>
        <v>0</v>
      </c>
      <c r="F26" s="1">
        <f>'[1]jobinfo(2)'!$F$26</f>
        <v>0</v>
      </c>
      <c r="G26" s="1">
        <f>'[1]jobinfo(2)'!$G$26</f>
        <v>0</v>
      </c>
      <c r="H26" t="e">
        <f>'[1]jobinfo(2)'!$H$26</f>
        <v>#REF!</v>
      </c>
      <c r="I26" t="e">
        <f>'[1]jobinfo(2)'!$I$26</f>
        <v>#REF!</v>
      </c>
      <c r="J26" t="e">
        <f>'[1]jobinfo(2)'!$J$26</f>
        <v>#REF!</v>
      </c>
    </row>
    <row r="27" spans="1:10" ht="19.149999999999999">
      <c r="A27" s="1013" t="s">
        <v>454</v>
      </c>
      <c r="B27" s="102" t="s">
        <v>455</v>
      </c>
      <c r="C27" s="909" t="s">
        <v>456</v>
      </c>
      <c r="D27" s="83">
        <f>'[1]jobinfo(2)'!$D$27</f>
        <v>0</v>
      </c>
      <c r="E27" s="1">
        <f>'[1]jobinfo(2)'!$E$27</f>
        <v>0</v>
      </c>
      <c r="F27" s="1">
        <f>'[1]jobinfo(2)'!$F$27</f>
        <v>0</v>
      </c>
      <c r="G27" s="1">
        <f>'[1]jobinfo(2)'!$G$27</f>
        <v>0</v>
      </c>
      <c r="H27">
        <f>'[1]jobinfo(2)'!$H$27</f>
        <v>0</v>
      </c>
      <c r="I27" t="e">
        <f>'[1]jobinfo(2)'!$I$27</f>
        <v>#REF!</v>
      </c>
      <c r="J27" t="e">
        <f>'[1]jobinfo(2)'!$J$27</f>
        <v>#REF!</v>
      </c>
    </row>
    <row r="28" spans="1:10" ht="19.149999999999999">
      <c r="A28" s="1013"/>
      <c r="B28" s="103" t="s">
        <v>457</v>
      </c>
      <c r="C28" s="910" t="s">
        <v>458</v>
      </c>
      <c r="D28" s="83">
        <f>'[1]jobinfo(2)'!$D$28</f>
        <v>0</v>
      </c>
      <c r="E28" s="1">
        <f>'[1]jobinfo(2)'!$E$28</f>
        <v>0</v>
      </c>
      <c r="F28" s="1">
        <f>'[1]jobinfo(2)'!$F$28</f>
        <v>0</v>
      </c>
      <c r="G28" s="1">
        <f>'[1]jobinfo(2)'!$G$28</f>
        <v>0</v>
      </c>
      <c r="H28" t="e">
        <f>'[1]jobinfo(2)'!$H$28</f>
        <v>#REF!</v>
      </c>
      <c r="I28" t="e">
        <f>'[1]jobinfo(2)'!$I$28</f>
        <v>#REF!</v>
      </c>
      <c r="J28" t="e">
        <f>'[1]jobinfo(2)'!$J$28</f>
        <v>#REF!</v>
      </c>
    </row>
    <row r="29" spans="1:10">
      <c r="A29" s="1013"/>
      <c r="B29" s="45" t="s">
        <v>459</v>
      </c>
      <c r="C29" s="904"/>
      <c r="D29" s="94">
        <f>'[1]jobinfo(2)'!$D$29</f>
        <v>0</v>
      </c>
      <c r="E29" s="1">
        <f>'[1]jobinfo(2)'!$E$29</f>
        <v>0</v>
      </c>
      <c r="F29" s="1">
        <f>'[1]jobinfo(2)'!$F$29</f>
        <v>0</v>
      </c>
      <c r="G29" s="1">
        <f>'[1]jobinfo(2)'!$G$29</f>
        <v>0</v>
      </c>
      <c r="H29" t="e">
        <f>'[1]jobinfo(2)'!$H$29</f>
        <v>#REF!</v>
      </c>
      <c r="I29" t="e">
        <f>'[1]jobinfo(2)'!$I$29</f>
        <v>#REF!</v>
      </c>
      <c r="J29" t="e">
        <f>'[1]jobinfo(2)'!$J$29</f>
        <v>#REF!</v>
      </c>
    </row>
    <row r="30" spans="1:10" ht="18">
      <c r="A30" s="1013"/>
      <c r="B30" s="104" t="s">
        <v>460</v>
      </c>
      <c r="C30" s="912"/>
      <c r="D30" s="84">
        <f>'[1]jobinfo(2)'!$D$30</f>
        <v>0</v>
      </c>
      <c r="E30" s="1">
        <f>'[1]jobinfo(2)'!$E$30</f>
        <v>0</v>
      </c>
      <c r="F30" s="1">
        <f>'[1]jobinfo(2)'!$F$30</f>
        <v>0</v>
      </c>
      <c r="G30" s="1">
        <f>'[1]jobinfo(2)'!$G$30</f>
        <v>0</v>
      </c>
      <c r="H30" t="e">
        <f>'[1]jobinfo(2)'!$H$30</f>
        <v>#REF!</v>
      </c>
      <c r="I30" t="e">
        <f>'[1]jobinfo(2)'!$I$30</f>
        <v>#REF!</v>
      </c>
      <c r="J30" t="e">
        <f>'[1]jobinfo(2)'!$J$30</f>
        <v>#REF!</v>
      </c>
    </row>
    <row r="31" spans="1:10" ht="18">
      <c r="A31" s="1013"/>
      <c r="B31" s="104" t="s">
        <v>461</v>
      </c>
      <c r="C31" s="912"/>
      <c r="D31" s="50">
        <f>'[1]jobinfo(2)'!$D$31</f>
        <v>0</v>
      </c>
      <c r="E31" s="1">
        <f>'[1]jobinfo(2)'!$E$31</f>
        <v>0</v>
      </c>
      <c r="F31" s="1">
        <f>'[1]jobinfo(2)'!$F$31</f>
        <v>0</v>
      </c>
      <c r="G31" s="1">
        <f>'[1]jobinfo(2)'!$G$31</f>
        <v>0</v>
      </c>
      <c r="H31">
        <f>'[1]jobinfo(2)'!$H$31</f>
        <v>0</v>
      </c>
      <c r="I31" t="e">
        <f>'[1]jobinfo(2)'!$I$31</f>
        <v>#REF!</v>
      </c>
      <c r="J31" t="e">
        <f>'[1]jobinfo(2)'!$J$31</f>
        <v>#REF!</v>
      </c>
    </row>
    <row r="32" spans="1:10" ht="18">
      <c r="A32" s="1013"/>
      <c r="B32" s="105" t="s">
        <v>462</v>
      </c>
      <c r="C32" s="913"/>
      <c r="D32" s="50">
        <f>'[1]jobinfo(2)'!$D$32</f>
        <v>0</v>
      </c>
      <c r="E32" s="1">
        <f>'[1]jobinfo(2)'!$E$32</f>
        <v>0</v>
      </c>
      <c r="F32" s="1">
        <f>'[1]jobinfo(2)'!$F$32</f>
        <v>0</v>
      </c>
      <c r="G32" s="1">
        <f>'[1]jobinfo(2)'!$G$32</f>
        <v>0</v>
      </c>
      <c r="H32" t="e">
        <f>'[1]jobinfo(2)'!$H$32</f>
        <v>#REF!</v>
      </c>
      <c r="I32" t="e">
        <f>'[1]jobinfo(2)'!$I$32</f>
        <v>#REF!</v>
      </c>
      <c r="J32" t="e">
        <f>'[1]jobinfo(2)'!$J$32</f>
        <v>#REF!</v>
      </c>
    </row>
    <row r="33" spans="1:10">
      <c r="A33" s="1013"/>
      <c r="B33" s="105" t="s">
        <v>463</v>
      </c>
      <c r="C33" s="913"/>
      <c r="D33" s="85">
        <f>'[1]jobinfo(2)'!$D$33</f>
        <v>0</v>
      </c>
      <c r="E33" s="1">
        <f>'[1]jobinfo(2)'!$E$33</f>
        <v>0</v>
      </c>
      <c r="F33" s="1">
        <f>'[1]jobinfo(2)'!$F$33</f>
        <v>0</v>
      </c>
      <c r="G33" s="1">
        <f>'[1]jobinfo(2)'!$G$33</f>
        <v>0</v>
      </c>
      <c r="H33">
        <f>'[1]jobinfo(2)'!$H$33</f>
        <v>0</v>
      </c>
      <c r="I33" t="e">
        <f>'[1]jobinfo(2)'!$I$33</f>
        <v>#REF!</v>
      </c>
      <c r="J33" t="e">
        <f>'[1]jobinfo(2)'!$J$33</f>
        <v>#REF!</v>
      </c>
    </row>
    <row r="34" spans="1:10">
      <c r="A34" s="1013"/>
      <c r="B34" s="54" t="s">
        <v>464</v>
      </c>
      <c r="C34" s="894" t="s">
        <v>465</v>
      </c>
      <c r="D34" s="86">
        <f>'[1]jobinfo(2)'!$D$34</f>
        <v>0</v>
      </c>
      <c r="E34" s="1">
        <f>'[1]jobinfo(2)'!$E$34</f>
        <v>0</v>
      </c>
      <c r="F34" s="1">
        <f>'[1]jobinfo(2)'!$F$34</f>
        <v>0</v>
      </c>
      <c r="G34" s="1">
        <f>'[1]jobinfo(2)'!$G$34</f>
        <v>0</v>
      </c>
      <c r="H34">
        <f>'[1]jobinfo(2)'!$H$34</f>
        <v>0</v>
      </c>
      <c r="I34" t="e">
        <f>'[1]jobinfo(2)'!$I$34</f>
        <v>#REF!</v>
      </c>
      <c r="J34" t="e">
        <f>'[1]jobinfo(2)'!$J$34</f>
        <v>#REF!</v>
      </c>
    </row>
    <row r="35" spans="1:10">
      <c r="A35" s="1013"/>
      <c r="B35" s="45" t="s">
        <v>466</v>
      </c>
      <c r="C35" s="904" t="s">
        <v>465</v>
      </c>
      <c r="D35" s="87">
        <f>'[1]jobinfo(2)'!$D$35</f>
        <v>0</v>
      </c>
      <c r="E35" s="1">
        <f>'[1]jobinfo(2)'!$E$35</f>
        <v>0</v>
      </c>
      <c r="F35" s="1">
        <f>'[1]jobinfo(2)'!$F$35</f>
        <v>0</v>
      </c>
      <c r="G35" s="1">
        <f>'[1]jobinfo(2)'!$G$35</f>
        <v>0</v>
      </c>
      <c r="H35" t="e">
        <f>'[1]jobinfo(2)'!$H$35</f>
        <v>#REF!</v>
      </c>
      <c r="I35" t="e">
        <f>'[1]jobinfo(2)'!$I$35</f>
        <v>#REF!</v>
      </c>
      <c r="J35" t="e">
        <f>'[1]jobinfo(2)'!$J$35</f>
        <v>#REF!</v>
      </c>
    </row>
    <row r="36" spans="1:10">
      <c r="A36" s="1013"/>
      <c r="B36" s="45" t="s">
        <v>467</v>
      </c>
      <c r="C36" s="904" t="s">
        <v>468</v>
      </c>
      <c r="D36" s="86">
        <f>'[1]jobinfo(2)'!$D$36</f>
        <v>0</v>
      </c>
      <c r="E36" s="1">
        <f>'[1]jobinfo(2)'!$E$36</f>
        <v>0</v>
      </c>
      <c r="F36" s="1">
        <f>'[1]jobinfo(2)'!$F$36</f>
        <v>0</v>
      </c>
      <c r="G36" s="1">
        <f>'[1]jobinfo(2)'!$G$36</f>
        <v>0</v>
      </c>
      <c r="H36" t="e">
        <f>'[1]jobinfo(2)'!$H$36</f>
        <v>#REF!</v>
      </c>
      <c r="I36" t="e">
        <f>'[1]jobinfo(2)'!$I$36</f>
        <v>#REF!</v>
      </c>
      <c r="J36" t="e">
        <f>'[1]jobinfo(2)'!$J$36</f>
        <v>#REF!</v>
      </c>
    </row>
    <row r="37" spans="1:10">
      <c r="A37" s="1013"/>
      <c r="B37" s="105" t="s">
        <v>469</v>
      </c>
      <c r="C37" s="913" t="s">
        <v>422</v>
      </c>
      <c r="D37" s="798">
        <f>'[1]jobinfo(2)'!$D$37</f>
        <v>0</v>
      </c>
      <c r="E37" s="1">
        <f>'[1]jobinfo(2)'!$E$37</f>
        <v>0</v>
      </c>
      <c r="F37" s="1">
        <f>'[1]jobinfo(2)'!$F$37</f>
        <v>0</v>
      </c>
      <c r="G37" s="1">
        <f>'[1]jobinfo(2)'!$G$37</f>
        <v>0</v>
      </c>
      <c r="H37">
        <f>'[1]jobinfo(2)'!$H$37</f>
        <v>0</v>
      </c>
      <c r="I37" t="e">
        <f>'[1]jobinfo(2)'!$I$37</f>
        <v>#REF!</v>
      </c>
      <c r="J37" t="e">
        <f>'[1]jobinfo(2)'!$J$37</f>
        <v>#REF!</v>
      </c>
    </row>
    <row r="38" spans="1:10">
      <c r="A38" s="1013"/>
      <c r="B38" s="105" t="s">
        <v>470</v>
      </c>
      <c r="C38" s="913" t="s">
        <v>422</v>
      </c>
      <c r="D38" s="799">
        <f>'[1]jobinfo(2)'!$D$38</f>
        <v>0</v>
      </c>
      <c r="E38" s="1">
        <f>'[1]jobinfo(2)'!$E$38</f>
        <v>0</v>
      </c>
      <c r="F38" s="1">
        <f>'[1]jobinfo(2)'!$F$38</f>
        <v>0</v>
      </c>
      <c r="G38" s="1">
        <f>'[1]jobinfo(2)'!$G$38</f>
        <v>0</v>
      </c>
      <c r="H38" t="e">
        <f>'[1]jobinfo(2)'!$H$38</f>
        <v>#REF!</v>
      </c>
      <c r="I38" t="e">
        <f>'[1]jobinfo(2)'!$I$38</f>
        <v>#REF!</v>
      </c>
      <c r="J38" t="e">
        <f>'[1]jobinfo(2)'!$J$38</f>
        <v>#REF!</v>
      </c>
    </row>
    <row r="39" spans="1:10">
      <c r="A39" s="1013"/>
      <c r="B39" s="105" t="s">
        <v>471</v>
      </c>
      <c r="C39" s="913" t="s">
        <v>422</v>
      </c>
      <c r="D39" s="800">
        <f>'[1]jobinfo(2)'!$D$39</f>
        <v>0</v>
      </c>
      <c r="E39" s="1">
        <f>'[1]jobinfo(2)'!$E$39</f>
        <v>0</v>
      </c>
      <c r="F39" s="1">
        <f>'[1]jobinfo(2)'!$F$39</f>
        <v>0</v>
      </c>
      <c r="G39" s="1">
        <f>'[1]jobinfo(2)'!$G$39</f>
        <v>0</v>
      </c>
      <c r="H39" t="e">
        <f>'[1]jobinfo(2)'!$H$39</f>
        <v>#REF!</v>
      </c>
      <c r="I39" t="e">
        <f>'[1]jobinfo(2)'!$I$39</f>
        <v>#REF!</v>
      </c>
      <c r="J39" t="e">
        <f>'[1]jobinfo(2)'!$J$39</f>
        <v>#REF!</v>
      </c>
    </row>
    <row r="40" spans="1:10">
      <c r="A40" s="1013"/>
      <c r="B40" s="45" t="s">
        <v>472</v>
      </c>
      <c r="C40" s="904" t="s">
        <v>422</v>
      </c>
      <c r="D40" s="49">
        <f>'[1]jobinfo(2)'!$D$40</f>
        <v>0</v>
      </c>
      <c r="E40" s="1">
        <f>'[1]jobinfo(2)'!$E$40</f>
        <v>0</v>
      </c>
      <c r="F40" s="1">
        <f>'[1]jobinfo(2)'!$F$40</f>
        <v>0</v>
      </c>
      <c r="G40" s="1">
        <f>'[1]jobinfo(2)'!$G$40</f>
        <v>0</v>
      </c>
      <c r="H40">
        <f>'[1]jobinfo(2)'!$H$40</f>
        <v>0</v>
      </c>
      <c r="I40" t="e">
        <f>'[1]jobinfo(2)'!$I$40</f>
        <v>#REF!</v>
      </c>
      <c r="J40" t="e">
        <f>'[1]jobinfo(2)'!$J$40</f>
        <v>#REF!</v>
      </c>
    </row>
    <row r="41" spans="1:10">
      <c r="A41" s="1013"/>
      <c r="B41" s="45" t="s">
        <v>473</v>
      </c>
      <c r="C41" s="904" t="s">
        <v>422</v>
      </c>
      <c r="D41" s="45">
        <f>'[1]jobinfo(2)'!$D$41</f>
        <v>0</v>
      </c>
      <c r="E41" s="1">
        <f>'[1]jobinfo(2)'!$E$41</f>
        <v>0</v>
      </c>
      <c r="F41" s="1">
        <f>'[1]jobinfo(2)'!$F$41</f>
        <v>0</v>
      </c>
      <c r="G41" s="1">
        <f>'[1]jobinfo(2)'!$G$41</f>
        <v>0</v>
      </c>
      <c r="H41" t="e">
        <f>'[1]jobinfo(2)'!$H$41</f>
        <v>#REF!</v>
      </c>
      <c r="I41" t="e">
        <f>'[1]jobinfo(2)'!$I$41</f>
        <v>#REF!</v>
      </c>
      <c r="J41" t="e">
        <f>'[1]jobinfo(2)'!$J$41</f>
        <v>#REF!</v>
      </c>
    </row>
    <row r="42" spans="1:10">
      <c r="A42" s="1013"/>
      <c r="B42" s="45" t="s">
        <v>474</v>
      </c>
      <c r="C42" s="904" t="s">
        <v>422</v>
      </c>
      <c r="D42" s="49">
        <f>'[1]jobinfo(2)'!$D$42</f>
        <v>0</v>
      </c>
      <c r="E42" s="1">
        <f>'[1]jobinfo(2)'!$E$42</f>
        <v>0</v>
      </c>
      <c r="F42" s="1">
        <f>'[1]jobinfo(2)'!$F$42</f>
        <v>0</v>
      </c>
      <c r="G42" s="1">
        <f>'[1]jobinfo(2)'!$G$42</f>
        <v>0</v>
      </c>
      <c r="H42" t="e">
        <f>'[1]jobinfo(2)'!$H$42</f>
        <v>#REF!</v>
      </c>
      <c r="I42" t="e">
        <f>'[1]jobinfo(2)'!$I$42</f>
        <v>#REF!</v>
      </c>
      <c r="J42" t="e">
        <f>'[1]jobinfo(2)'!$J$42</f>
        <v>#REF!</v>
      </c>
    </row>
    <row r="43" spans="1:10">
      <c r="A43" s="1013"/>
      <c r="B43" s="105" t="s">
        <v>475</v>
      </c>
      <c r="C43" s="913" t="s">
        <v>422</v>
      </c>
      <c r="D43" s="88">
        <f>'[1]jobinfo(2)'!$D$43</f>
        <v>0</v>
      </c>
      <c r="E43" s="1">
        <f>'[1]jobinfo(2)'!$E$43</f>
        <v>0</v>
      </c>
      <c r="F43" s="1">
        <f>'[1]jobinfo(2)'!$F$43</f>
        <v>0</v>
      </c>
      <c r="G43" s="1">
        <f>'[1]jobinfo(2)'!$G$43</f>
        <v>0</v>
      </c>
      <c r="H43" t="e">
        <f>'[1]jobinfo(2)'!$H$43</f>
        <v>#REF!</v>
      </c>
      <c r="I43" t="e">
        <f>'[1]jobinfo(2)'!$I$43</f>
        <v>#REF!</v>
      </c>
      <c r="J43" t="e">
        <f>'[1]jobinfo(2)'!$J$43</f>
        <v>#REF!</v>
      </c>
    </row>
    <row r="44" spans="1:10">
      <c r="A44" s="1013"/>
      <c r="B44" s="105" t="s">
        <v>476</v>
      </c>
      <c r="C44" s="913" t="s">
        <v>422</v>
      </c>
      <c r="D44" s="82">
        <f>'[1]jobinfo(2)'!$D$44</f>
        <v>0</v>
      </c>
      <c r="E44" s="1">
        <f>'[1]jobinfo(2)'!$E$44</f>
        <v>0</v>
      </c>
      <c r="F44" s="1">
        <f>'[1]jobinfo(2)'!$F$44</f>
        <v>0</v>
      </c>
      <c r="G44" s="1">
        <f>'[1]jobinfo(2)'!$G$44</f>
        <v>0</v>
      </c>
      <c r="H44" t="e">
        <f>'[1]jobinfo(2)'!$H$44</f>
        <v>#REF!</v>
      </c>
      <c r="I44" t="e">
        <f>'[1]jobinfo(2)'!$I$44</f>
        <v>#REF!</v>
      </c>
      <c r="J44" t="e">
        <f>'[1]jobinfo(2)'!$J$44</f>
        <v>#REF!</v>
      </c>
    </row>
    <row r="45" spans="1:10">
      <c r="A45" s="1013"/>
      <c r="B45" s="105" t="s">
        <v>477</v>
      </c>
      <c r="C45" s="913" t="s">
        <v>422</v>
      </c>
      <c r="D45" s="82">
        <f>'[1]jobinfo(2)'!$D$45</f>
        <v>0</v>
      </c>
      <c r="E45" s="1">
        <f>'[1]jobinfo(2)'!$E$45</f>
        <v>0</v>
      </c>
      <c r="F45" s="1">
        <f>'[1]jobinfo(2)'!$F$45</f>
        <v>0</v>
      </c>
      <c r="G45" s="1">
        <f>'[1]jobinfo(2)'!$G$45</f>
        <v>0</v>
      </c>
      <c r="H45" t="e">
        <f>'[1]jobinfo(2)'!$H$45</f>
        <v>#REF!</v>
      </c>
      <c r="I45" t="str">
        <f>'[1]jobinfo(2)'!$I$45</f>
        <v xml:space="preserve"> </v>
      </c>
      <c r="J45" t="e">
        <f>'[1]jobinfo(2)'!$J$45</f>
        <v>#REF!</v>
      </c>
    </row>
    <row r="46" spans="1:10">
      <c r="A46" s="1013"/>
      <c r="B46" s="104" t="s">
        <v>478</v>
      </c>
      <c r="C46" s="912" t="s">
        <v>479</v>
      </c>
      <c r="D46" s="82">
        <f>'[1]jobinfo(2)'!$D$46</f>
        <v>0</v>
      </c>
      <c r="E46" s="1">
        <f>'[1]jobinfo(2)'!$E$46</f>
        <v>0</v>
      </c>
      <c r="F46" s="1">
        <f>'[1]jobinfo(2)'!$F$46</f>
        <v>0</v>
      </c>
      <c r="G46" s="1">
        <f>'[1]jobinfo(2)'!$G$46</f>
        <v>0</v>
      </c>
      <c r="H46" t="e">
        <f>'[1]jobinfo(2)'!$H$46</f>
        <v>#REF!</v>
      </c>
      <c r="I46" t="e">
        <f>'[1]jobinfo(2)'!$I$46</f>
        <v>#REF!</v>
      </c>
      <c r="J46" t="e">
        <f>'[1]jobinfo(2)'!$J$46</f>
        <v>#REF!</v>
      </c>
    </row>
    <row r="47" spans="1:10">
      <c r="A47" s="1013"/>
      <c r="B47" s="105" t="s">
        <v>480</v>
      </c>
      <c r="C47" s="913" t="s">
        <v>422</v>
      </c>
      <c r="D47" s="85">
        <f>'[1]jobinfo(2)'!$D$47</f>
        <v>0</v>
      </c>
      <c r="E47" s="1">
        <f>'[1]jobinfo(2)'!$E$47</f>
        <v>0</v>
      </c>
      <c r="F47" s="1">
        <f>'[1]jobinfo(2)'!$F$47</f>
        <v>0</v>
      </c>
      <c r="G47" s="1">
        <f>'[1]jobinfo(2)'!$G$47</f>
        <v>0</v>
      </c>
      <c r="H47" t="e">
        <f>'[1]jobinfo(2)'!$H$47</f>
        <v>#REF!</v>
      </c>
      <c r="I47" t="e">
        <f>'[1]jobinfo(2)'!$I$47</f>
        <v>#REF!</v>
      </c>
      <c r="J47" t="e">
        <f>'[1]jobinfo(2)'!$J$47</f>
        <v>#REF!</v>
      </c>
    </row>
    <row r="48" spans="1:10">
      <c r="A48" s="1013"/>
      <c r="B48" s="105" t="s">
        <v>481</v>
      </c>
      <c r="C48" s="913" t="s">
        <v>422</v>
      </c>
      <c r="D48" s="797">
        <f>'[1]jobinfo(2)'!$D$48</f>
        <v>0</v>
      </c>
      <c r="E48" s="1">
        <f>'[1]jobinfo(2)'!$E$48</f>
        <v>0</v>
      </c>
      <c r="F48" s="1">
        <f>'[1]jobinfo(2)'!$F$48</f>
        <v>0</v>
      </c>
      <c r="G48" s="1">
        <f>'[1]jobinfo(2)'!$G$48</f>
        <v>0</v>
      </c>
      <c r="H48" t="e">
        <f>'[1]jobinfo(2)'!$H$48</f>
        <v>#REF!</v>
      </c>
      <c r="I48" t="e">
        <f>'[1]jobinfo(2)'!$I$48</f>
        <v>#REF!</v>
      </c>
      <c r="J48" t="e">
        <f>'[1]jobinfo(2)'!$J$48</f>
        <v>#REF!</v>
      </c>
    </row>
    <row r="49" spans="1:18">
      <c r="A49" s="1013"/>
      <c r="B49" s="105" t="s">
        <v>482</v>
      </c>
      <c r="C49" s="913" t="s">
        <v>422</v>
      </c>
      <c r="D49" s="45">
        <f>'[1]jobinfo(2)'!$D$49</f>
        <v>0</v>
      </c>
      <c r="E49" s="1">
        <f>'[1]jobinfo(2)'!$E$49</f>
        <v>0</v>
      </c>
      <c r="F49" s="1">
        <f>'[1]jobinfo(2)'!$F$49</f>
        <v>0</v>
      </c>
      <c r="G49" s="1">
        <f>'[1]jobinfo(2)'!$G$49</f>
        <v>0</v>
      </c>
      <c r="H49">
        <f>'[1]jobinfo(2)'!$H$49</f>
        <v>0</v>
      </c>
      <c r="I49">
        <f>'[1]jobinfo(2)'!$I$49</f>
        <v>0</v>
      </c>
      <c r="J49">
        <f>'[1]jobinfo(2)'!$J$49</f>
        <v>0</v>
      </c>
    </row>
    <row r="50" spans="1:18">
      <c r="A50" s="65"/>
      <c r="B50" s="105" t="s">
        <v>483</v>
      </c>
      <c r="C50" s="913" t="s">
        <v>422</v>
      </c>
      <c r="D50" s="45">
        <f>'[1]jobinfo(2)'!$D$50</f>
        <v>0</v>
      </c>
      <c r="E50" s="1">
        <f>'[1]jobinfo(2)'!$E$50</f>
        <v>0</v>
      </c>
      <c r="F50" s="1">
        <f>'[1]jobinfo(2)'!$F$50</f>
        <v>0</v>
      </c>
      <c r="G50" s="1">
        <f>'[1]jobinfo(2)'!$G$50</f>
        <v>0</v>
      </c>
      <c r="H50" t="e">
        <f>'[1]jobinfo(2)'!$H$50</f>
        <v>#REF!</v>
      </c>
      <c r="I50" t="e">
        <f>'[1]jobinfo(2)'!$I$50</f>
        <v>#REF!</v>
      </c>
      <c r="J50" t="e">
        <f>'[1]jobinfo(2)'!$J$50</f>
        <v>#REF!</v>
      </c>
    </row>
    <row r="51" spans="1:18" ht="15" customHeight="1">
      <c r="A51" s="75"/>
      <c r="B51" s="106" t="s">
        <v>484</v>
      </c>
      <c r="C51" s="911" t="s">
        <v>485</v>
      </c>
      <c r="D51" s="1">
        <f>'[1]jobinfo(2)'!$D$51</f>
        <v>0</v>
      </c>
      <c r="E51" s="1" t="str">
        <f>'[1]jobinfo(2)'!$E$51</f>
        <v>Room Sizes</v>
      </c>
      <c r="F51" s="1">
        <f>'[1]jobinfo(2)'!$F$51</f>
        <v>0</v>
      </c>
      <c r="G51" s="1" t="e">
        <f>'[1]jobinfo(2)'!$G$51</f>
        <v>#REF!</v>
      </c>
      <c r="H51" t="str">
        <f>'[1]jobinfo(2)'!$H$51</f>
        <v xml:space="preserve"> AFFECTED AREA %                  AFFECTED AREA SF = </v>
      </c>
      <c r="I51" t="e">
        <f>'[1]jobinfo(2)'!$I$51</f>
        <v>#REF!</v>
      </c>
      <c r="J51" t="e">
        <f>'[1]jobinfo(2)'!$J$51</f>
        <v>#REF!</v>
      </c>
    </row>
    <row r="52" spans="1:18" ht="15" customHeight="1">
      <c r="A52" s="74"/>
      <c r="C52" s="914" t="s">
        <v>412</v>
      </c>
      <c r="D52" s="1">
        <f>'[1]jobinfo(2)'!$D$52</f>
        <v>0</v>
      </c>
      <c r="E52" s="1" t="str">
        <f>'[1]jobinfo(2)'!$E$52</f>
        <v>L</v>
      </c>
      <c r="F52" s="1" t="str">
        <f>'[1]jobinfo(2)'!$F$52</f>
        <v>W</v>
      </c>
      <c r="G52" s="1" t="str">
        <f>'[1]jobinfo(2)'!$G$52</f>
        <v>H</v>
      </c>
      <c r="H52" t="str">
        <f>'[1]jobinfo(2)'!$H$52</f>
        <v>WALL</v>
      </c>
      <c r="I52" t="str">
        <f>'[1]jobinfo(2)'!$I$52</f>
        <v>FLOOR</v>
      </c>
      <c r="J52" t="str">
        <f>'[1]jobinfo(2)'!$J$52</f>
        <v xml:space="preserve">CEILING </v>
      </c>
      <c r="L52" t="s">
        <v>486</v>
      </c>
      <c r="M52" t="s">
        <v>487</v>
      </c>
      <c r="N52" t="s">
        <v>488</v>
      </c>
      <c r="O52" t="s">
        <v>489</v>
      </c>
    </row>
    <row r="53" spans="1:18" ht="15" customHeight="1">
      <c r="A53" s="74">
        <v>1</v>
      </c>
      <c r="B53" s="71" t="s">
        <v>490</v>
      </c>
      <c r="C53" s="915" t="s">
        <v>491</v>
      </c>
      <c r="D53" s="44" t="str">
        <f>'[1]jobinfo(2)'!$D$53</f>
        <v>SPACER COLUMN</v>
      </c>
      <c r="E53" s="306">
        <f>'[1]jobinfo(2)'!$E$53</f>
        <v>20</v>
      </c>
      <c r="F53" s="306">
        <f>'[1]jobinfo(2)'!$F$53</f>
        <v>20</v>
      </c>
      <c r="G53" s="306">
        <f>'[1]jobinfo(2)'!$G$53</f>
        <v>10</v>
      </c>
      <c r="H53">
        <f>'[1]jobinfo(2)'!$H$53</f>
        <v>0.45</v>
      </c>
      <c r="I53">
        <f>'[1]jobinfo(2)'!$I$53</f>
        <v>0.15</v>
      </c>
      <c r="J53">
        <f>'[1]jobinfo(2)'!$J$53</f>
        <v>1</v>
      </c>
      <c r="L53" s="816" t="s">
        <v>492</v>
      </c>
      <c r="M53" s="816" t="s">
        <v>493</v>
      </c>
      <c r="N53" s="817" t="s">
        <v>494</v>
      </c>
      <c r="O53" s="816" t="s">
        <v>495</v>
      </c>
      <c r="P53" s="816" t="s">
        <v>496</v>
      </c>
      <c r="R53" t="s">
        <v>497</v>
      </c>
    </row>
    <row r="54" spans="1:18" ht="15" customHeight="1">
      <c r="A54" s="74">
        <f t="shared" ref="A54:A75" si="0">1+A53</f>
        <v>2</v>
      </c>
      <c r="B54" s="107" t="s">
        <v>498</v>
      </c>
      <c r="C54" s="915" t="s">
        <v>499</v>
      </c>
      <c r="D54" s="44">
        <f>'[1]jobinfo(2)'!$D$54</f>
        <v>0</v>
      </c>
      <c r="E54" s="307">
        <f>'[1]jobinfo(2)'!$E$54</f>
        <v>0</v>
      </c>
      <c r="F54" s="47">
        <f>'[1]jobinfo(2)'!$F$54</f>
        <v>0</v>
      </c>
      <c r="G54" s="308">
        <f>'[1]jobinfo(2)'!$G$54</f>
        <v>0</v>
      </c>
      <c r="H54">
        <f>'[1]jobinfo(2)'!$H$54</f>
        <v>0</v>
      </c>
      <c r="I54">
        <f>'[1]jobinfo(2)'!$I$54</f>
        <v>0</v>
      </c>
      <c r="J54">
        <f>'[1]jobinfo(2)'!$J$54</f>
        <v>0</v>
      </c>
      <c r="K54">
        <v>1</v>
      </c>
      <c r="L54" s="89" t="s">
        <v>500</v>
      </c>
      <c r="M54" s="49" t="s">
        <v>501</v>
      </c>
      <c r="N54" s="847" t="s">
        <v>502</v>
      </c>
      <c r="O54" s="49" t="s">
        <v>503</v>
      </c>
      <c r="P54" s="49" t="s">
        <v>504</v>
      </c>
      <c r="Q54">
        <v>1</v>
      </c>
      <c r="R54" s="814" t="s">
        <v>176</v>
      </c>
    </row>
    <row r="55" spans="1:18" ht="15" customHeight="1" thickBot="1">
      <c r="A55" s="74">
        <f t="shared" si="0"/>
        <v>3</v>
      </c>
      <c r="B55" s="107" t="s">
        <v>505</v>
      </c>
      <c r="C55" s="915" t="s">
        <v>506</v>
      </c>
      <c r="D55" s="44">
        <f>'[1]jobinfo(2)'!$D$55</f>
        <v>0</v>
      </c>
      <c r="E55" s="309">
        <f>'[1]jobinfo(2)'!$E$55</f>
        <v>0</v>
      </c>
      <c r="F55" s="47">
        <f>'[1]jobinfo(2)'!$F$55</f>
        <v>0</v>
      </c>
      <c r="G55" s="310">
        <f>'[1]jobinfo(2)'!$G$55</f>
        <v>0</v>
      </c>
      <c r="H55">
        <f>'[1]jobinfo(2)'!$H$55</f>
        <v>0</v>
      </c>
      <c r="I55">
        <f>'[1]jobinfo(2)'!$I$55</f>
        <v>0</v>
      </c>
      <c r="J55">
        <f>'[1]jobinfo(2)'!$J$55</f>
        <v>0</v>
      </c>
      <c r="K55">
        <f>1+K54</f>
        <v>2</v>
      </c>
      <c r="L55" s="89" t="s">
        <v>507</v>
      </c>
      <c r="M55" s="49" t="s">
        <v>508</v>
      </c>
      <c r="N55" s="49" t="s">
        <v>509</v>
      </c>
      <c r="O55" s="49" t="s">
        <v>510</v>
      </c>
      <c r="P55" s="49" t="s">
        <v>511</v>
      </c>
      <c r="Q55">
        <f>1+Q54</f>
        <v>2</v>
      </c>
      <c r="R55" s="814" t="s">
        <v>182</v>
      </c>
    </row>
    <row r="56" spans="1:18" ht="15" customHeight="1" thickTop="1" thickBot="1">
      <c r="A56" s="74">
        <f t="shared" si="0"/>
        <v>4</v>
      </c>
      <c r="B56" s="107" t="s">
        <v>512</v>
      </c>
      <c r="C56" s="915" t="s">
        <v>513</v>
      </c>
      <c r="D56" s="44">
        <f>'[1]jobinfo(2)'!$D$56</f>
        <v>0</v>
      </c>
      <c r="E56" s="311">
        <f>'[1]jobinfo(2)'!$E$56</f>
        <v>0</v>
      </c>
      <c r="F56" s="312">
        <f>'[1]jobinfo(2)'!$F$56</f>
        <v>0</v>
      </c>
      <c r="G56" s="310">
        <f>'[1]jobinfo(2)'!$G$56</f>
        <v>0</v>
      </c>
      <c r="H56">
        <f>'[1]jobinfo(2)'!$H$56</f>
        <v>0</v>
      </c>
      <c r="I56">
        <f>'[1]jobinfo(2)'!$I$56</f>
        <v>0</v>
      </c>
      <c r="J56">
        <f>'[1]jobinfo(2)'!$J$56</f>
        <v>0</v>
      </c>
      <c r="K56">
        <f t="shared" ref="K56:K103" si="1">1+K55</f>
        <v>3</v>
      </c>
      <c r="L56" s="878" t="s">
        <v>514</v>
      </c>
      <c r="M56" s="49" t="s">
        <v>515</v>
      </c>
      <c r="N56" s="49" t="s">
        <v>516</v>
      </c>
      <c r="O56" s="49" t="s">
        <v>517</v>
      </c>
      <c r="P56" s="809"/>
      <c r="Q56">
        <f t="shared" ref="Q56:Q111" si="2">1+Q55</f>
        <v>3</v>
      </c>
      <c r="R56" s="814" t="s">
        <v>186</v>
      </c>
    </row>
    <row r="57" spans="1:18" ht="15" customHeight="1" thickTop="1" thickBot="1">
      <c r="A57" s="74">
        <f t="shared" si="0"/>
        <v>5</v>
      </c>
      <c r="B57" s="107" t="s">
        <v>518</v>
      </c>
      <c r="C57" s="915" t="s">
        <v>519</v>
      </c>
      <c r="D57" s="44">
        <f>'[1]jobinfo(2)'!$D$57</f>
        <v>0</v>
      </c>
      <c r="E57" s="73">
        <f>'[1]jobinfo(2)'!$E$57</f>
        <v>0</v>
      </c>
      <c r="F57" s="313">
        <f>'[1]jobinfo(2)'!$F$57</f>
        <v>0</v>
      </c>
      <c r="G57" s="47">
        <f>'[1]jobinfo(2)'!$G$57</f>
        <v>0</v>
      </c>
      <c r="H57">
        <f>'[1]jobinfo(2)'!$H$57</f>
        <v>0</v>
      </c>
      <c r="I57">
        <f>'[1]jobinfo(2)'!$I$57</f>
        <v>0</v>
      </c>
      <c r="J57">
        <f>'[1]jobinfo(2)'!$J$57</f>
        <v>0</v>
      </c>
      <c r="K57">
        <f t="shared" si="1"/>
        <v>4</v>
      </c>
      <c r="L57" s="878" t="s">
        <v>520</v>
      </c>
      <c r="M57" s="49" t="s">
        <v>521</v>
      </c>
      <c r="N57" s="49" t="s">
        <v>522</v>
      </c>
      <c r="O57" s="49" t="s">
        <v>350</v>
      </c>
      <c r="P57" s="809"/>
      <c r="Q57">
        <f t="shared" si="2"/>
        <v>4</v>
      </c>
      <c r="R57" s="814" t="s">
        <v>191</v>
      </c>
    </row>
    <row r="58" spans="1:18" ht="15" customHeight="1" thickTop="1" thickBot="1">
      <c r="A58" s="74">
        <f t="shared" si="0"/>
        <v>6</v>
      </c>
      <c r="B58" s="107" t="s">
        <v>523</v>
      </c>
      <c r="C58" s="915" t="s">
        <v>524</v>
      </c>
      <c r="D58" s="44">
        <f>'[1]jobinfo(2)'!$D$58</f>
        <v>0</v>
      </c>
      <c r="E58" s="311">
        <f>'[1]jobinfo(2)'!$E$58</f>
        <v>4</v>
      </c>
      <c r="F58" s="49">
        <f>'[1]jobinfo(2)'!$F$58</f>
        <v>3</v>
      </c>
      <c r="G58" s="313">
        <f>'[1]jobinfo(2)'!$G$58</f>
        <v>8</v>
      </c>
      <c r="H58">
        <f>'[1]jobinfo(2)'!$H$58</f>
        <v>0.66</v>
      </c>
      <c r="I58">
        <f>'[1]jobinfo(2)'!$I$58</f>
        <v>0.15</v>
      </c>
      <c r="J58">
        <f>'[1]jobinfo(2)'!$J$58</f>
        <v>1</v>
      </c>
      <c r="K58">
        <f t="shared" si="1"/>
        <v>5</v>
      </c>
      <c r="L58" s="878" t="s">
        <v>525</v>
      </c>
      <c r="M58" s="49" t="s">
        <v>526</v>
      </c>
      <c r="N58" s="49" t="s">
        <v>527</v>
      </c>
      <c r="O58" s="49" t="s">
        <v>528</v>
      </c>
      <c r="Q58">
        <f t="shared" si="2"/>
        <v>5</v>
      </c>
      <c r="R58" s="814" t="s">
        <v>196</v>
      </c>
    </row>
    <row r="59" spans="1:18" ht="15" customHeight="1" thickTop="1" thickBot="1">
      <c r="A59" s="74">
        <f t="shared" si="0"/>
        <v>7</v>
      </c>
      <c r="B59" s="107" t="s">
        <v>529</v>
      </c>
      <c r="C59" s="915" t="s">
        <v>530</v>
      </c>
      <c r="D59" s="44">
        <f>'[1]jobinfo(2)'!$D$59</f>
        <v>0</v>
      </c>
      <c r="E59" s="309">
        <f>'[1]jobinfo(2)'!$E$59</f>
        <v>12</v>
      </c>
      <c r="F59" s="310">
        <f>'[1]jobinfo(2)'!$F$59</f>
        <v>12</v>
      </c>
      <c r="G59" s="47">
        <f>'[1]jobinfo(2)'!$G$59</f>
        <v>8</v>
      </c>
      <c r="H59">
        <f>'[1]jobinfo(2)'!$H$59</f>
        <v>0.33</v>
      </c>
      <c r="I59">
        <f>'[1]jobinfo(2)'!$I$59</f>
        <v>0.15</v>
      </c>
      <c r="J59">
        <f>'[1]jobinfo(2)'!$J$59</f>
        <v>0.33</v>
      </c>
      <c r="K59">
        <f t="shared" si="1"/>
        <v>6</v>
      </c>
      <c r="L59" s="878" t="s">
        <v>531</v>
      </c>
      <c r="M59" s="49" t="s">
        <v>532</v>
      </c>
      <c r="N59" s="49" t="s">
        <v>533</v>
      </c>
      <c r="O59" s="49" t="s">
        <v>534</v>
      </c>
      <c r="P59" s="49"/>
      <c r="Q59">
        <f t="shared" si="2"/>
        <v>6</v>
      </c>
      <c r="R59" s="814" t="s">
        <v>200</v>
      </c>
    </row>
    <row r="60" spans="1:18" ht="15" customHeight="1" thickTop="1" thickBot="1">
      <c r="A60" s="74">
        <f t="shared" si="0"/>
        <v>8</v>
      </c>
      <c r="B60" s="107" t="s">
        <v>535</v>
      </c>
      <c r="C60" s="915" t="s">
        <v>536</v>
      </c>
      <c r="D60" s="44">
        <f>'[1]jobinfo(2)'!$D$60</f>
        <v>0</v>
      </c>
      <c r="E60" s="314">
        <f>'[1]jobinfo(2)'!$E$60</f>
        <v>3</v>
      </c>
      <c r="F60" s="315">
        <f>'[1]jobinfo(2)'!$F$60</f>
        <v>3</v>
      </c>
      <c r="G60" s="316">
        <f>'[1]jobinfo(2)'!$G$60</f>
        <v>8</v>
      </c>
      <c r="H60">
        <f>'[1]jobinfo(2)'!$H$60</f>
        <v>0.22</v>
      </c>
      <c r="I60">
        <f>'[1]jobinfo(2)'!$I$60</f>
        <v>0.33</v>
      </c>
      <c r="J60">
        <f>'[1]jobinfo(2)'!$J$60</f>
        <v>0.33</v>
      </c>
      <c r="K60">
        <f t="shared" si="1"/>
        <v>7</v>
      </c>
      <c r="L60" s="878" t="s">
        <v>504</v>
      </c>
      <c r="M60" s="49" t="s">
        <v>537</v>
      </c>
      <c r="N60" s="371" t="s">
        <v>538</v>
      </c>
      <c r="O60" s="49" t="s">
        <v>539</v>
      </c>
      <c r="P60" s="814"/>
      <c r="Q60">
        <f t="shared" si="2"/>
        <v>7</v>
      </c>
      <c r="R60" s="814" t="s">
        <v>205</v>
      </c>
    </row>
    <row r="61" spans="1:18" ht="15" customHeight="1" thickTop="1" thickBot="1">
      <c r="A61" s="541">
        <f t="shared" si="0"/>
        <v>9</v>
      </c>
      <c r="B61" s="107" t="s">
        <v>540</v>
      </c>
      <c r="C61" s="915" t="s">
        <v>541</v>
      </c>
      <c r="D61" s="44">
        <f>'[1]jobinfo(2)'!$D$61</f>
        <v>0</v>
      </c>
      <c r="E61" s="317">
        <f>'[1]jobinfo(2)'!$E$61</f>
        <v>0</v>
      </c>
      <c r="F61" s="318">
        <f>'[1]jobinfo(2)'!$F$61</f>
        <v>0</v>
      </c>
      <c r="G61" s="49">
        <f>'[1]jobinfo(2)'!$G$61</f>
        <v>0</v>
      </c>
      <c r="H61">
        <f>'[1]jobinfo(2)'!$H$61</f>
        <v>0</v>
      </c>
      <c r="I61">
        <f>'[1]jobinfo(2)'!$I$61</f>
        <v>0</v>
      </c>
      <c r="J61" t="e">
        <f>'[1]jobinfo(2)'!$J$61</f>
        <v>#REF!</v>
      </c>
      <c r="K61">
        <f t="shared" si="1"/>
        <v>8</v>
      </c>
      <c r="L61" s="878"/>
      <c r="M61" s="49" t="s">
        <v>542</v>
      </c>
      <c r="N61" s="49" t="s">
        <v>510</v>
      </c>
      <c r="O61" s="814"/>
      <c r="P61" s="814"/>
      <c r="Q61">
        <f t="shared" si="2"/>
        <v>8</v>
      </c>
      <c r="R61" s="814" t="s">
        <v>210</v>
      </c>
    </row>
    <row r="62" spans="1:18" ht="15" customHeight="1" thickTop="1" thickBot="1">
      <c r="A62" s="541">
        <f t="shared" si="0"/>
        <v>10</v>
      </c>
      <c r="B62" s="107" t="s">
        <v>543</v>
      </c>
      <c r="C62" s="915" t="s">
        <v>544</v>
      </c>
      <c r="D62" s="44">
        <f>'[1]jobinfo(2)'!$D$62</f>
        <v>0</v>
      </c>
      <c r="E62" s="311">
        <f>'[1]jobinfo(2)'!$E$62</f>
        <v>8</v>
      </c>
      <c r="F62" s="315">
        <f>'[1]jobinfo(2)'!$F$62</f>
        <v>3</v>
      </c>
      <c r="G62" s="49">
        <f>'[1]jobinfo(2)'!$G$62</f>
        <v>8</v>
      </c>
      <c r="H62">
        <f>'[1]jobinfo(2)'!$H$62</f>
        <v>0.66</v>
      </c>
      <c r="I62">
        <f>'[1]jobinfo(2)'!$I$62</f>
        <v>0.66</v>
      </c>
      <c r="J62">
        <f>'[1]jobinfo(2)'!$J$62</f>
        <v>1</v>
      </c>
      <c r="K62">
        <f t="shared" si="1"/>
        <v>9</v>
      </c>
      <c r="L62" s="878"/>
      <c r="M62" s="49" t="s">
        <v>545</v>
      </c>
      <c r="N62" s="49" t="s">
        <v>517</v>
      </c>
      <c r="O62" s="814"/>
      <c r="P62" s="809" t="s">
        <v>546</v>
      </c>
      <c r="Q62">
        <f t="shared" si="2"/>
        <v>9</v>
      </c>
      <c r="R62" s="814" t="s">
        <v>216</v>
      </c>
    </row>
    <row r="63" spans="1:18" ht="16.149999999999999" customHeight="1" thickTop="1" thickBot="1">
      <c r="A63" s="541">
        <f t="shared" si="0"/>
        <v>11</v>
      </c>
      <c r="B63" s="107" t="s">
        <v>547</v>
      </c>
      <c r="C63" s="915" t="s">
        <v>548</v>
      </c>
      <c r="D63" s="44">
        <f>'[1]jobinfo(2)'!$D$63</f>
        <v>0</v>
      </c>
      <c r="E63" s="309">
        <f>'[1]jobinfo(2)'!$E$63</f>
        <v>15</v>
      </c>
      <c r="F63" s="312">
        <f>'[1]jobinfo(2)'!$F$63</f>
        <v>18</v>
      </c>
      <c r="G63" s="49">
        <f>'[1]jobinfo(2)'!$G$63</f>
        <v>8</v>
      </c>
      <c r="H63">
        <f>'[1]jobinfo(2)'!$H$63</f>
        <v>0.15</v>
      </c>
      <c r="I63">
        <f>'[1]jobinfo(2)'!$I$63</f>
        <v>1</v>
      </c>
      <c r="J63">
        <f>'[1]jobinfo(2)'!$J$63</f>
        <v>1</v>
      </c>
      <c r="K63">
        <f t="shared" si="1"/>
        <v>10</v>
      </c>
      <c r="L63" s="878" t="s">
        <v>422</v>
      </c>
      <c r="M63" s="49" t="s">
        <v>549</v>
      </c>
      <c r="N63" s="49" t="s">
        <v>350</v>
      </c>
      <c r="O63" s="816" t="s">
        <v>496</v>
      </c>
      <c r="P63" s="814"/>
      <c r="Q63">
        <f t="shared" si="2"/>
        <v>10</v>
      </c>
      <c r="R63" s="814" t="s">
        <v>222</v>
      </c>
    </row>
    <row r="64" spans="1:18" ht="15" customHeight="1" thickTop="1" thickBot="1">
      <c r="A64" s="541">
        <f t="shared" si="0"/>
        <v>12</v>
      </c>
      <c r="B64" s="107" t="s">
        <v>550</v>
      </c>
      <c r="C64" s="915" t="s">
        <v>551</v>
      </c>
      <c r="D64" s="44">
        <f>'[1]jobinfo(2)'!$D$64</f>
        <v>0</v>
      </c>
      <c r="E64" s="319">
        <f>'[1]jobinfo(2)'!$E$64</f>
        <v>0</v>
      </c>
      <c r="F64" s="313">
        <f>'[1]jobinfo(2)'!$F$64</f>
        <v>0</v>
      </c>
      <c r="G64" s="49">
        <f>'[1]jobinfo(2)'!$G$64</f>
        <v>0</v>
      </c>
      <c r="H64">
        <f>'[1]jobinfo(2)'!$H$64</f>
        <v>0</v>
      </c>
      <c r="I64">
        <f>'[1]jobinfo(2)'!$I$64</f>
        <v>0</v>
      </c>
      <c r="J64" t="e">
        <f>'[1]jobinfo(2)'!$J$64</f>
        <v>#REF!</v>
      </c>
      <c r="K64">
        <f t="shared" si="1"/>
        <v>11</v>
      </c>
      <c r="L64" s="878" t="s">
        <v>422</v>
      </c>
      <c r="M64" s="49" t="s">
        <v>552</v>
      </c>
      <c r="N64" s="49" t="s">
        <v>528</v>
      </c>
      <c r="O64" s="49" t="s">
        <v>504</v>
      </c>
      <c r="P64" s="814"/>
      <c r="Q64">
        <f t="shared" si="2"/>
        <v>11</v>
      </c>
      <c r="R64" s="814" t="s">
        <v>228</v>
      </c>
    </row>
    <row r="65" spans="1:18" ht="15" customHeight="1" thickTop="1" thickBot="1">
      <c r="A65" s="541">
        <f t="shared" si="0"/>
        <v>13</v>
      </c>
      <c r="B65" s="107" t="s">
        <v>553</v>
      </c>
      <c r="C65" s="915" t="s">
        <v>554</v>
      </c>
      <c r="D65" s="44">
        <f>'[1]jobinfo(2)'!$D$65</f>
        <v>0</v>
      </c>
      <c r="E65" s="309">
        <f>'[1]jobinfo(2)'!$E$65</f>
        <v>0</v>
      </c>
      <c r="F65" s="315">
        <f>'[1]jobinfo(2)'!$F$65</f>
        <v>0</v>
      </c>
      <c r="G65" s="308">
        <f>'[1]jobinfo(2)'!$G$65</f>
        <v>0</v>
      </c>
      <c r="H65">
        <f>'[1]jobinfo(2)'!$H$65</f>
        <v>0</v>
      </c>
      <c r="I65">
        <f>'[1]jobinfo(2)'!$I$65</f>
        <v>0</v>
      </c>
      <c r="J65" t="e">
        <f>'[1]jobinfo(2)'!$J$65</f>
        <v>#REF!</v>
      </c>
      <c r="K65">
        <f t="shared" si="1"/>
        <v>12</v>
      </c>
      <c r="L65" s="878" t="s">
        <v>422</v>
      </c>
      <c r="M65" s="49" t="s">
        <v>555</v>
      </c>
      <c r="N65" s="49" t="s">
        <v>534</v>
      </c>
      <c r="O65" s="49" t="s">
        <v>511</v>
      </c>
      <c r="Q65">
        <f t="shared" si="2"/>
        <v>12</v>
      </c>
      <c r="R65" s="814" t="s">
        <v>234</v>
      </c>
    </row>
    <row r="66" spans="1:18" ht="15" customHeight="1" thickTop="1" thickBot="1">
      <c r="A66" s="541">
        <f t="shared" si="0"/>
        <v>14</v>
      </c>
      <c r="B66" s="107" t="s">
        <v>556</v>
      </c>
      <c r="C66" s="915" t="s">
        <v>557</v>
      </c>
      <c r="D66" s="44">
        <f>'[1]jobinfo(2)'!$D$66</f>
        <v>0</v>
      </c>
      <c r="E66" s="309">
        <f>'[1]jobinfo(2)'!$E$66</f>
        <v>0</v>
      </c>
      <c r="F66" s="310">
        <f>'[1]jobinfo(2)'!$F$66</f>
        <v>0</v>
      </c>
      <c r="G66" s="72">
        <f>'[1]jobinfo(2)'!$G$66</f>
        <v>0</v>
      </c>
      <c r="H66">
        <f>'[1]jobinfo(2)'!$H$66</f>
        <v>0</v>
      </c>
      <c r="I66">
        <f>'[1]jobinfo(2)'!$I$66</f>
        <v>0</v>
      </c>
      <c r="J66" t="e">
        <f>'[1]jobinfo(2)'!$J$66</f>
        <v>#REF!</v>
      </c>
      <c r="K66">
        <f t="shared" si="1"/>
        <v>13</v>
      </c>
      <c r="L66" s="878" t="s">
        <v>422</v>
      </c>
      <c r="M66" s="49" t="s">
        <v>558</v>
      </c>
      <c r="N66" s="49" t="s">
        <v>539</v>
      </c>
      <c r="O66" s="809"/>
      <c r="Q66">
        <f t="shared" si="2"/>
        <v>13</v>
      </c>
      <c r="R66" s="814" t="s">
        <v>238</v>
      </c>
    </row>
    <row r="67" spans="1:18" ht="15" customHeight="1" thickTop="1" thickBot="1">
      <c r="A67" s="541">
        <f t="shared" si="0"/>
        <v>15</v>
      </c>
      <c r="B67" s="107" t="s">
        <v>559</v>
      </c>
      <c r="C67" s="915" t="s">
        <v>560</v>
      </c>
      <c r="D67" s="44">
        <f>'[1]jobinfo(2)'!$D$67</f>
        <v>0</v>
      </c>
      <c r="E67" s="73">
        <f>'[1]jobinfo(2)'!$E$67</f>
        <v>0</v>
      </c>
      <c r="F67" s="313">
        <f>'[1]jobinfo(2)'!$F$67</f>
        <v>0</v>
      </c>
      <c r="G67" s="320">
        <f>'[1]jobinfo(2)'!$G$67</f>
        <v>0</v>
      </c>
      <c r="H67">
        <f>'[1]jobinfo(2)'!$H$67</f>
        <v>0</v>
      </c>
      <c r="I67">
        <f>'[1]jobinfo(2)'!$I$67</f>
        <v>0</v>
      </c>
      <c r="J67" t="e">
        <f>'[1]jobinfo(2)'!$J$67</f>
        <v>#REF!</v>
      </c>
      <c r="K67">
        <f t="shared" si="1"/>
        <v>14</v>
      </c>
      <c r="L67" s="878" t="s">
        <v>422</v>
      </c>
      <c r="M67" s="49" t="s">
        <v>561</v>
      </c>
      <c r="N67" s="848" t="s">
        <v>562</v>
      </c>
      <c r="O67" s="809" t="s">
        <v>563</v>
      </c>
      <c r="P67" s="809" t="s">
        <v>348</v>
      </c>
      <c r="Q67">
        <f t="shared" si="2"/>
        <v>14</v>
      </c>
      <c r="R67" s="814" t="s">
        <v>243</v>
      </c>
    </row>
    <row r="68" spans="1:18" ht="15" customHeight="1" thickTop="1">
      <c r="A68" s="541">
        <f t="shared" si="0"/>
        <v>16</v>
      </c>
      <c r="B68" s="107" t="s">
        <v>564</v>
      </c>
      <c r="C68" s="915"/>
      <c r="D68" s="44">
        <f>'[1]jobinfo(2)'!$D$68</f>
        <v>0</v>
      </c>
      <c r="E68" s="73">
        <f>'[1]jobinfo(2)'!$E$68</f>
        <v>0</v>
      </c>
      <c r="F68" s="49">
        <f>'[1]jobinfo(2)'!$F$68</f>
        <v>0</v>
      </c>
      <c r="G68" s="47">
        <f>'[1]jobinfo(2)'!$G$68</f>
        <v>0</v>
      </c>
      <c r="H68">
        <f>'[1]jobinfo(2)'!$H$68</f>
        <v>0</v>
      </c>
      <c r="I68">
        <f>'[1]jobinfo(2)'!$I$68</f>
        <v>0</v>
      </c>
      <c r="J68" t="e">
        <f>'[1]jobinfo(2)'!$J$68</f>
        <v>#REF!</v>
      </c>
      <c r="K68">
        <f t="shared" si="1"/>
        <v>15</v>
      </c>
      <c r="L68" s="878" t="s">
        <v>422</v>
      </c>
      <c r="M68" s="49" t="s">
        <v>565</v>
      </c>
      <c r="N68" s="49" t="s">
        <v>511</v>
      </c>
      <c r="Q68">
        <f t="shared" si="2"/>
        <v>15</v>
      </c>
      <c r="R68" s="814" t="s">
        <v>249</v>
      </c>
    </row>
    <row r="69" spans="1:18" ht="15" customHeight="1">
      <c r="A69" s="541">
        <f t="shared" si="0"/>
        <v>17</v>
      </c>
      <c r="B69" s="107" t="s">
        <v>566</v>
      </c>
      <c r="C69" s="915"/>
      <c r="D69" s="44">
        <f>'[1]jobinfo(2)'!$D$69</f>
        <v>0</v>
      </c>
      <c r="E69" s="321">
        <f>'[1]jobinfo(2)'!$E$69</f>
        <v>0</v>
      </c>
      <c r="F69" s="49">
        <f>'[1]jobinfo(2)'!$F$69</f>
        <v>0</v>
      </c>
      <c r="G69" s="47">
        <f>'[1]jobinfo(2)'!$G$69</f>
        <v>0</v>
      </c>
      <c r="H69">
        <f>'[1]jobinfo(2)'!$H$69</f>
        <v>0</v>
      </c>
      <c r="I69">
        <f>'[1]jobinfo(2)'!$I$69</f>
        <v>0</v>
      </c>
      <c r="J69" t="e">
        <f>'[1]jobinfo(2)'!$J$69</f>
        <v>#REF!</v>
      </c>
      <c r="K69">
        <f t="shared" si="1"/>
        <v>16</v>
      </c>
      <c r="L69" s="878" t="s">
        <v>422</v>
      </c>
      <c r="M69" s="49" t="s">
        <v>567</v>
      </c>
      <c r="N69" s="809"/>
      <c r="O69" s="49"/>
      <c r="Q69">
        <f t="shared" si="2"/>
        <v>16</v>
      </c>
      <c r="R69" s="814" t="s">
        <v>254</v>
      </c>
    </row>
    <row r="70" spans="1:18" ht="15" customHeight="1" thickBot="1">
      <c r="A70" s="541">
        <f t="shared" si="0"/>
        <v>18</v>
      </c>
      <c r="B70" s="107" t="s">
        <v>568</v>
      </c>
      <c r="C70" s="915"/>
      <c r="D70" s="44">
        <f>'[1]jobinfo(2)'!$D$70</f>
        <v>0</v>
      </c>
      <c r="E70" s="309">
        <f>'[1]jobinfo(2)'!$E$70</f>
        <v>0</v>
      </c>
      <c r="F70" s="47">
        <f>'[1]jobinfo(2)'!$F$70</f>
        <v>0</v>
      </c>
      <c r="G70" s="60">
        <f>'[1]jobinfo(2)'!$G$70</f>
        <v>0</v>
      </c>
      <c r="H70">
        <f>'[1]jobinfo(2)'!$H$70</f>
        <v>0</v>
      </c>
      <c r="I70">
        <f>'[1]jobinfo(2)'!$I$70</f>
        <v>0</v>
      </c>
      <c r="J70" t="e">
        <f>'[1]jobinfo(2)'!$J$70</f>
        <v>#REF!</v>
      </c>
      <c r="K70">
        <f t="shared" si="1"/>
        <v>17</v>
      </c>
      <c r="L70" s="809"/>
      <c r="M70" s="809"/>
      <c r="N70" s="809"/>
      <c r="O70" s="814"/>
      <c r="Q70">
        <f t="shared" si="2"/>
        <v>17</v>
      </c>
      <c r="R70" s="814" t="s">
        <v>259</v>
      </c>
    </row>
    <row r="71" spans="1:18" ht="15" customHeight="1" thickTop="1" thickBot="1">
      <c r="A71" s="541">
        <f t="shared" si="0"/>
        <v>19</v>
      </c>
      <c r="B71" s="107" t="s">
        <v>569</v>
      </c>
      <c r="C71" s="915"/>
      <c r="D71" s="44">
        <f>'[1]jobinfo(2)'!$D$71</f>
        <v>0</v>
      </c>
      <c r="E71" s="311">
        <f>'[1]jobinfo(2)'!$E$71</f>
        <v>0</v>
      </c>
      <c r="F71" s="47">
        <f>'[1]jobinfo(2)'!$F$71</f>
        <v>0</v>
      </c>
      <c r="G71" s="47">
        <f>'[1]jobinfo(2)'!$G$71</f>
        <v>0</v>
      </c>
      <c r="H71">
        <f>'[1]jobinfo(2)'!$H$71</f>
        <v>0</v>
      </c>
      <c r="I71" t="e">
        <f>'[1]jobinfo(2)'!$I$71</f>
        <v>#REF!</v>
      </c>
      <c r="J71" t="e">
        <f>'[1]jobinfo(2)'!$J$71</f>
        <v>#REF!</v>
      </c>
      <c r="K71">
        <f t="shared" si="1"/>
        <v>18</v>
      </c>
      <c r="L71" s="49">
        <v>71</v>
      </c>
      <c r="M71">
        <v>71</v>
      </c>
      <c r="O71" s="814"/>
      <c r="Q71">
        <f t="shared" si="2"/>
        <v>18</v>
      </c>
      <c r="R71" s="814" t="s">
        <v>264</v>
      </c>
    </row>
    <row r="72" spans="1:18" ht="15" customHeight="1" thickTop="1">
      <c r="A72" s="541">
        <f t="shared" si="0"/>
        <v>20</v>
      </c>
      <c r="B72" s="107" t="s">
        <v>570</v>
      </c>
      <c r="C72" s="915"/>
      <c r="D72" s="44">
        <f>'[1]jobinfo(2)'!$D$72</f>
        <v>0</v>
      </c>
      <c r="E72" s="73">
        <f>'[1]jobinfo(2)'!$E$72</f>
        <v>0</v>
      </c>
      <c r="F72" s="49">
        <f>'[1]jobinfo(2)'!$F$72</f>
        <v>0</v>
      </c>
      <c r="G72" s="322">
        <f>'[1]jobinfo(2)'!$G$72</f>
        <v>0</v>
      </c>
      <c r="H72">
        <f>'[1]jobinfo(2)'!$H$72</f>
        <v>0</v>
      </c>
      <c r="I72" t="e">
        <f>'[1]jobinfo(2)'!$I$72</f>
        <v>#REF!</v>
      </c>
      <c r="J72" t="e">
        <f>'[1]jobinfo(2)'!$J$72</f>
        <v>#REF!</v>
      </c>
      <c r="K72">
        <f t="shared" si="1"/>
        <v>19</v>
      </c>
      <c r="L72" s="49"/>
      <c r="O72" s="809" t="s">
        <v>546</v>
      </c>
      <c r="Q72">
        <f t="shared" si="2"/>
        <v>19</v>
      </c>
      <c r="R72" s="814" t="s">
        <v>269</v>
      </c>
    </row>
    <row r="73" spans="1:18" ht="15" customHeight="1" thickBot="1">
      <c r="A73" s="541">
        <f t="shared" si="0"/>
        <v>21</v>
      </c>
      <c r="B73" s="107" t="s">
        <v>571</v>
      </c>
      <c r="C73" s="915"/>
      <c r="D73" s="44">
        <f>'[1]jobinfo(2)'!$D$73</f>
        <v>0</v>
      </c>
      <c r="E73" s="323">
        <f>'[1]jobinfo(2)'!$E$73</f>
        <v>0</v>
      </c>
      <c r="F73" s="324">
        <f>'[1]jobinfo(2)'!$F$73</f>
        <v>0</v>
      </c>
      <c r="G73" s="323">
        <f>'[1]jobinfo(2)'!$G$73</f>
        <v>0</v>
      </c>
      <c r="H73">
        <f>'[1]jobinfo(2)'!$H$73</f>
        <v>0</v>
      </c>
      <c r="I73" t="e">
        <f>'[1]jobinfo(2)'!$I$73</f>
        <v>#REF!</v>
      </c>
      <c r="J73" t="e">
        <f>'[1]jobinfo(2)'!$J$73</f>
        <v>#REF!</v>
      </c>
      <c r="K73">
        <f t="shared" si="1"/>
        <v>20</v>
      </c>
      <c r="L73" s="49"/>
      <c r="O73" s="814"/>
      <c r="Q73">
        <f t="shared" si="2"/>
        <v>20</v>
      </c>
      <c r="R73" s="814" t="s">
        <v>274</v>
      </c>
    </row>
    <row r="74" spans="1:18" ht="15" customHeight="1" thickTop="1" thickBot="1">
      <c r="A74" s="541">
        <f t="shared" si="0"/>
        <v>22</v>
      </c>
      <c r="B74" s="107" t="s">
        <v>572</v>
      </c>
      <c r="C74" s="915"/>
      <c r="D74" s="44">
        <f>'[1]jobinfo(2)'!$D$74</f>
        <v>0</v>
      </c>
      <c r="E74" s="324">
        <f>'[1]jobinfo(2)'!$E$74</f>
        <v>0</v>
      </c>
      <c r="F74" s="323">
        <f>'[1]jobinfo(2)'!$F$74</f>
        <v>0</v>
      </c>
      <c r="G74" s="324">
        <f>'[1]jobinfo(2)'!$G$74</f>
        <v>0</v>
      </c>
      <c r="H74">
        <f>'[1]jobinfo(2)'!$H$74</f>
        <v>0</v>
      </c>
      <c r="I74" t="e">
        <f>'[1]jobinfo(2)'!$I$74</f>
        <v>#REF!</v>
      </c>
      <c r="J74" t="e">
        <f>'[1]jobinfo(2)'!$J$74</f>
        <v>#REF!</v>
      </c>
      <c r="K74">
        <f t="shared" si="1"/>
        <v>21</v>
      </c>
      <c r="O74" s="814"/>
      <c r="Q74">
        <f t="shared" si="2"/>
        <v>21</v>
      </c>
      <c r="R74" s="814" t="s">
        <v>279</v>
      </c>
    </row>
    <row r="75" spans="1:18" ht="15" customHeight="1" thickTop="1" thickBot="1">
      <c r="A75" s="541">
        <f t="shared" si="0"/>
        <v>23</v>
      </c>
      <c r="B75" s="107" t="s">
        <v>573</v>
      </c>
      <c r="C75" s="915"/>
      <c r="D75" s="44">
        <f>'[1]jobinfo(2)'!$D$75</f>
        <v>0</v>
      </c>
      <c r="E75" s="323">
        <f>'[1]jobinfo(2)'!$E$75</f>
        <v>0</v>
      </c>
      <c r="F75" s="324">
        <f>'[1]jobinfo(2)'!$F$75</f>
        <v>0</v>
      </c>
      <c r="G75" s="323">
        <f>'[1]jobinfo(2)'!$G$75</f>
        <v>0</v>
      </c>
      <c r="H75">
        <f>'[1]jobinfo(2)'!$H$75</f>
        <v>0</v>
      </c>
      <c r="I75" t="e">
        <f>'[1]jobinfo(2)'!$I$75</f>
        <v>#REF!</v>
      </c>
      <c r="J75" t="e">
        <f>'[1]jobinfo(2)'!$J$75</f>
        <v>#REF!</v>
      </c>
      <c r="K75">
        <f t="shared" si="1"/>
        <v>22</v>
      </c>
      <c r="Q75">
        <f t="shared" si="2"/>
        <v>22</v>
      </c>
      <c r="R75" s="814" t="s">
        <v>283</v>
      </c>
    </row>
    <row r="76" spans="1:18" ht="15" customHeight="1" thickTop="1" thickBot="1">
      <c r="A76" s="541">
        <f t="shared" ref="A76:A99" si="3">1+A75</f>
        <v>24</v>
      </c>
      <c r="B76" s="107" t="s">
        <v>574</v>
      </c>
      <c r="C76" s="915"/>
      <c r="D76" s="44">
        <f>'[1]jobinfo(2)'!$D$76</f>
        <v>0</v>
      </c>
      <c r="E76" s="324">
        <f>'[1]jobinfo(2)'!$E$76</f>
        <v>0</v>
      </c>
      <c r="F76" s="323">
        <f>'[1]jobinfo(2)'!$F$76</f>
        <v>0</v>
      </c>
      <c r="G76" s="324">
        <f>'[1]jobinfo(2)'!$G$76</f>
        <v>0</v>
      </c>
      <c r="H76">
        <f>'[1]jobinfo(2)'!$H$76</f>
        <v>0</v>
      </c>
      <c r="I76" t="e">
        <f>'[1]jobinfo(2)'!$I$76</f>
        <v>#REF!</v>
      </c>
      <c r="J76" t="e">
        <f>'[1]jobinfo(2)'!$J$76</f>
        <v>#REF!</v>
      </c>
      <c r="K76">
        <f t="shared" si="1"/>
        <v>23</v>
      </c>
      <c r="Q76">
        <f t="shared" si="2"/>
        <v>23</v>
      </c>
      <c r="R76" s="814" t="s">
        <v>287</v>
      </c>
    </row>
    <row r="77" spans="1:18" ht="15" customHeight="1" thickTop="1">
      <c r="A77" s="541">
        <f t="shared" si="3"/>
        <v>25</v>
      </c>
      <c r="B77" s="107" t="s">
        <v>575</v>
      </c>
      <c r="C77" s="915"/>
      <c r="D77" s="44">
        <f>'[1]jobinfo(2)'!$D$77</f>
        <v>0</v>
      </c>
      <c r="E77" s="323">
        <f>'[1]jobinfo(2)'!$E$77</f>
        <v>0</v>
      </c>
      <c r="F77" s="323">
        <f>'[1]jobinfo(2)'!$F$77</f>
        <v>0</v>
      </c>
      <c r="G77" s="323">
        <f>'[1]jobinfo(2)'!$G$77</f>
        <v>0</v>
      </c>
      <c r="H77">
        <f>'[1]jobinfo(2)'!$H$77</f>
        <v>0</v>
      </c>
      <c r="I77" t="e">
        <f>'[1]jobinfo(2)'!$I$77</f>
        <v>#REF!</v>
      </c>
      <c r="J77" t="e">
        <f>'[1]jobinfo(2)'!$J$77</f>
        <v>#REF!</v>
      </c>
      <c r="K77">
        <f t="shared" si="1"/>
        <v>24</v>
      </c>
      <c r="O77" s="809" t="s">
        <v>348</v>
      </c>
      <c r="Q77">
        <f t="shared" si="2"/>
        <v>24</v>
      </c>
      <c r="R77" s="814" t="s">
        <v>291</v>
      </c>
    </row>
    <row r="78" spans="1:18" ht="15" customHeight="1">
      <c r="A78" s="541">
        <f t="shared" si="3"/>
        <v>26</v>
      </c>
      <c r="B78" s="108" t="s">
        <v>576</v>
      </c>
      <c r="C78" s="916"/>
      <c r="D78" s="44">
        <f>'[1]jobinfo(2)'!$D$78</f>
        <v>0</v>
      </c>
      <c r="E78" s="49">
        <f>'[1]jobinfo(2)'!$E$78</f>
        <v>0</v>
      </c>
      <c r="F78" s="51">
        <f>'[1]jobinfo(2)'!$F$78</f>
        <v>0</v>
      </c>
      <c r="G78" s="1">
        <f>'[1]jobinfo(2)'!$G$78</f>
        <v>0</v>
      </c>
      <c r="H78">
        <f>'[1]jobinfo(2)'!$H$78</f>
        <v>0</v>
      </c>
      <c r="I78" t="e">
        <f>'[1]jobinfo(2)'!$I$78</f>
        <v>#REF!</v>
      </c>
      <c r="J78" t="e">
        <f>'[1]jobinfo(2)'!$J$78</f>
        <v>#REF!</v>
      </c>
      <c r="K78">
        <f t="shared" si="1"/>
        <v>25</v>
      </c>
      <c r="Q78">
        <f t="shared" si="2"/>
        <v>25</v>
      </c>
      <c r="R78" s="814" t="s">
        <v>295</v>
      </c>
    </row>
    <row r="79" spans="1:18" ht="15" customHeight="1">
      <c r="A79" s="541">
        <f t="shared" si="3"/>
        <v>27</v>
      </c>
      <c r="B79" s="67" t="s">
        <v>577</v>
      </c>
      <c r="C79" s="894"/>
      <c r="D79" s="44">
        <f>'[1]jobinfo(2)'!$D$79</f>
        <v>0</v>
      </c>
      <c r="E79" s="1">
        <f>'[1]jobinfo(2)'!$E$79</f>
        <v>0</v>
      </c>
      <c r="F79" s="1">
        <f>'[1]jobinfo(2)'!$F$79</f>
        <v>0</v>
      </c>
      <c r="G79" s="1">
        <f>'[1]jobinfo(2)'!$G$79</f>
        <v>0</v>
      </c>
      <c r="H79" t="e">
        <f>'[1]jobinfo(2)'!$H$79</f>
        <v>#REF!</v>
      </c>
      <c r="I79" t="e">
        <f>'[1]jobinfo(2)'!$I$79</f>
        <v>#REF!</v>
      </c>
      <c r="J79" t="e">
        <f>'[1]jobinfo(2)'!$J$79</f>
        <v>#REF!</v>
      </c>
      <c r="K79">
        <f t="shared" si="1"/>
        <v>26</v>
      </c>
      <c r="Q79">
        <f t="shared" si="2"/>
        <v>26</v>
      </c>
      <c r="R79" s="814" t="s">
        <v>299</v>
      </c>
    </row>
    <row r="80" spans="1:18" ht="15" customHeight="1">
      <c r="A80" s="541">
        <f t="shared" si="3"/>
        <v>28</v>
      </c>
      <c r="B80" s="68" t="s">
        <v>578</v>
      </c>
      <c r="C80" s="917"/>
      <c r="D80" s="44">
        <f>'[1]jobinfo(2)'!$D$80</f>
        <v>0</v>
      </c>
      <c r="E80" s="1">
        <f>'[1]jobinfo(2)'!$E$80</f>
        <v>0</v>
      </c>
      <c r="F80" s="1">
        <f>'[1]jobinfo(2)'!$F$80</f>
        <v>0</v>
      </c>
      <c r="G80" s="1">
        <f>'[1]jobinfo(2)'!$G$80</f>
        <v>0</v>
      </c>
      <c r="H80">
        <f>'[1]jobinfo(2)'!$H$80</f>
        <v>0</v>
      </c>
      <c r="I80" t="e">
        <f>'[1]jobinfo(2)'!$I$80</f>
        <v>#REF!</v>
      </c>
      <c r="J80" t="e">
        <f>'[1]jobinfo(2)'!$J$80</f>
        <v>#REF!</v>
      </c>
      <c r="K80">
        <f t="shared" si="1"/>
        <v>27</v>
      </c>
      <c r="Q80">
        <f t="shared" si="2"/>
        <v>27</v>
      </c>
      <c r="R80" s="814" t="s">
        <v>303</v>
      </c>
    </row>
    <row r="81" spans="1:18" ht="15" customHeight="1">
      <c r="A81" s="541"/>
      <c r="B81" s="68"/>
      <c r="C81" s="904"/>
      <c r="D81" s="44"/>
      <c r="K81">
        <f t="shared" si="1"/>
        <v>28</v>
      </c>
      <c r="Q81">
        <f t="shared" si="2"/>
        <v>28</v>
      </c>
      <c r="R81" s="814" t="s">
        <v>307</v>
      </c>
    </row>
    <row r="82" spans="1:18" ht="15" customHeight="1">
      <c r="A82" s="541">
        <f>1+A80</f>
        <v>29</v>
      </c>
      <c r="B82" s="56" t="s">
        <v>579</v>
      </c>
      <c r="C82" s="903"/>
      <c r="D82" s="44">
        <f>'[1]jobinfo(2)'!$D$81</f>
        <v>0</v>
      </c>
      <c r="E82" s="1">
        <f>'[1]jobinfo(2)'!$E$81</f>
        <v>0</v>
      </c>
      <c r="F82" s="1">
        <f>'[1]jobinfo(2)'!$F$81</f>
        <v>0</v>
      </c>
      <c r="G82" s="1">
        <f>'[1]jobinfo(2)'!$G$81</f>
        <v>0</v>
      </c>
      <c r="H82">
        <f>'[1]jobinfo(2)'!$H$81</f>
        <v>0</v>
      </c>
      <c r="I82" t="e">
        <f>'[1]jobinfo(2)'!$I$81</f>
        <v>#REF!</v>
      </c>
      <c r="J82" t="e">
        <f>'[1]jobinfo(2)'!$J$81</f>
        <v>#REF!</v>
      </c>
      <c r="K82">
        <f t="shared" si="1"/>
        <v>29</v>
      </c>
      <c r="Q82">
        <f t="shared" si="2"/>
        <v>29</v>
      </c>
      <c r="R82" s="814" t="s">
        <v>311</v>
      </c>
    </row>
    <row r="83" spans="1:18" ht="15" customHeight="1">
      <c r="A83" s="541">
        <f t="shared" si="3"/>
        <v>30</v>
      </c>
      <c r="B83" s="61" t="s">
        <v>580</v>
      </c>
      <c r="C83" s="904"/>
      <c r="D83" s="44">
        <f>'[1]jobinfo(2)'!$D$82</f>
        <v>0</v>
      </c>
      <c r="E83" s="1">
        <f>'[1]jobinfo(2)'!$E$82</f>
        <v>0</v>
      </c>
      <c r="F83" s="1">
        <f>'[1]jobinfo(2)'!$F$82</f>
        <v>0</v>
      </c>
      <c r="G83" s="1">
        <f>'[1]jobinfo(2)'!$G$82</f>
        <v>0</v>
      </c>
      <c r="H83">
        <f>'[1]jobinfo(2)'!$H$82</f>
        <v>0</v>
      </c>
      <c r="I83" t="e">
        <f>'[1]jobinfo(2)'!$I$82</f>
        <v>#REF!</v>
      </c>
      <c r="J83" t="e">
        <f>'[1]jobinfo(2)'!$J$82</f>
        <v>#REF!</v>
      </c>
      <c r="K83">
        <f t="shared" si="1"/>
        <v>30</v>
      </c>
      <c r="Q83">
        <f t="shared" si="2"/>
        <v>30</v>
      </c>
      <c r="R83" s="814" t="s">
        <v>315</v>
      </c>
    </row>
    <row r="84" spans="1:18" ht="15" customHeight="1">
      <c r="A84" s="541">
        <f t="shared" si="3"/>
        <v>31</v>
      </c>
      <c r="B84" s="45" t="s">
        <v>581</v>
      </c>
      <c r="C84" s="903"/>
      <c r="D84" s="44">
        <f>'[1]jobinfo(2)'!$D$83</f>
        <v>0</v>
      </c>
      <c r="E84" s="1">
        <f>'[1]jobinfo(2)'!$E$83</f>
        <v>0</v>
      </c>
      <c r="F84" s="1">
        <f>'[1]jobinfo(2)'!$F$83</f>
        <v>0</v>
      </c>
      <c r="G84" s="1">
        <f>'[1]jobinfo(2)'!$G$83</f>
        <v>0</v>
      </c>
      <c r="H84">
        <f>'[1]jobinfo(2)'!$H$83</f>
        <v>0</v>
      </c>
      <c r="I84" t="e">
        <f>'[1]jobinfo(2)'!$I$83</f>
        <v>#REF!</v>
      </c>
      <c r="J84" t="e">
        <f>'[1]jobinfo(2)'!$J$83</f>
        <v>#REF!</v>
      </c>
      <c r="K84">
        <f t="shared" si="1"/>
        <v>31</v>
      </c>
      <c r="Q84">
        <f t="shared" si="2"/>
        <v>31</v>
      </c>
      <c r="R84" s="814" t="s">
        <v>318</v>
      </c>
    </row>
    <row r="85" spans="1:18" ht="15" customHeight="1">
      <c r="A85" s="541">
        <f t="shared" si="3"/>
        <v>32</v>
      </c>
      <c r="B85" s="61"/>
      <c r="C85" s="918"/>
      <c r="D85" s="44">
        <f>'[1]jobinfo(2)'!$D$84</f>
        <v>0</v>
      </c>
      <c r="E85" s="1">
        <f>'[1]jobinfo(2)'!$E$84</f>
        <v>0</v>
      </c>
      <c r="F85" s="1">
        <f>'[1]jobinfo(2)'!$F$84</f>
        <v>0</v>
      </c>
      <c r="G85" s="1">
        <f>'[1]jobinfo(2)'!$G$84</f>
        <v>0</v>
      </c>
      <c r="H85" t="e">
        <f>'[1]jobinfo(2)'!$H$84</f>
        <v>#REF!</v>
      </c>
      <c r="I85" t="e">
        <f>'[1]jobinfo(2)'!$I$84</f>
        <v>#REF!</v>
      </c>
      <c r="J85" t="e">
        <f>'[1]jobinfo(2)'!$J$84</f>
        <v>#REF!</v>
      </c>
      <c r="K85">
        <f t="shared" si="1"/>
        <v>32</v>
      </c>
      <c r="Q85">
        <f t="shared" si="2"/>
        <v>32</v>
      </c>
      <c r="R85" s="814" t="s">
        <v>321</v>
      </c>
    </row>
    <row r="86" spans="1:18" ht="15" customHeight="1">
      <c r="A86" s="541">
        <f t="shared" si="3"/>
        <v>33</v>
      </c>
      <c r="B86" s="69" t="s">
        <v>582</v>
      </c>
      <c r="C86" s="903"/>
      <c r="D86" s="44">
        <f>'[1]jobinfo(2)'!$D$85</f>
        <v>0</v>
      </c>
      <c r="E86" s="1">
        <f>'[1]jobinfo(2)'!$E$85</f>
        <v>0</v>
      </c>
      <c r="F86" s="1">
        <f>'[1]jobinfo(2)'!$F$85</f>
        <v>0</v>
      </c>
      <c r="G86" s="1">
        <f>'[1]jobinfo(2)'!$G$85</f>
        <v>0</v>
      </c>
      <c r="H86" t="e">
        <f>'[1]jobinfo(2)'!$H$85</f>
        <v>#REF!</v>
      </c>
      <c r="I86" t="e">
        <f>'[1]jobinfo(2)'!$I$85</f>
        <v>#REF!</v>
      </c>
      <c r="J86" t="e">
        <f>'[1]jobinfo(2)'!$J$85</f>
        <v>#REF!</v>
      </c>
      <c r="K86">
        <f t="shared" si="1"/>
        <v>33</v>
      </c>
      <c r="Q86">
        <f t="shared" si="2"/>
        <v>33</v>
      </c>
      <c r="R86" s="814" t="s">
        <v>324</v>
      </c>
    </row>
    <row r="87" spans="1:18" ht="15" customHeight="1">
      <c r="A87" s="541">
        <f t="shared" si="3"/>
        <v>34</v>
      </c>
      <c r="B87" s="61" t="s">
        <v>583</v>
      </c>
      <c r="C87" s="904"/>
      <c r="D87" s="44">
        <f>'[1]jobinfo(2)'!$D$86</f>
        <v>0</v>
      </c>
      <c r="E87" s="1">
        <f>'[1]jobinfo(2)'!$E$86</f>
        <v>0</v>
      </c>
      <c r="F87" s="1">
        <f>'[1]jobinfo(2)'!$F$86</f>
        <v>0</v>
      </c>
      <c r="G87" s="1">
        <f>'[1]jobinfo(2)'!$G$86</f>
        <v>0</v>
      </c>
      <c r="H87" t="e">
        <f>'[1]jobinfo(2)'!$H$86</f>
        <v>#REF!</v>
      </c>
      <c r="I87" t="e">
        <f>'[1]jobinfo(2)'!$I$86</f>
        <v>#REF!</v>
      </c>
      <c r="J87" t="e">
        <f>'[1]jobinfo(2)'!$J$86</f>
        <v>#REF!</v>
      </c>
      <c r="K87">
        <f t="shared" si="1"/>
        <v>34</v>
      </c>
      <c r="Q87">
        <f t="shared" si="2"/>
        <v>34</v>
      </c>
      <c r="R87" s="814" t="s">
        <v>326</v>
      </c>
    </row>
    <row r="88" spans="1:18" ht="15" customHeight="1">
      <c r="A88" s="541">
        <f t="shared" si="3"/>
        <v>35</v>
      </c>
      <c r="B88" s="56" t="s">
        <v>584</v>
      </c>
      <c r="C88" s="904"/>
      <c r="D88" s="44">
        <f>'[1]jobinfo(2)'!$D$87</f>
        <v>0</v>
      </c>
      <c r="E88" s="1">
        <f>'[1]jobinfo(2)'!$E$87</f>
        <v>0</v>
      </c>
      <c r="F88" s="1">
        <f>'[1]jobinfo(2)'!$F$87</f>
        <v>0</v>
      </c>
      <c r="G88" s="1">
        <f>'[1]jobinfo(2)'!$G$87</f>
        <v>0</v>
      </c>
      <c r="H88" t="e">
        <f>'[1]jobinfo(2)'!$H$87</f>
        <v>#REF!</v>
      </c>
      <c r="I88" t="e">
        <f>'[1]jobinfo(2)'!$I$87</f>
        <v>#REF!</v>
      </c>
      <c r="J88" t="e">
        <f>'[1]jobinfo(2)'!$J$87</f>
        <v>#REF!</v>
      </c>
      <c r="K88">
        <f t="shared" si="1"/>
        <v>35</v>
      </c>
      <c r="Q88">
        <f t="shared" si="2"/>
        <v>35</v>
      </c>
      <c r="R88" s="814" t="s">
        <v>328</v>
      </c>
    </row>
    <row r="89" spans="1:18" ht="15" customHeight="1">
      <c r="A89" s="541"/>
      <c r="B89" s="56"/>
      <c r="C89" s="903"/>
      <c r="D89" s="44"/>
      <c r="K89">
        <f t="shared" si="1"/>
        <v>36</v>
      </c>
      <c r="Q89">
        <f t="shared" si="2"/>
        <v>36</v>
      </c>
      <c r="R89" s="814" t="s">
        <v>330</v>
      </c>
    </row>
    <row r="90" spans="1:18" ht="15" customHeight="1">
      <c r="A90" s="541">
        <f>1+A88</f>
        <v>36</v>
      </c>
      <c r="B90" s="56" t="s">
        <v>585</v>
      </c>
      <c r="C90" s="903"/>
      <c r="D90" s="44">
        <f>'[1]jobinfo(2)'!$D$88</f>
        <v>0</v>
      </c>
      <c r="E90" s="1">
        <f>'[1]jobinfo(2)'!$E$88</f>
        <v>0</v>
      </c>
      <c r="F90" s="1">
        <f>'[1]jobinfo(2)'!$F$88</f>
        <v>0</v>
      </c>
      <c r="G90" s="1">
        <f>'[1]jobinfo(2)'!$G$88</f>
        <v>0</v>
      </c>
      <c r="H90" t="e">
        <f>'[1]jobinfo(2)'!$H$88</f>
        <v>#REF!</v>
      </c>
      <c r="I90" t="e">
        <f>'[1]jobinfo(2)'!$I$88</f>
        <v>#REF!</v>
      </c>
      <c r="J90" t="e">
        <f>'[1]jobinfo(2)'!$J$88</f>
        <v>#REF!</v>
      </c>
      <c r="K90">
        <f t="shared" si="1"/>
        <v>37</v>
      </c>
      <c r="Q90">
        <f t="shared" si="2"/>
        <v>37</v>
      </c>
      <c r="R90" s="814" t="s">
        <v>332</v>
      </c>
    </row>
    <row r="91" spans="1:18" ht="15" customHeight="1">
      <c r="A91" s="541">
        <f t="shared" si="3"/>
        <v>37</v>
      </c>
      <c r="B91" s="61" t="s">
        <v>586</v>
      </c>
      <c r="C91" s="904"/>
      <c r="D91" s="44">
        <f>'[1]jobinfo(2)'!$D$89</f>
        <v>0</v>
      </c>
      <c r="E91" s="1">
        <f>'[1]jobinfo(2)'!$E$89</f>
        <v>0</v>
      </c>
      <c r="F91" s="1">
        <f>'[1]jobinfo(2)'!$F$89</f>
        <v>0</v>
      </c>
      <c r="G91" s="1">
        <f>'[1]jobinfo(2)'!$G$89</f>
        <v>0</v>
      </c>
      <c r="H91" t="e">
        <f>'[1]jobinfo(2)'!$H$89</f>
        <v>#REF!</v>
      </c>
      <c r="I91" t="e">
        <f>'[1]jobinfo(2)'!$I$89</f>
        <v>#REF!</v>
      </c>
      <c r="J91" t="e">
        <f>'[1]jobinfo(2)'!$J$89</f>
        <v>#REF!</v>
      </c>
      <c r="K91">
        <f t="shared" si="1"/>
        <v>38</v>
      </c>
      <c r="Q91">
        <f t="shared" si="2"/>
        <v>38</v>
      </c>
      <c r="R91" s="814" t="s">
        <v>334</v>
      </c>
    </row>
    <row r="92" spans="1:18" ht="15" customHeight="1">
      <c r="A92" s="541">
        <f t="shared" si="3"/>
        <v>38</v>
      </c>
      <c r="B92" s="61" t="s">
        <v>587</v>
      </c>
      <c r="C92" s="899"/>
      <c r="D92" s="44">
        <f>'[1]jobinfo(2)'!$D$90</f>
        <v>0</v>
      </c>
      <c r="E92" s="1">
        <f>'[1]jobinfo(2)'!$E$90</f>
        <v>0</v>
      </c>
      <c r="F92" s="1">
        <f>'[1]jobinfo(2)'!$F$90</f>
        <v>0</v>
      </c>
      <c r="G92" s="1">
        <f>'[1]jobinfo(2)'!$G$90</f>
        <v>0</v>
      </c>
      <c r="H92" t="e">
        <f>'[1]jobinfo(2)'!$H$90</f>
        <v>#REF!</v>
      </c>
      <c r="I92" t="e">
        <f>'[1]jobinfo(2)'!$I$90</f>
        <v>#REF!</v>
      </c>
      <c r="J92" t="e">
        <f>'[1]jobinfo(2)'!$J$90</f>
        <v>#REF!</v>
      </c>
      <c r="K92">
        <f t="shared" si="1"/>
        <v>39</v>
      </c>
      <c r="Q92">
        <f t="shared" si="2"/>
        <v>39</v>
      </c>
      <c r="R92" s="814" t="s">
        <v>336</v>
      </c>
    </row>
    <row r="93" spans="1:18" ht="15" customHeight="1">
      <c r="A93" s="541">
        <f t="shared" si="3"/>
        <v>39</v>
      </c>
      <c r="B93" s="56" t="s">
        <v>588</v>
      </c>
      <c r="C93" s="899"/>
      <c r="D93" s="44">
        <f>'[1]jobinfo(2)'!$D$91</f>
        <v>0</v>
      </c>
      <c r="E93" s="1">
        <f>'[1]jobinfo(2)'!$E$91</f>
        <v>0</v>
      </c>
      <c r="F93" s="1">
        <f>'[1]jobinfo(2)'!$F$91</f>
        <v>0</v>
      </c>
      <c r="G93" s="1">
        <f>'[1]jobinfo(2)'!$G$91</f>
        <v>0</v>
      </c>
      <c r="H93" t="e">
        <f>'[1]jobinfo(2)'!$H$91</f>
        <v>#REF!</v>
      </c>
      <c r="I93" t="e">
        <f>'[1]jobinfo(2)'!$I$91</f>
        <v>#REF!</v>
      </c>
      <c r="J93" t="e">
        <f>'[1]jobinfo(2)'!$J$91</f>
        <v>#REF!</v>
      </c>
      <c r="K93">
        <f t="shared" si="1"/>
        <v>40</v>
      </c>
      <c r="Q93">
        <f t="shared" si="2"/>
        <v>40</v>
      </c>
      <c r="R93" s="814" t="s">
        <v>338</v>
      </c>
    </row>
    <row r="94" spans="1:18" ht="15" customHeight="1">
      <c r="A94" s="541">
        <f t="shared" si="3"/>
        <v>40</v>
      </c>
      <c r="B94" s="53" t="s">
        <v>589</v>
      </c>
      <c r="C94" s="911"/>
      <c r="D94" s="44">
        <f>'[1]jobinfo(2)'!$D$92</f>
        <v>0</v>
      </c>
      <c r="E94" s="1">
        <f>'[1]jobinfo(2)'!$E$92</f>
        <v>0</v>
      </c>
      <c r="F94" s="1">
        <f>'[1]jobinfo(2)'!$F$92</f>
        <v>0</v>
      </c>
      <c r="G94" s="1">
        <f>'[1]jobinfo(2)'!$G$92</f>
        <v>0</v>
      </c>
      <c r="H94" t="e">
        <f>'[1]jobinfo(2)'!$H$92</f>
        <v>#REF!</v>
      </c>
      <c r="I94" t="e">
        <f>'[1]jobinfo(2)'!$I$92</f>
        <v>#REF!</v>
      </c>
      <c r="J94" t="e">
        <f>'[1]jobinfo(2)'!$J$92</f>
        <v>#REF!</v>
      </c>
      <c r="K94">
        <f t="shared" si="1"/>
        <v>41</v>
      </c>
      <c r="Q94">
        <f t="shared" si="2"/>
        <v>41</v>
      </c>
      <c r="R94" s="814" t="s">
        <v>340</v>
      </c>
    </row>
    <row r="95" spans="1:18" ht="18" customHeight="1">
      <c r="A95" s="541">
        <f t="shared" si="3"/>
        <v>41</v>
      </c>
      <c r="B95" s="53" t="s">
        <v>590</v>
      </c>
      <c r="C95" s="919"/>
      <c r="D95" s="44">
        <f>'[1]jobinfo(2)'!$D$93</f>
        <v>0</v>
      </c>
      <c r="E95" s="1">
        <f>'[1]jobinfo(2)'!$E$93</f>
        <v>0</v>
      </c>
      <c r="F95" s="1">
        <f>'[1]jobinfo(2)'!$F$93</f>
        <v>0</v>
      </c>
      <c r="G95" s="1">
        <f>'[1]jobinfo(2)'!$G$93</f>
        <v>0</v>
      </c>
      <c r="H95" t="e">
        <f>'[1]jobinfo(2)'!$H$93</f>
        <v>#REF!</v>
      </c>
      <c r="I95" t="e">
        <f>'[1]jobinfo(2)'!$I$93</f>
        <v>#REF!</v>
      </c>
      <c r="J95" t="e">
        <f>'[1]jobinfo(2)'!$J$93</f>
        <v>#REF!</v>
      </c>
      <c r="K95">
        <f t="shared" si="1"/>
        <v>42</v>
      </c>
      <c r="Q95">
        <f t="shared" si="2"/>
        <v>42</v>
      </c>
      <c r="R95" s="814" t="s">
        <v>342</v>
      </c>
    </row>
    <row r="96" spans="1:18" ht="18" customHeight="1">
      <c r="A96" s="541">
        <f t="shared" si="3"/>
        <v>42</v>
      </c>
      <c r="B96" s="47"/>
      <c r="C96" s="919"/>
      <c r="D96" s="44">
        <f>'[1]jobinfo(2)'!$D$94</f>
        <v>0</v>
      </c>
      <c r="E96" s="1">
        <f>'[1]jobinfo(2)'!$E$94</f>
        <v>0</v>
      </c>
      <c r="F96" s="1">
        <f>'[1]jobinfo(2)'!$F$94</f>
        <v>0</v>
      </c>
      <c r="G96" s="1">
        <f>'[1]jobinfo(2)'!$G$94</f>
        <v>0</v>
      </c>
      <c r="H96" t="e">
        <f>'[1]jobinfo(2)'!$H$94</f>
        <v>#REF!</v>
      </c>
      <c r="I96" t="e">
        <f>'[1]jobinfo(2)'!$I$94</f>
        <v>#REF!</v>
      </c>
      <c r="J96" t="e">
        <f>'[1]jobinfo(2)'!$J$94</f>
        <v>#REF!</v>
      </c>
      <c r="K96">
        <f t="shared" si="1"/>
        <v>43</v>
      </c>
      <c r="Q96">
        <f t="shared" si="2"/>
        <v>43</v>
      </c>
      <c r="R96" s="814" t="s">
        <v>343</v>
      </c>
    </row>
    <row r="97" spans="1:18" ht="18" customHeight="1">
      <c r="A97" s="541">
        <f t="shared" si="3"/>
        <v>43</v>
      </c>
      <c r="B97" s="70" t="s">
        <v>591</v>
      </c>
      <c r="C97" s="911"/>
      <c r="D97" s="44">
        <f>'[1]jobinfo(2)'!$D$95</f>
        <v>0</v>
      </c>
      <c r="E97" s="1">
        <f>'[1]jobinfo(2)'!$E$95</f>
        <v>0</v>
      </c>
      <c r="F97" s="1">
        <f>'[1]jobinfo(2)'!$F$95</f>
        <v>0</v>
      </c>
      <c r="G97" s="1" t="e">
        <f>'[1]jobinfo(2)'!$G$95</f>
        <v>#REF!</v>
      </c>
      <c r="H97" t="e">
        <f>'[1]jobinfo(2)'!$H$95</f>
        <v>#REF!</v>
      </c>
      <c r="I97" t="e">
        <f>'[1]jobinfo(2)'!$I$95</f>
        <v>#REF!</v>
      </c>
      <c r="J97" t="e">
        <f>'[1]jobinfo(2)'!$J$95</f>
        <v>#REF!</v>
      </c>
      <c r="K97">
        <f t="shared" si="1"/>
        <v>44</v>
      </c>
      <c r="Q97">
        <f t="shared" si="2"/>
        <v>44</v>
      </c>
      <c r="R97" s="814" t="s">
        <v>344</v>
      </c>
    </row>
    <row r="98" spans="1:18" ht="18" customHeight="1">
      <c r="A98" s="541">
        <f t="shared" si="3"/>
        <v>44</v>
      </c>
      <c r="B98" s="70" t="s">
        <v>592</v>
      </c>
      <c r="C98" s="911"/>
      <c r="D98" s="44">
        <f>'[1]jobinfo(2)'!$D$96</f>
        <v>0</v>
      </c>
      <c r="E98" s="1">
        <f>'[1]jobinfo(2)'!$E$96</f>
        <v>0</v>
      </c>
      <c r="F98" s="1">
        <f>'[1]jobinfo(2)'!$F$96</f>
        <v>0</v>
      </c>
      <c r="G98" s="1" t="e">
        <f>'[1]jobinfo(2)'!$G$96</f>
        <v>#REF!</v>
      </c>
      <c r="H98" t="e">
        <f>'[1]jobinfo(2)'!$H$96</f>
        <v>#REF!</v>
      </c>
      <c r="I98" t="e">
        <f>'[1]jobinfo(2)'!$I$96</f>
        <v>#REF!</v>
      </c>
      <c r="J98" t="e">
        <f>'[1]jobinfo(2)'!$J$96</f>
        <v>#REF!</v>
      </c>
      <c r="K98">
        <f t="shared" si="1"/>
        <v>45</v>
      </c>
      <c r="Q98">
        <f t="shared" si="2"/>
        <v>45</v>
      </c>
      <c r="R98" s="814" t="s">
        <v>345</v>
      </c>
    </row>
    <row r="99" spans="1:18" ht="18" customHeight="1">
      <c r="A99" s="541">
        <f t="shared" si="3"/>
        <v>45</v>
      </c>
      <c r="B99" s="47" t="s">
        <v>593</v>
      </c>
      <c r="C99" s="911"/>
      <c r="D99" s="44">
        <f>'[1]jobinfo(2)'!$D$97</f>
        <v>0</v>
      </c>
      <c r="E99" s="1">
        <f>'[1]jobinfo(2)'!$E$97</f>
        <v>0</v>
      </c>
      <c r="F99" s="1">
        <f>'[1]jobinfo(2)'!$F$97</f>
        <v>0</v>
      </c>
      <c r="G99" s="1" t="e">
        <f>'[1]jobinfo(2)'!$G$97</f>
        <v>#REF!</v>
      </c>
      <c r="H99" t="e">
        <f>'[1]jobinfo(2)'!$H$97</f>
        <v>#REF!</v>
      </c>
      <c r="I99" t="e">
        <f>'[1]jobinfo(2)'!$I$97</f>
        <v>#REF!</v>
      </c>
      <c r="J99" t="e">
        <f>'[1]jobinfo(2)'!$J$97</f>
        <v>#REF!</v>
      </c>
      <c r="K99">
        <f t="shared" si="1"/>
        <v>46</v>
      </c>
      <c r="Q99">
        <f t="shared" si="2"/>
        <v>46</v>
      </c>
      <c r="R99" s="814" t="s">
        <v>346</v>
      </c>
    </row>
    <row r="100" spans="1:18">
      <c r="B100" s="47"/>
      <c r="C100" s="920" t="s">
        <v>594</v>
      </c>
      <c r="D100" s="1">
        <f>'[1]jobinfo(2)'!$D$98</f>
        <v>0</v>
      </c>
      <c r="E100" s="1">
        <f>'[1]jobinfo(2)'!$E$98</f>
        <v>0</v>
      </c>
      <c r="F100" s="1">
        <f>'[1]jobinfo(2)'!$F$98</f>
        <v>0</v>
      </c>
      <c r="G100" s="1" t="e">
        <f>'[1]jobinfo(2)'!$G$98</f>
        <v>#REF!</v>
      </c>
      <c r="H100" t="e">
        <f>'[1]jobinfo(2)'!$H$98</f>
        <v>#REF!</v>
      </c>
      <c r="I100" t="e">
        <f>'[1]jobinfo(2)'!$I$98</f>
        <v>#REF!</v>
      </c>
      <c r="J100" t="e">
        <f>'[1]jobinfo(2)'!$J$98</f>
        <v>#REF!</v>
      </c>
      <c r="K100">
        <f t="shared" si="1"/>
        <v>47</v>
      </c>
      <c r="Q100">
        <f t="shared" si="2"/>
        <v>47</v>
      </c>
      <c r="R100" s="814" t="s">
        <v>347</v>
      </c>
    </row>
    <row r="101" spans="1:18">
      <c r="B101" s="47"/>
      <c r="C101" s="921" t="s">
        <v>595</v>
      </c>
      <c r="K101">
        <f t="shared" si="1"/>
        <v>48</v>
      </c>
      <c r="Q101">
        <f t="shared" si="2"/>
        <v>48</v>
      </c>
      <c r="R101" s="814" t="s">
        <v>348</v>
      </c>
    </row>
    <row r="102" spans="1:18">
      <c r="B102" s="47"/>
      <c r="C102" s="922" t="s">
        <v>596</v>
      </c>
      <c r="K102">
        <f t="shared" si="1"/>
        <v>49</v>
      </c>
      <c r="Q102">
        <f t="shared" si="2"/>
        <v>49</v>
      </c>
      <c r="R102" s="814" t="s">
        <v>349</v>
      </c>
    </row>
    <row r="103" spans="1:18">
      <c r="B103" s="47"/>
      <c r="C103" s="922" t="s">
        <v>597</v>
      </c>
      <c r="K103">
        <f t="shared" si="1"/>
        <v>50</v>
      </c>
      <c r="Q103">
        <f t="shared" si="2"/>
        <v>50</v>
      </c>
      <c r="R103" s="814" t="s">
        <v>350</v>
      </c>
    </row>
    <row r="104" spans="1:18">
      <c r="B104" s="47"/>
      <c r="C104" s="920" t="s">
        <v>598</v>
      </c>
      <c r="Q104">
        <f t="shared" si="2"/>
        <v>51</v>
      </c>
      <c r="R104" s="814" t="s">
        <v>351</v>
      </c>
    </row>
    <row r="105" spans="1:18">
      <c r="B105" s="47"/>
      <c r="C105" s="923" t="s">
        <v>599</v>
      </c>
      <c r="Q105">
        <f t="shared" si="2"/>
        <v>52</v>
      </c>
    </row>
    <row r="106" spans="1:18">
      <c r="B106" s="47"/>
      <c r="C106" s="920" t="s">
        <v>600</v>
      </c>
      <c r="Q106">
        <f t="shared" si="2"/>
        <v>53</v>
      </c>
    </row>
    <row r="107" spans="1:18">
      <c r="B107" s="47"/>
      <c r="C107" s="920" t="s">
        <v>601</v>
      </c>
      <c r="Q107">
        <f t="shared" si="2"/>
        <v>54</v>
      </c>
    </row>
    <row r="108" spans="1:18">
      <c r="B108" s="47"/>
      <c r="C108" s="920" t="s">
        <v>602</v>
      </c>
      <c r="Q108">
        <f t="shared" si="2"/>
        <v>55</v>
      </c>
    </row>
    <row r="109" spans="1:18">
      <c r="B109" s="47"/>
      <c r="C109" s="923" t="s">
        <v>603</v>
      </c>
      <c r="Q109">
        <f t="shared" si="2"/>
        <v>56</v>
      </c>
    </row>
    <row r="110" spans="1:18">
      <c r="B110" s="47"/>
      <c r="C110" s="923" t="s">
        <v>604</v>
      </c>
      <c r="Q110">
        <f t="shared" si="2"/>
        <v>57</v>
      </c>
    </row>
    <row r="111" spans="1:18">
      <c r="B111" s="47"/>
      <c r="C111" s="920" t="s">
        <v>605</v>
      </c>
      <c r="Q111">
        <f t="shared" si="2"/>
        <v>58</v>
      </c>
    </row>
    <row r="112" spans="1:18">
      <c r="B112" s="47"/>
      <c r="C112" s="924" t="s">
        <v>606</v>
      </c>
    </row>
    <row r="113" spans="2:10">
      <c r="B113" s="47"/>
      <c r="C113" s="923" t="s">
        <v>607</v>
      </c>
    </row>
    <row r="114" spans="2:10">
      <c r="B114" s="47"/>
      <c r="C114" s="923" t="s">
        <v>608</v>
      </c>
    </row>
    <row r="115" spans="2:10">
      <c r="B115" s="47"/>
      <c r="C115" s="920" t="s">
        <v>609</v>
      </c>
    </row>
    <row r="116" spans="2:10">
      <c r="B116" s="47"/>
      <c r="C116" s="925" t="s">
        <v>610</v>
      </c>
    </row>
    <row r="117" spans="2:10">
      <c r="B117" s="47"/>
      <c r="C117" s="919" t="s">
        <v>611</v>
      </c>
    </row>
    <row r="118" spans="2:10">
      <c r="B118" s="47"/>
      <c r="C118" s="926"/>
    </row>
    <row r="119" spans="2:10">
      <c r="B119" s="47"/>
      <c r="C119" s="927"/>
    </row>
    <row r="120" spans="2:10">
      <c r="B120" s="47"/>
      <c r="C120" s="926"/>
    </row>
    <row r="121" spans="2:10">
      <c r="B121" s="47"/>
      <c r="C121" s="926"/>
    </row>
    <row r="122" spans="2:10" ht="23.45">
      <c r="B122" s="248" t="s">
        <v>612</v>
      </c>
      <c r="C122" s="926"/>
      <c r="D122" s="248">
        <f>'[1]jobinfo(2)'!$D$99</f>
        <v>0</v>
      </c>
      <c r="E122" s="248">
        <f>'[1]jobinfo(2)'!$E$99</f>
        <v>0</v>
      </c>
      <c r="F122" s="1">
        <f>'[1]jobinfo(2)'!$F$99</f>
        <v>0</v>
      </c>
      <c r="G122" s="1" t="e">
        <f>'[1]jobinfo(2)'!$G$99</f>
        <v>#REF!</v>
      </c>
      <c r="H122" t="e">
        <f>'[1]jobinfo(2)'!$H$99</f>
        <v>#REF!</v>
      </c>
      <c r="I122" t="e">
        <f>'[1]jobinfo(2)'!$I$99</f>
        <v>#REF!</v>
      </c>
      <c r="J122" t="e">
        <f>'[1]jobinfo(2)'!$J$99</f>
        <v>#REF!</v>
      </c>
    </row>
    <row r="123" spans="2:10" ht="18">
      <c r="B123" s="109" t="s">
        <v>613</v>
      </c>
      <c r="C123" s="926"/>
      <c r="D123" s="1008">
        <f>'[1]jobinfo(2)'!$D$100</f>
        <v>0</v>
      </c>
      <c r="E123" s="1008"/>
      <c r="F123" s="1">
        <f>'[1]jobinfo(2)'!$F$100</f>
        <v>0</v>
      </c>
      <c r="G123" s="1">
        <f>'[1]jobinfo(2)'!$G$100</f>
        <v>0</v>
      </c>
      <c r="H123" s="262">
        <f>'[1]jobinfo(2)'!$H$100</f>
        <v>0</v>
      </c>
      <c r="I123">
        <f>'[1]jobinfo(2)'!$I$100</f>
        <v>0</v>
      </c>
      <c r="J123">
        <f>'[1]jobinfo(2)'!$J$100</f>
        <v>0</v>
      </c>
    </row>
    <row r="124" spans="2:10" ht="18">
      <c r="B124" s="110" t="s">
        <v>614</v>
      </c>
      <c r="C124" s="926"/>
      <c r="D124" s="144">
        <f>'[1]jobinfo(2)'!$D$101</f>
        <v>0</v>
      </c>
      <c r="E124" s="90">
        <f>'[1]jobinfo(2)'!$E$101</f>
        <v>0</v>
      </c>
      <c r="F124" s="1">
        <f>'[1]jobinfo(2)'!$F$101</f>
        <v>0</v>
      </c>
      <c r="G124" s="1" t="e">
        <f>'[1]jobinfo(2)'!$G$101</f>
        <v>#REF!</v>
      </c>
      <c r="H124" s="263">
        <f>'[1]jobinfo(2)'!$H$101</f>
        <v>0</v>
      </c>
      <c r="I124" t="e">
        <f>'[1]jobinfo(2)'!$I$101</f>
        <v>#REF!</v>
      </c>
      <c r="J124">
        <f>'[1]jobinfo(2)'!$J$101</f>
        <v>0</v>
      </c>
    </row>
    <row r="125" spans="2:10" ht="18">
      <c r="B125" s="111" t="s">
        <v>615</v>
      </c>
      <c r="C125" s="926"/>
      <c r="D125" s="144">
        <f>'[1]jobinfo(2)'!$D$102</f>
        <v>0</v>
      </c>
      <c r="E125" s="90">
        <f>'[1]jobinfo(2)'!$E$102</f>
        <v>0</v>
      </c>
      <c r="F125" s="1">
        <f>'[1]jobinfo(2)'!$F$102</f>
        <v>0</v>
      </c>
      <c r="G125" s="1">
        <f>'[1]jobinfo(2)'!$G$102</f>
        <v>0</v>
      </c>
      <c r="H125" s="263">
        <f>'[1]jobinfo(2)'!$H$102</f>
        <v>0</v>
      </c>
      <c r="I125" t="e">
        <f>'[1]jobinfo(2)'!$I$102</f>
        <v>#REF!</v>
      </c>
      <c r="J125">
        <f>'[1]jobinfo(2)'!$J$102</f>
        <v>0</v>
      </c>
    </row>
    <row r="126" spans="2:10" ht="18">
      <c r="B126" s="249" t="s">
        <v>616</v>
      </c>
      <c r="C126" s="144" t="s">
        <v>617</v>
      </c>
      <c r="D126" s="249">
        <f>'[1]jobinfo(2)'!$D$103</f>
        <v>0</v>
      </c>
      <c r="E126" s="249">
        <f>'[1]jobinfo(2)'!$E$103</f>
        <v>0</v>
      </c>
      <c r="F126" s="1">
        <f>'[1]jobinfo(2)'!$F$103</f>
        <v>0</v>
      </c>
      <c r="G126" s="1">
        <f>'[1]jobinfo(2)'!$G$103</f>
        <v>0</v>
      </c>
      <c r="H126" s="262" t="e">
        <f>'[1]jobinfo(2)'!$H$103</f>
        <v>#REF!</v>
      </c>
      <c r="I126" t="e">
        <f>'[1]jobinfo(2)'!$I$103</f>
        <v>#REF!</v>
      </c>
      <c r="J126">
        <f>'[1]jobinfo(2)'!$J$103</f>
        <v>0</v>
      </c>
    </row>
    <row r="127" spans="2:10" ht="18">
      <c r="B127" s="111" t="s">
        <v>618</v>
      </c>
      <c r="C127" s="928"/>
      <c r="D127" s="1007">
        <f>'[1]jobinfo(2)'!$D$104</f>
        <v>0</v>
      </c>
      <c r="E127" s="1007"/>
      <c r="F127" s="1">
        <f>'[1]jobinfo(2)'!$F$104</f>
        <v>0</v>
      </c>
      <c r="G127" s="1">
        <f>'[1]jobinfo(2)'!$G$104</f>
        <v>0</v>
      </c>
      <c r="H127" s="262" t="e">
        <f>'[1]jobinfo(2)'!$H$104</f>
        <v>#REF!</v>
      </c>
      <c r="I127" t="e">
        <f>'[1]jobinfo(2)'!$I$104</f>
        <v>#REF!</v>
      </c>
      <c r="J127">
        <f>'[1]jobinfo(2)'!$J$104</f>
        <v>0</v>
      </c>
    </row>
    <row r="128" spans="2:10" ht="18">
      <c r="B128" s="110" t="s">
        <v>619</v>
      </c>
      <c r="C128" s="89" t="s">
        <v>412</v>
      </c>
      <c r="D128" s="1008">
        <f>'[1]jobinfo(2)'!$D$105</f>
        <v>0</v>
      </c>
      <c r="E128" s="1008"/>
      <c r="F128" s="1">
        <f>'[1]jobinfo(2)'!$F$105</f>
        <v>0</v>
      </c>
      <c r="G128" s="1">
        <f>'[1]jobinfo(2)'!$G$105</f>
        <v>0</v>
      </c>
      <c r="H128" s="262">
        <f>'[1]jobinfo(2)'!$H$105</f>
        <v>0</v>
      </c>
      <c r="I128" t="e">
        <f>'[1]jobinfo(2)'!$I$105</f>
        <v>#REF!</v>
      </c>
      <c r="J128">
        <f>'[1]jobinfo(2)'!$J$105</f>
        <v>0</v>
      </c>
    </row>
    <row r="129" spans="2:10" ht="18">
      <c r="B129" s="111" t="s">
        <v>620</v>
      </c>
      <c r="C129" s="89" t="s">
        <v>414</v>
      </c>
      <c r="D129" s="1008">
        <f>'[1]jobinfo(2)'!$D$106</f>
        <v>0</v>
      </c>
      <c r="E129" s="1008"/>
      <c r="F129" s="1">
        <f>'[1]jobinfo(2)'!$F$106</f>
        <v>0</v>
      </c>
      <c r="G129" s="1">
        <f>'[1]jobinfo(2)'!$G$106</f>
        <v>0</v>
      </c>
      <c r="H129" s="262">
        <f>'[1]jobinfo(2)'!$H$106</f>
        <v>0</v>
      </c>
      <c r="I129" t="e">
        <f>'[1]jobinfo(2)'!$I$106</f>
        <v>#REF!</v>
      </c>
      <c r="J129">
        <f>'[1]jobinfo(2)'!$J$106</f>
        <v>0</v>
      </c>
    </row>
    <row r="130" spans="2:10" ht="18">
      <c r="B130" s="111" t="s">
        <v>621</v>
      </c>
      <c r="C130" s="89" t="s">
        <v>416</v>
      </c>
      <c r="D130" s="92">
        <f>'[1]jobinfo(2)'!$D$107</f>
        <v>0</v>
      </c>
      <c r="E130" s="93">
        <f>'[1]jobinfo(2)'!$E$107</f>
        <v>0</v>
      </c>
      <c r="F130" s="1">
        <f>'[1]jobinfo(2)'!$F$107</f>
        <v>0</v>
      </c>
      <c r="G130" s="1">
        <f>'[1]jobinfo(2)'!$G$107</f>
        <v>0</v>
      </c>
      <c r="H130" s="263">
        <f>'[1]jobinfo(2)'!$H$107</f>
        <v>0</v>
      </c>
      <c r="I130" t="e">
        <f>'[1]jobinfo(2)'!$I$107</f>
        <v>#REF!</v>
      </c>
      <c r="J130">
        <f>'[1]jobinfo(2)'!$J$107</f>
        <v>0</v>
      </c>
    </row>
    <row r="131" spans="2:10" ht="18">
      <c r="B131" s="111" t="s">
        <v>622</v>
      </c>
      <c r="C131" s="89" t="s">
        <v>418</v>
      </c>
      <c r="D131" s="1">
        <f>'[1]jobinfo(2)'!$D$108</f>
        <v>0</v>
      </c>
      <c r="E131" s="1">
        <f>'[1]jobinfo(2)'!$E$108</f>
        <v>0</v>
      </c>
      <c r="F131" s="1">
        <f>'[1]jobinfo(2)'!$F$108</f>
        <v>0</v>
      </c>
      <c r="G131" s="1">
        <f>'[1]jobinfo(2)'!$G$108</f>
        <v>0</v>
      </c>
      <c r="H131" s="263">
        <f>'[1]jobinfo(2)'!$H$108</f>
        <v>0</v>
      </c>
      <c r="I131" t="e">
        <f>'[1]jobinfo(2)'!$I$108</f>
        <v>#REF!</v>
      </c>
      <c r="J131">
        <f>'[1]jobinfo(2)'!$J$108</f>
        <v>0</v>
      </c>
    </row>
    <row r="132" spans="2:10" ht="18">
      <c r="B132" s="112" t="s">
        <v>623</v>
      </c>
      <c r="C132" s="89" t="s">
        <v>420</v>
      </c>
      <c r="D132" s="1">
        <f>'[1]jobinfo(2)'!$D$109</f>
        <v>0</v>
      </c>
      <c r="E132" s="1">
        <f>'[1]jobinfo(2)'!$E$109</f>
        <v>0</v>
      </c>
      <c r="F132" s="1">
        <f>'[1]jobinfo(2)'!$F$109</f>
        <v>0</v>
      </c>
      <c r="G132" s="1">
        <f>'[1]jobinfo(2)'!$G$109</f>
        <v>0</v>
      </c>
      <c r="H132" s="262">
        <f>'[1]jobinfo(2)'!$H$109</f>
        <v>0</v>
      </c>
      <c r="I132">
        <f>'[1]jobinfo(2)'!$I$109</f>
        <v>0</v>
      </c>
      <c r="J132">
        <f>'[1]jobinfo(2)'!$J$109</f>
        <v>0</v>
      </c>
    </row>
    <row r="133" spans="2:10" ht="18">
      <c r="B133" s="112" t="s">
        <v>624</v>
      </c>
      <c r="C133" s="89"/>
      <c r="D133" s="1">
        <f>'[1]jobinfo(2)'!$D$110</f>
        <v>0</v>
      </c>
      <c r="E133" s="1">
        <f>'[1]jobinfo(2)'!$E$110</f>
        <v>0</v>
      </c>
      <c r="F133" s="1">
        <f>'[1]jobinfo(2)'!$F$110</f>
        <v>0</v>
      </c>
      <c r="G133" s="1" t="e">
        <f>'[1]jobinfo(2)'!$G$110</f>
        <v>#REF!</v>
      </c>
      <c r="H133" s="262" t="e">
        <f>'[1]jobinfo(2)'!$H$110</f>
        <v>#REF!</v>
      </c>
      <c r="I133" t="e">
        <f>'[1]jobinfo(2)'!$I$110</f>
        <v>#REF!</v>
      </c>
      <c r="J133">
        <f>'[1]jobinfo(2)'!$J$110</f>
        <v>0</v>
      </c>
    </row>
    <row r="134" spans="2:10" ht="18">
      <c r="B134" s="113" t="s">
        <v>625</v>
      </c>
      <c r="C134" s="89" t="s">
        <v>429</v>
      </c>
      <c r="D134" s="1">
        <f>'[1]jobinfo(2)'!$D$111</f>
        <v>0</v>
      </c>
      <c r="E134" s="1">
        <f>'[1]jobinfo(2)'!$E$111</f>
        <v>0</v>
      </c>
      <c r="F134" s="1">
        <f>'[1]jobinfo(2)'!$F$111</f>
        <v>0</v>
      </c>
      <c r="G134" s="1">
        <f>'[1]jobinfo(2)'!$G$111</f>
        <v>0</v>
      </c>
      <c r="H134" s="262">
        <f>'[1]jobinfo(2)'!$H$111</f>
        <v>0</v>
      </c>
      <c r="I134" t="e">
        <f>'[1]jobinfo(2)'!$I$111</f>
        <v>#REF!</v>
      </c>
      <c r="J134">
        <f>'[1]jobinfo(2)'!$J$111</f>
        <v>0</v>
      </c>
    </row>
    <row r="135" spans="2:10">
      <c r="B135" s="114" t="s">
        <v>626</v>
      </c>
      <c r="C135" s="89" t="s">
        <v>431</v>
      </c>
      <c r="D135" s="1">
        <f>'[1]jobinfo(2)'!$D$112</f>
        <v>0</v>
      </c>
      <c r="E135" s="1">
        <f>'[1]jobinfo(2)'!$E$112</f>
        <v>0</v>
      </c>
      <c r="F135" s="1">
        <f>'[1]jobinfo(2)'!$F$112</f>
        <v>0</v>
      </c>
      <c r="G135" s="1">
        <f>'[1]jobinfo(2)'!$G$112</f>
        <v>0</v>
      </c>
      <c r="H135" s="262">
        <f>'[1]jobinfo(2)'!$H$112</f>
        <v>0</v>
      </c>
      <c r="I135" t="e">
        <f>'[1]jobinfo(2)'!$I$112</f>
        <v>#REF!</v>
      </c>
      <c r="J135">
        <f>'[1]jobinfo(2)'!$J$112</f>
        <v>0</v>
      </c>
    </row>
    <row r="136" spans="2:10" ht="18">
      <c r="B136" s="110" t="s">
        <v>627</v>
      </c>
      <c r="C136" s="89" t="s">
        <v>628</v>
      </c>
      <c r="D136" s="1">
        <f>'[1]jobinfo(2)'!$D$113</f>
        <v>0</v>
      </c>
      <c r="E136" s="1">
        <f>'[1]jobinfo(2)'!$E$113</f>
        <v>0</v>
      </c>
      <c r="F136" s="1">
        <f>'[1]jobinfo(2)'!$F$113</f>
        <v>0</v>
      </c>
      <c r="G136" s="1">
        <f>'[1]jobinfo(2)'!$G$113</f>
        <v>0</v>
      </c>
      <c r="H136" s="262">
        <f>'[1]jobinfo(2)'!$H$113</f>
        <v>0</v>
      </c>
      <c r="I136" t="e">
        <f>'[1]jobinfo(2)'!$I$113</f>
        <v>#REF!</v>
      </c>
      <c r="J136">
        <f>'[1]jobinfo(2)'!$J$113</f>
        <v>0</v>
      </c>
    </row>
    <row r="137" spans="2:10" ht="18">
      <c r="B137" s="110" t="s">
        <v>629</v>
      </c>
      <c r="C137" s="89"/>
      <c r="D137" s="1">
        <f>'[1]jobinfo(2)'!$D$114</f>
        <v>0</v>
      </c>
      <c r="E137" s="1">
        <f>'[1]jobinfo(2)'!$E$114</f>
        <v>0</v>
      </c>
      <c r="F137" s="1">
        <f>'[1]jobinfo(2)'!$F$114</f>
        <v>0</v>
      </c>
      <c r="G137" s="1">
        <f>'[1]jobinfo(2)'!$G$114</f>
        <v>0</v>
      </c>
      <c r="H137" s="262">
        <f>'[1]jobinfo(2)'!$H$114</f>
        <v>0</v>
      </c>
      <c r="I137" t="e">
        <f>'[1]jobinfo(2)'!$I$114</f>
        <v>#REF!</v>
      </c>
      <c r="J137">
        <f>'[1]jobinfo(2)'!$J$114</f>
        <v>0</v>
      </c>
    </row>
    <row r="138" spans="2:10" ht="18">
      <c r="B138" s="111" t="s">
        <v>630</v>
      </c>
      <c r="C138" s="89" t="s">
        <v>453</v>
      </c>
      <c r="D138" s="1">
        <f>'[1]jobinfo(2)'!$D$115</f>
        <v>0</v>
      </c>
      <c r="E138" s="1">
        <f>'[1]jobinfo(2)'!$E$115</f>
        <v>0</v>
      </c>
      <c r="F138" s="1">
        <f>'[1]jobinfo(2)'!$F$115</f>
        <v>0</v>
      </c>
      <c r="G138" s="1">
        <f>'[1]jobinfo(2)'!$G$115</f>
        <v>0</v>
      </c>
      <c r="H138" s="262" t="e">
        <f>'[1]jobinfo(2)'!$H$115</f>
        <v>#REF!</v>
      </c>
      <c r="I138" t="e">
        <f>'[1]jobinfo(2)'!$I$115</f>
        <v>#REF!</v>
      </c>
      <c r="J138">
        <f>'[1]jobinfo(2)'!$J$115</f>
        <v>0</v>
      </c>
    </row>
    <row r="139" spans="2:10" ht="18">
      <c r="B139" s="115" t="s">
        <v>631</v>
      </c>
      <c r="C139" s="89" t="s">
        <v>456</v>
      </c>
      <c r="D139" s="1">
        <f>'[1]jobinfo(2)'!$D$116</f>
        <v>0</v>
      </c>
      <c r="E139" s="1">
        <f>'[1]jobinfo(2)'!$E$116</f>
        <v>0</v>
      </c>
      <c r="F139" s="1">
        <f>'[1]jobinfo(2)'!$F$116</f>
        <v>0</v>
      </c>
      <c r="G139" s="1">
        <f>'[1]jobinfo(2)'!$G$116</f>
        <v>0</v>
      </c>
      <c r="H139" s="262">
        <f>'[1]jobinfo(2)'!$H$116</f>
        <v>0</v>
      </c>
      <c r="I139" t="e">
        <f>'[1]jobinfo(2)'!$I$116</f>
        <v>#REF!</v>
      </c>
      <c r="J139">
        <f>'[1]jobinfo(2)'!$J$116</f>
        <v>0</v>
      </c>
    </row>
    <row r="140" spans="2:10" ht="18">
      <c r="B140" s="116" t="s">
        <v>632</v>
      </c>
      <c r="C140" s="89" t="s">
        <v>458</v>
      </c>
      <c r="D140" s="1">
        <f>'[1]jobinfo(2)'!$D$117</f>
        <v>0</v>
      </c>
      <c r="E140" s="1">
        <f>'[1]jobinfo(2)'!$E$117</f>
        <v>0</v>
      </c>
      <c r="F140" s="1">
        <f>'[1]jobinfo(2)'!$F$117</f>
        <v>0</v>
      </c>
      <c r="G140" s="1" t="e">
        <f>'[1]jobinfo(2)'!$G$117</f>
        <v>#REF!</v>
      </c>
      <c r="H140" s="262" t="e">
        <f>'[1]jobinfo(2)'!$H$117</f>
        <v>#REF!</v>
      </c>
      <c r="I140" t="e">
        <f>'[1]jobinfo(2)'!$I$117</f>
        <v>#REF!</v>
      </c>
      <c r="J140">
        <f>'[1]jobinfo(2)'!$J$117</f>
        <v>0</v>
      </c>
    </row>
    <row r="141" spans="2:10">
      <c r="B141" s="91" t="s">
        <v>633</v>
      </c>
      <c r="C141" s="89" t="s">
        <v>634</v>
      </c>
      <c r="D141" s="1">
        <f>'[1]jobinfo(2)'!$D$118</f>
        <v>0</v>
      </c>
      <c r="E141" s="1">
        <f>'[1]jobinfo(2)'!$E$118</f>
        <v>0</v>
      </c>
      <c r="F141" s="1">
        <f>'[1]jobinfo(2)'!$F$118</f>
        <v>0</v>
      </c>
      <c r="G141" s="1">
        <f>'[1]jobinfo(2)'!$G$118</f>
        <v>0</v>
      </c>
      <c r="H141" s="262" t="e">
        <f>'[1]jobinfo(2)'!$H$118</f>
        <v>#REF!</v>
      </c>
      <c r="I141" t="e">
        <f>'[1]jobinfo(2)'!$I$118</f>
        <v>#REF!</v>
      </c>
      <c r="J141" t="str">
        <f>'[1]jobinfo(2)'!$J$118</f>
        <v>ALE</v>
      </c>
    </row>
    <row r="142" spans="2:10" ht="18">
      <c r="B142" s="117" t="s">
        <v>635</v>
      </c>
      <c r="C142" s="89" t="s">
        <v>634</v>
      </c>
      <c r="D142" s="1">
        <f>'[1]jobinfo(2)'!$D$119</f>
        <v>0</v>
      </c>
      <c r="E142" s="1">
        <f>'[1]jobinfo(2)'!$E$119</f>
        <v>0</v>
      </c>
      <c r="F142" s="1">
        <f>'[1]jobinfo(2)'!$F$119</f>
        <v>0</v>
      </c>
      <c r="G142" s="1">
        <f>'[1]jobinfo(2)'!$G$119</f>
        <v>0</v>
      </c>
      <c r="H142" s="263" t="e">
        <f>'[1]jobinfo(2)'!$H$119</f>
        <v>#REF!</v>
      </c>
      <c r="I142" t="e">
        <f>'[1]jobinfo(2)'!$I$119</f>
        <v>#REF!</v>
      </c>
      <c r="J142">
        <f>'[1]jobinfo(2)'!$J$119</f>
        <v>0</v>
      </c>
    </row>
    <row r="143" spans="2:10">
      <c r="B143" s="91" t="s">
        <v>636</v>
      </c>
      <c r="C143" s="89" t="s">
        <v>634</v>
      </c>
      <c r="D143" s="1">
        <f>'[1]jobinfo(2)'!$D$120</f>
        <v>0</v>
      </c>
      <c r="E143" s="1">
        <f>'[1]jobinfo(2)'!$E$120</f>
        <v>0</v>
      </c>
      <c r="F143" s="1">
        <f>'[1]jobinfo(2)'!$F$120</f>
        <v>0</v>
      </c>
      <c r="G143" s="1">
        <f>'[1]jobinfo(2)'!$G$120</f>
        <v>0</v>
      </c>
      <c r="H143" s="262" t="e">
        <f>'[1]jobinfo(2)'!$H$120</f>
        <v>#REF!</v>
      </c>
      <c r="I143" t="e">
        <f>'[1]jobinfo(2)'!$I$120</f>
        <v>#REF!</v>
      </c>
      <c r="J143">
        <f>'[1]jobinfo(2)'!$J$120</f>
        <v>0</v>
      </c>
    </row>
    <row r="144" spans="2:10">
      <c r="B144" s="91" t="s">
        <v>637</v>
      </c>
      <c r="C144" s="928" t="s">
        <v>634</v>
      </c>
      <c r="D144" s="1">
        <f>'[1]jobinfo(2)'!$D$121</f>
        <v>0</v>
      </c>
      <c r="E144" s="1">
        <f>'[1]jobinfo(2)'!$E$121</f>
        <v>0</v>
      </c>
      <c r="F144" s="1">
        <f>'[1]jobinfo(2)'!$F$121</f>
        <v>0</v>
      </c>
      <c r="G144" s="1">
        <f>'[1]jobinfo(2)'!$G$121</f>
        <v>0</v>
      </c>
      <c r="H144" s="263" t="e">
        <f>'[1]jobinfo(2)'!$H$121</f>
        <v>#REF!</v>
      </c>
      <c r="I144" t="e">
        <f>'[1]jobinfo(2)'!$I$121</f>
        <v>#REF!</v>
      </c>
      <c r="J144">
        <f>'[1]jobinfo(2)'!$J$121</f>
        <v>0</v>
      </c>
    </row>
    <row r="145" spans="2:10">
      <c r="B145" s="91" t="s">
        <v>638</v>
      </c>
      <c r="C145" s="89" t="s">
        <v>634</v>
      </c>
      <c r="D145" s="1">
        <f>'[1]jobinfo(2)'!$D$122</f>
        <v>0</v>
      </c>
      <c r="E145" s="1">
        <f>'[1]jobinfo(2)'!$E$122</f>
        <v>0</v>
      </c>
      <c r="F145" s="1">
        <f>'[1]jobinfo(2)'!$F$122</f>
        <v>0</v>
      </c>
      <c r="G145" s="1">
        <f>'[1]jobinfo(2)'!$G$122</f>
        <v>0</v>
      </c>
      <c r="H145" s="262" t="e">
        <f>'[1]jobinfo(2)'!$H$122</f>
        <v>#REF!</v>
      </c>
      <c r="I145" t="e">
        <f>'[1]jobinfo(2)'!$I$122</f>
        <v>#REF!</v>
      </c>
      <c r="J145" t="e">
        <f>'[1]jobinfo(2)'!$J$122</f>
        <v>#REF!</v>
      </c>
    </row>
    <row r="146" spans="2:10">
      <c r="B146" s="91" t="s">
        <v>639</v>
      </c>
      <c r="C146" s="89" t="s">
        <v>485</v>
      </c>
      <c r="D146" s="1">
        <f>'[1]jobinfo(2)'!$D$123</f>
        <v>0</v>
      </c>
      <c r="E146" s="1">
        <f>'[1]jobinfo(2)'!$E$123</f>
        <v>0</v>
      </c>
      <c r="F146" s="1">
        <f>'[1]jobinfo(2)'!$F$123</f>
        <v>0</v>
      </c>
      <c r="G146" s="1">
        <f>'[1]jobinfo(2)'!$G$123</f>
        <v>0</v>
      </c>
      <c r="H146" s="262" t="e">
        <f>'[1]jobinfo(2)'!$H$123</f>
        <v>#REF!</v>
      </c>
      <c r="I146" t="e">
        <f>'[1]jobinfo(2)'!$I$123</f>
        <v>#REF!</v>
      </c>
      <c r="J146" t="e">
        <f>'[1]jobinfo(2)'!$J$123</f>
        <v>#REF!</v>
      </c>
    </row>
    <row r="147" spans="2:10">
      <c r="B147" s="91" t="s">
        <v>640</v>
      </c>
      <c r="C147" s="929" t="s">
        <v>641</v>
      </c>
      <c r="D147" s="1">
        <f>'[1]jobinfo(2)'!$D$124</f>
        <v>0</v>
      </c>
      <c r="E147" s="1">
        <f>'[1]jobinfo(2)'!$E$124</f>
        <v>0</v>
      </c>
      <c r="F147" s="1">
        <f>'[1]jobinfo(2)'!$F$124</f>
        <v>0</v>
      </c>
      <c r="G147" s="1">
        <f>'[1]jobinfo(2)'!$G$124</f>
        <v>0</v>
      </c>
      <c r="H147" s="262" t="e">
        <f>'[1]jobinfo(2)'!$H$124</f>
        <v>#REF!</v>
      </c>
      <c r="I147" t="e">
        <f>'[1]jobinfo(2)'!$I$124</f>
        <v>#REF!</v>
      </c>
      <c r="J147" t="e">
        <f>'[1]jobinfo(2)'!$J$124</f>
        <v>#REF!</v>
      </c>
    </row>
    <row r="148" spans="2:10">
      <c r="B148" s="91" t="s">
        <v>642</v>
      </c>
      <c r="C148" s="928" t="s">
        <v>643</v>
      </c>
      <c r="D148" s="1">
        <f>'[1]jobinfo(2)'!$D$125</f>
        <v>0</v>
      </c>
      <c r="E148" s="1">
        <f>'[1]jobinfo(2)'!$E$125</f>
        <v>0</v>
      </c>
      <c r="F148" s="1">
        <f>'[1]jobinfo(2)'!$F$125</f>
        <v>0</v>
      </c>
      <c r="G148" s="1">
        <f>'[1]jobinfo(2)'!$G$125</f>
        <v>0</v>
      </c>
      <c r="H148" s="262" t="e">
        <f>'[1]jobinfo(2)'!$H$125</f>
        <v>#REF!</v>
      </c>
      <c r="I148" t="e">
        <f>'[1]jobinfo(2)'!$I$125</f>
        <v>#REF!</v>
      </c>
      <c r="J148" t="e">
        <f>'[1]jobinfo(2)'!$J$125</f>
        <v>#REF!</v>
      </c>
    </row>
    <row r="149" spans="2:10">
      <c r="B149" s="47"/>
      <c r="C149" s="89" t="s">
        <v>644</v>
      </c>
      <c r="D149" s="1">
        <f>'[1]jobinfo(2)'!$D$126</f>
        <v>0</v>
      </c>
      <c r="E149" s="1">
        <f>'[1]jobinfo(2)'!$E$126</f>
        <v>0</v>
      </c>
      <c r="F149" s="1">
        <f>'[1]jobinfo(2)'!$F$126</f>
        <v>0</v>
      </c>
      <c r="G149" s="1" t="e">
        <f>'[1]jobinfo(2)'!$G$126</f>
        <v>#REF!</v>
      </c>
      <c r="H149" s="262" t="e">
        <f>'[1]jobinfo(2)'!$H$126</f>
        <v>#REF!</v>
      </c>
      <c r="I149" t="e">
        <f>'[1]jobinfo(2)'!$I$126</f>
        <v>#REF!</v>
      </c>
      <c r="J149" t="e">
        <f>'[1]jobinfo(2)'!$J$126</f>
        <v>#REF!</v>
      </c>
    </row>
    <row r="150" spans="2:10">
      <c r="B150" s="47"/>
      <c r="C150" s="89" t="s">
        <v>645</v>
      </c>
      <c r="D150" s="1">
        <f>'[1]jobinfo(2)'!$D$127</f>
        <v>0</v>
      </c>
      <c r="E150" s="1">
        <f>'[1]jobinfo(2)'!$E$127</f>
        <v>0</v>
      </c>
      <c r="F150" s="1">
        <f>'[1]jobinfo(2)'!$F$127</f>
        <v>0</v>
      </c>
      <c r="G150" s="1" t="e">
        <f>'[1]jobinfo(2)'!$G$127</f>
        <v>#REF!</v>
      </c>
      <c r="H150" s="262" t="e">
        <f>'[1]jobinfo(2)'!$H$127</f>
        <v>#REF!</v>
      </c>
      <c r="I150" t="e">
        <f>'[1]jobinfo(2)'!$I$127</f>
        <v>#REF!</v>
      </c>
      <c r="J150" t="e">
        <f>'[1]jobinfo(2)'!$J$127</f>
        <v>#REF!</v>
      </c>
    </row>
    <row r="151" spans="2:10">
      <c r="B151" s="91"/>
      <c r="C151" s="89" t="s">
        <v>628</v>
      </c>
      <c r="D151" s="1">
        <f>'[1]jobinfo(2)'!$D$128</f>
        <v>0</v>
      </c>
      <c r="E151" s="1">
        <f>'[1]jobinfo(2)'!$E$128</f>
        <v>0</v>
      </c>
      <c r="F151" s="1">
        <f>'[1]jobinfo(2)'!$F$128</f>
        <v>0</v>
      </c>
      <c r="G151" s="1" t="e">
        <f>'[1]jobinfo(2)'!$G$128</f>
        <v>#REF!</v>
      </c>
      <c r="H151" s="262" t="e">
        <f>'[1]jobinfo(2)'!$H$128</f>
        <v>#REF!</v>
      </c>
      <c r="I151" t="e">
        <f>'[1]jobinfo(2)'!$I$128</f>
        <v>#REF!</v>
      </c>
      <c r="J151" t="e">
        <f>'[1]jobinfo(2)'!$J$128</f>
        <v>#REF!</v>
      </c>
    </row>
    <row r="152" spans="2:10" ht="18">
      <c r="B152" s="117"/>
      <c r="C152" s="89" t="s">
        <v>646</v>
      </c>
      <c r="D152" s="1">
        <f>'[1]jobinfo(2)'!$D$129</f>
        <v>0</v>
      </c>
      <c r="E152" s="1">
        <f>'[1]jobinfo(2)'!$E$129</f>
        <v>0</v>
      </c>
      <c r="F152" s="1">
        <f>'[1]jobinfo(2)'!$F$129</f>
        <v>0</v>
      </c>
      <c r="G152" s="1" t="e">
        <f>'[1]jobinfo(2)'!$G$129</f>
        <v>#REF!</v>
      </c>
      <c r="H152" t="e">
        <f>'[1]jobinfo(2)'!$H$129</f>
        <v>#REF!</v>
      </c>
      <c r="I152" t="e">
        <f>'[1]jobinfo(2)'!$I$129</f>
        <v>#REF!</v>
      </c>
      <c r="J152" t="e">
        <f>'[1]jobinfo(2)'!$J$129</f>
        <v>#REF!</v>
      </c>
    </row>
    <row r="153" spans="2:10">
      <c r="B153" s="91"/>
      <c r="C153" s="89"/>
      <c r="D153" s="1">
        <f>'[1]jobinfo(2)'!$D$130</f>
        <v>0</v>
      </c>
      <c r="E153" s="1">
        <f>'[1]jobinfo(2)'!$E$130</f>
        <v>0</v>
      </c>
      <c r="F153" s="1">
        <f>'[1]jobinfo(2)'!$F$130</f>
        <v>0</v>
      </c>
      <c r="G153" s="1" t="e">
        <f>'[1]jobinfo(2)'!$G$130</f>
        <v>#REF!</v>
      </c>
      <c r="H153" t="e">
        <f>'[1]jobinfo(2)'!$H$130</f>
        <v>#REF!</v>
      </c>
      <c r="I153" t="e">
        <f>'[1]jobinfo(2)'!$I$130</f>
        <v>#REF!</v>
      </c>
      <c r="J153" t="e">
        <f>'[1]jobinfo(2)'!$J$130</f>
        <v>#REF!</v>
      </c>
    </row>
    <row r="154" spans="2:10">
      <c r="B154" s="91"/>
      <c r="C154" s="89" t="s">
        <v>647</v>
      </c>
      <c r="D154" s="1">
        <f>'[1]jobinfo(2)'!$D$131</f>
        <v>0</v>
      </c>
      <c r="E154" s="1">
        <f>'[1]jobinfo(2)'!$E$131</f>
        <v>0</v>
      </c>
      <c r="F154" s="1">
        <f>'[1]jobinfo(2)'!$F$131</f>
        <v>0</v>
      </c>
      <c r="G154" s="1" t="e">
        <f>'[1]jobinfo(2)'!$G$131</f>
        <v>#REF!</v>
      </c>
      <c r="H154" t="e">
        <f>'[1]jobinfo(2)'!$H$131</f>
        <v>#REF!</v>
      </c>
      <c r="I154" t="e">
        <f>'[1]jobinfo(2)'!$I$131</f>
        <v>#REF!</v>
      </c>
      <c r="J154" t="str">
        <f>'[1]jobinfo(2)'!$J$131</f>
        <v>ALE</v>
      </c>
    </row>
    <row r="155" spans="2:10">
      <c r="B155" s="47"/>
      <c r="C155" s="89" t="s">
        <v>648</v>
      </c>
      <c r="D155" s="1">
        <f>'[1]jobinfo(2)'!$D$132</f>
        <v>0</v>
      </c>
      <c r="E155" s="1">
        <f>'[1]jobinfo(2)'!$E$132</f>
        <v>0</v>
      </c>
      <c r="F155" s="1">
        <f>'[1]jobinfo(2)'!$F$132</f>
        <v>0</v>
      </c>
      <c r="G155" s="1" t="e">
        <f>'[1]jobinfo(2)'!$G$132</f>
        <v>#REF!</v>
      </c>
      <c r="H155" t="e">
        <f>'[1]jobinfo(2)'!$H$132</f>
        <v>#REF!</v>
      </c>
      <c r="I155" t="e">
        <f>'[1]jobinfo(2)'!$I$132</f>
        <v>#REF!</v>
      </c>
      <c r="J155" t="e">
        <f>'[1]jobinfo(2)'!$J$132</f>
        <v>#REF!</v>
      </c>
    </row>
    <row r="156" spans="2:10">
      <c r="B156" s="47"/>
      <c r="C156" s="930" t="s">
        <v>649</v>
      </c>
      <c r="D156" s="1">
        <f>'[1]jobinfo(2)'!$D$133</f>
        <v>0</v>
      </c>
      <c r="E156" s="1">
        <f>'[1]jobinfo(2)'!$E$133</f>
        <v>0</v>
      </c>
      <c r="F156" s="1">
        <f>'[1]jobinfo(2)'!$F$133</f>
        <v>0</v>
      </c>
      <c r="G156" s="1" t="e">
        <f>'[1]jobinfo(2)'!$G$133</f>
        <v>#REF!</v>
      </c>
      <c r="H156" t="e">
        <f>'[1]jobinfo(2)'!$H$133</f>
        <v>#REF!</v>
      </c>
      <c r="I156" t="e">
        <f>'[1]jobinfo(2)'!$I$133</f>
        <v>#REF!</v>
      </c>
      <c r="J156" t="e">
        <f>'[1]jobinfo(2)'!$J$133</f>
        <v>#REF!</v>
      </c>
    </row>
    <row r="157" spans="2:10">
      <c r="B157" s="47"/>
      <c r="C157" s="89" t="s">
        <v>650</v>
      </c>
      <c r="D157" s="1">
        <f>'[1]jobinfo(2)'!$D$134</f>
        <v>0</v>
      </c>
      <c r="E157" s="1">
        <f>'[1]jobinfo(2)'!$E$134</f>
        <v>0</v>
      </c>
      <c r="F157" s="1">
        <f>'[1]jobinfo(2)'!$F$134</f>
        <v>0</v>
      </c>
      <c r="G157" s="1" t="e">
        <f>'[1]jobinfo(2)'!$G$134</f>
        <v>#REF!</v>
      </c>
      <c r="H157" t="e">
        <f>'[1]jobinfo(2)'!$H$134</f>
        <v>#REF!</v>
      </c>
      <c r="I157" t="e">
        <f>'[1]jobinfo(2)'!$I$134</f>
        <v>#REF!</v>
      </c>
      <c r="J157" t="e">
        <f>'[1]jobinfo(2)'!$J$134</f>
        <v>#REF!</v>
      </c>
    </row>
    <row r="158" spans="2:10">
      <c r="B158" s="47"/>
      <c r="C158" s="89" t="s">
        <v>651</v>
      </c>
      <c r="D158" s="1">
        <f>'[1]jobinfo(2)'!$D$135</f>
        <v>0</v>
      </c>
      <c r="E158" s="1">
        <f>'[1]jobinfo(2)'!$E$135</f>
        <v>0</v>
      </c>
      <c r="F158" s="1">
        <f>'[1]jobinfo(2)'!$F$135</f>
        <v>0</v>
      </c>
      <c r="G158" s="1" t="e">
        <f>'[1]jobinfo(2)'!$G$135</f>
        <v>#REF!</v>
      </c>
      <c r="H158" t="e">
        <f>'[1]jobinfo(2)'!$H$135</f>
        <v>#REF!</v>
      </c>
      <c r="I158" t="e">
        <f>'[1]jobinfo(2)'!$I$135</f>
        <v>#REF!</v>
      </c>
      <c r="J158" t="e">
        <f>'[1]jobinfo(2)'!$J$135</f>
        <v>#REF!</v>
      </c>
    </row>
    <row r="159" spans="2:10">
      <c r="B159" s="47"/>
      <c r="C159" s="928" t="s">
        <v>652</v>
      </c>
      <c r="D159" s="1">
        <f>'[1]jobinfo(2)'!$D$136</f>
        <v>0</v>
      </c>
      <c r="E159" s="1">
        <f>'[1]jobinfo(2)'!$E$136</f>
        <v>0</v>
      </c>
      <c r="F159" s="1">
        <f>'[1]jobinfo(2)'!$F$136</f>
        <v>0</v>
      </c>
      <c r="G159" s="1" t="e">
        <f>'[1]jobinfo(2)'!$G$136</f>
        <v>#REF!</v>
      </c>
      <c r="H159" t="e">
        <f>'[1]jobinfo(2)'!$H$136</f>
        <v>#REF!</v>
      </c>
      <c r="I159" t="e">
        <f>'[1]jobinfo(2)'!$I$136</f>
        <v>#REF!</v>
      </c>
      <c r="J159" t="e">
        <f>'[1]jobinfo(2)'!$J$136</f>
        <v>#REF!</v>
      </c>
    </row>
    <row r="160" spans="2:10">
      <c r="B160" s="47"/>
      <c r="C160" s="928" t="s">
        <v>653</v>
      </c>
      <c r="D160" s="1">
        <f>'[1]jobinfo(2)'!$D$137</f>
        <v>0</v>
      </c>
      <c r="E160" s="1">
        <f>'[1]jobinfo(2)'!$E$137</f>
        <v>0</v>
      </c>
      <c r="F160" s="1">
        <f>'[1]jobinfo(2)'!$F$137</f>
        <v>0</v>
      </c>
      <c r="G160" s="1" t="e">
        <f>'[1]jobinfo(2)'!$G$137</f>
        <v>#REF!</v>
      </c>
      <c r="H160" t="e">
        <f>'[1]jobinfo(2)'!$H$137</f>
        <v>#REF!</v>
      </c>
      <c r="I160" t="e">
        <f>'[1]jobinfo(2)'!$I$137</f>
        <v>#REF!</v>
      </c>
      <c r="J160" t="e">
        <f>'[1]jobinfo(2)'!$J$137</f>
        <v>#REF!</v>
      </c>
    </row>
    <row r="161" spans="3:10">
      <c r="C161" s="928" t="s">
        <v>654</v>
      </c>
      <c r="D161" s="1">
        <f>'[1]jobinfo(2)'!$D$138</f>
        <v>0</v>
      </c>
      <c r="E161" s="1">
        <f>'[1]jobinfo(2)'!$E$138</f>
        <v>0</v>
      </c>
      <c r="F161" s="1">
        <f>'[1]jobinfo(2)'!$F$138</f>
        <v>0</v>
      </c>
      <c r="G161" s="1" t="e">
        <f>'[1]jobinfo(2)'!$G$138</f>
        <v>#REF!</v>
      </c>
      <c r="H161" t="e">
        <f>'[1]jobinfo(2)'!$H$138</f>
        <v>#REF!</v>
      </c>
      <c r="I161" t="e">
        <f>'[1]jobinfo(2)'!$I$138</f>
        <v>#REF!</v>
      </c>
      <c r="J161" t="e">
        <f>'[1]jobinfo(2)'!$J$138</f>
        <v>#REF!</v>
      </c>
    </row>
    <row r="162" spans="3:10">
      <c r="C162" s="928" t="s">
        <v>650</v>
      </c>
      <c r="D162" s="1">
        <f>'[1]jobinfo(2)'!$D$139</f>
        <v>0</v>
      </c>
      <c r="E162" s="1">
        <f>'[1]jobinfo(2)'!$E$139</f>
        <v>0</v>
      </c>
      <c r="F162" s="1">
        <f>'[1]jobinfo(2)'!$F$139</f>
        <v>0</v>
      </c>
      <c r="G162" s="1" t="e">
        <f>'[1]jobinfo(2)'!$G$139</f>
        <v>#REF!</v>
      </c>
      <c r="H162" t="e">
        <f>'[1]jobinfo(2)'!$H$139</f>
        <v>#REF!</v>
      </c>
      <c r="I162" t="e">
        <f>'[1]jobinfo(2)'!$I$139</f>
        <v>#REF!</v>
      </c>
      <c r="J162" t="e">
        <f>'[1]jobinfo(2)'!$J$139</f>
        <v>#REF!</v>
      </c>
    </row>
    <row r="163" spans="3:10">
      <c r="C163" s="928"/>
      <c r="D163" s="1">
        <f>'[1]jobinfo(2)'!$D$140</f>
        <v>0</v>
      </c>
      <c r="E163" s="1">
        <f>'[1]jobinfo(2)'!$E$140</f>
        <v>0</v>
      </c>
      <c r="F163" s="1">
        <f>'[1]jobinfo(2)'!$F$140</f>
        <v>0</v>
      </c>
      <c r="G163" s="1" t="e">
        <f>'[1]jobinfo(2)'!$G$140</f>
        <v>#REF!</v>
      </c>
      <c r="H163" t="e">
        <f>'[1]jobinfo(2)'!$H$140</f>
        <v>#REF!</v>
      </c>
      <c r="I163" t="e">
        <f>'[1]jobinfo(2)'!$I$140</f>
        <v>#REF!</v>
      </c>
      <c r="J163" t="e">
        <f>'[1]jobinfo(2)'!$J$140</f>
        <v>#REF!</v>
      </c>
    </row>
    <row r="164" spans="3:10">
      <c r="C164" s="928"/>
      <c r="D164" s="1">
        <f>'[1]jobinfo(2)'!$D$141</f>
        <v>0</v>
      </c>
      <c r="E164" s="1">
        <f>'[1]jobinfo(2)'!$E$141</f>
        <v>0</v>
      </c>
      <c r="F164" s="1">
        <f>'[1]jobinfo(2)'!$F$141</f>
        <v>0</v>
      </c>
      <c r="G164" s="1" t="e">
        <f>'[1]jobinfo(2)'!$G$141</f>
        <v>#REF!</v>
      </c>
      <c r="H164" t="e">
        <f>'[1]jobinfo(2)'!$H$141</f>
        <v>#REF!</v>
      </c>
      <c r="I164" t="e">
        <f>'[1]jobinfo(2)'!$I$141</f>
        <v>#REF!</v>
      </c>
      <c r="J164" t="e">
        <f>'[1]jobinfo(2)'!$J$141</f>
        <v>#REF!</v>
      </c>
    </row>
    <row r="165" spans="3:10">
      <c r="C165" s="928"/>
      <c r="D165" s="1">
        <f>'[1]jobinfo(2)'!$D$142</f>
        <v>0</v>
      </c>
      <c r="E165" s="1">
        <f>'[1]jobinfo(2)'!$E$142</f>
        <v>0</v>
      </c>
      <c r="F165" s="1">
        <f>'[1]jobinfo(2)'!$F$142</f>
        <v>0</v>
      </c>
      <c r="G165" s="1" t="e">
        <f>'[1]jobinfo(2)'!$G$142</f>
        <v>#REF!</v>
      </c>
      <c r="H165" t="e">
        <f>'[1]jobinfo(2)'!$H$142</f>
        <v>#REF!</v>
      </c>
      <c r="I165" t="e">
        <f>'[1]jobinfo(2)'!$I$142</f>
        <v>#REF!</v>
      </c>
      <c r="J165" t="e">
        <f>'[1]jobinfo(2)'!$J$142</f>
        <v>#REF!</v>
      </c>
    </row>
    <row r="166" spans="3:10">
      <c r="C166" s="928"/>
      <c r="D166" s="1">
        <f>'[1]jobinfo(2)'!$D$143</f>
        <v>0</v>
      </c>
      <c r="E166" s="1">
        <f>'[1]jobinfo(2)'!$E$143</f>
        <v>0</v>
      </c>
      <c r="F166" s="1">
        <f>'[1]jobinfo(2)'!$F$143</f>
        <v>0</v>
      </c>
      <c r="G166" s="1" t="e">
        <f>'[1]jobinfo(2)'!$G$143</f>
        <v>#REF!</v>
      </c>
      <c r="H166" t="e">
        <f>'[1]jobinfo(2)'!$H$143</f>
        <v>#REF!</v>
      </c>
      <c r="I166" t="e">
        <f>'[1]jobinfo(2)'!$I$143</f>
        <v>#REF!</v>
      </c>
      <c r="J166" t="e">
        <f>'[1]jobinfo(2)'!$J$143</f>
        <v>#REF!</v>
      </c>
    </row>
    <row r="167" spans="3:10">
      <c r="C167" s="928"/>
      <c r="D167" s="1">
        <f>'[1]jobinfo(2)'!$D$144</f>
        <v>0</v>
      </c>
      <c r="E167" s="1">
        <f>'[1]jobinfo(2)'!$E$144</f>
        <v>0</v>
      </c>
      <c r="F167" s="1">
        <f>'[1]jobinfo(2)'!$F$144</f>
        <v>0</v>
      </c>
      <c r="G167" s="1" t="e">
        <f>'[1]jobinfo(2)'!$G$144</f>
        <v>#REF!</v>
      </c>
      <c r="H167" t="e">
        <f>'[1]jobinfo(2)'!$H$144</f>
        <v>#REF!</v>
      </c>
      <c r="I167" t="e">
        <f>'[1]jobinfo(2)'!$I$144</f>
        <v>#REF!</v>
      </c>
      <c r="J167" t="e">
        <f>'[1]jobinfo(2)'!$J$144</f>
        <v>#REF!</v>
      </c>
    </row>
    <row r="168" spans="3:10">
      <c r="C168" s="928"/>
      <c r="D168" s="1">
        <f>'[1]jobinfo(2)'!$D$145</f>
        <v>0</v>
      </c>
      <c r="E168" s="1">
        <f>'[1]jobinfo(2)'!$E$145</f>
        <v>0</v>
      </c>
      <c r="F168" s="1">
        <f>'[1]jobinfo(2)'!$F$145</f>
        <v>0</v>
      </c>
      <c r="G168" s="1" t="e">
        <f>'[1]jobinfo(2)'!$G$145</f>
        <v>#REF!</v>
      </c>
      <c r="H168" t="e">
        <f>'[1]jobinfo(2)'!$H$145</f>
        <v>#REF!</v>
      </c>
      <c r="I168" t="e">
        <f>'[1]jobinfo(2)'!$I$145</f>
        <v>#REF!</v>
      </c>
      <c r="J168" t="e">
        <f>'[1]jobinfo(2)'!$J$145</f>
        <v>#REF!</v>
      </c>
    </row>
    <row r="169" spans="3:10">
      <c r="C169" s="928"/>
      <c r="D169" s="1">
        <f>'[1]jobinfo(2)'!$D$146</f>
        <v>0</v>
      </c>
      <c r="E169" s="1">
        <f>'[1]jobinfo(2)'!$E$146</f>
        <v>0</v>
      </c>
      <c r="F169" s="1">
        <f>'[1]jobinfo(2)'!$F$146</f>
        <v>0</v>
      </c>
      <c r="G169" s="1" t="e">
        <f>'[1]jobinfo(2)'!$G$146</f>
        <v>#REF!</v>
      </c>
      <c r="H169" t="e">
        <f>'[1]jobinfo(2)'!$H$146</f>
        <v>#REF!</v>
      </c>
      <c r="I169" t="e">
        <f>'[1]jobinfo(2)'!$I$146</f>
        <v>#REF!</v>
      </c>
      <c r="J169" t="e">
        <f>'[1]jobinfo(2)'!$J$146</f>
        <v>#REF!</v>
      </c>
    </row>
    <row r="170" spans="3:10">
      <c r="C170" s="928"/>
      <c r="D170" s="1">
        <f>'[1]jobinfo(2)'!$D$147</f>
        <v>0</v>
      </c>
      <c r="E170" s="1">
        <f>'[1]jobinfo(2)'!$E$147</f>
        <v>0</v>
      </c>
      <c r="F170" s="1">
        <f>'[1]jobinfo(2)'!$F$147</f>
        <v>0</v>
      </c>
      <c r="G170" s="1" t="e">
        <f>'[1]jobinfo(2)'!$G$147</f>
        <v>#REF!</v>
      </c>
      <c r="H170" t="e">
        <f>'[1]jobinfo(2)'!$H$147</f>
        <v>#REF!</v>
      </c>
      <c r="I170" t="e">
        <f>'[1]jobinfo(2)'!$I$147</f>
        <v>#REF!</v>
      </c>
      <c r="J170" t="e">
        <f>'[1]jobinfo(2)'!$J$147</f>
        <v>#REF!</v>
      </c>
    </row>
    <row r="171" spans="3:10">
      <c r="C171" s="928"/>
      <c r="D171" s="1">
        <f>'[1]jobinfo(2)'!$D$148</f>
        <v>0</v>
      </c>
      <c r="E171" s="1">
        <f>'[1]jobinfo(2)'!$E$148</f>
        <v>0</v>
      </c>
      <c r="F171" s="1">
        <f>'[1]jobinfo(2)'!$F$148</f>
        <v>0</v>
      </c>
      <c r="G171" s="1" t="e">
        <f>'[1]jobinfo(2)'!$G$148</f>
        <v>#REF!</v>
      </c>
      <c r="H171" t="e">
        <f>'[1]jobinfo(2)'!$H$148</f>
        <v>#REF!</v>
      </c>
      <c r="I171" t="e">
        <f>'[1]jobinfo(2)'!$I$148</f>
        <v>#REF!</v>
      </c>
      <c r="J171" t="e">
        <f>'[1]jobinfo(2)'!$J$148</f>
        <v>#REF!</v>
      </c>
    </row>
    <row r="172" spans="3:10">
      <c r="C172" s="928"/>
      <c r="D172" s="1">
        <f>'[1]jobinfo(2)'!$D$149</f>
        <v>0</v>
      </c>
      <c r="E172" s="1">
        <f>'[1]jobinfo(2)'!$E$149</f>
        <v>0</v>
      </c>
      <c r="F172" s="1">
        <f>'[1]jobinfo(2)'!$F$149</f>
        <v>0</v>
      </c>
      <c r="G172" s="1" t="e">
        <f>'[1]jobinfo(2)'!$G$149</f>
        <v>#REF!</v>
      </c>
      <c r="H172" t="e">
        <f>'[1]jobinfo(2)'!$H$149</f>
        <v>#REF!</v>
      </c>
      <c r="I172" t="e">
        <f>'[1]jobinfo(2)'!$I$149</f>
        <v>#REF!</v>
      </c>
      <c r="J172" t="e">
        <f>'[1]jobinfo(2)'!$J$149</f>
        <v>#REF!</v>
      </c>
    </row>
    <row r="173" spans="3:10">
      <c r="C173" s="928"/>
      <c r="D173" s="1">
        <f>'[1]jobinfo(2)'!$D$150</f>
        <v>0</v>
      </c>
      <c r="E173" s="1">
        <f>'[1]jobinfo(2)'!$E$150</f>
        <v>0</v>
      </c>
      <c r="F173" s="1">
        <f>'[1]jobinfo(2)'!$F$150</f>
        <v>0</v>
      </c>
      <c r="G173" s="1" t="e">
        <f>'[1]jobinfo(2)'!$G$150</f>
        <v>#REF!</v>
      </c>
      <c r="H173" t="e">
        <f>'[1]jobinfo(2)'!$H$150</f>
        <v>#REF!</v>
      </c>
      <c r="I173" t="e">
        <f>'[1]jobinfo(2)'!$I$150</f>
        <v>#REF!</v>
      </c>
      <c r="J173" t="e">
        <f>'[1]jobinfo(2)'!$J$150</f>
        <v>#REF!</v>
      </c>
    </row>
    <row r="174" spans="3:10">
      <c r="C174" s="928"/>
      <c r="D174" s="1">
        <f>'[1]jobinfo(2)'!$D$151</f>
        <v>0</v>
      </c>
      <c r="E174" s="1">
        <f>'[1]jobinfo(2)'!$E$151</f>
        <v>0</v>
      </c>
      <c r="F174" s="1">
        <f>'[1]jobinfo(2)'!$F$151</f>
        <v>0</v>
      </c>
      <c r="G174" s="1" t="e">
        <f>'[1]jobinfo(2)'!$G$151</f>
        <v>#REF!</v>
      </c>
      <c r="H174" t="e">
        <f>'[1]jobinfo(2)'!$H$151</f>
        <v>#REF!</v>
      </c>
      <c r="I174" t="e">
        <f>'[1]jobinfo(2)'!$I$151</f>
        <v>#REF!</v>
      </c>
      <c r="J174" t="e">
        <f>'[1]jobinfo(2)'!$J$151</f>
        <v>#REF!</v>
      </c>
    </row>
    <row r="175" spans="3:10">
      <c r="C175" s="928"/>
      <c r="D175" s="1">
        <f>'[1]jobinfo(2)'!$D$152</f>
        <v>0</v>
      </c>
      <c r="E175" s="1">
        <f>'[1]jobinfo(2)'!$E$152</f>
        <v>0</v>
      </c>
      <c r="F175" s="1">
        <f>'[1]jobinfo(2)'!$F$152</f>
        <v>0</v>
      </c>
      <c r="G175" s="1" t="e">
        <f>'[1]jobinfo(2)'!$G$152</f>
        <v>#REF!</v>
      </c>
      <c r="H175" t="e">
        <f>'[1]jobinfo(2)'!$H$152</f>
        <v>#REF!</v>
      </c>
      <c r="I175" t="e">
        <f>'[1]jobinfo(2)'!$I$152</f>
        <v>#REF!</v>
      </c>
      <c r="J175" t="e">
        <f>'[1]jobinfo(2)'!$J$152</f>
        <v>#REF!</v>
      </c>
    </row>
    <row r="176" spans="3:10">
      <c r="C176" s="928"/>
      <c r="D176" s="1">
        <f>'[1]jobinfo(2)'!$D$153</f>
        <v>0</v>
      </c>
      <c r="E176" s="1">
        <f>'[1]jobinfo(2)'!$E$153</f>
        <v>0</v>
      </c>
      <c r="F176" s="1">
        <f>'[1]jobinfo(2)'!$F$153</f>
        <v>0</v>
      </c>
      <c r="G176" s="1" t="e">
        <f>'[1]jobinfo(2)'!$G$153</f>
        <v>#REF!</v>
      </c>
      <c r="H176" t="e">
        <f>'[1]jobinfo(2)'!$H$153</f>
        <v>#REF!</v>
      </c>
      <c r="I176" t="e">
        <f>'[1]jobinfo(2)'!$I$153</f>
        <v>#REF!</v>
      </c>
      <c r="J176" t="e">
        <f>'[1]jobinfo(2)'!$J$153</f>
        <v>#REF!</v>
      </c>
    </row>
    <row r="177" spans="3:10">
      <c r="C177" s="928"/>
      <c r="D177" s="1">
        <f>'[1]jobinfo(2)'!$D$154</f>
        <v>0</v>
      </c>
      <c r="E177" s="1">
        <f>'[1]jobinfo(2)'!$E$154</f>
        <v>0</v>
      </c>
      <c r="F177" s="1">
        <f>'[1]jobinfo(2)'!$F$154</f>
        <v>0</v>
      </c>
      <c r="G177" s="1" t="e">
        <f>'[1]jobinfo(2)'!$G$154</f>
        <v>#REF!</v>
      </c>
      <c r="H177" t="e">
        <f>'[1]jobinfo(2)'!$H$154</f>
        <v>#REF!</v>
      </c>
      <c r="I177" t="e">
        <f>'[1]jobinfo(2)'!$I$154</f>
        <v>#REF!</v>
      </c>
      <c r="J177" t="e">
        <f>'[1]jobinfo(2)'!$J$154</f>
        <v>#REF!</v>
      </c>
    </row>
    <row r="178" spans="3:10">
      <c r="C178" s="928"/>
      <c r="D178" s="1">
        <f>'[1]jobinfo(2)'!$D$155</f>
        <v>0</v>
      </c>
      <c r="E178" s="1">
        <f>'[1]jobinfo(2)'!$E$155</f>
        <v>0</v>
      </c>
      <c r="F178" s="1">
        <f>'[1]jobinfo(2)'!$F$155</f>
        <v>0</v>
      </c>
      <c r="G178" s="1" t="e">
        <f>'[1]jobinfo(2)'!$G$155</f>
        <v>#REF!</v>
      </c>
      <c r="H178" t="e">
        <f>'[1]jobinfo(2)'!$H$155</f>
        <v>#REF!</v>
      </c>
      <c r="I178" t="e">
        <f>'[1]jobinfo(2)'!$I$155</f>
        <v>#REF!</v>
      </c>
      <c r="J178" t="e">
        <f>'[1]jobinfo(2)'!$J$155</f>
        <v>#REF!</v>
      </c>
    </row>
    <row r="179" spans="3:10">
      <c r="C179" s="928"/>
      <c r="D179" s="1">
        <f>'[1]jobinfo(2)'!$D$156</f>
        <v>0</v>
      </c>
      <c r="E179" s="1">
        <f>'[1]jobinfo(2)'!$E$156</f>
        <v>0</v>
      </c>
      <c r="F179" s="1">
        <f>'[1]jobinfo(2)'!$F$156</f>
        <v>0</v>
      </c>
      <c r="G179" s="1" t="e">
        <f>'[1]jobinfo(2)'!$G$156</f>
        <v>#REF!</v>
      </c>
      <c r="H179" t="e">
        <f>'[1]jobinfo(2)'!$H$156</f>
        <v>#REF!</v>
      </c>
      <c r="I179" t="e">
        <f>'[1]jobinfo(2)'!$I$156</f>
        <v>#REF!</v>
      </c>
      <c r="J179" t="e">
        <f>'[1]jobinfo(2)'!$J$156</f>
        <v>#REF!</v>
      </c>
    </row>
    <row r="180" spans="3:10">
      <c r="C180" s="928"/>
      <c r="D180" s="1">
        <f>'[1]jobinfo(2)'!$D$157</f>
        <v>0</v>
      </c>
      <c r="E180" s="1">
        <f>'[1]jobinfo(2)'!$E$157</f>
        <v>0</v>
      </c>
      <c r="F180" s="1">
        <f>'[1]jobinfo(2)'!$F$157</f>
        <v>0</v>
      </c>
      <c r="G180" s="1" t="e">
        <f>'[1]jobinfo(2)'!$G$157</f>
        <v>#REF!</v>
      </c>
      <c r="H180" t="e">
        <f>'[1]jobinfo(2)'!$H$157</f>
        <v>#REF!</v>
      </c>
      <c r="I180" t="e">
        <f>'[1]jobinfo(2)'!$I$157</f>
        <v>#REF!</v>
      </c>
      <c r="J180" t="e">
        <f>'[1]jobinfo(2)'!$J$157</f>
        <v>#REF!</v>
      </c>
    </row>
    <row r="181" spans="3:10">
      <c r="C181" s="928"/>
      <c r="D181" s="1">
        <f>'[1]jobinfo(2)'!$D$158</f>
        <v>0</v>
      </c>
      <c r="E181" s="1">
        <f>'[1]jobinfo(2)'!$E$158</f>
        <v>0</v>
      </c>
      <c r="F181" s="1">
        <f>'[1]jobinfo(2)'!$F$158</f>
        <v>0</v>
      </c>
      <c r="G181" s="1" t="e">
        <f>'[1]jobinfo(2)'!$G$158</f>
        <v>#REF!</v>
      </c>
      <c r="H181" t="e">
        <f>'[1]jobinfo(2)'!$H$158</f>
        <v>#REF!</v>
      </c>
      <c r="I181" t="e">
        <f>'[1]jobinfo(2)'!$I$158</f>
        <v>#REF!</v>
      </c>
      <c r="J181" t="e">
        <f>'[1]jobinfo(2)'!$J$158</f>
        <v>#REF!</v>
      </c>
    </row>
    <row r="182" spans="3:10">
      <c r="C182" s="928"/>
      <c r="D182" s="1" t="e">
        <f>'[1]jobinfo(2)'!$D$159</f>
        <v>#REF!</v>
      </c>
      <c r="E182" s="1" t="e">
        <f>'[1]jobinfo(2)'!$E$159</f>
        <v>#REF!</v>
      </c>
      <c r="F182" s="1" t="e">
        <f>'[1]jobinfo(2)'!$F$159</f>
        <v>#REF!</v>
      </c>
      <c r="G182" s="1" t="e">
        <f>'[1]jobinfo(2)'!$G$159</f>
        <v>#REF!</v>
      </c>
      <c r="H182" t="e">
        <f>'[1]jobinfo(2)'!$H$159</f>
        <v>#REF!</v>
      </c>
      <c r="I182" t="e">
        <f>'[1]jobinfo(2)'!$I$159</f>
        <v>#REF!</v>
      </c>
      <c r="J182" t="e">
        <f>'[1]jobinfo(2)'!$J$159</f>
        <v>#REF!</v>
      </c>
    </row>
    <row r="183" spans="3:10">
      <c r="C183" s="928"/>
      <c r="D183" s="1" t="e">
        <f>'[1]jobinfo(2)'!$D$160</f>
        <v>#REF!</v>
      </c>
      <c r="E183" s="1" t="e">
        <f>'[1]jobinfo(2)'!$E$160</f>
        <v>#REF!</v>
      </c>
      <c r="F183" s="1" t="e">
        <f>'[1]jobinfo(2)'!$F$160</f>
        <v>#REF!</v>
      </c>
      <c r="G183" s="1" t="e">
        <f>'[1]jobinfo(2)'!$G$160</f>
        <v>#REF!</v>
      </c>
      <c r="H183" t="e">
        <f>'[1]jobinfo(2)'!$H$160</f>
        <v>#REF!</v>
      </c>
      <c r="I183" t="e">
        <f>'[1]jobinfo(2)'!$I$160</f>
        <v>#REF!</v>
      </c>
      <c r="J183" t="e">
        <f>'[1]jobinfo(2)'!$J$160</f>
        <v>#REF!</v>
      </c>
    </row>
    <row r="184" spans="3:10">
      <c r="C184" s="928"/>
      <c r="D184" s="1" t="e">
        <f>'[1]jobinfo(2)'!$D$161</f>
        <v>#REF!</v>
      </c>
      <c r="E184" s="1" t="e">
        <f>'[1]jobinfo(2)'!$E$161</f>
        <v>#REF!</v>
      </c>
      <c r="F184" s="1" t="e">
        <f>'[1]jobinfo(2)'!$F$161</f>
        <v>#REF!</v>
      </c>
      <c r="G184" s="1" t="e">
        <f>'[1]jobinfo(2)'!$G$161</f>
        <v>#REF!</v>
      </c>
      <c r="H184" t="e">
        <f>'[1]jobinfo(2)'!$H$161</f>
        <v>#REF!</v>
      </c>
      <c r="I184" t="e">
        <f>'[1]jobinfo(2)'!$I$161</f>
        <v>#REF!</v>
      </c>
      <c r="J184" t="e">
        <f>'[1]jobinfo(2)'!$J$161</f>
        <v>#REF!</v>
      </c>
    </row>
    <row r="185" spans="3:10">
      <c r="C185" s="928"/>
      <c r="D185" s="1" t="e">
        <f>'[1]jobinfo(2)'!$D$162</f>
        <v>#REF!</v>
      </c>
      <c r="E185" s="1" t="e">
        <f>'[1]jobinfo(2)'!$E$162</f>
        <v>#REF!</v>
      </c>
      <c r="F185" s="1" t="e">
        <f>'[1]jobinfo(2)'!$F$162</f>
        <v>#REF!</v>
      </c>
      <c r="G185" s="1" t="e">
        <f>'[1]jobinfo(2)'!$G$162</f>
        <v>#REF!</v>
      </c>
      <c r="H185" t="e">
        <f>'[1]jobinfo(2)'!$H$162</f>
        <v>#REF!</v>
      </c>
      <c r="I185" t="e">
        <f>'[1]jobinfo(2)'!$I$162</f>
        <v>#REF!</v>
      </c>
      <c r="J185" t="e">
        <f>'[1]jobinfo(2)'!$J$162</f>
        <v>#REF!</v>
      </c>
    </row>
    <row r="186" spans="3:10">
      <c r="C186" s="928"/>
      <c r="D186" s="1" t="e">
        <f>'[1]jobinfo(2)'!$D$163</f>
        <v>#REF!</v>
      </c>
      <c r="E186" s="1" t="e">
        <f>'[1]jobinfo(2)'!$E$163</f>
        <v>#REF!</v>
      </c>
      <c r="F186" s="1" t="e">
        <f>'[1]jobinfo(2)'!$F$163</f>
        <v>#REF!</v>
      </c>
      <c r="G186" s="1" t="e">
        <f>'[1]jobinfo(2)'!$G$163</f>
        <v>#REF!</v>
      </c>
      <c r="H186" t="e">
        <f>'[1]jobinfo(2)'!$H$163</f>
        <v>#REF!</v>
      </c>
      <c r="I186" t="e">
        <f>'[1]jobinfo(2)'!$I$163</f>
        <v>#REF!</v>
      </c>
      <c r="J186" t="e">
        <f>'[1]jobinfo(2)'!$J$163</f>
        <v>#REF!</v>
      </c>
    </row>
    <row r="187" spans="3:10">
      <c r="C187" s="928"/>
      <c r="D187" s="1" t="e">
        <f>'[1]jobinfo(2)'!$D$164</f>
        <v>#REF!</v>
      </c>
      <c r="E187" s="1" t="e">
        <f>'[1]jobinfo(2)'!$E$164</f>
        <v>#REF!</v>
      </c>
      <c r="F187" s="1" t="e">
        <f>'[1]jobinfo(2)'!$F$164</f>
        <v>#REF!</v>
      </c>
      <c r="G187" s="1" t="e">
        <f>'[1]jobinfo(2)'!$G$164</f>
        <v>#REF!</v>
      </c>
      <c r="H187" t="e">
        <f>'[1]jobinfo(2)'!$H$164</f>
        <v>#REF!</v>
      </c>
      <c r="I187" t="e">
        <f>'[1]jobinfo(2)'!$I$164</f>
        <v>#REF!</v>
      </c>
      <c r="J187" t="e">
        <f>'[1]jobinfo(2)'!$J$164</f>
        <v>#REF!</v>
      </c>
    </row>
    <row r="188" spans="3:10">
      <c r="C188" s="928"/>
      <c r="D188" s="1" t="e">
        <f>'[1]jobinfo(2)'!$D$165</f>
        <v>#REF!</v>
      </c>
      <c r="E188" s="1" t="e">
        <f>'[1]jobinfo(2)'!$E$165</f>
        <v>#REF!</v>
      </c>
      <c r="F188" s="1" t="e">
        <f>'[1]jobinfo(2)'!$F$165</f>
        <v>#REF!</v>
      </c>
      <c r="G188" s="1" t="e">
        <f>'[1]jobinfo(2)'!$G$165</f>
        <v>#REF!</v>
      </c>
      <c r="H188" t="e">
        <f>'[1]jobinfo(2)'!$H$165</f>
        <v>#REF!</v>
      </c>
      <c r="I188" t="e">
        <f>'[1]jobinfo(2)'!$I$165</f>
        <v>#REF!</v>
      </c>
      <c r="J188" t="e">
        <f>'[1]jobinfo(2)'!$J$165</f>
        <v>#REF!</v>
      </c>
    </row>
    <row r="189" spans="3:10">
      <c r="C189" s="928"/>
      <c r="D189" s="1" t="e">
        <f>'[1]jobinfo(2)'!$D$166</f>
        <v>#REF!</v>
      </c>
      <c r="E189" s="1" t="e">
        <f>'[1]jobinfo(2)'!$E$166</f>
        <v>#REF!</v>
      </c>
      <c r="F189" s="1" t="e">
        <f>'[1]jobinfo(2)'!$F$166</f>
        <v>#REF!</v>
      </c>
      <c r="G189" s="1" t="e">
        <f>'[1]jobinfo(2)'!$G$166</f>
        <v>#REF!</v>
      </c>
      <c r="H189" t="e">
        <f>'[1]jobinfo(2)'!$H$166</f>
        <v>#REF!</v>
      </c>
      <c r="I189" t="e">
        <f>'[1]jobinfo(2)'!$I$166</f>
        <v>#REF!</v>
      </c>
      <c r="J189" t="e">
        <f>'[1]jobinfo(2)'!$J$166</f>
        <v>#REF!</v>
      </c>
    </row>
    <row r="190" spans="3:10">
      <c r="C190" s="928"/>
      <c r="D190" s="1" t="e">
        <f>'[1]jobinfo(2)'!$D$167</f>
        <v>#REF!</v>
      </c>
      <c r="E190" s="1" t="e">
        <f>'[1]jobinfo(2)'!$E$167</f>
        <v>#REF!</v>
      </c>
      <c r="F190" s="1" t="e">
        <f>'[1]jobinfo(2)'!$F$167</f>
        <v>#REF!</v>
      </c>
      <c r="G190" s="1" t="e">
        <f>'[1]jobinfo(2)'!$G$167</f>
        <v>#REF!</v>
      </c>
      <c r="H190" t="e">
        <f>'[1]jobinfo(2)'!$H$167</f>
        <v>#REF!</v>
      </c>
      <c r="I190" t="e">
        <f>'[1]jobinfo(2)'!$I$167</f>
        <v>#REF!</v>
      </c>
      <c r="J190" t="e">
        <f>'[1]jobinfo(2)'!$J$167</f>
        <v>#REF!</v>
      </c>
    </row>
    <row r="191" spans="3:10">
      <c r="C191" s="928"/>
      <c r="D191" s="1" t="e">
        <f>'[1]jobinfo(2)'!$D$168</f>
        <v>#REF!</v>
      </c>
      <c r="E191" s="1" t="e">
        <f>'[1]jobinfo(2)'!$E$168</f>
        <v>#REF!</v>
      </c>
      <c r="F191" s="1" t="e">
        <f>'[1]jobinfo(2)'!$F$168</f>
        <v>#REF!</v>
      </c>
      <c r="G191" s="1" t="e">
        <f>'[1]jobinfo(2)'!$G$168</f>
        <v>#REF!</v>
      </c>
      <c r="H191" t="e">
        <f>'[1]jobinfo(2)'!$H$168</f>
        <v>#REF!</v>
      </c>
      <c r="I191" t="e">
        <f>'[1]jobinfo(2)'!$I$168</f>
        <v>#REF!</v>
      </c>
      <c r="J191" t="e">
        <f>'[1]jobinfo(2)'!$J$168</f>
        <v>#REF!</v>
      </c>
    </row>
    <row r="192" spans="3:10">
      <c r="C192" s="928"/>
      <c r="D192" s="1" t="e">
        <f>'[1]jobinfo(2)'!$D$169</f>
        <v>#REF!</v>
      </c>
      <c r="E192" s="1" t="e">
        <f>'[1]jobinfo(2)'!$E$169</f>
        <v>#REF!</v>
      </c>
      <c r="F192" s="1" t="e">
        <f>'[1]jobinfo(2)'!$F$169</f>
        <v>#REF!</v>
      </c>
      <c r="G192" s="1" t="e">
        <f>'[1]jobinfo(2)'!$G$169</f>
        <v>#REF!</v>
      </c>
      <c r="H192" t="e">
        <f>'[1]jobinfo(2)'!$H$169</f>
        <v>#REF!</v>
      </c>
      <c r="I192" t="e">
        <f>'[1]jobinfo(2)'!$I$169</f>
        <v>#REF!</v>
      </c>
      <c r="J192" t="e">
        <f>'[1]jobinfo(2)'!$J$169</f>
        <v>#REF!</v>
      </c>
    </row>
    <row r="193" spans="3:10">
      <c r="C193" s="928"/>
      <c r="D193" s="1" t="e">
        <f>'[1]jobinfo(2)'!$D$170</f>
        <v>#REF!</v>
      </c>
      <c r="E193" s="1" t="e">
        <f>'[1]jobinfo(2)'!$E$170</f>
        <v>#REF!</v>
      </c>
      <c r="F193" s="1" t="e">
        <f>'[1]jobinfo(2)'!$F$170</f>
        <v>#REF!</v>
      </c>
      <c r="G193" s="1" t="e">
        <f>'[1]jobinfo(2)'!$G$170</f>
        <v>#REF!</v>
      </c>
      <c r="H193" t="e">
        <f>'[1]jobinfo(2)'!$H$170</f>
        <v>#REF!</v>
      </c>
      <c r="I193" t="e">
        <f>'[1]jobinfo(2)'!$I$170</f>
        <v>#REF!</v>
      </c>
      <c r="J193" t="e">
        <f>'[1]jobinfo(2)'!$J$170</f>
        <v>#REF!</v>
      </c>
    </row>
    <row r="194" spans="3:10">
      <c r="C194" s="928"/>
      <c r="D194" s="1" t="e">
        <f>'[1]jobinfo(2)'!$D$171</f>
        <v>#REF!</v>
      </c>
      <c r="E194" s="1" t="e">
        <f>'[1]jobinfo(2)'!$E$171</f>
        <v>#REF!</v>
      </c>
      <c r="F194" s="1" t="e">
        <f>'[1]jobinfo(2)'!$F$171</f>
        <v>#REF!</v>
      </c>
      <c r="G194" s="1" t="e">
        <f>'[1]jobinfo(2)'!$G$171</f>
        <v>#REF!</v>
      </c>
      <c r="H194" t="e">
        <f>'[1]jobinfo(2)'!$H$171</f>
        <v>#REF!</v>
      </c>
      <c r="I194" t="e">
        <f>'[1]jobinfo(2)'!$I$171</f>
        <v>#REF!</v>
      </c>
      <c r="J194" t="e">
        <f>'[1]jobinfo(2)'!$J$171</f>
        <v>#REF!</v>
      </c>
    </row>
    <row r="195" spans="3:10">
      <c r="C195" s="928"/>
      <c r="D195" s="1" t="e">
        <f>'[1]jobinfo(2)'!$D$172</f>
        <v>#REF!</v>
      </c>
      <c r="E195" s="1" t="e">
        <f>'[1]jobinfo(2)'!$E$172</f>
        <v>#REF!</v>
      </c>
      <c r="F195" s="1" t="e">
        <f>'[1]jobinfo(2)'!$F$172</f>
        <v>#REF!</v>
      </c>
      <c r="G195" s="1" t="e">
        <f>'[1]jobinfo(2)'!$G$172</f>
        <v>#REF!</v>
      </c>
      <c r="H195" t="e">
        <f>'[1]jobinfo(2)'!$H$172</f>
        <v>#REF!</v>
      </c>
      <c r="I195" t="e">
        <f>'[1]jobinfo(2)'!$I$172</f>
        <v>#REF!</v>
      </c>
      <c r="J195" t="e">
        <f>'[1]jobinfo(2)'!$J$172</f>
        <v>#REF!</v>
      </c>
    </row>
    <row r="196" spans="3:10">
      <c r="C196" s="928"/>
      <c r="D196" s="1" t="e">
        <f>'[1]jobinfo(2)'!$D$173</f>
        <v>#REF!</v>
      </c>
      <c r="E196" s="1" t="e">
        <f>'[1]jobinfo(2)'!$E$173</f>
        <v>#REF!</v>
      </c>
      <c r="F196" s="1" t="e">
        <f>'[1]jobinfo(2)'!$F$173</f>
        <v>#REF!</v>
      </c>
      <c r="G196" s="1" t="e">
        <f>'[1]jobinfo(2)'!$G$173</f>
        <v>#REF!</v>
      </c>
      <c r="H196" t="e">
        <f>'[1]jobinfo(2)'!$H$173</f>
        <v>#REF!</v>
      </c>
      <c r="I196" t="e">
        <f>'[1]jobinfo(2)'!$I$173</f>
        <v>#REF!</v>
      </c>
      <c r="J196" t="e">
        <f>'[1]jobinfo(2)'!$J$173</f>
        <v>#REF!</v>
      </c>
    </row>
    <row r="197" spans="3:10">
      <c r="C197" s="928"/>
      <c r="D197" s="1" t="e">
        <f>'[1]jobinfo(2)'!$D$174</f>
        <v>#REF!</v>
      </c>
      <c r="E197" s="1" t="e">
        <f>'[1]jobinfo(2)'!$E$174</f>
        <v>#REF!</v>
      </c>
      <c r="F197" s="1" t="e">
        <f>'[1]jobinfo(2)'!$F$174</f>
        <v>#REF!</v>
      </c>
      <c r="G197" s="1" t="e">
        <f>'[1]jobinfo(2)'!$G$174</f>
        <v>#REF!</v>
      </c>
      <c r="H197" t="e">
        <f>'[1]jobinfo(2)'!$H$174</f>
        <v>#REF!</v>
      </c>
      <c r="I197" t="e">
        <f>'[1]jobinfo(2)'!$I$174</f>
        <v>#REF!</v>
      </c>
      <c r="J197" t="e">
        <f>'[1]jobinfo(2)'!$J$174</f>
        <v>#REF!</v>
      </c>
    </row>
    <row r="198" spans="3:10">
      <c r="C198" s="928"/>
      <c r="D198" s="1" t="e">
        <f>'[1]jobinfo(2)'!$D$175</f>
        <v>#REF!</v>
      </c>
      <c r="E198" s="1" t="e">
        <f>'[1]jobinfo(2)'!$E$175</f>
        <v>#REF!</v>
      </c>
      <c r="F198" s="1" t="e">
        <f>'[1]jobinfo(2)'!$F$175</f>
        <v>#REF!</v>
      </c>
      <c r="G198" s="1" t="e">
        <f>'[1]jobinfo(2)'!$G$175</f>
        <v>#REF!</v>
      </c>
      <c r="H198" t="e">
        <f>'[1]jobinfo(2)'!$H$175</f>
        <v>#REF!</v>
      </c>
      <c r="I198" t="e">
        <f>'[1]jobinfo(2)'!$I$175</f>
        <v>#REF!</v>
      </c>
      <c r="J198" t="e">
        <f>'[1]jobinfo(2)'!$J$175</f>
        <v>#REF!</v>
      </c>
    </row>
    <row r="199" spans="3:10">
      <c r="C199" s="928"/>
      <c r="D199" s="1" t="e">
        <f>'[1]jobinfo(2)'!$D$176</f>
        <v>#REF!</v>
      </c>
      <c r="E199" s="1" t="e">
        <f>'[1]jobinfo(2)'!$E$176</f>
        <v>#REF!</v>
      </c>
      <c r="F199" s="1" t="e">
        <f>'[1]jobinfo(2)'!$F$176</f>
        <v>#REF!</v>
      </c>
      <c r="G199" s="1" t="e">
        <f>'[1]jobinfo(2)'!$G$176</f>
        <v>#REF!</v>
      </c>
      <c r="H199" t="e">
        <f>'[1]jobinfo(2)'!$H$176</f>
        <v>#REF!</v>
      </c>
      <c r="I199" t="e">
        <f>'[1]jobinfo(2)'!$I$176</f>
        <v>#REF!</v>
      </c>
      <c r="J199" t="e">
        <f>'[1]jobinfo(2)'!$J$176</f>
        <v>#REF!</v>
      </c>
    </row>
    <row r="200" spans="3:10">
      <c r="C200" s="928"/>
      <c r="D200" s="1" t="e">
        <f>'[1]jobinfo(2)'!$D$177</f>
        <v>#REF!</v>
      </c>
      <c r="E200" s="1" t="e">
        <f>'[1]jobinfo(2)'!$E$177</f>
        <v>#REF!</v>
      </c>
      <c r="F200" s="1" t="e">
        <f>'[1]jobinfo(2)'!$F$177</f>
        <v>#REF!</v>
      </c>
      <c r="G200" s="1" t="e">
        <f>'[1]jobinfo(2)'!$G$177</f>
        <v>#REF!</v>
      </c>
      <c r="H200" t="e">
        <f>'[1]jobinfo(2)'!$H$177</f>
        <v>#REF!</v>
      </c>
      <c r="I200" t="e">
        <f>'[1]jobinfo(2)'!$I$177</f>
        <v>#REF!</v>
      </c>
      <c r="J200" t="e">
        <f>'[1]jobinfo(2)'!$J$177</f>
        <v>#REF!</v>
      </c>
    </row>
    <row r="201" spans="3:10">
      <c r="D201" s="1" t="e">
        <f>'[1]jobinfo(2)'!$D$178</f>
        <v>#REF!</v>
      </c>
      <c r="E201" s="1" t="e">
        <f>'[1]jobinfo(2)'!$E$178</f>
        <v>#REF!</v>
      </c>
      <c r="F201" s="1" t="e">
        <f>'[1]jobinfo(2)'!$F$178</f>
        <v>#REF!</v>
      </c>
      <c r="G201" s="1" t="e">
        <f>'[1]jobinfo(2)'!$G$178</f>
        <v>#REF!</v>
      </c>
      <c r="H201" t="e">
        <f>'[1]jobinfo(2)'!$H$178</f>
        <v>#REF!</v>
      </c>
      <c r="I201" t="e">
        <f>'[1]jobinfo(2)'!$I$178</f>
        <v>#REF!</v>
      </c>
      <c r="J201" t="e">
        <f>'[1]jobinfo(2)'!$J$178</f>
        <v>#REF!</v>
      </c>
    </row>
    <row r="202" spans="3:10">
      <c r="D202" s="1" t="e">
        <f>'[1]jobinfo(2)'!$D$179</f>
        <v>#REF!</v>
      </c>
      <c r="E202" s="1" t="e">
        <f>'[1]jobinfo(2)'!$E$179</f>
        <v>#REF!</v>
      </c>
      <c r="F202" s="1" t="e">
        <f>'[1]jobinfo(2)'!$F$179</f>
        <v>#REF!</v>
      </c>
      <c r="G202" s="1" t="e">
        <f>'[1]jobinfo(2)'!$G$179</f>
        <v>#REF!</v>
      </c>
      <c r="H202" t="e">
        <f>'[1]jobinfo(2)'!$H$179</f>
        <v>#REF!</v>
      </c>
      <c r="I202" t="e">
        <f>'[1]jobinfo(2)'!$I$179</f>
        <v>#REF!</v>
      </c>
      <c r="J202" t="e">
        <f>'[1]jobinfo(2)'!$J$179</f>
        <v>#REF!</v>
      </c>
    </row>
    <row r="203" spans="3:10">
      <c r="D203" s="1" t="e">
        <f>'[1]jobinfo(2)'!$D$180</f>
        <v>#REF!</v>
      </c>
      <c r="E203" s="1" t="e">
        <f>'[1]jobinfo(2)'!$E$180</f>
        <v>#REF!</v>
      </c>
      <c r="F203" s="1" t="e">
        <f>'[1]jobinfo(2)'!$F$180</f>
        <v>#REF!</v>
      </c>
      <c r="G203" s="1" t="e">
        <f>'[1]jobinfo(2)'!$G$180</f>
        <v>#REF!</v>
      </c>
      <c r="H203" t="e">
        <f>'[1]jobinfo(2)'!$H$180</f>
        <v>#REF!</v>
      </c>
      <c r="I203" t="e">
        <f>'[1]jobinfo(2)'!$I$180</f>
        <v>#REF!</v>
      </c>
      <c r="J203" t="e">
        <f>'[1]jobinfo(2)'!$J$180</f>
        <v>#REF!</v>
      </c>
    </row>
    <row r="204" spans="3:10">
      <c r="D204" s="1" t="e">
        <f>'[1]jobinfo(2)'!$D$181</f>
        <v>#REF!</v>
      </c>
      <c r="E204" s="1" t="e">
        <f>'[1]jobinfo(2)'!$E$181</f>
        <v>#REF!</v>
      </c>
      <c r="F204" s="1" t="e">
        <f>'[1]jobinfo(2)'!$F$181</f>
        <v>#REF!</v>
      </c>
      <c r="G204" s="1" t="e">
        <f>'[1]jobinfo(2)'!$G$181</f>
        <v>#REF!</v>
      </c>
      <c r="H204" t="e">
        <f>'[1]jobinfo(2)'!$H$181</f>
        <v>#REF!</v>
      </c>
      <c r="I204" t="e">
        <f>'[1]jobinfo(2)'!$I$181</f>
        <v>#REF!</v>
      </c>
      <c r="J204" t="e">
        <f>'[1]jobinfo(2)'!$J$181</f>
        <v>#REF!</v>
      </c>
    </row>
    <row r="205" spans="3:10">
      <c r="D205" s="1" t="e">
        <f>'[1]jobinfo(2)'!$D$182</f>
        <v>#REF!</v>
      </c>
      <c r="E205" s="1" t="e">
        <f>'[1]jobinfo(2)'!$E$182</f>
        <v>#REF!</v>
      </c>
      <c r="F205" s="1" t="e">
        <f>'[1]jobinfo(2)'!$F$182</f>
        <v>#REF!</v>
      </c>
      <c r="G205" s="1" t="e">
        <f>'[1]jobinfo(2)'!$G$182</f>
        <v>#REF!</v>
      </c>
      <c r="H205" t="e">
        <f>'[1]jobinfo(2)'!$H$182</f>
        <v>#REF!</v>
      </c>
      <c r="I205" t="e">
        <f>'[1]jobinfo(2)'!$I$182</f>
        <v>#REF!</v>
      </c>
      <c r="J205" t="e">
        <f>'[1]jobinfo(2)'!$J$182</f>
        <v>#REF!</v>
      </c>
    </row>
    <row r="206" spans="3:10">
      <c r="D206" s="1" t="e">
        <f>'[1]jobinfo(2)'!$D$183</f>
        <v>#REF!</v>
      </c>
      <c r="E206" s="1" t="e">
        <f>'[1]jobinfo(2)'!$E$183</f>
        <v>#REF!</v>
      </c>
      <c r="F206" s="1" t="e">
        <f>'[1]jobinfo(2)'!$F$183</f>
        <v>#REF!</v>
      </c>
      <c r="G206" s="1" t="e">
        <f>'[1]jobinfo(2)'!$G$183</f>
        <v>#REF!</v>
      </c>
      <c r="H206" t="e">
        <f>'[1]jobinfo(2)'!$H$183</f>
        <v>#REF!</v>
      </c>
      <c r="I206" t="e">
        <f>'[1]jobinfo(2)'!$I$183</f>
        <v>#REF!</v>
      </c>
      <c r="J206" t="e">
        <f>'[1]jobinfo(2)'!$J$183</f>
        <v>#REF!</v>
      </c>
    </row>
    <row r="207" spans="3:10">
      <c r="D207" s="1" t="e">
        <f>'[1]jobinfo(2)'!$D$184</f>
        <v>#REF!</v>
      </c>
      <c r="E207" s="1" t="e">
        <f>'[1]jobinfo(2)'!$E$184</f>
        <v>#REF!</v>
      </c>
      <c r="F207" s="1" t="e">
        <f>'[1]jobinfo(2)'!$F$184</f>
        <v>#REF!</v>
      </c>
      <c r="G207" s="1" t="e">
        <f>'[1]jobinfo(2)'!$G$184</f>
        <v>#REF!</v>
      </c>
      <c r="H207" t="e">
        <f>'[1]jobinfo(2)'!$H$184</f>
        <v>#REF!</v>
      </c>
      <c r="I207" t="e">
        <f>'[1]jobinfo(2)'!$I$184</f>
        <v>#REF!</v>
      </c>
      <c r="J207" t="e">
        <f>'[1]jobinfo(2)'!$J$184</f>
        <v>#REF!</v>
      </c>
    </row>
    <row r="208" spans="3:10">
      <c r="D208" s="1" t="e">
        <f>'[1]jobinfo(2)'!$D$185</f>
        <v>#REF!</v>
      </c>
      <c r="E208" s="1" t="e">
        <f>'[1]jobinfo(2)'!$E$185</f>
        <v>#REF!</v>
      </c>
      <c r="F208" s="1" t="e">
        <f>'[1]jobinfo(2)'!$F$185</f>
        <v>#REF!</v>
      </c>
      <c r="G208" s="1" t="e">
        <f>'[1]jobinfo(2)'!$G$185</f>
        <v>#REF!</v>
      </c>
      <c r="H208" t="e">
        <f>'[1]jobinfo(2)'!$H$185</f>
        <v>#REF!</v>
      </c>
      <c r="I208" t="e">
        <f>'[1]jobinfo(2)'!$I$185</f>
        <v>#REF!</v>
      </c>
      <c r="J208" t="e">
        <f>'[1]jobinfo(2)'!$J$185</f>
        <v>#REF!</v>
      </c>
    </row>
    <row r="209" spans="4:10">
      <c r="D209" s="1" t="e">
        <f>'[1]jobinfo(2)'!$D$186</f>
        <v>#REF!</v>
      </c>
      <c r="E209" s="1" t="e">
        <f>'[1]jobinfo(2)'!$E$186</f>
        <v>#REF!</v>
      </c>
      <c r="F209" s="1" t="e">
        <f>'[1]jobinfo(2)'!$F$186</f>
        <v>#REF!</v>
      </c>
      <c r="G209" s="1" t="e">
        <f>'[1]jobinfo(2)'!$G$186</f>
        <v>#REF!</v>
      </c>
      <c r="H209" t="e">
        <f>'[1]jobinfo(2)'!$H$186</f>
        <v>#REF!</v>
      </c>
      <c r="I209" t="e">
        <f>'[1]jobinfo(2)'!$I$186</f>
        <v>#REF!</v>
      </c>
      <c r="J209" t="e">
        <f>'[1]jobinfo(2)'!$J$186</f>
        <v>#REF!</v>
      </c>
    </row>
    <row r="210" spans="4:10">
      <c r="D210" s="1" t="e">
        <f>'[1]jobinfo(2)'!$D$187</f>
        <v>#REF!</v>
      </c>
      <c r="E210" s="1" t="e">
        <f>'[1]jobinfo(2)'!$E$187</f>
        <v>#REF!</v>
      </c>
      <c r="F210" s="1" t="e">
        <f>'[1]jobinfo(2)'!$F$187</f>
        <v>#REF!</v>
      </c>
      <c r="G210" s="1" t="e">
        <f>'[1]jobinfo(2)'!$G$187</f>
        <v>#REF!</v>
      </c>
      <c r="H210" t="e">
        <f>'[1]jobinfo(2)'!$H$187</f>
        <v>#REF!</v>
      </c>
      <c r="I210" t="e">
        <f>'[1]jobinfo(2)'!$I$187</f>
        <v>#REF!</v>
      </c>
      <c r="J210" t="e">
        <f>'[1]jobinfo(2)'!$J$187</f>
        <v>#REF!</v>
      </c>
    </row>
    <row r="211" spans="4:10">
      <c r="D211" s="1" t="e">
        <f>'[1]jobinfo(2)'!$D$188</f>
        <v>#REF!</v>
      </c>
      <c r="E211" s="1" t="e">
        <f>'[1]jobinfo(2)'!$E$188</f>
        <v>#REF!</v>
      </c>
      <c r="F211" s="1" t="e">
        <f>'[1]jobinfo(2)'!$F$188</f>
        <v>#REF!</v>
      </c>
      <c r="G211" s="1" t="e">
        <f>'[1]jobinfo(2)'!$G$188</f>
        <v>#REF!</v>
      </c>
      <c r="H211" t="e">
        <f>'[1]jobinfo(2)'!$H$188</f>
        <v>#REF!</v>
      </c>
      <c r="I211" t="e">
        <f>'[1]jobinfo(2)'!$I$188</f>
        <v>#REF!</v>
      </c>
      <c r="J211" t="e">
        <f>'[1]jobinfo(2)'!$J$188</f>
        <v>#REF!</v>
      </c>
    </row>
    <row r="212" spans="4:10">
      <c r="D212" s="1" t="e">
        <f>'[1]jobinfo(2)'!$D$189</f>
        <v>#REF!</v>
      </c>
      <c r="E212" s="1" t="e">
        <f>'[1]jobinfo(2)'!$E$189</f>
        <v>#REF!</v>
      </c>
      <c r="F212" s="1" t="e">
        <f>'[1]jobinfo(2)'!$F$189</f>
        <v>#REF!</v>
      </c>
      <c r="G212" s="1" t="e">
        <f>'[1]jobinfo(2)'!$G$189</f>
        <v>#REF!</v>
      </c>
      <c r="H212" t="e">
        <f>'[1]jobinfo(2)'!$H$189</f>
        <v>#REF!</v>
      </c>
      <c r="I212" t="e">
        <f>'[1]jobinfo(2)'!$I$189</f>
        <v>#REF!</v>
      </c>
      <c r="J212" t="e">
        <f>'[1]jobinfo(2)'!$J$189</f>
        <v>#REF!</v>
      </c>
    </row>
    <row r="213" spans="4:10">
      <c r="D213" s="1" t="e">
        <f>'[1]jobinfo(2)'!$D$190</f>
        <v>#REF!</v>
      </c>
      <c r="E213" s="1" t="e">
        <f>'[1]jobinfo(2)'!$E$190</f>
        <v>#REF!</v>
      </c>
      <c r="F213" s="1" t="e">
        <f>'[1]jobinfo(2)'!$F$190</f>
        <v>#REF!</v>
      </c>
      <c r="G213" s="1" t="e">
        <f>'[1]jobinfo(2)'!$G$190</f>
        <v>#REF!</v>
      </c>
      <c r="H213" t="e">
        <f>'[1]jobinfo(2)'!$H$190</f>
        <v>#REF!</v>
      </c>
      <c r="I213" t="e">
        <f>'[1]jobinfo(2)'!$I$190</f>
        <v>#REF!</v>
      </c>
      <c r="J213" t="e">
        <f>'[1]jobinfo(2)'!$J$190</f>
        <v>#REF!</v>
      </c>
    </row>
    <row r="214" spans="4:10">
      <c r="D214" s="1" t="e">
        <f>'[1]jobinfo(2)'!$D$191</f>
        <v>#REF!</v>
      </c>
      <c r="E214" s="1" t="e">
        <f>'[1]jobinfo(2)'!$E$191</f>
        <v>#REF!</v>
      </c>
      <c r="F214" s="1" t="e">
        <f>'[1]jobinfo(2)'!$F$191</f>
        <v>#REF!</v>
      </c>
      <c r="G214" s="1" t="e">
        <f>'[1]jobinfo(2)'!$G$191</f>
        <v>#REF!</v>
      </c>
      <c r="H214" t="e">
        <f>'[1]jobinfo(2)'!$H$191</f>
        <v>#REF!</v>
      </c>
      <c r="I214" t="e">
        <f>'[1]jobinfo(2)'!$I$191</f>
        <v>#REF!</v>
      </c>
      <c r="J214" t="e">
        <f>'[1]jobinfo(2)'!$J$191</f>
        <v>#REF!</v>
      </c>
    </row>
    <row r="215" spans="4:10">
      <c r="D215" s="1" t="e">
        <f>'[1]jobinfo(2)'!$D$192</f>
        <v>#REF!</v>
      </c>
      <c r="E215" s="1" t="e">
        <f>'[1]jobinfo(2)'!$E$192</f>
        <v>#REF!</v>
      </c>
      <c r="F215" s="1" t="e">
        <f>'[1]jobinfo(2)'!$F$192</f>
        <v>#REF!</v>
      </c>
      <c r="G215" s="1" t="e">
        <f>'[1]jobinfo(2)'!$G$192</f>
        <v>#REF!</v>
      </c>
      <c r="H215" t="e">
        <f>'[1]jobinfo(2)'!$H$192</f>
        <v>#REF!</v>
      </c>
      <c r="I215" t="e">
        <f>'[1]jobinfo(2)'!$I$192</f>
        <v>#REF!</v>
      </c>
      <c r="J215" t="e">
        <f>'[1]jobinfo(2)'!$J$192</f>
        <v>#REF!</v>
      </c>
    </row>
    <row r="216" spans="4:10">
      <c r="D216" s="1" t="e">
        <f>'[1]jobinfo(2)'!$D$193</f>
        <v>#REF!</v>
      </c>
      <c r="E216" s="1" t="e">
        <f>'[1]jobinfo(2)'!$E$193</f>
        <v>#REF!</v>
      </c>
      <c r="F216" s="1" t="e">
        <f>'[1]jobinfo(2)'!$F$193</f>
        <v>#REF!</v>
      </c>
      <c r="G216" s="1" t="e">
        <f>'[1]jobinfo(2)'!$G$193</f>
        <v>#REF!</v>
      </c>
      <c r="H216" t="e">
        <f>'[1]jobinfo(2)'!$H$193</f>
        <v>#REF!</v>
      </c>
      <c r="I216" t="e">
        <f>'[1]jobinfo(2)'!$I$193</f>
        <v>#REF!</v>
      </c>
      <c r="J216" t="e">
        <f>'[1]jobinfo(2)'!$J$193</f>
        <v>#REF!</v>
      </c>
    </row>
    <row r="217" spans="4:10">
      <c r="D217" s="1" t="e">
        <f>'[1]jobinfo(2)'!$D$194</f>
        <v>#REF!</v>
      </c>
      <c r="E217" s="1" t="e">
        <f>'[1]jobinfo(2)'!$E$194</f>
        <v>#REF!</v>
      </c>
      <c r="F217" s="1" t="e">
        <f>'[1]jobinfo(2)'!$F$194</f>
        <v>#REF!</v>
      </c>
      <c r="G217" s="1" t="e">
        <f>'[1]jobinfo(2)'!$G$194</f>
        <v>#REF!</v>
      </c>
      <c r="H217" t="e">
        <f>'[1]jobinfo(2)'!$H$194</f>
        <v>#REF!</v>
      </c>
      <c r="I217" t="e">
        <f>'[1]jobinfo(2)'!$I$194</f>
        <v>#REF!</v>
      </c>
      <c r="J217" t="e">
        <f>'[1]jobinfo(2)'!$J$194</f>
        <v>#REF!</v>
      </c>
    </row>
    <row r="218" spans="4:10">
      <c r="D218" s="1" t="e">
        <f>'[1]jobinfo(2)'!$D$195</f>
        <v>#REF!</v>
      </c>
      <c r="E218" s="1" t="e">
        <f>'[1]jobinfo(2)'!$E$195</f>
        <v>#REF!</v>
      </c>
      <c r="F218" s="1" t="e">
        <f>'[1]jobinfo(2)'!$F$195</f>
        <v>#REF!</v>
      </c>
      <c r="G218" s="1" t="e">
        <f>'[1]jobinfo(2)'!$G$195</f>
        <v>#REF!</v>
      </c>
      <c r="H218" t="e">
        <f>'[1]jobinfo(2)'!$H$195</f>
        <v>#REF!</v>
      </c>
      <c r="I218" t="e">
        <f>'[1]jobinfo(2)'!$I$195</f>
        <v>#REF!</v>
      </c>
      <c r="J218" t="e">
        <f>'[1]jobinfo(2)'!$J$195</f>
        <v>#REF!</v>
      </c>
    </row>
    <row r="219" spans="4:10">
      <c r="D219" s="1" t="e">
        <f>'[1]jobinfo(2)'!$D$196</f>
        <v>#REF!</v>
      </c>
      <c r="E219" s="1" t="e">
        <f>'[1]jobinfo(2)'!$E$196</f>
        <v>#REF!</v>
      </c>
      <c r="F219" s="1" t="e">
        <f>'[1]jobinfo(2)'!$F$196</f>
        <v>#REF!</v>
      </c>
      <c r="G219" s="1" t="e">
        <f>'[1]jobinfo(2)'!$G$196</f>
        <v>#REF!</v>
      </c>
      <c r="H219" t="e">
        <f>'[1]jobinfo(2)'!$H$196</f>
        <v>#REF!</v>
      </c>
      <c r="I219" t="e">
        <f>'[1]jobinfo(2)'!$I$196</f>
        <v>#REF!</v>
      </c>
      <c r="J219" t="e">
        <f>'[1]jobinfo(2)'!$J$196</f>
        <v>#REF!</v>
      </c>
    </row>
    <row r="220" spans="4:10">
      <c r="D220" s="1" t="e">
        <f>'[1]jobinfo(2)'!$D$197</f>
        <v>#REF!</v>
      </c>
      <c r="E220" s="1" t="e">
        <f>'[1]jobinfo(2)'!$E$197</f>
        <v>#REF!</v>
      </c>
      <c r="F220" s="1" t="e">
        <f>'[1]jobinfo(2)'!$F$197</f>
        <v>#REF!</v>
      </c>
      <c r="G220" s="1" t="e">
        <f>'[1]jobinfo(2)'!$G$197</f>
        <v>#REF!</v>
      </c>
      <c r="H220" t="e">
        <f>'[1]jobinfo(2)'!$H$197</f>
        <v>#REF!</v>
      </c>
      <c r="I220" t="e">
        <f>'[1]jobinfo(2)'!$I$197</f>
        <v>#REF!</v>
      </c>
      <c r="J220" t="e">
        <f>'[1]jobinfo(2)'!$J$197</f>
        <v>#REF!</v>
      </c>
    </row>
    <row r="221" spans="4:10">
      <c r="D221" s="1" t="e">
        <f>'[1]jobinfo(2)'!$D$198</f>
        <v>#REF!</v>
      </c>
      <c r="E221" s="1" t="e">
        <f>'[1]jobinfo(2)'!$E$198</f>
        <v>#REF!</v>
      </c>
      <c r="F221" s="1" t="e">
        <f>'[1]jobinfo(2)'!$F$198</f>
        <v>#REF!</v>
      </c>
      <c r="G221" s="1" t="e">
        <f>'[1]jobinfo(2)'!$G$198</f>
        <v>#REF!</v>
      </c>
      <c r="H221" t="e">
        <f>'[1]jobinfo(2)'!$H$198</f>
        <v>#REF!</v>
      </c>
      <c r="I221" t="e">
        <f>'[1]jobinfo(2)'!$I$198</f>
        <v>#REF!</v>
      </c>
      <c r="J221" t="e">
        <f>'[1]jobinfo(2)'!$J$198</f>
        <v>#REF!</v>
      </c>
    </row>
    <row r="222" spans="4:10">
      <c r="D222" s="1" t="e">
        <f>'[1]jobinfo(2)'!$D$199</f>
        <v>#REF!</v>
      </c>
      <c r="E222" s="1" t="e">
        <f>'[1]jobinfo(2)'!$E$199</f>
        <v>#REF!</v>
      </c>
      <c r="F222" s="1" t="e">
        <f>'[1]jobinfo(2)'!$F$199</f>
        <v>#REF!</v>
      </c>
      <c r="G222" s="1" t="e">
        <f>'[1]jobinfo(2)'!$G$199</f>
        <v>#REF!</v>
      </c>
      <c r="H222" t="e">
        <f>'[1]jobinfo(2)'!$H$199</f>
        <v>#REF!</v>
      </c>
      <c r="I222" t="e">
        <f>'[1]jobinfo(2)'!$I$199</f>
        <v>#REF!</v>
      </c>
      <c r="J222" t="e">
        <f>'[1]jobinfo(2)'!$J$199</f>
        <v>#REF!</v>
      </c>
    </row>
    <row r="223" spans="4:10">
      <c r="D223" s="1" t="e">
        <f>'[1]jobinfo(2)'!$D$200</f>
        <v>#REF!</v>
      </c>
      <c r="E223" s="1" t="e">
        <f>'[1]jobinfo(2)'!$E$200</f>
        <v>#REF!</v>
      </c>
      <c r="F223" s="1" t="e">
        <f>'[1]jobinfo(2)'!$F$200</f>
        <v>#REF!</v>
      </c>
      <c r="G223" s="1" t="e">
        <f>'[1]jobinfo(2)'!$G$200</f>
        <v>#REF!</v>
      </c>
      <c r="H223" t="e">
        <f>'[1]jobinfo(2)'!$H$200</f>
        <v>#REF!</v>
      </c>
      <c r="I223" t="e">
        <f>'[1]jobinfo(2)'!$I$200</f>
        <v>#REF!</v>
      </c>
      <c r="J223" t="e">
        <f>'[1]jobinfo(2)'!$J$200</f>
        <v>#REF!</v>
      </c>
    </row>
  </sheetData>
  <mergeCells count="9">
    <mergeCell ref="D127:E127"/>
    <mergeCell ref="D128:E128"/>
    <mergeCell ref="D129:E129"/>
    <mergeCell ref="D123:E123"/>
    <mergeCell ref="A1:A10"/>
    <mergeCell ref="A11:A18"/>
    <mergeCell ref="A19:A22"/>
    <mergeCell ref="A27:A49"/>
    <mergeCell ref="D2:D10"/>
  </mergeCells>
  <hyperlinks>
    <hyperlink ref="D123" r:id="rId1" display="mailto:info@myapcllc.com" xr:uid="{A667B871-669A-4D01-B505-E61C7EC3E834}"/>
    <hyperlink ref="D128" r:id="rId2" display="mailto:wsbjoe9@gmail.com" xr:uid="{D0F8A386-A472-468D-B0D5-321454FAD1B3}"/>
    <hyperlink ref="D129" r:id="rId3" display="mailto:ddevonJohnson@gmail.com" xr:uid="{1DC7938C-406E-4A80-9D3E-27C03E11DFF0}"/>
    <hyperlink ref="D37" r:id="rId4" display="https://www.notus.org/florida/citizens-hurricane-debby-claims" xr:uid="{1590C961-D268-41C9-87A2-99932D5E761D}"/>
  </hyperlinks>
  <printOptions gridLines="1"/>
  <pageMargins left="0.7" right="0.7" top="0.19" bottom="0.17" header="0.17" footer="0.17"/>
  <pageSetup orientation="portrait" r:id="rId5"/>
  <rowBreaks count="1" manualBreakCount="1">
    <brk id="25" max="2" man="1"/>
  </rowBreak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6BC9D-0F07-4161-9880-2B524D4003A4}">
  <sheetPr codeName="Sheet2">
    <tabColor rgb="FF002060"/>
  </sheetPr>
  <dimension ref="A1:G35"/>
  <sheetViews>
    <sheetView showGridLines="0" zoomScaleNormal="100" zoomScaleSheetLayoutView="100" workbookViewId="0"/>
  </sheetViews>
  <sheetFormatPr defaultRowHeight="20.65" customHeight="1"/>
  <cols>
    <col min="1" max="1" width="6.7109375" style="3" bestFit="1" customWidth="1"/>
    <col min="2" max="2" width="1.5703125" style="12" hidden="1" customWidth="1"/>
    <col min="3" max="3" width="67.28515625" style="12" customWidth="1"/>
    <col min="4" max="4" width="13.7109375" style="12" customWidth="1"/>
    <col min="5" max="5" width="6.5703125" style="12" customWidth="1"/>
    <col min="6" max="6" width="5.28515625" style="12" customWidth="1"/>
  </cols>
  <sheetData>
    <row r="1" spans="1:7" ht="20.65" customHeight="1">
      <c r="A1" s="206" t="s">
        <v>655</v>
      </c>
      <c r="B1" s="206"/>
      <c r="C1" s="254"/>
      <c r="D1" s="185" t="str">
        <f>+'jobinfo(2)'!C2</f>
        <v>628 Quilliams Road</v>
      </c>
      <c r="E1" s="4"/>
      <c r="F1" s="1016" t="s">
        <v>656</v>
      </c>
    </row>
    <row r="2" spans="1:7" ht="20.65" customHeight="1">
      <c r="A2" s="5" t="s">
        <v>657</v>
      </c>
      <c r="B2" s="6"/>
      <c r="C2" s="185" t="str">
        <f>+'jobinfo(2)'!C1</f>
        <v>Hatten, Nedra</v>
      </c>
      <c r="D2" s="6" t="s">
        <v>658</v>
      </c>
      <c r="E2" s="6" t="s">
        <v>659</v>
      </c>
      <c r="F2" s="1016"/>
    </row>
    <row r="3" spans="1:7" ht="20.65" customHeight="1">
      <c r="A3" s="256">
        <v>1</v>
      </c>
      <c r="B3" s="8" t="s">
        <v>660</v>
      </c>
      <c r="C3" s="205" t="s">
        <v>660</v>
      </c>
      <c r="D3" s="9" t="s">
        <v>661</v>
      </c>
      <c r="E3" s="10"/>
      <c r="F3" s="10"/>
    </row>
    <row r="4" spans="1:7" ht="20.65" customHeight="1">
      <c r="A4" s="1017" t="s">
        <v>662</v>
      </c>
      <c r="B4" s="11"/>
      <c r="C4" s="52" t="s">
        <v>663</v>
      </c>
      <c r="D4" s="862" t="b">
        <v>1</v>
      </c>
      <c r="E4" s="13"/>
      <c r="F4" s="14"/>
    </row>
    <row r="5" spans="1:7" ht="20.65" customHeight="1">
      <c r="A5" s="1017"/>
      <c r="C5" s="207" t="s">
        <v>664</v>
      </c>
      <c r="D5" s="863" t="b">
        <v>1</v>
      </c>
      <c r="E5" s="17"/>
      <c r="F5" s="13"/>
    </row>
    <row r="6" spans="1:7" ht="20.65" customHeight="1">
      <c r="A6" s="1017"/>
      <c r="C6" s="18" t="s">
        <v>665</v>
      </c>
      <c r="D6" s="864" t="b">
        <v>1</v>
      </c>
      <c r="E6" s="13"/>
      <c r="F6" s="19"/>
    </row>
    <row r="7" spans="1:7" ht="20.65" customHeight="1">
      <c r="A7" s="1017"/>
      <c r="C7" s="208" t="s">
        <v>666</v>
      </c>
      <c r="D7" s="863" t="b">
        <v>1</v>
      </c>
      <c r="E7" s="17"/>
      <c r="F7" s="13"/>
    </row>
    <row r="8" spans="1:7" ht="20.65" customHeight="1">
      <c r="A8" s="1017"/>
      <c r="C8" s="16" t="s">
        <v>667</v>
      </c>
      <c r="D8" s="865" t="b">
        <v>1</v>
      </c>
      <c r="E8" s="13"/>
      <c r="F8" s="19"/>
      <c r="G8" t="s">
        <v>668</v>
      </c>
    </row>
    <row r="9" spans="1:7" ht="20.65" customHeight="1">
      <c r="A9" s="255">
        <v>2</v>
      </c>
      <c r="B9" s="20" t="s">
        <v>669</v>
      </c>
      <c r="C9" s="204" t="s">
        <v>670</v>
      </c>
      <c r="D9" s="866"/>
      <c r="E9" s="21"/>
      <c r="F9" s="21"/>
      <c r="G9" t="s">
        <v>671</v>
      </c>
    </row>
    <row r="10" spans="1:7" ht="20.65" customHeight="1">
      <c r="A10" s="1018" t="s">
        <v>672</v>
      </c>
      <c r="B10" s="10"/>
      <c r="C10" s="209" t="s">
        <v>673</v>
      </c>
      <c r="D10" s="863" t="b">
        <v>0</v>
      </c>
      <c r="E10" s="17"/>
      <c r="F10" s="13"/>
    </row>
    <row r="11" spans="1:7" ht="20.65" customHeight="1">
      <c r="A11" s="1018"/>
      <c r="B11" s="10"/>
      <c r="C11" s="22" t="s">
        <v>674</v>
      </c>
      <c r="D11" s="864" t="b">
        <v>0</v>
      </c>
      <c r="E11" s="13"/>
      <c r="F11" s="19"/>
      <c r="G11" t="s">
        <v>675</v>
      </c>
    </row>
    <row r="12" spans="1:7" ht="20.65" customHeight="1">
      <c r="A12" s="23"/>
      <c r="B12" s="10"/>
      <c r="C12" s="210" t="s">
        <v>676</v>
      </c>
      <c r="D12" s="863" t="b">
        <v>0</v>
      </c>
      <c r="E12" s="17"/>
      <c r="F12" s="13"/>
    </row>
    <row r="13" spans="1:7" ht="20.65" customHeight="1">
      <c r="A13" s="15" t="s">
        <v>677</v>
      </c>
      <c r="B13" s="10"/>
      <c r="C13" s="22" t="s">
        <v>678</v>
      </c>
      <c r="D13" s="863" t="b">
        <v>0</v>
      </c>
      <c r="E13" s="17"/>
      <c r="F13" s="13"/>
    </row>
    <row r="14" spans="1:7" ht="16.149999999999999" customHeight="1">
      <c r="A14" s="255">
        <v>3</v>
      </c>
      <c r="C14" s="203" t="s">
        <v>679</v>
      </c>
      <c r="D14" s="865" t="b">
        <v>0</v>
      </c>
      <c r="E14" s="13"/>
      <c r="F14" s="19"/>
    </row>
    <row r="15" spans="1:7" ht="20.65" customHeight="1">
      <c r="A15" s="26"/>
      <c r="B15" s="25"/>
      <c r="C15" s="211" t="s">
        <v>680</v>
      </c>
      <c r="D15" s="865" t="b">
        <v>0</v>
      </c>
      <c r="E15" s="13"/>
      <c r="F15" s="19"/>
    </row>
    <row r="16" spans="1:7" ht="20.65" customHeight="1" thickBot="1">
      <c r="A16" s="24" t="s">
        <v>681</v>
      </c>
      <c r="B16" s="27" t="s">
        <v>682</v>
      </c>
      <c r="C16" s="624" t="s">
        <v>682</v>
      </c>
      <c r="D16" s="867" t="b">
        <v>0</v>
      </c>
      <c r="E16" s="216"/>
      <c r="F16" s="33"/>
    </row>
    <row r="17" spans="1:7" ht="20.65" customHeight="1" thickTop="1" thickBot="1">
      <c r="A17" s="255">
        <v>4</v>
      </c>
      <c r="C17" s="28" t="s">
        <v>683</v>
      </c>
      <c r="D17" s="868" t="b">
        <v>0</v>
      </c>
      <c r="E17" s="29"/>
      <c r="F17" s="29"/>
      <c r="G17">
        <v>2</v>
      </c>
    </row>
    <row r="18" spans="1:7" ht="20.65" customHeight="1" thickTop="1" thickBot="1">
      <c r="A18" s="255">
        <v>5</v>
      </c>
      <c r="C18" s="212" t="s">
        <v>684</v>
      </c>
      <c r="D18" s="864" t="b">
        <v>0</v>
      </c>
      <c r="E18" s="13"/>
      <c r="F18" s="19"/>
    </row>
    <row r="19" spans="1:7" ht="20.65" customHeight="1" thickTop="1" thickBot="1">
      <c r="A19" s="255">
        <v>6</v>
      </c>
      <c r="C19" s="30" t="s">
        <v>685</v>
      </c>
      <c r="D19" s="863" t="b">
        <v>0</v>
      </c>
      <c r="E19" s="17"/>
      <c r="F19" s="13"/>
    </row>
    <row r="20" spans="1:7" ht="20.65" customHeight="1" thickTop="1" thickBot="1">
      <c r="A20" s="255">
        <v>7</v>
      </c>
      <c r="C20" s="213" t="s">
        <v>686</v>
      </c>
      <c r="D20" s="865" t="b">
        <v>0</v>
      </c>
      <c r="E20" s="13"/>
      <c r="F20" s="19"/>
    </row>
    <row r="21" spans="1:7" ht="16.899999999999999" customHeight="1" thickTop="1" thickBot="1">
      <c r="A21" s="24" t="s">
        <v>687</v>
      </c>
      <c r="B21" s="31" t="s">
        <v>688</v>
      </c>
      <c r="C21" s="540" t="s">
        <v>688</v>
      </c>
      <c r="D21" s="869"/>
      <c r="E21" s="32"/>
      <c r="F21" s="32"/>
    </row>
    <row r="22" spans="1:7" ht="20.65" customHeight="1" thickTop="1" thickBot="1">
      <c r="A22" s="255">
        <v>8</v>
      </c>
      <c r="B22" s="10"/>
      <c r="C22" s="214" t="s">
        <v>689</v>
      </c>
      <c r="D22" s="870" t="b">
        <v>0</v>
      </c>
      <c r="E22" s="33"/>
      <c r="F22" s="34"/>
    </row>
    <row r="23" spans="1:7" ht="20.65" customHeight="1" thickTop="1" thickBot="1">
      <c r="A23" s="7"/>
      <c r="B23" s="10"/>
      <c r="C23" s="35" t="s">
        <v>690</v>
      </c>
      <c r="D23" s="871" t="b">
        <v>0</v>
      </c>
      <c r="E23" s="36"/>
      <c r="F23" s="37"/>
    </row>
    <row r="24" spans="1:7" ht="16.899999999999999" customHeight="1" thickTop="1" thickBot="1">
      <c r="B24" s="10"/>
      <c r="C24" s="856" t="s">
        <v>691</v>
      </c>
      <c r="D24" s="872" t="b">
        <v>0</v>
      </c>
      <c r="E24" s="857"/>
      <c r="F24" s="858"/>
    </row>
    <row r="25" spans="1:7" ht="20.65" customHeight="1" thickTop="1" thickBot="1">
      <c r="A25" s="7"/>
      <c r="B25" s="10"/>
      <c r="C25" s="39" t="s">
        <v>692</v>
      </c>
      <c r="D25" s="867" t="b">
        <v>0</v>
      </c>
      <c r="E25" s="216"/>
      <c r="F25" s="33"/>
    </row>
    <row r="26" spans="1:7" ht="20.65" customHeight="1" thickTop="1" thickBot="1">
      <c r="A26" s="7"/>
      <c r="B26" s="10"/>
      <c r="C26" s="625" t="s">
        <v>693</v>
      </c>
      <c r="D26" s="873" t="b">
        <v>0</v>
      </c>
      <c r="E26" s="37"/>
      <c r="F26" s="38"/>
    </row>
    <row r="27" spans="1:7" ht="20.65" customHeight="1" thickTop="1">
      <c r="A27" s="255">
        <v>9</v>
      </c>
      <c r="B27" s="32" t="s">
        <v>694</v>
      </c>
      <c r="C27" s="31" t="s">
        <v>695</v>
      </c>
      <c r="D27" s="869"/>
      <c r="E27" s="32"/>
      <c r="F27" s="32"/>
    </row>
    <row r="28" spans="1:7" ht="20.65" customHeight="1">
      <c r="A28" s="40" t="s">
        <v>696</v>
      </c>
      <c r="B28" s="10"/>
      <c r="C28" s="626" t="s">
        <v>697</v>
      </c>
      <c r="D28" s="873" t="b">
        <v>0</v>
      </c>
      <c r="E28" s="37"/>
      <c r="F28" s="38"/>
    </row>
    <row r="29" spans="1:7" ht="20.65" customHeight="1">
      <c r="A29" s="40"/>
      <c r="B29" s="10" t="s">
        <v>698</v>
      </c>
      <c r="C29" s="623" t="s">
        <v>699</v>
      </c>
      <c r="D29" s="874" t="b">
        <v>0</v>
      </c>
      <c r="E29" s="621"/>
      <c r="F29" s="622"/>
    </row>
    <row r="30" spans="1:7" ht="20.65" customHeight="1">
      <c r="A30" s="255">
        <v>10</v>
      </c>
      <c r="B30" s="855" t="s">
        <v>700</v>
      </c>
      <c r="C30" s="855"/>
      <c r="D30" s="875"/>
      <c r="E30" s="855"/>
      <c r="F30" s="855"/>
    </row>
    <row r="31" spans="1:7" ht="16.899999999999999" customHeight="1" thickBot="1">
      <c r="A31" s="1015" t="s">
        <v>701</v>
      </c>
      <c r="B31" s="32"/>
      <c r="C31" s="215" t="s">
        <v>702</v>
      </c>
      <c r="D31" s="876"/>
      <c r="E31" s="36"/>
      <c r="F31" s="37"/>
    </row>
    <row r="32" spans="1:7" ht="20.65" customHeight="1" thickTop="1" thickBot="1">
      <c r="A32" s="1015"/>
      <c r="B32" s="12" t="s">
        <v>682</v>
      </c>
      <c r="C32" s="627" t="s">
        <v>703</v>
      </c>
      <c r="D32" s="873" t="b">
        <v>0</v>
      </c>
      <c r="E32" s="37"/>
      <c r="F32" s="38"/>
    </row>
    <row r="33" spans="1:6" ht="20.65" customHeight="1" thickTop="1">
      <c r="A33" s="1015"/>
      <c r="B33" s="217" t="s">
        <v>704</v>
      </c>
      <c r="C33" s="628" t="s">
        <v>705</v>
      </c>
      <c r="D33" s="877" t="b">
        <v>0</v>
      </c>
      <c r="E33" s="217"/>
      <c r="F33" s="217"/>
    </row>
    <row r="34" spans="1:6" ht="20.65" customHeight="1">
      <c r="A34" s="1015"/>
      <c r="B34" s="218" t="s">
        <v>706</v>
      </c>
      <c r="C34" s="629" t="s">
        <v>707</v>
      </c>
      <c r="D34" s="867" t="b">
        <v>0</v>
      </c>
      <c r="E34" s="216"/>
      <c r="F34" s="33"/>
    </row>
    <row r="35" spans="1:6" ht="20.65" customHeight="1">
      <c r="A35" s="1015"/>
      <c r="B35" s="31" t="s">
        <v>708</v>
      </c>
      <c r="C35" s="630" t="s">
        <v>708</v>
      </c>
      <c r="D35" s="873" t="b">
        <v>0</v>
      </c>
      <c r="E35" s="37"/>
      <c r="F35" s="38"/>
    </row>
  </sheetData>
  <mergeCells count="4">
    <mergeCell ref="A31:A35"/>
    <mergeCell ref="F1:F2"/>
    <mergeCell ref="A4:A8"/>
    <mergeCell ref="A10:A11"/>
  </mergeCells>
  <pageMargins left="0.32" right="0.27" top="0.25" bottom="0.45" header="0.38" footer="0.11"/>
  <pageSetup orientation="portrait" r:id="rId1"/>
  <headerFooter>
    <oddFooter>&amp;LPage@  &amp;P  &amp;D &amp;T&amp;C&amp;A
&amp;R&amp;F</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93883-05C5-4F48-9BBB-A6C204E8A15F}">
  <sheetPr codeName="Sheet3">
    <tabColor rgb="FF002060"/>
  </sheetPr>
  <dimension ref="A1:J73"/>
  <sheetViews>
    <sheetView view="pageBreakPreview" zoomScaleNormal="100" zoomScaleSheetLayoutView="100" workbookViewId="0">
      <selection activeCell="H10" sqref="H10"/>
    </sheetView>
  </sheetViews>
  <sheetFormatPr defaultRowHeight="25.15" customHeight="1"/>
  <cols>
    <col min="1" max="1" width="3" bestFit="1" customWidth="1"/>
    <col min="2" max="2" width="49.28515625" style="118" customWidth="1"/>
    <col min="3" max="3" width="4.5703125" style="118" customWidth="1"/>
    <col min="4" max="4" width="13.28515625" style="118" customWidth="1"/>
    <col min="5" max="5" width="0.42578125" style="142" hidden="1" customWidth="1"/>
    <col min="6" max="6" width="6.7109375" style="118" customWidth="1"/>
    <col min="7" max="7" width="7.140625" style="118" customWidth="1"/>
    <col min="8" max="8" width="9.5703125" customWidth="1"/>
    <col min="9" max="9" width="7.42578125" customWidth="1"/>
  </cols>
  <sheetData>
    <row r="1" spans="1:10" ht="18" customHeight="1">
      <c r="B1" s="1022" t="s">
        <v>709</v>
      </c>
      <c r="C1" s="1022"/>
      <c r="D1" s="1021" t="str">
        <f>+'jobinfo(2)'!C1</f>
        <v>Hatten, Nedra</v>
      </c>
      <c r="E1" s="1021"/>
      <c r="F1" s="1021"/>
      <c r="G1" s="398" t="str">
        <f>+'jobinfo(2)'!C2</f>
        <v>628 Quilliams Road</v>
      </c>
      <c r="H1" s="605"/>
      <c r="I1" s="1027" t="str">
        <f>+'jobinfo(2)'!C3</f>
        <v>Cleveland Heights, OH 44121</v>
      </c>
    </row>
    <row r="2" spans="1:10" ht="16.899999999999999" customHeight="1">
      <c r="B2" s="641" t="str">
        <f>+'jobinfo(2)'!C11</f>
        <v>BATHTUB OVERFLOW</v>
      </c>
      <c r="C2" s="143" t="str">
        <f>+'jobinfo(2)'!B12</f>
        <v>date of loss</v>
      </c>
      <c r="D2" s="631" t="str">
        <f>+'jobinfo(2)'!C12</f>
        <v>Monday, June 16, 2025</v>
      </c>
      <c r="E2" s="264"/>
      <c r="F2" s="1024" t="str">
        <f>+'jobinfo(2)'!C26</f>
        <v>LIBERTY MUTUAL</v>
      </c>
      <c r="G2" s="1024"/>
      <c r="H2" s="1024"/>
      <c r="I2" s="1027"/>
    </row>
    <row r="3" spans="1:10" ht="16.899999999999999" customHeight="1">
      <c r="B3" s="653" t="str">
        <f>+'jobinfo(2)'!C13</f>
        <v>interior repairs LVL2</v>
      </c>
      <c r="C3" s="143" t="str">
        <f>+'jobinfo(2)'!B16</f>
        <v>DEMO</v>
      </c>
      <c r="D3" s="395" t="str">
        <f>+'jobinfo(2)'!C16</f>
        <v>Y</v>
      </c>
      <c r="E3" s="397"/>
      <c r="F3" s="1021" t="str">
        <f>+'jobinfo(2)'!C27</f>
        <v>#059633981</v>
      </c>
      <c r="G3" s="1021"/>
      <c r="H3" s="1021"/>
      <c r="I3" s="1027"/>
      <c r="J3" s="396"/>
    </row>
    <row r="4" spans="1:10" ht="16.899999999999999" customHeight="1">
      <c r="B4" s="641" t="str">
        <f>+'jobinfo(2)'!C14</f>
        <v>interior repairs LVL1</v>
      </c>
      <c r="C4" s="143" t="str">
        <f>+'jobinfo(2)'!B17</f>
        <v>Mitigation</v>
      </c>
      <c r="D4" s="264" t="str">
        <f>+'jobinfo(2)'!C17</f>
        <v>Y</v>
      </c>
      <c r="E4" s="264"/>
      <c r="F4" s="1024" t="str">
        <f>+'jobinfo(2)'!C28</f>
        <v>H3V28806334771</v>
      </c>
      <c r="G4" s="1024"/>
      <c r="H4" s="1024"/>
      <c r="I4" s="396"/>
      <c r="J4" s="397"/>
    </row>
    <row r="5" spans="1:10" ht="16.899999999999999" customHeight="1">
      <c r="B5" s="653" t="str">
        <f>+'jobinfo(2)'!C15</f>
        <v>BASEMENT</v>
      </c>
      <c r="C5" s="143" t="str">
        <f>+'jobinfo(2)'!B18</f>
        <v>Other Structures</v>
      </c>
      <c r="D5" s="395" t="str">
        <f>+'jobinfo(2)'!C18</f>
        <v>NA</v>
      </c>
      <c r="E5" s="264"/>
      <c r="F5" s="1025">
        <f>+'jobinfo(2)'!C29</f>
        <v>0</v>
      </c>
      <c r="G5" s="1025"/>
      <c r="H5" s="1025"/>
      <c r="I5" s="1025"/>
      <c r="J5" s="396"/>
    </row>
    <row r="6" spans="1:10" ht="16.899999999999999" customHeight="1">
      <c r="B6" s="641" t="str">
        <f>+'jobinfo(2)'!C4</f>
        <v>Msnedra1015@aol.com</v>
      </c>
      <c r="C6" s="143" t="str">
        <f>+'jobinfo(2)'!B19</f>
        <v>Replacement</v>
      </c>
      <c r="D6" s="264" t="str">
        <f>+'jobinfo(2)'!C19</f>
        <v>Y</v>
      </c>
      <c r="E6" s="264"/>
      <c r="F6" s="1026">
        <f>+'jobinfo(2)'!C30</f>
        <v>0</v>
      </c>
      <c r="G6" s="1026"/>
      <c r="H6" s="1026"/>
      <c r="I6" s="397"/>
      <c r="J6" s="397"/>
    </row>
    <row r="7" spans="1:10" ht="16.899999999999999" customHeight="1">
      <c r="B7" s="654" t="str">
        <f>+'jobinfo(2)'!C5</f>
        <v>(216) 240-4123</v>
      </c>
      <c r="C7" s="143" t="str">
        <f>+'jobinfo(2)'!B20</f>
        <v>CPS / CLN / CON/ CGN</v>
      </c>
      <c r="D7" s="395" t="str">
        <f>+'jobinfo(2)'!C20</f>
        <v>Y</v>
      </c>
      <c r="E7" s="264"/>
      <c r="F7" s="1023">
        <f>'jobinfo(2)'!C32</f>
        <v>0</v>
      </c>
      <c r="G7" s="1023"/>
      <c r="H7" s="1023"/>
      <c r="I7" s="397"/>
    </row>
    <row r="8" spans="1:10" ht="1.9" customHeight="1">
      <c r="A8" s="399"/>
      <c r="B8" s="399"/>
      <c r="C8" s="399"/>
      <c r="D8" s="399"/>
      <c r="E8" s="120"/>
      <c r="F8" s="399"/>
      <c r="G8" s="121"/>
      <c r="H8" s="121"/>
      <c r="I8" s="121"/>
    </row>
    <row r="9" spans="1:10" ht="16.899999999999999" customHeight="1">
      <c r="B9" s="637" t="s">
        <v>710</v>
      </c>
      <c r="C9" s="122" t="s">
        <v>711</v>
      </c>
      <c r="D9" s="123" t="s">
        <v>712</v>
      </c>
      <c r="E9" s="124" t="s">
        <v>713</v>
      </c>
      <c r="F9" s="944" t="s">
        <v>714</v>
      </c>
      <c r="G9" s="125" t="s">
        <v>715</v>
      </c>
      <c r="H9" s="123" t="s">
        <v>716</v>
      </c>
      <c r="I9" s="661" t="s">
        <v>717</v>
      </c>
    </row>
    <row r="10" spans="1:10" s="129" customFormat="1" ht="16.899999999999999" customHeight="1">
      <c r="A10" s="129">
        <v>1</v>
      </c>
      <c r="B10" s="638" t="s">
        <v>718</v>
      </c>
      <c r="C10" s="126">
        <v>3</v>
      </c>
      <c r="D10" s="1019" t="s">
        <v>719</v>
      </c>
      <c r="E10" s="124" t="s">
        <v>713</v>
      </c>
      <c r="F10" s="127" t="s">
        <v>720</v>
      </c>
      <c r="G10" s="128" t="s">
        <v>720</v>
      </c>
      <c r="H10" s="127" t="s">
        <v>720</v>
      </c>
      <c r="I10" s="661" t="s">
        <v>721</v>
      </c>
    </row>
    <row r="11" spans="1:10" s="129" customFormat="1" ht="16.899999999999999" customHeight="1">
      <c r="A11" s="129">
        <f>1+A10</f>
        <v>2</v>
      </c>
      <c r="B11" s="639" t="s">
        <v>722</v>
      </c>
      <c r="C11" s="130">
        <v>20</v>
      </c>
      <c r="D11" s="1019"/>
      <c r="E11" s="124" t="s">
        <v>713</v>
      </c>
      <c r="F11" s="128" t="s">
        <v>720</v>
      </c>
      <c r="G11" s="127" t="s">
        <v>720</v>
      </c>
      <c r="H11" s="128" t="s">
        <v>720</v>
      </c>
      <c r="I11" s="661" t="s">
        <v>721</v>
      </c>
    </row>
    <row r="12" spans="1:10" ht="16.899999999999999" customHeight="1">
      <c r="A12" s="129">
        <f>1+A11</f>
        <v>3</v>
      </c>
      <c r="B12" s="640" t="s">
        <v>723</v>
      </c>
      <c r="C12" s="1020">
        <v>25</v>
      </c>
      <c r="D12" s="650" t="s">
        <v>724</v>
      </c>
      <c r="E12" s="124" t="s">
        <v>713</v>
      </c>
      <c r="F12" s="131" t="s">
        <v>720</v>
      </c>
      <c r="G12" s="127" t="s">
        <v>720</v>
      </c>
      <c r="H12" s="131" t="s">
        <v>720</v>
      </c>
      <c r="I12" s="1028" t="s">
        <v>725</v>
      </c>
    </row>
    <row r="13" spans="1:10" ht="16.899999999999999" customHeight="1">
      <c r="A13" s="129"/>
      <c r="B13" s="641" t="s">
        <v>726</v>
      </c>
      <c r="C13" s="1020"/>
      <c r="D13" s="133" t="s">
        <v>720</v>
      </c>
      <c r="E13" s="124" t="s">
        <v>713</v>
      </c>
      <c r="F13" s="128" t="s">
        <v>720</v>
      </c>
      <c r="G13" s="127" t="s">
        <v>720</v>
      </c>
      <c r="H13" s="128" t="s">
        <v>720</v>
      </c>
      <c r="I13" s="1028"/>
    </row>
    <row r="14" spans="1:10" ht="16.899999999999999" customHeight="1">
      <c r="A14" s="129">
        <f>1+A12</f>
        <v>4</v>
      </c>
      <c r="B14" s="640" t="s">
        <v>727</v>
      </c>
      <c r="C14" s="131">
        <v>1</v>
      </c>
      <c r="D14" s="128" t="s">
        <v>720</v>
      </c>
      <c r="E14" s="124" t="s">
        <v>713</v>
      </c>
      <c r="F14" s="131" t="s">
        <v>720</v>
      </c>
      <c r="G14" s="127" t="s">
        <v>720</v>
      </c>
      <c r="H14" s="131" t="s">
        <v>720</v>
      </c>
      <c r="I14" s="1028" t="s">
        <v>728</v>
      </c>
    </row>
    <row r="15" spans="1:10" ht="16.899999999999999" customHeight="1">
      <c r="A15" s="129">
        <f>1+A14</f>
        <v>5</v>
      </c>
      <c r="B15" s="640" t="s">
        <v>729</v>
      </c>
      <c r="C15" s="946">
        <v>3</v>
      </c>
      <c r="D15" s="128" t="s">
        <v>720</v>
      </c>
      <c r="E15" s="124" t="s">
        <v>713</v>
      </c>
      <c r="F15" s="131" t="s">
        <v>720</v>
      </c>
      <c r="G15" s="127" t="s">
        <v>720</v>
      </c>
      <c r="H15" s="131" t="s">
        <v>720</v>
      </c>
      <c r="I15" s="1028"/>
    </row>
    <row r="16" spans="1:10" s="135" customFormat="1" ht="16.899999999999999" customHeight="1">
      <c r="A16" s="129">
        <f>1+A15</f>
        <v>6</v>
      </c>
      <c r="B16" s="53" t="s">
        <v>730</v>
      </c>
      <c r="C16" s="128">
        <v>6</v>
      </c>
      <c r="D16" s="134" t="s">
        <v>720</v>
      </c>
      <c r="E16" s="124" t="s">
        <v>713</v>
      </c>
      <c r="F16" s="128" t="s">
        <v>720</v>
      </c>
      <c r="G16" s="127" t="s">
        <v>720</v>
      </c>
      <c r="H16" s="128" t="s">
        <v>720</v>
      </c>
      <c r="I16" s="662" t="s">
        <v>731</v>
      </c>
    </row>
    <row r="17" spans="1:10" s="135" customFormat="1" ht="1.9" customHeight="1">
      <c r="A17" s="140"/>
      <c r="B17" s="642"/>
      <c r="C17" s="400"/>
      <c r="D17" s="136"/>
      <c r="E17" s="124" t="s">
        <v>713</v>
      </c>
      <c r="F17" s="399"/>
      <c r="G17" s="399"/>
      <c r="H17" s="399"/>
      <c r="I17" s="401"/>
    </row>
    <row r="18" spans="1:10" ht="16.899999999999999" customHeight="1">
      <c r="A18" s="129">
        <f>1+A16</f>
        <v>7</v>
      </c>
      <c r="B18" s="656" t="s">
        <v>732</v>
      </c>
      <c r="C18" s="137"/>
      <c r="D18" s="651" t="s">
        <v>733</v>
      </c>
      <c r="E18" s="124" t="s">
        <v>713</v>
      </c>
      <c r="F18" s="128" t="s">
        <v>720</v>
      </c>
      <c r="G18" s="127" t="s">
        <v>720</v>
      </c>
      <c r="H18" s="128" t="s">
        <v>720</v>
      </c>
      <c r="I18" s="943" t="s">
        <v>671</v>
      </c>
    </row>
    <row r="19" spans="1:10" ht="18" customHeight="1">
      <c r="A19" s="129">
        <f>1+A18</f>
        <v>8</v>
      </c>
      <c r="B19" s="657" t="s">
        <v>734</v>
      </c>
      <c r="C19" s="132" t="s">
        <v>720</v>
      </c>
      <c r="D19" s="633" t="s">
        <v>735</v>
      </c>
      <c r="E19" s="124" t="s">
        <v>713</v>
      </c>
      <c r="F19" s="127" t="s">
        <v>720</v>
      </c>
      <c r="G19" s="128" t="s">
        <v>720</v>
      </c>
      <c r="H19" s="127" t="s">
        <v>720</v>
      </c>
      <c r="I19" s="659" t="s">
        <v>736</v>
      </c>
    </row>
    <row r="20" spans="1:10" ht="18" customHeight="1">
      <c r="A20" s="129">
        <f>1+A19</f>
        <v>9</v>
      </c>
      <c r="B20" s="641" t="s">
        <v>737</v>
      </c>
      <c r="C20" s="946"/>
      <c r="D20" s="132" t="s">
        <v>720</v>
      </c>
      <c r="E20" s="124" t="s">
        <v>713</v>
      </c>
      <c r="F20" s="127" t="s">
        <v>720</v>
      </c>
      <c r="G20" s="128" t="s">
        <v>720</v>
      </c>
      <c r="H20" s="127" t="s">
        <v>720</v>
      </c>
      <c r="I20" s="660" t="s">
        <v>736</v>
      </c>
    </row>
    <row r="21" spans="1:10" ht="18" customHeight="1">
      <c r="A21" s="129">
        <f>1+A20</f>
        <v>10</v>
      </c>
      <c r="B21" s="640" t="s">
        <v>738</v>
      </c>
      <c r="C21" s="402"/>
      <c r="D21" s="138" t="s">
        <v>720</v>
      </c>
      <c r="E21" s="124" t="s">
        <v>713</v>
      </c>
      <c r="F21" s="128" t="s">
        <v>720</v>
      </c>
      <c r="G21" s="127" t="s">
        <v>720</v>
      </c>
      <c r="H21" s="128" t="s">
        <v>720</v>
      </c>
      <c r="I21" s="660" t="s">
        <v>736</v>
      </c>
    </row>
    <row r="22" spans="1:10" ht="1.9" customHeight="1">
      <c r="A22" s="140"/>
      <c r="B22" s="399"/>
      <c r="C22" s="400"/>
      <c r="D22" s="136"/>
      <c r="E22" s="124" t="s">
        <v>713</v>
      </c>
      <c r="F22" s="399"/>
      <c r="G22" s="399"/>
      <c r="H22" s="399"/>
      <c r="I22" s="399"/>
      <c r="J22" s="135"/>
    </row>
    <row r="23" spans="1:10" ht="22.9" customHeight="1">
      <c r="A23" s="129">
        <f>1+A21</f>
        <v>11</v>
      </c>
      <c r="B23" s="641" t="s">
        <v>739</v>
      </c>
      <c r="C23" s="131" t="s">
        <v>720</v>
      </c>
      <c r="D23" s="139" t="s">
        <v>740</v>
      </c>
      <c r="E23" s="124" t="s">
        <v>713</v>
      </c>
      <c r="F23" s="945" t="s">
        <v>719</v>
      </c>
      <c r="G23" s="128" t="s">
        <v>720</v>
      </c>
      <c r="H23" s="127" t="s">
        <v>720</v>
      </c>
      <c r="I23" s="1033" t="s">
        <v>741</v>
      </c>
    </row>
    <row r="24" spans="1:10" ht="16.899999999999999" customHeight="1">
      <c r="A24" s="129">
        <f>1+A23</f>
        <v>12</v>
      </c>
      <c r="B24" s="947" t="s">
        <v>742</v>
      </c>
      <c r="C24" s="131" t="s">
        <v>720</v>
      </c>
      <c r="D24" s="264" t="s">
        <v>743</v>
      </c>
      <c r="E24" s="124" t="s">
        <v>713</v>
      </c>
      <c r="F24" s="945"/>
      <c r="G24" s="127" t="s">
        <v>720</v>
      </c>
      <c r="H24" s="128" t="s">
        <v>720</v>
      </c>
      <c r="I24" s="1033"/>
    </row>
    <row r="25" spans="1:10" s="119" customFormat="1" ht="1.9" customHeight="1">
      <c r="A25" s="129">
        <f>1+A24</f>
        <v>13</v>
      </c>
      <c r="B25" s="399"/>
      <c r="C25" s="399"/>
      <c r="D25" s="399"/>
      <c r="E25" s="399"/>
      <c r="F25" s="399"/>
      <c r="G25" s="399"/>
      <c r="H25" s="399"/>
      <c r="I25" s="140"/>
      <c r="J25" s="399"/>
    </row>
    <row r="26" spans="1:10" ht="16.899999999999999" customHeight="1">
      <c r="A26" s="129">
        <f>1+A24</f>
        <v>13</v>
      </c>
      <c r="B26" s="656" t="s">
        <v>744</v>
      </c>
      <c r="C26" s="131" t="s">
        <v>720</v>
      </c>
      <c r="D26" s="633" t="s">
        <v>745</v>
      </c>
      <c r="E26" s="124" t="s">
        <v>713</v>
      </c>
      <c r="F26" s="128" t="s">
        <v>720</v>
      </c>
      <c r="G26" s="127" t="s">
        <v>720</v>
      </c>
      <c r="H26" s="128" t="s">
        <v>720</v>
      </c>
      <c r="I26" s="943" t="s">
        <v>671</v>
      </c>
    </row>
    <row r="27" spans="1:10" ht="1.9" customHeight="1">
      <c r="A27" s="140"/>
      <c r="B27" s="399"/>
      <c r="C27" s="399"/>
      <c r="D27" s="401"/>
      <c r="E27" s="399"/>
      <c r="F27" s="399"/>
      <c r="G27" s="399"/>
      <c r="H27" s="399"/>
      <c r="I27" s="140"/>
    </row>
    <row r="28" spans="1:10" ht="16.899999999999999" customHeight="1">
      <c r="A28" s="129"/>
      <c r="B28" s="655" t="s">
        <v>746</v>
      </c>
      <c r="C28" s="1035" t="s">
        <v>716</v>
      </c>
      <c r="D28" s="1035"/>
      <c r="E28" s="635"/>
      <c r="F28" s="861" t="s">
        <v>747</v>
      </c>
      <c r="G28" s="861"/>
      <c r="H28" s="861"/>
      <c r="I28" s="1033" t="s">
        <v>671</v>
      </c>
    </row>
    <row r="29" spans="1:10" ht="16.149999999999999" customHeight="1">
      <c r="A29" s="129">
        <f>1+A26</f>
        <v>14</v>
      </c>
      <c r="B29" s="636" t="s">
        <v>748</v>
      </c>
      <c r="C29" s="131" t="s">
        <v>720</v>
      </c>
      <c r="D29" s="264"/>
      <c r="E29" s="124" t="s">
        <v>713</v>
      </c>
      <c r="F29" s="860" t="s">
        <v>749</v>
      </c>
      <c r="G29" s="860"/>
      <c r="H29" s="860"/>
      <c r="I29" s="1033"/>
    </row>
    <row r="30" spans="1:10" ht="16.149999999999999" customHeight="1">
      <c r="A30" s="129">
        <f>1+A29</f>
        <v>15</v>
      </c>
      <c r="B30" s="636" t="s">
        <v>750</v>
      </c>
      <c r="C30" s="132" t="s">
        <v>720</v>
      </c>
      <c r="D30" s="264"/>
      <c r="E30" s="633"/>
      <c r="F30" s="860"/>
      <c r="G30" s="860"/>
      <c r="H30" s="860"/>
      <c r="I30" s="1033"/>
    </row>
    <row r="31" spans="1:10" ht="16.149999999999999" customHeight="1">
      <c r="A31" s="129">
        <f>1+A30</f>
        <v>16</v>
      </c>
      <c r="B31" s="636" t="s">
        <v>751</v>
      </c>
      <c r="C31" s="131" t="s">
        <v>720</v>
      </c>
      <c r="D31" s="264"/>
      <c r="E31" s="634"/>
      <c r="F31" s="860"/>
      <c r="G31" s="860"/>
      <c r="H31" s="860"/>
      <c r="I31" s="1033"/>
    </row>
    <row r="32" spans="1:10" ht="16.149999999999999" customHeight="1">
      <c r="A32" s="129">
        <f>1+A31</f>
        <v>17</v>
      </c>
      <c r="B32" s="636" t="s">
        <v>752</v>
      </c>
      <c r="C32" s="132" t="s">
        <v>720</v>
      </c>
      <c r="D32" s="264"/>
      <c r="E32" s="634"/>
      <c r="F32" s="860"/>
      <c r="G32" s="860"/>
      <c r="H32" s="860"/>
      <c r="I32" s="1033"/>
    </row>
    <row r="33" spans="1:9" ht="1.9" customHeight="1">
      <c r="A33" s="140"/>
      <c r="B33" s="140"/>
      <c r="C33" s="140"/>
      <c r="D33" s="140"/>
      <c r="E33" s="140"/>
      <c r="F33" s="140"/>
      <c r="G33" s="140"/>
      <c r="H33" s="140"/>
      <c r="I33" s="140"/>
    </row>
    <row r="34" spans="1:9" ht="16.899999999999999" customHeight="1">
      <c r="A34" s="129">
        <f>1+A32</f>
        <v>18</v>
      </c>
      <c r="B34" s="264" t="s">
        <v>753</v>
      </c>
      <c r="C34" s="131" t="s">
        <v>720</v>
      </c>
      <c r="D34" s="1034" t="s">
        <v>754</v>
      </c>
      <c r="E34" s="124" t="s">
        <v>713</v>
      </c>
      <c r="F34" s="128" t="s">
        <v>720</v>
      </c>
      <c r="G34" s="127" t="s">
        <v>720</v>
      </c>
      <c r="H34" s="128" t="s">
        <v>720</v>
      </c>
      <c r="I34" s="1030" t="s">
        <v>755</v>
      </c>
    </row>
    <row r="35" spans="1:9" ht="16.899999999999999" customHeight="1">
      <c r="A35" s="129">
        <f>1+A34</f>
        <v>19</v>
      </c>
      <c r="B35" s="652" t="s">
        <v>756</v>
      </c>
      <c r="C35" s="128" t="s">
        <v>720</v>
      </c>
      <c r="D35" s="1034"/>
      <c r="E35" s="124"/>
      <c r="F35" s="131" t="s">
        <v>720</v>
      </c>
      <c r="G35" s="127" t="s">
        <v>720</v>
      </c>
      <c r="H35" s="131" t="s">
        <v>720</v>
      </c>
      <c r="I35" s="1030"/>
    </row>
    <row r="36" spans="1:9" ht="1.9" customHeight="1">
      <c r="A36" s="140"/>
      <c r="B36" s="140"/>
      <c r="C36" s="140"/>
      <c r="D36" s="649"/>
      <c r="E36" s="140"/>
      <c r="F36" s="140"/>
      <c r="G36" s="140"/>
      <c r="H36" s="140"/>
      <c r="I36" s="140"/>
    </row>
    <row r="37" spans="1:9" ht="16.899999999999999" customHeight="1">
      <c r="A37" s="129">
        <f>1+A35</f>
        <v>20</v>
      </c>
      <c r="B37" s="640" t="s">
        <v>757</v>
      </c>
      <c r="C37" s="131" t="s">
        <v>720</v>
      </c>
      <c r="D37" s="1029" t="s">
        <v>758</v>
      </c>
      <c r="E37" s="124" t="s">
        <v>713</v>
      </c>
      <c r="F37" s="128" t="s">
        <v>720</v>
      </c>
      <c r="G37" s="127" t="s">
        <v>720</v>
      </c>
      <c r="H37" s="128" t="s">
        <v>720</v>
      </c>
      <c r="I37" s="1030" t="s">
        <v>759</v>
      </c>
    </row>
    <row r="38" spans="1:9" ht="16.899999999999999" customHeight="1">
      <c r="A38" s="129">
        <f>1+A37</f>
        <v>21</v>
      </c>
      <c r="B38" s="652" t="s">
        <v>756</v>
      </c>
      <c r="C38" s="127" t="s">
        <v>720</v>
      </c>
      <c r="D38" s="1029"/>
      <c r="E38" s="124"/>
      <c r="F38" s="131" t="s">
        <v>720</v>
      </c>
      <c r="G38" s="127" t="s">
        <v>720</v>
      </c>
      <c r="H38" s="131" t="s">
        <v>720</v>
      </c>
      <c r="I38" s="1030"/>
    </row>
    <row r="39" spans="1:9" ht="1.9" customHeight="1">
      <c r="A39" s="140"/>
      <c r="B39" s="649"/>
      <c r="C39" s="140"/>
      <c r="D39" s="649"/>
      <c r="E39" s="140"/>
      <c r="F39" s="140"/>
      <c r="G39" s="140"/>
      <c r="H39" s="140"/>
      <c r="I39" s="140"/>
    </row>
    <row r="40" spans="1:9" ht="16.899999999999999" customHeight="1">
      <c r="A40" s="129">
        <f>1+A38</f>
        <v>22</v>
      </c>
      <c r="B40" s="640" t="s">
        <v>760</v>
      </c>
      <c r="C40" s="127" t="s">
        <v>720</v>
      </c>
      <c r="D40" s="650" t="s">
        <v>761</v>
      </c>
      <c r="E40" s="124" t="s">
        <v>713</v>
      </c>
      <c r="F40" s="128" t="s">
        <v>720</v>
      </c>
      <c r="G40" s="127" t="s">
        <v>720</v>
      </c>
      <c r="H40" s="128" t="s">
        <v>720</v>
      </c>
      <c r="I40" s="632"/>
    </row>
    <row r="41" spans="1:9" ht="1.9" customHeight="1">
      <c r="A41" s="129">
        <f>1+A40</f>
        <v>23</v>
      </c>
      <c r="B41" s="140"/>
      <c r="C41" s="140"/>
      <c r="D41" s="649"/>
      <c r="E41" s="140"/>
      <c r="F41" s="140"/>
      <c r="G41" s="140"/>
      <c r="H41" s="140"/>
      <c r="I41" s="140"/>
    </row>
    <row r="42" spans="1:9" ht="16.899999999999999" customHeight="1">
      <c r="A42" s="129">
        <f>1+A40</f>
        <v>23</v>
      </c>
      <c r="B42" s="641" t="s">
        <v>762</v>
      </c>
      <c r="C42" s="128" t="s">
        <v>720</v>
      </c>
      <c r="D42" s="1031" t="s">
        <v>763</v>
      </c>
      <c r="E42" s="124" t="s">
        <v>713</v>
      </c>
      <c r="F42" s="131" t="s">
        <v>720</v>
      </c>
      <c r="G42" s="127" t="s">
        <v>720</v>
      </c>
      <c r="H42" s="131" t="s">
        <v>720</v>
      </c>
      <c r="I42" s="1032" t="s">
        <v>764</v>
      </c>
    </row>
    <row r="43" spans="1:9" ht="16.899999999999999" customHeight="1">
      <c r="A43" s="129">
        <f>1+A42</f>
        <v>24</v>
      </c>
      <c r="B43" s="658" t="s">
        <v>756</v>
      </c>
      <c r="C43" s="127" t="s">
        <v>720</v>
      </c>
      <c r="D43" s="1031"/>
      <c r="E43" s="124"/>
      <c r="F43" s="128" t="s">
        <v>720</v>
      </c>
      <c r="G43" s="127" t="s">
        <v>720</v>
      </c>
      <c r="H43" s="128" t="s">
        <v>720</v>
      </c>
      <c r="I43" s="1032"/>
    </row>
    <row r="44" spans="1:9" ht="1.1499999999999999" customHeight="1">
      <c r="A44" s="140"/>
      <c r="B44" s="140"/>
      <c r="C44" s="140"/>
      <c r="D44" s="140"/>
      <c r="E44" s="140"/>
      <c r="F44" s="140"/>
      <c r="G44" s="140"/>
      <c r="H44" s="140"/>
      <c r="I44" s="140"/>
    </row>
    <row r="45" spans="1:9" ht="16.149999999999999" customHeight="1">
      <c r="B45" s="738" t="s">
        <v>699</v>
      </c>
      <c r="C45" s="128" t="s">
        <v>720</v>
      </c>
      <c r="D45" s="264"/>
      <c r="E45" s="50"/>
      <c r="F45" s="264"/>
      <c r="G45" s="264"/>
      <c r="H45" s="128" t="s">
        <v>720</v>
      </c>
      <c r="I45" s="50"/>
    </row>
    <row r="46" spans="1:9" ht="16.149999999999999" customHeight="1">
      <c r="A46" s="129">
        <f>1+A43</f>
        <v>25</v>
      </c>
      <c r="B46" s="663" t="s">
        <v>765</v>
      </c>
      <c r="C46" s="128"/>
      <c r="D46" s="663"/>
      <c r="E46" s="50"/>
      <c r="F46" s="264"/>
      <c r="G46" s="264"/>
      <c r="H46" s="131" t="s">
        <v>720</v>
      </c>
      <c r="I46" s="50"/>
    </row>
    <row r="47" spans="1:9" ht="16.149999999999999" customHeight="1">
      <c r="A47" s="129">
        <f>1+A46</f>
        <v>26</v>
      </c>
      <c r="B47" s="663" t="s">
        <v>705</v>
      </c>
      <c r="C47" s="127" t="s">
        <v>720</v>
      </c>
      <c r="D47" s="264"/>
      <c r="E47" s="50"/>
      <c r="F47" s="50"/>
      <c r="G47" s="264"/>
      <c r="H47" s="131" t="s">
        <v>720</v>
      </c>
      <c r="I47" s="50"/>
    </row>
    <row r="48" spans="1:9" ht="16.149999999999999" customHeight="1">
      <c r="A48" s="129">
        <f>1+A47</f>
        <v>27</v>
      </c>
      <c r="B48" s="663" t="s">
        <v>766</v>
      </c>
      <c r="C48" s="128" t="s">
        <v>720</v>
      </c>
      <c r="D48" s="264"/>
      <c r="E48" s="50"/>
      <c r="F48" s="50"/>
      <c r="G48" s="264"/>
      <c r="H48" s="131" t="s">
        <v>720</v>
      </c>
      <c r="I48" s="50"/>
    </row>
    <row r="49" spans="1:9" ht="16.149999999999999" customHeight="1">
      <c r="A49" s="129">
        <f>1+A48</f>
        <v>28</v>
      </c>
      <c r="B49" s="663" t="s">
        <v>443</v>
      </c>
      <c r="C49" s="127" t="s">
        <v>720</v>
      </c>
      <c r="D49" s="264"/>
      <c r="E49" s="50"/>
      <c r="F49" s="50"/>
      <c r="G49" s="129"/>
      <c r="H49" s="131" t="s">
        <v>720</v>
      </c>
      <c r="I49" s="50"/>
    </row>
    <row r="50" spans="1:9" ht="16.149999999999999" customHeight="1">
      <c r="A50" s="129">
        <f>1+A49</f>
        <v>29</v>
      </c>
      <c r="B50" s="663" t="s">
        <v>767</v>
      </c>
      <c r="C50" s="128" t="s">
        <v>720</v>
      </c>
      <c r="D50" s="264"/>
      <c r="E50" s="50"/>
      <c r="F50" s="50"/>
      <c r="G50" s="129"/>
      <c r="H50" s="131" t="s">
        <v>720</v>
      </c>
      <c r="I50" s="50"/>
    </row>
    <row r="51" spans="1:9" ht="16.149999999999999" customHeight="1">
      <c r="A51" s="129">
        <f>1+A50</f>
        <v>30</v>
      </c>
      <c r="B51" s="663" t="s">
        <v>768</v>
      </c>
      <c r="C51" s="127" t="s">
        <v>720</v>
      </c>
      <c r="D51" s="264"/>
      <c r="E51" s="50"/>
      <c r="F51" s="50"/>
      <c r="G51" s="129"/>
      <c r="H51" s="131" t="s">
        <v>720</v>
      </c>
      <c r="I51" s="50"/>
    </row>
    <row r="52" spans="1:9" ht="16.899999999999999" customHeight="1">
      <c r="A52" s="129"/>
      <c r="B52" s="403" t="s">
        <v>769</v>
      </c>
      <c r="C52" s="127"/>
      <c r="D52" s="859"/>
      <c r="E52" s="859"/>
      <c r="F52" s="859"/>
      <c r="G52" s="859"/>
      <c r="H52" s="128"/>
      <c r="I52" s="141"/>
    </row>
    <row r="53" spans="1:9" ht="25.15" customHeight="1">
      <c r="B53" s="264"/>
      <c r="C53" s="264"/>
      <c r="D53" s="264"/>
      <c r="E53" s="404"/>
      <c r="F53" s="264"/>
      <c r="G53" s="264"/>
      <c r="I53" s="141"/>
    </row>
    <row r="54" spans="1:9" ht="25.15" customHeight="1">
      <c r="B54" s="264"/>
      <c r="C54" s="264"/>
      <c r="D54" s="264"/>
      <c r="E54" s="404"/>
      <c r="F54" s="264"/>
      <c r="G54" s="264"/>
      <c r="I54" s="141"/>
    </row>
    <row r="55" spans="1:9" ht="25.15" customHeight="1">
      <c r="B55" s="264"/>
      <c r="C55" s="264"/>
      <c r="D55" s="264"/>
      <c r="E55" s="404"/>
      <c r="F55" s="264"/>
      <c r="G55" s="264"/>
      <c r="I55" s="141"/>
    </row>
    <row r="56" spans="1:9" ht="25.15" customHeight="1">
      <c r="B56" s="264"/>
      <c r="C56" s="264"/>
      <c r="D56" s="264"/>
      <c r="E56" s="404"/>
      <c r="F56" s="264"/>
      <c r="G56" s="264"/>
      <c r="I56" s="141"/>
    </row>
    <row r="57" spans="1:9" ht="25.15" customHeight="1">
      <c r="B57" s="264"/>
      <c r="C57" s="264"/>
      <c r="D57" s="264"/>
      <c r="E57" s="404"/>
      <c r="F57" s="264"/>
      <c r="G57" s="264"/>
      <c r="I57" s="141"/>
    </row>
    <row r="58" spans="1:9" ht="25.15" customHeight="1">
      <c r="B58" s="264"/>
      <c r="C58" s="264"/>
      <c r="D58" s="264"/>
      <c r="E58" s="404"/>
      <c r="F58" s="264"/>
      <c r="G58" s="264"/>
      <c r="I58" s="141"/>
    </row>
    <row r="73" spans="2:2" ht="25.15" customHeight="1">
      <c r="B73" s="264" t="s">
        <v>770</v>
      </c>
    </row>
  </sheetData>
  <mergeCells count="22">
    <mergeCell ref="D37:D38"/>
    <mergeCell ref="I37:I38"/>
    <mergeCell ref="D42:D43"/>
    <mergeCell ref="I42:I43"/>
    <mergeCell ref="I14:I15"/>
    <mergeCell ref="I23:I24"/>
    <mergeCell ref="D34:D35"/>
    <mergeCell ref="I34:I35"/>
    <mergeCell ref="C28:D28"/>
    <mergeCell ref="I28:I32"/>
    <mergeCell ref="D10:D11"/>
    <mergeCell ref="C12:C13"/>
    <mergeCell ref="D1:F1"/>
    <mergeCell ref="B1:C1"/>
    <mergeCell ref="F7:H7"/>
    <mergeCell ref="F2:H2"/>
    <mergeCell ref="F3:H3"/>
    <mergeCell ref="F4:H4"/>
    <mergeCell ref="F5:I5"/>
    <mergeCell ref="F6:H6"/>
    <mergeCell ref="I1:I3"/>
    <mergeCell ref="I12:I13"/>
  </mergeCells>
  <printOptions gridLines="1"/>
  <pageMargins left="0.34" right="0.24" top="0.17" bottom="0.44" header="0.17" footer="0.17"/>
  <pageSetup orientation="portrait" r:id="rId1"/>
  <headerFooter>
    <oddFooter>&amp;L&amp;D&amp;T&amp;C&amp;A&amp;R&amp;F</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E1EB3-CE4E-4D9E-8ACF-2C479B28E8F4}">
  <sheetPr codeName="Sheet7"/>
  <dimension ref="A1:F70"/>
  <sheetViews>
    <sheetView showGridLines="0" topLeftCell="A41" zoomScaleNormal="100" zoomScaleSheetLayoutView="100" workbookViewId="0">
      <selection activeCell="A41" sqref="A41"/>
    </sheetView>
  </sheetViews>
  <sheetFormatPr defaultColWidth="8.85546875" defaultRowHeight="21"/>
  <cols>
    <col min="1" max="1" width="4.28515625" style="145" customWidth="1"/>
    <col min="2" max="2" width="70" style="41" customWidth="1"/>
    <col min="3" max="3" width="9.7109375" customWidth="1"/>
    <col min="4" max="4" width="8.5703125" customWidth="1"/>
    <col min="5" max="5" width="7.42578125" customWidth="1"/>
  </cols>
  <sheetData>
    <row r="1" spans="1:5" ht="21.6" thickBot="1">
      <c r="B1" s="268" t="s">
        <v>771</v>
      </c>
      <c r="C1" s="269" t="str">
        <f>+'jobinfo(2)'!C2</f>
        <v>628 Quilliams Road</v>
      </c>
    </row>
    <row r="2" spans="1:5" ht="46.15" customHeight="1" thickTop="1" thickBot="1">
      <c r="B2" s="269" t="str">
        <f>+'jobinfo(2)'!C1</f>
        <v>Hatten, Nedra</v>
      </c>
      <c r="C2" s="1044" t="s">
        <v>772</v>
      </c>
      <c r="D2" s="270" t="s">
        <v>773</v>
      </c>
      <c r="E2" s="1046" t="s">
        <v>774</v>
      </c>
    </row>
    <row r="3" spans="1:5" ht="13.9" customHeight="1" thickTop="1" thickBot="1">
      <c r="B3" s="271" t="s">
        <v>775</v>
      </c>
      <c r="C3" s="1045"/>
      <c r="D3" s="272"/>
      <c r="E3" s="1047"/>
    </row>
    <row r="4" spans="1:5" ht="19.899999999999999" customHeight="1" thickTop="1">
      <c r="B4" s="273" t="s">
        <v>776</v>
      </c>
      <c r="C4" s="274"/>
      <c r="D4" s="274"/>
      <c r="E4" s="54"/>
    </row>
    <row r="5" spans="1:5" ht="18" customHeight="1">
      <c r="B5" s="275" t="s">
        <v>777</v>
      </c>
      <c r="C5" s="1048" t="s">
        <v>778</v>
      </c>
      <c r="D5" s="1048"/>
      <c r="E5" s="1048"/>
    </row>
    <row r="6" spans="1:5" ht="22.15" customHeight="1">
      <c r="B6" s="276" t="s">
        <v>779</v>
      </c>
      <c r="C6" s="1048"/>
      <c r="D6" s="1048"/>
      <c r="E6" s="1048"/>
    </row>
    <row r="7" spans="1:5" ht="10.9" customHeight="1">
      <c r="B7" s="277" t="s">
        <v>780</v>
      </c>
      <c r="C7" s="1048"/>
      <c r="D7" s="1048"/>
      <c r="E7" s="1048"/>
    </row>
    <row r="8" spans="1:5" ht="4.9000000000000004" customHeight="1">
      <c r="B8" s="274"/>
      <c r="C8" s="278"/>
      <c r="D8" s="278"/>
      <c r="E8" s="278"/>
    </row>
    <row r="9" spans="1:5" ht="13.9" customHeight="1" thickBot="1">
      <c r="A9" s="145">
        <v>1</v>
      </c>
      <c r="B9" s="279" t="s">
        <v>781</v>
      </c>
      <c r="C9" s="1049"/>
      <c r="D9" s="1041"/>
      <c r="E9" s="1040"/>
    </row>
    <row r="10" spans="1:5" ht="22.15" customHeight="1" thickTop="1" thickBot="1">
      <c r="B10" s="280" t="s">
        <v>782</v>
      </c>
      <c r="C10" s="1049"/>
      <c r="D10" s="1041"/>
      <c r="E10" s="1040"/>
    </row>
    <row r="11" spans="1:5" ht="22.15" customHeight="1" thickTop="1" thickBot="1">
      <c r="B11" s="280" t="s">
        <v>783</v>
      </c>
      <c r="C11" s="1049"/>
      <c r="D11" s="1041"/>
      <c r="E11" s="1040"/>
    </row>
    <row r="12" spans="1:5" ht="22.15" customHeight="1" thickTop="1">
      <c r="B12" s="282" t="s">
        <v>784</v>
      </c>
      <c r="C12" s="19"/>
      <c r="D12" s="948"/>
      <c r="E12" s="949"/>
    </row>
    <row r="13" spans="1:5" ht="22.15" customHeight="1">
      <c r="A13" s="145">
        <v>2</v>
      </c>
      <c r="B13" s="282" t="s">
        <v>785</v>
      </c>
      <c r="C13" s="19"/>
      <c r="D13" s="948"/>
      <c r="E13" s="949"/>
    </row>
    <row r="14" spans="1:5" ht="24" customHeight="1" thickBot="1">
      <c r="A14" s="145">
        <v>3</v>
      </c>
      <c r="B14" s="283" t="s">
        <v>786</v>
      </c>
      <c r="C14" s="948"/>
      <c r="D14" s="949"/>
      <c r="E14" s="948"/>
    </row>
    <row r="15" spans="1:5" ht="21.6" thickTop="1">
      <c r="B15" s="284" t="s">
        <v>787</v>
      </c>
      <c r="C15" s="948"/>
      <c r="D15" s="949"/>
      <c r="E15" s="948"/>
    </row>
    <row r="16" spans="1:5">
      <c r="B16" s="285" t="s">
        <v>788</v>
      </c>
      <c r="C16" s="948"/>
      <c r="D16" s="949"/>
      <c r="E16" s="948"/>
    </row>
    <row r="17" spans="1:6" ht="21.6" thickBot="1">
      <c r="A17" s="145">
        <v>4</v>
      </c>
      <c r="B17" s="286" t="s">
        <v>789</v>
      </c>
      <c r="C17" s="948"/>
      <c r="D17" s="949"/>
      <c r="E17" s="948"/>
    </row>
    <row r="18" spans="1:6" ht="22.15" thickTop="1" thickBot="1">
      <c r="B18" s="280" t="s">
        <v>790</v>
      </c>
      <c r="C18" s="948"/>
      <c r="D18" s="949"/>
      <c r="E18" s="948"/>
    </row>
    <row r="19" spans="1:6" ht="22.15" customHeight="1" thickTop="1" thickBot="1">
      <c r="A19" s="145">
        <v>5</v>
      </c>
      <c r="B19" s="287" t="s">
        <v>791</v>
      </c>
      <c r="C19" s="1041"/>
      <c r="D19" s="1041"/>
      <c r="E19" s="1040"/>
    </row>
    <row r="20" spans="1:6" ht="37.15" customHeight="1" thickTop="1" thickBot="1">
      <c r="B20" s="288" t="s">
        <v>792</v>
      </c>
      <c r="C20" s="1041"/>
      <c r="D20" s="1041"/>
      <c r="E20" s="1040"/>
    </row>
    <row r="21" spans="1:6" ht="28.15" customHeight="1" thickTop="1" thickBot="1">
      <c r="A21" s="145">
        <v>6</v>
      </c>
      <c r="B21" s="289" t="s">
        <v>793</v>
      </c>
      <c r="C21" s="1050"/>
      <c r="D21" s="1052"/>
      <c r="E21" s="1050"/>
      <c r="F21" s="290"/>
    </row>
    <row r="22" spans="1:6" ht="18" customHeight="1" thickTop="1" thickBot="1">
      <c r="B22" s="280" t="s">
        <v>794</v>
      </c>
      <c r="C22" s="1051"/>
      <c r="D22" s="1053"/>
      <c r="E22" s="1051"/>
      <c r="F22" s="290"/>
    </row>
    <row r="23" spans="1:6" ht="16.149999999999999" customHeight="1" thickTop="1" thickBot="1">
      <c r="B23" s="291" t="s">
        <v>795</v>
      </c>
      <c r="C23" s="13"/>
      <c r="D23" s="19"/>
      <c r="E23" s="13"/>
      <c r="F23" s="290"/>
    </row>
    <row r="24" spans="1:6" ht="22.15" thickTop="1" thickBot="1">
      <c r="A24" s="145">
        <v>7</v>
      </c>
      <c r="B24" s="279" t="s">
        <v>796</v>
      </c>
      <c r="C24" s="13"/>
      <c r="D24" s="19"/>
      <c r="E24" s="13"/>
      <c r="F24" s="290"/>
    </row>
    <row r="25" spans="1:6" ht="24" customHeight="1" thickTop="1" thickBot="1">
      <c r="A25" s="145">
        <v>8</v>
      </c>
      <c r="B25" s="292" t="s">
        <v>797</v>
      </c>
      <c r="C25" s="1040"/>
      <c r="D25" s="1041"/>
      <c r="E25" s="1040"/>
      <c r="F25" s="290"/>
    </row>
    <row r="26" spans="1:6" ht="18" customHeight="1" thickTop="1" thickBot="1">
      <c r="B26" s="279" t="s">
        <v>798</v>
      </c>
      <c r="C26" s="1040"/>
      <c r="D26" s="1041"/>
      <c r="E26" s="1040"/>
      <c r="F26" s="293"/>
    </row>
    <row r="27" spans="1:6" ht="22.15" customHeight="1" thickTop="1" thickBot="1">
      <c r="A27" s="145">
        <v>9</v>
      </c>
      <c r="B27" s="294" t="s">
        <v>799</v>
      </c>
      <c r="C27" s="1039"/>
      <c r="D27" s="1040"/>
      <c r="E27" s="1041"/>
      <c r="F27" s="290"/>
    </row>
    <row r="28" spans="1:6" ht="16.149999999999999" customHeight="1" thickTop="1" thickBot="1">
      <c r="B28" s="295" t="s">
        <v>800</v>
      </c>
      <c r="C28" s="1039"/>
      <c r="D28" s="1040"/>
      <c r="E28" s="1041"/>
      <c r="F28" s="293"/>
    </row>
    <row r="29" spans="1:6" ht="16.149999999999999" customHeight="1" thickTop="1" thickBot="1">
      <c r="B29" s="295" t="s">
        <v>801</v>
      </c>
      <c r="C29" s="1039"/>
      <c r="D29" s="1040"/>
      <c r="E29" s="1041"/>
      <c r="F29" s="290"/>
    </row>
    <row r="30" spans="1:6" ht="15" customHeight="1" thickTop="1">
      <c r="B30" s="281" t="s">
        <v>802</v>
      </c>
      <c r="C30" s="13"/>
      <c r="D30" s="949"/>
      <c r="E30" s="948"/>
      <c r="F30" s="290"/>
    </row>
    <row r="31" spans="1:6" ht="15" customHeight="1">
      <c r="A31" s="145">
        <v>10</v>
      </c>
      <c r="B31" s="296" t="s">
        <v>803</v>
      </c>
      <c r="C31" s="13"/>
      <c r="D31" s="949"/>
      <c r="E31" s="948"/>
      <c r="F31" s="290"/>
    </row>
    <row r="32" spans="1:6" ht="15" customHeight="1">
      <c r="A32" s="145">
        <v>11</v>
      </c>
      <c r="B32" s="296" t="s">
        <v>804</v>
      </c>
      <c r="C32" s="13"/>
      <c r="D32" s="949"/>
      <c r="E32" s="948"/>
      <c r="F32" s="290"/>
    </row>
    <row r="33" spans="1:5" ht="16.149999999999999" customHeight="1">
      <c r="B33" s="297" t="s">
        <v>805</v>
      </c>
    </row>
    <row r="34" spans="1:5" ht="12" customHeight="1">
      <c r="B34" s="1029" t="s">
        <v>806</v>
      </c>
      <c r="C34" s="1029"/>
      <c r="D34" s="1029"/>
      <c r="E34" s="1029"/>
    </row>
    <row r="35" spans="1:5" ht="16.149999999999999" customHeight="1">
      <c r="B35" s="1042" t="s">
        <v>807</v>
      </c>
      <c r="C35" s="1042"/>
      <c r="D35" s="1042"/>
      <c r="E35" s="1042"/>
    </row>
    <row r="37" spans="1:5" ht="15">
      <c r="A37" s="1036" t="s">
        <v>808</v>
      </c>
      <c r="B37" s="1036"/>
      <c r="C37" s="1036"/>
      <c r="D37" s="1036"/>
    </row>
    <row r="38" spans="1:5" ht="15.6">
      <c r="A38" s="1037" t="s">
        <v>809</v>
      </c>
      <c r="B38" s="1037"/>
      <c r="C38" s="1037"/>
      <c r="D38" s="1037"/>
    </row>
    <row r="39" spans="1:5" ht="18">
      <c r="A39" s="298" t="s">
        <v>810</v>
      </c>
      <c r="B39"/>
      <c r="D39" s="54"/>
    </row>
    <row r="40" spans="1:5" ht="18">
      <c r="A40" s="676" t="s">
        <v>811</v>
      </c>
      <c r="C40" s="299"/>
      <c r="D40" s="299"/>
    </row>
    <row r="41" spans="1:5" ht="18">
      <c r="A41" s="670" t="s">
        <v>812</v>
      </c>
      <c r="B41" s="299"/>
      <c r="C41" s="299"/>
      <c r="D41" s="299"/>
    </row>
    <row r="42" spans="1:5" ht="18">
      <c r="A42" s="300" t="s">
        <v>813</v>
      </c>
      <c r="B42" s="299"/>
      <c r="C42" s="299"/>
      <c r="D42" s="299"/>
    </row>
    <row r="43" spans="1:5" ht="18">
      <c r="A43" s="300"/>
      <c r="B43" s="299"/>
      <c r="C43" s="299"/>
      <c r="D43" s="299"/>
    </row>
    <row r="44" spans="1:5" ht="18">
      <c r="A44" s="301">
        <v>1</v>
      </c>
      <c r="B44" s="674" t="s">
        <v>814</v>
      </c>
      <c r="C44" s="299"/>
      <c r="D44" s="299"/>
    </row>
    <row r="45" spans="1:5" ht="28.15" customHeight="1">
      <c r="A45" s="301">
        <f>1+A44</f>
        <v>2</v>
      </c>
      <c r="B45" s="302" t="s">
        <v>815</v>
      </c>
      <c r="C45" s="1038" t="s">
        <v>816</v>
      </c>
      <c r="D45" s="1038"/>
      <c r="E45" s="1038"/>
    </row>
    <row r="46" spans="1:5" ht="28.15" customHeight="1">
      <c r="A46" s="301">
        <f>1+A45</f>
        <v>3</v>
      </c>
      <c r="B46" s="390" t="s">
        <v>817</v>
      </c>
      <c r="C46" s="1038"/>
      <c r="D46" s="1038"/>
      <c r="E46" s="1038"/>
    </row>
    <row r="47" spans="1:5" ht="28.15" customHeight="1">
      <c r="A47" s="301">
        <f>1+A46</f>
        <v>4</v>
      </c>
      <c r="B47" s="390" t="s">
        <v>818</v>
      </c>
      <c r="C47" s="303"/>
      <c r="D47" s="303"/>
    </row>
    <row r="48" spans="1:5" ht="28.15" customHeight="1">
      <c r="C48" s="49"/>
      <c r="E48" s="49"/>
    </row>
    <row r="49" spans="1:5" ht="33" customHeight="1">
      <c r="A49" s="301"/>
      <c r="B49" s="673" t="s">
        <v>819</v>
      </c>
      <c r="D49" s="355" t="s">
        <v>820</v>
      </c>
    </row>
    <row r="50" spans="1:5" ht="33" customHeight="1">
      <c r="A50" s="301"/>
      <c r="B50" s="390" t="s">
        <v>821</v>
      </c>
      <c r="D50" s="304"/>
    </row>
    <row r="51" spans="1:5" ht="28.15" customHeight="1">
      <c r="A51" s="301">
        <f>1+A47</f>
        <v>5</v>
      </c>
      <c r="B51" s="390" t="s">
        <v>822</v>
      </c>
      <c r="C51" s="189" t="s">
        <v>823</v>
      </c>
      <c r="D51" s="187"/>
      <c r="E51" s="188" t="s">
        <v>824</v>
      </c>
    </row>
    <row r="52" spans="1:5" ht="28.15" customHeight="1">
      <c r="A52" s="301">
        <f>1+A51</f>
        <v>6</v>
      </c>
      <c r="B52" s="390" t="s">
        <v>825</v>
      </c>
      <c r="C52" s="303"/>
    </row>
    <row r="53" spans="1:5" ht="30" customHeight="1">
      <c r="A53" s="301">
        <f>1+A52</f>
        <v>7</v>
      </c>
      <c r="B53" s="390" t="s">
        <v>826</v>
      </c>
      <c r="C53" s="303"/>
      <c r="D53" s="1043" t="s">
        <v>827</v>
      </c>
      <c r="E53" s="1043"/>
    </row>
    <row r="54" spans="1:5" ht="30" customHeight="1">
      <c r="A54" s="301">
        <f t="shared" ref="A54:A62" si="0">1+A53</f>
        <v>8</v>
      </c>
      <c r="B54" s="41" t="s">
        <v>828</v>
      </c>
      <c r="C54" s="303"/>
      <c r="D54" s="675"/>
    </row>
    <row r="55" spans="1:5" ht="30" customHeight="1">
      <c r="A55" s="301">
        <f t="shared" si="0"/>
        <v>9</v>
      </c>
      <c r="B55" s="41" t="s">
        <v>829</v>
      </c>
      <c r="C55" s="303"/>
      <c r="D55" s="305"/>
    </row>
    <row r="56" spans="1:5" ht="30" customHeight="1">
      <c r="A56" s="301">
        <f t="shared" si="0"/>
        <v>10</v>
      </c>
      <c r="B56" s="41" t="s">
        <v>830</v>
      </c>
      <c r="C56" s="303"/>
      <c r="D56" s="305"/>
    </row>
    <row r="57" spans="1:5" ht="30" customHeight="1">
      <c r="A57" s="301">
        <f t="shared" si="0"/>
        <v>11</v>
      </c>
      <c r="B57" s="41" t="s">
        <v>831</v>
      </c>
      <c r="C57" s="303"/>
      <c r="D57" s="305"/>
    </row>
    <row r="58" spans="1:5" ht="30" customHeight="1">
      <c r="B58" s="671" t="s">
        <v>832</v>
      </c>
      <c r="D58" s="305"/>
    </row>
    <row r="59" spans="1:5" ht="30" customHeight="1">
      <c r="A59" s="301">
        <f>1+A57</f>
        <v>12</v>
      </c>
      <c r="B59" s="672" t="s">
        <v>833</v>
      </c>
      <c r="D59" s="305"/>
    </row>
    <row r="60" spans="1:5" ht="30" customHeight="1">
      <c r="A60" s="301">
        <f t="shared" si="0"/>
        <v>13</v>
      </c>
      <c r="B60" s="672" t="s">
        <v>833</v>
      </c>
      <c r="D60" s="305"/>
    </row>
    <row r="61" spans="1:5" ht="30" customHeight="1">
      <c r="A61" s="301">
        <f t="shared" si="0"/>
        <v>14</v>
      </c>
      <c r="B61" s="672" t="s">
        <v>833</v>
      </c>
      <c r="D61" s="305"/>
    </row>
    <row r="62" spans="1:5" ht="28.15" customHeight="1">
      <c r="A62" s="301">
        <f t="shared" si="0"/>
        <v>15</v>
      </c>
      <c r="B62" s="527" t="s">
        <v>834</v>
      </c>
      <c r="C62" s="41"/>
    </row>
    <row r="63" spans="1:5" ht="28.15" customHeight="1">
      <c r="B63" s="145"/>
      <c r="C63" s="41"/>
      <c r="D63" s="604"/>
      <c r="E63" s="604"/>
    </row>
    <row r="64" spans="1:5" ht="28.15" customHeight="1">
      <c r="B64" s="145"/>
      <c r="C64" s="41"/>
      <c r="D64" s="604"/>
      <c r="E64" s="604"/>
    </row>
    <row r="65" spans="2:4" ht="28.15" customHeight="1">
      <c r="B65" s="145"/>
      <c r="C65" s="41"/>
      <c r="D65" s="303"/>
    </row>
    <row r="66" spans="2:4" ht="28.15" customHeight="1">
      <c r="B66" s="145"/>
      <c r="C66" s="41"/>
      <c r="D66" s="303"/>
    </row>
    <row r="67" spans="2:4" ht="28.15" customHeight="1">
      <c r="B67" s="145"/>
      <c r="C67" s="41"/>
      <c r="D67" s="303"/>
    </row>
    <row r="68" spans="2:4" ht="28.15" customHeight="1">
      <c r="B68" s="145"/>
      <c r="C68" s="41" t="s">
        <v>835</v>
      </c>
      <c r="D68" s="303"/>
    </row>
    <row r="69" spans="2:4" ht="28.15" customHeight="1">
      <c r="C69" s="303"/>
      <c r="D69" s="303"/>
    </row>
    <row r="70" spans="2:4" ht="28.15" customHeight="1">
      <c r="C70" s="303"/>
      <c r="D70" s="303"/>
    </row>
  </sheetData>
  <mergeCells count="24">
    <mergeCell ref="D53:E53"/>
    <mergeCell ref="C2:C3"/>
    <mergeCell ref="E2:E3"/>
    <mergeCell ref="C5:E7"/>
    <mergeCell ref="C9:C11"/>
    <mergeCell ref="D9:D11"/>
    <mergeCell ref="E9:E11"/>
    <mergeCell ref="C19:C20"/>
    <mergeCell ref="D19:D20"/>
    <mergeCell ref="E19:E20"/>
    <mergeCell ref="C21:C22"/>
    <mergeCell ref="D21:D22"/>
    <mergeCell ref="E21:E22"/>
    <mergeCell ref="C25:C26"/>
    <mergeCell ref="D25:D26"/>
    <mergeCell ref="E25:E26"/>
    <mergeCell ref="A37:D37"/>
    <mergeCell ref="A38:D38"/>
    <mergeCell ref="C45:E46"/>
    <mergeCell ref="C27:C29"/>
    <mergeCell ref="D27:D29"/>
    <mergeCell ref="E27:E29"/>
    <mergeCell ref="B34:E34"/>
    <mergeCell ref="B35:E35"/>
  </mergeCells>
  <pageMargins left="0.43" right="0.21" top="0.36" bottom="0.45" header="0.3" footer="0.17"/>
  <pageSetup orientation="portrait" r:id="rId1"/>
  <headerFooter>
    <oddFooter>&amp;LPage &amp;P of &amp;N&amp;C&amp;A &amp;D &amp;T&amp;R&amp;F</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4C63D-336F-4D37-BFC8-F6EC81C60C30}">
  <sheetPr codeName="Sheet4">
    <tabColor rgb="FF92D050"/>
  </sheetPr>
  <dimension ref="A1:H94"/>
  <sheetViews>
    <sheetView view="pageBreakPreview" topLeftCell="A13" zoomScaleNormal="100" zoomScaleSheetLayoutView="100" workbookViewId="0">
      <selection activeCell="A27" sqref="A27"/>
    </sheetView>
  </sheetViews>
  <sheetFormatPr defaultRowHeight="14.45"/>
  <cols>
    <col min="1" max="1" width="19.7109375" customWidth="1"/>
    <col min="2" max="2" width="39.140625" customWidth="1"/>
    <col min="3" max="3" width="15.7109375" customWidth="1"/>
    <col min="4" max="4" width="16" customWidth="1"/>
    <col min="5" max="5" width="8.85546875" customWidth="1"/>
    <col min="6" max="6" width="1" customWidth="1"/>
  </cols>
  <sheetData>
    <row r="1" spans="1:6" ht="21" customHeight="1">
      <c r="A1" s="337" t="s">
        <v>836</v>
      </c>
      <c r="B1" s="337"/>
      <c r="C1" s="338" t="str">
        <f>+'jobinfo(2)'!C2</f>
        <v>628 Quilliams Road</v>
      </c>
    </row>
    <row r="2" spans="1:6" ht="22.15" customHeight="1">
      <c r="A2" s="338" t="str">
        <f>+'jobinfo(2)'!C1</f>
        <v>Hatten, Nedra</v>
      </c>
      <c r="B2" s="338" t="str">
        <f>+'jobinfo(2)'!C5</f>
        <v>(216) 240-4123</v>
      </c>
      <c r="C2" s="338" t="str">
        <f>+'jobinfo(2)'!C3</f>
        <v>Cleveland Heights, OH 44121</v>
      </c>
    </row>
    <row r="3" spans="1:6" ht="22.15" customHeight="1">
      <c r="A3" s="338" t="str">
        <f>+'jobinfo(2)'!B27</f>
        <v xml:space="preserve">Claim # </v>
      </c>
      <c r="B3" s="338" t="str">
        <f>+'jobinfo(2)'!C27</f>
        <v>#059633981</v>
      </c>
      <c r="C3" s="338" t="str">
        <f>+'jobinfo(2)'!C26</f>
        <v>LIBERTY MUTUAL</v>
      </c>
      <c r="D3" s="339"/>
    </row>
    <row r="4" spans="1:6" ht="33" customHeight="1">
      <c r="A4" s="338" t="str">
        <f>+'jobinfo(2)'!B12</f>
        <v>date of loss</v>
      </c>
      <c r="B4" s="340" t="str">
        <f>+'jobinfo(2)'!C12</f>
        <v>Monday, June 16, 2025</v>
      </c>
      <c r="C4" s="341" t="str">
        <f>+'jobinfo(2)'!B11</f>
        <v>Cause of Loss</v>
      </c>
      <c r="D4" s="341" t="str">
        <f>+'jobinfo(2)'!C11</f>
        <v>BATHTUB OVERFLOW</v>
      </c>
    </row>
    <row r="5" spans="1:6" ht="33" customHeight="1">
      <c r="A5" s="342" t="s">
        <v>837</v>
      </c>
      <c r="B5" s="343" t="str">
        <f>+'jobinfo(2)'!C13</f>
        <v>interior repairs LVL2</v>
      </c>
      <c r="C5" s="343" t="str">
        <f>+'jobinfo(2)'!C14</f>
        <v>interior repairs LVL1</v>
      </c>
      <c r="D5" s="341" t="str">
        <f>+'jobinfo(2)'!C15</f>
        <v>BASEMENT</v>
      </c>
    </row>
    <row r="6" spans="1:6" ht="33" customHeight="1">
      <c r="A6" s="344" t="s">
        <v>838</v>
      </c>
      <c r="B6" s="344"/>
      <c r="C6" s="1058" t="s">
        <v>839</v>
      </c>
      <c r="D6" s="1058"/>
    </row>
    <row r="7" spans="1:6" ht="33" customHeight="1">
      <c r="A7" s="344"/>
      <c r="B7" s="344"/>
      <c r="C7" s="952"/>
      <c r="D7" s="952"/>
    </row>
    <row r="8" spans="1:6" ht="33" customHeight="1">
      <c r="A8" s="344"/>
      <c r="B8" s="344"/>
      <c r="C8" s="952"/>
      <c r="D8" s="952"/>
    </row>
    <row r="9" spans="1:6" ht="33" customHeight="1">
      <c r="A9" s="344"/>
      <c r="B9" s="344"/>
      <c r="C9" s="952"/>
      <c r="D9" s="952"/>
    </row>
    <row r="10" spans="1:6" ht="33" customHeight="1">
      <c r="A10" s="1054" t="s">
        <v>840</v>
      </c>
      <c r="B10" s="1054"/>
      <c r="C10" s="1054" t="s">
        <v>840</v>
      </c>
      <c r="D10" s="1054"/>
    </row>
    <row r="11" spans="1:6" ht="16.149999999999999" customHeight="1">
      <c r="A11" s="345" t="s">
        <v>841</v>
      </c>
      <c r="B11" s="186" t="s">
        <v>842</v>
      </c>
      <c r="C11" s="186" t="s">
        <v>843</v>
      </c>
      <c r="D11" s="186" t="s">
        <v>844</v>
      </c>
      <c r="E11" s="186" t="s">
        <v>845</v>
      </c>
      <c r="F11" s="186"/>
    </row>
    <row r="12" spans="1:6" ht="33" customHeight="1">
      <c r="A12" s="346" t="s">
        <v>846</v>
      </c>
      <c r="B12" s="347" t="s">
        <v>847</v>
      </c>
      <c r="C12" s="953" t="s">
        <v>840</v>
      </c>
      <c r="D12" s="186" t="s">
        <v>848</v>
      </c>
      <c r="E12" s="348"/>
      <c r="F12" s="186"/>
    </row>
    <row r="13" spans="1:6" ht="33" customHeight="1">
      <c r="A13" s="1059" t="s">
        <v>849</v>
      </c>
      <c r="B13" s="1059"/>
      <c r="C13" s="349" t="s">
        <v>850</v>
      </c>
      <c r="D13" s="349" t="s">
        <v>851</v>
      </c>
    </row>
    <row r="14" spans="1:6" ht="33" customHeight="1">
      <c r="A14" s="1060" t="s">
        <v>852</v>
      </c>
      <c r="B14" s="1060"/>
      <c r="C14" s="349" t="s">
        <v>850</v>
      </c>
      <c r="D14" s="349" t="s">
        <v>851</v>
      </c>
    </row>
    <row r="15" spans="1:6" ht="33" customHeight="1">
      <c r="A15" s="350" t="s">
        <v>706</v>
      </c>
      <c r="B15" s="351" t="s">
        <v>853</v>
      </c>
      <c r="C15" s="349" t="s">
        <v>850</v>
      </c>
      <c r="D15" s="349" t="s">
        <v>851</v>
      </c>
    </row>
    <row r="16" spans="1:6" ht="33" customHeight="1">
      <c r="A16" s="350" t="s">
        <v>854</v>
      </c>
      <c r="B16" s="351" t="s">
        <v>855</v>
      </c>
      <c r="C16" s="349" t="s">
        <v>850</v>
      </c>
      <c r="D16" s="349" t="s">
        <v>851</v>
      </c>
    </row>
    <row r="17" spans="1:4" ht="33" customHeight="1">
      <c r="A17" s="350" t="s">
        <v>856</v>
      </c>
      <c r="B17" s="351"/>
      <c r="C17" s="349"/>
      <c r="D17" s="349"/>
    </row>
    <row r="18" spans="1:4" ht="22.15" customHeight="1">
      <c r="A18" s="350" t="s">
        <v>704</v>
      </c>
      <c r="B18" s="953" t="s">
        <v>857</v>
      </c>
      <c r="C18" s="349" t="s">
        <v>850</v>
      </c>
      <c r="D18" s="349" t="s">
        <v>851</v>
      </c>
    </row>
    <row r="19" spans="1:4" ht="22.15" customHeight="1">
      <c r="A19" s="47" t="s">
        <v>858</v>
      </c>
      <c r="B19" s="352" t="s">
        <v>857</v>
      </c>
      <c r="C19" s="349" t="s">
        <v>850</v>
      </c>
      <c r="D19" s="349" t="s">
        <v>851</v>
      </c>
    </row>
    <row r="20" spans="1:4" ht="22.15" customHeight="1">
      <c r="A20" s="47" t="s">
        <v>441</v>
      </c>
      <c r="B20" s="352" t="s">
        <v>857</v>
      </c>
      <c r="C20" s="349" t="s">
        <v>850</v>
      </c>
      <c r="D20" s="349" t="s">
        <v>851</v>
      </c>
    </row>
    <row r="21" spans="1:4" ht="22.15" customHeight="1">
      <c r="A21" s="350" t="s">
        <v>859</v>
      </c>
      <c r="B21" s="47" t="s">
        <v>860</v>
      </c>
      <c r="C21" s="349" t="s">
        <v>850</v>
      </c>
      <c r="D21" s="349" t="s">
        <v>851</v>
      </c>
    </row>
    <row r="22" spans="1:4" ht="22.15" customHeight="1">
      <c r="A22" s="350" t="s">
        <v>861</v>
      </c>
      <c r="C22" s="349" t="s">
        <v>850</v>
      </c>
      <c r="D22" s="349" t="s">
        <v>851</v>
      </c>
    </row>
    <row r="23" spans="1:4" s="2" customFormat="1" ht="43.9" customHeight="1">
      <c r="A23" s="43" t="s">
        <v>862</v>
      </c>
      <c r="C23" s="353" t="s">
        <v>850</v>
      </c>
      <c r="D23" s="353" t="s">
        <v>851</v>
      </c>
    </row>
    <row r="24" spans="1:4" s="147" customFormat="1" ht="43.9" customHeight="1">
      <c r="A24" s="354" t="s">
        <v>863</v>
      </c>
      <c r="B24" s="355" t="s">
        <v>857</v>
      </c>
      <c r="C24" s="356"/>
      <c r="D24" s="357" t="s">
        <v>864</v>
      </c>
    </row>
    <row r="27" spans="1:4" ht="18">
      <c r="A27" s="144" t="s">
        <v>865</v>
      </c>
      <c r="B27" s="358" t="s">
        <v>866</v>
      </c>
    </row>
    <row r="28" spans="1:4" ht="18">
      <c r="B28" s="359" t="str">
        <f>+'jobinfo(2)'!C1</f>
        <v>Hatten, Nedra</v>
      </c>
      <c r="C28" s="360"/>
      <c r="D28" s="47"/>
    </row>
    <row r="29" spans="1:4" ht="18">
      <c r="A29" s="361" t="s">
        <v>867</v>
      </c>
      <c r="B29" s="359" t="str">
        <f>+'jobinfo(2)'!C2</f>
        <v>628 Quilliams Road</v>
      </c>
      <c r="C29" s="47"/>
      <c r="D29" s="350" t="str">
        <f>+B2</f>
        <v>(216) 240-4123</v>
      </c>
    </row>
    <row r="30" spans="1:4" ht="18">
      <c r="A30" s="951" t="s">
        <v>868</v>
      </c>
      <c r="B30" s="359" t="str">
        <f>+'jobinfo(2)'!C3</f>
        <v>Cleveland Heights, OH 44121</v>
      </c>
      <c r="C30" s="47"/>
    </row>
    <row r="31" spans="1:4" ht="15.6">
      <c r="A31" s="1062" t="s">
        <v>869</v>
      </c>
      <c r="B31" s="1063"/>
      <c r="C31" s="1063"/>
      <c r="D31" s="47"/>
    </row>
    <row r="32" spans="1:4" ht="18">
      <c r="A32" s="362" t="s">
        <v>452</v>
      </c>
      <c r="B32" s="359" t="str">
        <f>+'jobinfo(2)'!C26</f>
        <v>LIBERTY MUTUAL</v>
      </c>
      <c r="C32" s="363" t="s">
        <v>457</v>
      </c>
      <c r="D32" s="363" t="str">
        <f>+B3</f>
        <v>#059633981</v>
      </c>
    </row>
    <row r="33" spans="1:4" ht="15.6">
      <c r="A33" s="364" t="s">
        <v>870</v>
      </c>
      <c r="B33" s="365"/>
      <c r="C33" s="365" t="s">
        <v>871</v>
      </c>
      <c r="D33" s="365"/>
    </row>
    <row r="34" spans="1:4" ht="15.6">
      <c r="A34" s="366" t="s">
        <v>872</v>
      </c>
      <c r="B34" s="366"/>
      <c r="C34" s="366"/>
      <c r="D34" s="339"/>
    </row>
    <row r="35" spans="1:4" ht="30.6">
      <c r="A35" s="367" t="s">
        <v>873</v>
      </c>
      <c r="B35" s="367" t="s">
        <v>874</v>
      </c>
      <c r="C35" s="368" t="s">
        <v>875</v>
      </c>
      <c r="D35" s="367" t="s">
        <v>874</v>
      </c>
    </row>
    <row r="36" spans="1:4" ht="9" customHeight="1">
      <c r="A36" s="369"/>
      <c r="B36" s="369"/>
      <c r="C36" s="369"/>
      <c r="D36" s="47"/>
    </row>
    <row r="37" spans="1:4" ht="15">
      <c r="A37" s="1064" t="s">
        <v>876</v>
      </c>
      <c r="B37" s="1064"/>
      <c r="C37" s="1064"/>
      <c r="D37" s="1064"/>
    </row>
    <row r="38" spans="1:4" ht="18">
      <c r="A38" s="1067" t="s">
        <v>877</v>
      </c>
      <c r="B38" s="370" t="str">
        <f>+'jobinfo(2)'!C46</f>
        <v>(800) 225-2467</v>
      </c>
      <c r="C38" s="1065">
        <f>+'jobinfo(2)'!C31</f>
        <v>0</v>
      </c>
      <c r="D38" s="1065"/>
    </row>
    <row r="39" spans="1:4">
      <c r="A39" s="1067"/>
    </row>
    <row r="40" spans="1:4" ht="18">
      <c r="A40" s="1066" t="s">
        <v>878</v>
      </c>
      <c r="B40" s="371" t="s">
        <v>879</v>
      </c>
      <c r="C40" s="371"/>
      <c r="D40" s="367"/>
    </row>
    <row r="41" spans="1:4" ht="15.6">
      <c r="A41" s="1066"/>
      <c r="B41" s="342" t="s">
        <v>880</v>
      </c>
      <c r="C41" s="342"/>
      <c r="D41" s="372" t="str">
        <f>+'jobinfo(2)'!C36</f>
        <v>PH</v>
      </c>
    </row>
    <row r="42" spans="1:4" ht="15.6">
      <c r="A42" s="1066"/>
      <c r="B42" s="342" t="s">
        <v>881</v>
      </c>
      <c r="C42" s="342"/>
      <c r="D42" s="342"/>
    </row>
    <row r="43" spans="1:4" ht="18">
      <c r="A43" s="1066" t="s">
        <v>882</v>
      </c>
      <c r="B43" s="371" t="s">
        <v>883</v>
      </c>
      <c r="C43" s="371"/>
      <c r="D43" s="371"/>
    </row>
    <row r="44" spans="1:4" ht="18">
      <c r="A44" s="1066"/>
      <c r="B44" s="373" t="s">
        <v>884</v>
      </c>
      <c r="C44" s="373"/>
      <c r="D44" s="374" t="str">
        <f>+'jobinfo(2)'!C12</f>
        <v>Monday, June 16, 2025</v>
      </c>
    </row>
    <row r="45" spans="1:4" ht="15.6">
      <c r="A45" s="47"/>
      <c r="B45" s="372"/>
      <c r="C45" s="372"/>
      <c r="D45" s="372"/>
    </row>
    <row r="46" spans="1:4" ht="18">
      <c r="A46" s="1066" t="s">
        <v>885</v>
      </c>
      <c r="B46" s="342" t="s">
        <v>886</v>
      </c>
      <c r="C46" s="47"/>
      <c r="D46" s="375" t="s">
        <v>887</v>
      </c>
    </row>
    <row r="47" spans="1:4" ht="15.6">
      <c r="A47" s="1066"/>
      <c r="B47" s="342" t="s">
        <v>888</v>
      </c>
      <c r="C47" s="47"/>
      <c r="D47" s="47" t="s">
        <v>889</v>
      </c>
    </row>
    <row r="48" spans="1:4" ht="15.6">
      <c r="A48" s="47" t="s">
        <v>889</v>
      </c>
      <c r="B48" s="342" t="s">
        <v>890</v>
      </c>
      <c r="C48" s="342" t="s">
        <v>891</v>
      </c>
      <c r="D48" s="342" t="s">
        <v>892</v>
      </c>
    </row>
    <row r="49" spans="1:5" ht="15.6">
      <c r="A49" s="342" t="s">
        <v>891</v>
      </c>
      <c r="B49" s="342" t="s">
        <v>890</v>
      </c>
      <c r="C49" s="342" t="s">
        <v>891</v>
      </c>
      <c r="D49" s="342" t="s">
        <v>892</v>
      </c>
    </row>
    <row r="50" spans="1:5" ht="15.6">
      <c r="A50" s="342" t="s">
        <v>891</v>
      </c>
      <c r="B50" s="342" t="s">
        <v>890</v>
      </c>
      <c r="C50" s="342" t="s">
        <v>891</v>
      </c>
      <c r="D50" s="342" t="s">
        <v>892</v>
      </c>
    </row>
    <row r="51" spans="1:5" ht="15.6">
      <c r="A51" s="47" t="s">
        <v>893</v>
      </c>
      <c r="B51" s="47"/>
      <c r="C51" s="376" t="s">
        <v>894</v>
      </c>
      <c r="D51" s="376"/>
    </row>
    <row r="52" spans="1:5" ht="15.6">
      <c r="A52" s="377" t="s">
        <v>891</v>
      </c>
      <c r="B52" s="342" t="s">
        <v>890</v>
      </c>
      <c r="C52" s="342" t="s">
        <v>891</v>
      </c>
      <c r="D52" s="342" t="s">
        <v>892</v>
      </c>
    </row>
    <row r="53" spans="1:5" ht="15.6">
      <c r="A53" s="342" t="s">
        <v>891</v>
      </c>
      <c r="B53" s="342" t="s">
        <v>890</v>
      </c>
      <c r="C53" s="342" t="s">
        <v>891</v>
      </c>
      <c r="D53" s="342" t="s">
        <v>892</v>
      </c>
    </row>
    <row r="54" spans="1:5" ht="15.6">
      <c r="A54" s="342"/>
      <c r="B54" s="342"/>
      <c r="C54" s="342"/>
      <c r="D54" s="342"/>
    </row>
    <row r="55" spans="1:5" ht="15.6">
      <c r="A55" s="47" t="s">
        <v>895</v>
      </c>
      <c r="B55" s="47"/>
      <c r="C55" s="47"/>
      <c r="D55" s="372"/>
    </row>
    <row r="56" spans="1:5" ht="15.6">
      <c r="A56" s="342" t="s">
        <v>891</v>
      </c>
      <c r="B56" s="342" t="s">
        <v>890</v>
      </c>
      <c r="C56" s="342" t="s">
        <v>891</v>
      </c>
      <c r="D56" s="342" t="s">
        <v>892</v>
      </c>
    </row>
    <row r="57" spans="1:5" ht="15.6" customHeight="1">
      <c r="A57" s="1061" t="s">
        <v>896</v>
      </c>
      <c r="B57" s="378">
        <f>+'jobinfo(2)'!C123</f>
        <v>0</v>
      </c>
      <c r="C57" s="342" t="str">
        <f>+'jobinfo(2)'!C126</f>
        <v>ALE INFO</v>
      </c>
      <c r="D57" s="379"/>
    </row>
    <row r="58" spans="1:5" ht="15.6" customHeight="1">
      <c r="A58" s="1061"/>
      <c r="B58" s="378" t="str">
        <f>+'jobinfo(2)'!C135</f>
        <v>Monday, June 16, 2025</v>
      </c>
      <c r="C58" s="342">
        <f>+'jobinfo(2)'!C127</f>
        <v>0</v>
      </c>
      <c r="D58" s="380"/>
    </row>
    <row r="59" spans="1:5" ht="15.6">
      <c r="B59" s="378" t="str">
        <f>+'jobinfo(2)'!C136</f>
        <v>end date</v>
      </c>
      <c r="C59" s="342">
        <f>+'jobinfo(2)'!C125</f>
        <v>0</v>
      </c>
    </row>
    <row r="60" spans="1:5" ht="22.9" customHeight="1">
      <c r="A60" s="1057" t="s">
        <v>897</v>
      </c>
      <c r="B60" s="1057"/>
      <c r="C60" s="1057"/>
      <c r="D60" s="1057"/>
      <c r="E60" s="1057"/>
    </row>
    <row r="61" spans="1:5" ht="17.45">
      <c r="A61" s="381" t="s">
        <v>898</v>
      </c>
      <c r="B61" s="382"/>
      <c r="C61" s="1054" t="s">
        <v>840</v>
      </c>
      <c r="D61" s="1054"/>
    </row>
    <row r="62" spans="1:5" ht="17.45">
      <c r="A62" s="381" t="s">
        <v>899</v>
      </c>
      <c r="B62" s="382"/>
      <c r="C62" s="1054" t="s">
        <v>840</v>
      </c>
      <c r="D62" s="1054"/>
    </row>
    <row r="63" spans="1:5" ht="17.45">
      <c r="A63" s="1055" t="s">
        <v>900</v>
      </c>
      <c r="B63" s="1055"/>
      <c r="C63" s="1055"/>
      <c r="D63" s="1055"/>
    </row>
    <row r="64" spans="1:5" ht="18">
      <c r="A64" s="350" t="s">
        <v>901</v>
      </c>
      <c r="B64" s="954"/>
      <c r="C64" s="954"/>
      <c r="D64" s="954"/>
    </row>
    <row r="65" spans="1:5" ht="34.9">
      <c r="A65" s="383" t="s">
        <v>902</v>
      </c>
      <c r="B65" s="383" t="s">
        <v>842</v>
      </c>
      <c r="C65" s="383" t="s">
        <v>903</v>
      </c>
      <c r="D65" s="383" t="s">
        <v>904</v>
      </c>
    </row>
    <row r="66" spans="1:5" ht="31.15" customHeight="1">
      <c r="A66" s="955" t="s">
        <v>846</v>
      </c>
      <c r="B66" s="384" t="s">
        <v>905</v>
      </c>
      <c r="C66" s="346" t="s">
        <v>906</v>
      </c>
      <c r="D66" s="1056" t="s">
        <v>907</v>
      </c>
      <c r="E66" s="1056"/>
    </row>
    <row r="67" spans="1:5" ht="15.6">
      <c r="A67" s="342" t="s">
        <v>908</v>
      </c>
      <c r="B67" s="385"/>
      <c r="C67" s="386"/>
      <c r="D67" s="386"/>
    </row>
    <row r="68" spans="1:5" ht="16.149999999999999" customHeight="1">
      <c r="A68" s="387" t="s">
        <v>909</v>
      </c>
      <c r="B68" s="387"/>
      <c r="D68" s="388"/>
      <c r="E68" t="s">
        <v>910</v>
      </c>
    </row>
    <row r="69" spans="1:5" ht="21">
      <c r="A69" s="73" t="s">
        <v>484</v>
      </c>
      <c r="B69" s="389" t="s">
        <v>911</v>
      </c>
      <c r="D69" s="388"/>
      <c r="E69" s="2" t="s">
        <v>912</v>
      </c>
    </row>
    <row r="70" spans="1:5" ht="28.15" customHeight="1">
      <c r="A70" s="393" t="str">
        <f>'jobinfo(2)'!B53</f>
        <v xml:space="preserve">  Room/Area 1  </v>
      </c>
      <c r="B70" s="393" t="str">
        <f>'jobinfo(2)'!C53</f>
        <v xml:space="preserve">  LIVING ROOM  </v>
      </c>
      <c r="C70" s="145" t="s">
        <v>422</v>
      </c>
      <c r="D70" s="145" t="s">
        <v>439</v>
      </c>
      <c r="E70" t="s">
        <v>439</v>
      </c>
    </row>
    <row r="71" spans="1:5" ht="28.15" customHeight="1">
      <c r="A71" s="393" t="str">
        <f>'jobinfo(2)'!B54</f>
        <v xml:space="preserve">  Room/Area 2  </v>
      </c>
      <c r="B71" s="393" t="str">
        <f>'jobinfo(2)'!C54</f>
        <v xml:space="preserve">  DINING ROOM  </v>
      </c>
      <c r="C71" s="145" t="s">
        <v>913</v>
      </c>
      <c r="D71" t="s">
        <v>439</v>
      </c>
    </row>
    <row r="72" spans="1:5" ht="28.15" customHeight="1">
      <c r="A72" s="393" t="str">
        <f>'jobinfo(2)'!B55</f>
        <v xml:space="preserve">  Room/Area 3  </v>
      </c>
      <c r="B72" s="393" t="str">
        <f>'jobinfo(2)'!C55</f>
        <v xml:space="preserve">  KITCHEN  </v>
      </c>
      <c r="C72" s="145" t="s">
        <v>914</v>
      </c>
      <c r="D72" s="145" t="s">
        <v>439</v>
      </c>
      <c r="E72" t="s">
        <v>913</v>
      </c>
    </row>
    <row r="73" spans="1:5" ht="28.15" customHeight="1">
      <c r="A73" s="393" t="str">
        <f>'jobinfo(2)'!B56</f>
        <v xml:space="preserve">  Room/Area 4  </v>
      </c>
      <c r="B73" s="393" t="str">
        <f>'jobinfo(2)'!C56</f>
        <v xml:space="preserve">  HALL FLR1  </v>
      </c>
      <c r="C73" s="146" t="s">
        <v>439</v>
      </c>
      <c r="D73" s="145" t="s">
        <v>439</v>
      </c>
      <c r="E73" t="s">
        <v>913</v>
      </c>
    </row>
    <row r="74" spans="1:5" ht="28.15" customHeight="1">
      <c r="A74" s="393" t="str">
        <f>'jobinfo(2)'!B57</f>
        <v xml:space="preserve">  Room/Area 5  </v>
      </c>
      <c r="B74" s="393" t="str">
        <f>'jobinfo(2)'!C57</f>
        <v xml:space="preserve">  STAIRS UP  </v>
      </c>
      <c r="C74" s="145" t="s">
        <v>439</v>
      </c>
      <c r="D74" s="145" t="s">
        <v>439</v>
      </c>
      <c r="E74" t="s">
        <v>913</v>
      </c>
    </row>
    <row r="75" spans="1:5" ht="28.15" customHeight="1">
      <c r="A75" s="393" t="str">
        <f>'jobinfo(2)'!B58</f>
        <v xml:space="preserve">  Room/Area 6  </v>
      </c>
      <c r="B75" s="393" t="e">
        <f>'jobinfo(2)'!#REF!</f>
        <v>#REF!</v>
      </c>
      <c r="C75" s="146" t="s">
        <v>439</v>
      </c>
      <c r="D75" s="145" t="str">
        <f t="shared" ref="D75:D82" si="0">IF(C75="N","Y","N")</f>
        <v>N</v>
      </c>
      <c r="E75" t="s">
        <v>913</v>
      </c>
    </row>
    <row r="76" spans="1:5" ht="28.15" customHeight="1">
      <c r="A76" s="393" t="str">
        <f>'jobinfo(2)'!B59</f>
        <v xml:space="preserve">  Room/Area 7  </v>
      </c>
      <c r="B76" s="393" t="e">
        <f>'jobinfo(2)'!#REF!</f>
        <v>#REF!</v>
      </c>
      <c r="C76" s="145" t="s">
        <v>439</v>
      </c>
      <c r="D76" s="145" t="str">
        <f t="shared" si="0"/>
        <v>N</v>
      </c>
      <c r="E76" t="s">
        <v>913</v>
      </c>
    </row>
    <row r="77" spans="1:5" ht="28.15" customHeight="1">
      <c r="A77" s="393" t="str">
        <f>'jobinfo(2)'!B60</f>
        <v xml:space="preserve">  Room/Area 8  </v>
      </c>
      <c r="B77" s="393" t="str">
        <f>'jobinfo(2)'!C58</f>
        <v xml:space="preserve">  Hallway UP @ BR &amp; BATH  </v>
      </c>
      <c r="C77" s="146" t="s">
        <v>439</v>
      </c>
      <c r="D77" s="145" t="str">
        <f t="shared" si="0"/>
        <v>N</v>
      </c>
      <c r="E77" t="s">
        <v>913</v>
      </c>
    </row>
    <row r="78" spans="1:5" ht="28.15" customHeight="1">
      <c r="A78" s="393" t="str">
        <f>'jobinfo(2)'!B61</f>
        <v xml:space="preserve">  Room/Area 9  </v>
      </c>
      <c r="B78" s="393" t="str">
        <f>'jobinfo(2)'!C59</f>
        <v xml:space="preserve">  BATHROOM  </v>
      </c>
      <c r="C78" s="145" t="s">
        <v>439</v>
      </c>
      <c r="D78" s="145" t="s">
        <v>439</v>
      </c>
      <c r="E78" t="s">
        <v>913</v>
      </c>
    </row>
    <row r="79" spans="1:5" ht="28.15" customHeight="1">
      <c r="A79" s="393" t="str">
        <f>'jobinfo(2)'!B62</f>
        <v xml:space="preserve">  Room/Area 10  </v>
      </c>
      <c r="B79" s="393" t="e">
        <f>'jobinfo(2)'!#REF!</f>
        <v>#REF!</v>
      </c>
      <c r="C79" s="146" t="s">
        <v>422</v>
      </c>
      <c r="D79" s="145" t="str">
        <f t="shared" si="0"/>
        <v>N</v>
      </c>
      <c r="E79" t="s">
        <v>913</v>
      </c>
    </row>
    <row r="80" spans="1:5" ht="28.15" customHeight="1">
      <c r="A80" s="393" t="str">
        <f>'jobinfo(2)'!B63</f>
        <v xml:space="preserve">  Room/Area 11  </v>
      </c>
      <c r="B80" s="393" t="e">
        <f>'jobinfo(2)'!#REF!</f>
        <v>#REF!</v>
      </c>
      <c r="C80" s="145" t="s">
        <v>439</v>
      </c>
      <c r="D80" s="145" t="str">
        <f t="shared" si="0"/>
        <v>N</v>
      </c>
    </row>
    <row r="81" spans="1:8" ht="28.15" customHeight="1">
      <c r="A81" s="393" t="str">
        <f>'jobinfo(2)'!B64</f>
        <v xml:space="preserve">  Room/Area 12  </v>
      </c>
      <c r="B81" s="393" t="str">
        <f>'jobinfo(2)'!C60</f>
        <v xml:space="preserve">  LINEN  </v>
      </c>
      <c r="C81" s="146" t="s">
        <v>439</v>
      </c>
      <c r="D81" s="145" t="str">
        <f t="shared" si="0"/>
        <v>N</v>
      </c>
    </row>
    <row r="82" spans="1:8" ht="28.15" customHeight="1">
      <c r="A82" s="393" t="str">
        <f>'jobinfo(2)'!B65</f>
        <v xml:space="preserve">  Room/Area 13  </v>
      </c>
      <c r="B82" s="393" t="str">
        <f>'jobinfo(2)'!C61</f>
        <v xml:space="preserve">  PBR  </v>
      </c>
      <c r="C82" s="145" t="s">
        <v>439</v>
      </c>
      <c r="D82" s="145" t="str">
        <f t="shared" si="0"/>
        <v>N</v>
      </c>
    </row>
    <row r="83" spans="1:8" ht="28.15" customHeight="1">
      <c r="A83" s="393" t="str">
        <f>'jobinfo(2)'!B66</f>
        <v xml:space="preserve">  Room/Area 14  </v>
      </c>
      <c r="B83" s="393" t="str">
        <f>'jobinfo(2)'!C62</f>
        <v xml:space="preserve">  PBR CLOSET  </v>
      </c>
      <c r="C83" s="146"/>
      <c r="D83" s="145"/>
    </row>
    <row r="84" spans="1:8" ht="28.15" customHeight="1">
      <c r="A84" s="393" t="str">
        <f>'jobinfo(2)'!B67</f>
        <v xml:space="preserve">  Room/Area 15  </v>
      </c>
      <c r="B84" s="393" t="str">
        <f>'jobinfo(2)'!C63</f>
        <v xml:space="preserve">  BR2  </v>
      </c>
      <c r="C84" s="145"/>
      <c r="D84" s="145"/>
    </row>
    <row r="85" spans="1:8" ht="28.15" customHeight="1">
      <c r="A85" s="393" t="str">
        <f>'jobinfo(2)'!B68</f>
        <v xml:space="preserve">  Room/Area 16  </v>
      </c>
      <c r="B85" s="393">
        <f>'jobinfo(2)'!C68</f>
        <v>0</v>
      </c>
      <c r="C85" s="146"/>
      <c r="D85" s="145"/>
    </row>
    <row r="86" spans="1:8" ht="28.15" customHeight="1">
      <c r="A86" s="393" t="str">
        <f>'jobinfo(2)'!B69</f>
        <v xml:space="preserve">  Room/Area 17  </v>
      </c>
      <c r="B86" s="393">
        <f>'jobinfo(2)'!C69</f>
        <v>0</v>
      </c>
      <c r="C86" s="145"/>
      <c r="D86" s="145"/>
    </row>
    <row r="87" spans="1:8" ht="28.15" customHeight="1">
      <c r="A87" s="393" t="str">
        <f>'jobinfo(2)'!B70</f>
        <v xml:space="preserve">  Room/Area 18  </v>
      </c>
      <c r="B87" s="393">
        <f>'jobinfo(2)'!C70</f>
        <v>0</v>
      </c>
      <c r="C87" s="146"/>
      <c r="D87" s="145"/>
    </row>
    <row r="88" spans="1:8" ht="28.15" customHeight="1">
      <c r="A88" s="393" t="str">
        <f>'jobinfo(2)'!B71</f>
        <v xml:space="preserve">  Room/Area 19  </v>
      </c>
      <c r="B88" s="393">
        <f>'jobinfo(2)'!C71</f>
        <v>0</v>
      </c>
      <c r="C88" s="145"/>
      <c r="D88" s="145"/>
    </row>
    <row r="89" spans="1:8" ht="28.15" customHeight="1">
      <c r="A89" s="393" t="str">
        <f>'jobinfo(2)'!B72</f>
        <v xml:space="preserve">  Room/Area 20  </v>
      </c>
      <c r="B89" s="393">
        <f>'jobinfo(2)'!C72</f>
        <v>0</v>
      </c>
      <c r="C89" s="146"/>
      <c r="D89" s="145"/>
    </row>
    <row r="90" spans="1:8" ht="21">
      <c r="A90" s="393" t="str">
        <f>'jobinfo(2)'!B73</f>
        <v xml:space="preserve">  Room/Area 21</v>
      </c>
      <c r="B90" s="393">
        <f>'jobinfo(2)'!C73</f>
        <v>0</v>
      </c>
      <c r="C90" s="146"/>
      <c r="D90" s="145"/>
    </row>
    <row r="91" spans="1:8" ht="21">
      <c r="A91" s="393" t="str">
        <f>'jobinfo(2)'!B74</f>
        <v xml:space="preserve">  Room/Area 22</v>
      </c>
      <c r="B91" s="393">
        <f>'jobinfo(2)'!C74</f>
        <v>0</v>
      </c>
      <c r="C91" s="146"/>
      <c r="D91" s="145"/>
    </row>
    <row r="92" spans="1:8" ht="21">
      <c r="A92" s="393" t="str">
        <f>'jobinfo(2)'!B75</f>
        <v xml:space="preserve">  Room/Area 23</v>
      </c>
      <c r="B92" s="393">
        <f>'jobinfo(2)'!C75</f>
        <v>0</v>
      </c>
      <c r="D92" s="145"/>
      <c r="H92" s="146"/>
    </row>
    <row r="93" spans="1:8" ht="21">
      <c r="A93" s="393" t="str">
        <f>'jobinfo(2)'!B76</f>
        <v xml:space="preserve">  Room/Area 24</v>
      </c>
      <c r="B93" s="393">
        <f>'jobinfo(2)'!C76</f>
        <v>0</v>
      </c>
      <c r="C93" s="146"/>
      <c r="D93" s="145"/>
    </row>
    <row r="94" spans="1:8" ht="21">
      <c r="A94" s="393" t="str">
        <f>'jobinfo(2)'!B77</f>
        <v xml:space="preserve">  Room/Area 25</v>
      </c>
      <c r="B94" s="393">
        <f>'jobinfo(2)'!C77</f>
        <v>0</v>
      </c>
      <c r="C94" s="146"/>
      <c r="D94" s="145"/>
    </row>
  </sheetData>
  <mergeCells count="18">
    <mergeCell ref="A57:A58"/>
    <mergeCell ref="A31:C31"/>
    <mergeCell ref="A37:D37"/>
    <mergeCell ref="C38:D38"/>
    <mergeCell ref="A40:A42"/>
    <mergeCell ref="A43:A44"/>
    <mergeCell ref="A46:A47"/>
    <mergeCell ref="A38:A39"/>
    <mergeCell ref="C6:D6"/>
    <mergeCell ref="A10:B10"/>
    <mergeCell ref="C10:D10"/>
    <mergeCell ref="A13:B13"/>
    <mergeCell ref="A14:B14"/>
    <mergeCell ref="C62:D62"/>
    <mergeCell ref="A63:D63"/>
    <mergeCell ref="C61:D61"/>
    <mergeCell ref="D66:E66"/>
    <mergeCell ref="A60:E60"/>
  </mergeCells>
  <printOptions gridLines="1"/>
  <pageMargins left="0.42" right="0.25" top="0.28000000000000003" bottom="0.39" header="0.3" footer="0.17"/>
  <pageSetup orientation="portrait" r:id="rId1"/>
  <headerFooter>
    <oddFooter>&amp;LPage# &amp;P of &amp;N&amp;C&amp;A&amp;R&amp;D&amp;T   &amp;A</oddFooter>
  </headerFooter>
  <rowBreaks count="2" manualBreakCount="2">
    <brk id="25" max="4" man="1"/>
    <brk id="67" max="4" man="1"/>
  </rowBreaks>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A0E614-3AE1-4A14-8288-1B8FBA90BAFA}">
  <sheetPr codeName="Sheet21"/>
  <dimension ref="A1:D17"/>
  <sheetViews>
    <sheetView showGridLines="0" view="pageBreakPreview" zoomScaleNormal="100" zoomScaleSheetLayoutView="100" workbookViewId="0">
      <selection activeCell="J1" sqref="J1"/>
    </sheetView>
  </sheetViews>
  <sheetFormatPr defaultRowHeight="14.45"/>
  <cols>
    <col min="1" max="1" width="21.28515625" customWidth="1"/>
    <col min="2" max="2" width="28.7109375" customWidth="1"/>
    <col min="3" max="3" width="18.7109375" customWidth="1"/>
    <col min="4" max="4" width="24.7109375" customWidth="1"/>
    <col min="182" max="183" width="35.7109375" customWidth="1"/>
    <col min="184" max="184" width="25.7109375" customWidth="1"/>
    <col min="189" max="189" width="3" customWidth="1"/>
    <col min="190" max="190" width="39.7109375" customWidth="1"/>
    <col min="191" max="191" width="5.7109375" customWidth="1"/>
    <col min="192" max="192" width="35.7109375" customWidth="1"/>
    <col min="196" max="196" width="44.7109375" customWidth="1"/>
    <col min="204" max="204" width="88.7109375" customWidth="1"/>
    <col min="438" max="439" width="35.7109375" customWidth="1"/>
    <col min="440" max="440" width="25.7109375" customWidth="1"/>
    <col min="445" max="445" width="3" customWidth="1"/>
    <col min="446" max="446" width="39.7109375" customWidth="1"/>
    <col min="447" max="447" width="5.7109375" customWidth="1"/>
    <col min="448" max="448" width="35.7109375" customWidth="1"/>
    <col min="452" max="452" width="44.7109375" customWidth="1"/>
    <col min="460" max="460" width="88.7109375" customWidth="1"/>
    <col min="694" max="695" width="35.7109375" customWidth="1"/>
    <col min="696" max="696" width="25.7109375" customWidth="1"/>
    <col min="701" max="701" width="3" customWidth="1"/>
    <col min="702" max="702" width="39.7109375" customWidth="1"/>
    <col min="703" max="703" width="5.7109375" customWidth="1"/>
    <col min="704" max="704" width="35.7109375" customWidth="1"/>
    <col min="708" max="708" width="44.7109375" customWidth="1"/>
    <col min="716" max="716" width="88.7109375" customWidth="1"/>
    <col min="950" max="951" width="35.7109375" customWidth="1"/>
    <col min="952" max="952" width="25.7109375" customWidth="1"/>
    <col min="957" max="957" width="3" customWidth="1"/>
    <col min="958" max="958" width="39.7109375" customWidth="1"/>
    <col min="959" max="959" width="5.7109375" customWidth="1"/>
    <col min="960" max="960" width="35.7109375" customWidth="1"/>
    <col min="964" max="964" width="44.7109375" customWidth="1"/>
    <col min="972" max="972" width="88.7109375" customWidth="1"/>
    <col min="1206" max="1207" width="35.7109375" customWidth="1"/>
    <col min="1208" max="1208" width="25.7109375" customWidth="1"/>
    <col min="1213" max="1213" width="3" customWidth="1"/>
    <col min="1214" max="1214" width="39.7109375" customWidth="1"/>
    <col min="1215" max="1215" width="5.7109375" customWidth="1"/>
    <col min="1216" max="1216" width="35.7109375" customWidth="1"/>
    <col min="1220" max="1220" width="44.7109375" customWidth="1"/>
    <col min="1228" max="1228" width="88.7109375" customWidth="1"/>
    <col min="1462" max="1463" width="35.7109375" customWidth="1"/>
    <col min="1464" max="1464" width="25.7109375" customWidth="1"/>
    <col min="1469" max="1469" width="3" customWidth="1"/>
    <col min="1470" max="1470" width="39.7109375" customWidth="1"/>
    <col min="1471" max="1471" width="5.7109375" customWidth="1"/>
    <col min="1472" max="1472" width="35.7109375" customWidth="1"/>
    <col min="1476" max="1476" width="44.7109375" customWidth="1"/>
    <col min="1484" max="1484" width="88.7109375" customWidth="1"/>
    <col min="1718" max="1719" width="35.7109375" customWidth="1"/>
    <col min="1720" max="1720" width="25.7109375" customWidth="1"/>
    <col min="1725" max="1725" width="3" customWidth="1"/>
    <col min="1726" max="1726" width="39.7109375" customWidth="1"/>
    <col min="1727" max="1727" width="5.7109375" customWidth="1"/>
    <col min="1728" max="1728" width="35.7109375" customWidth="1"/>
    <col min="1732" max="1732" width="44.7109375" customWidth="1"/>
    <col min="1740" max="1740" width="88.7109375" customWidth="1"/>
    <col min="1974" max="1975" width="35.7109375" customWidth="1"/>
    <col min="1976" max="1976" width="25.7109375" customWidth="1"/>
    <col min="1981" max="1981" width="3" customWidth="1"/>
    <col min="1982" max="1982" width="39.7109375" customWidth="1"/>
    <col min="1983" max="1983" width="5.7109375" customWidth="1"/>
    <col min="1984" max="1984" width="35.7109375" customWidth="1"/>
    <col min="1988" max="1988" width="44.7109375" customWidth="1"/>
    <col min="1996" max="1996" width="88.7109375" customWidth="1"/>
    <col min="2230" max="2231" width="35.7109375" customWidth="1"/>
    <col min="2232" max="2232" width="25.7109375" customWidth="1"/>
    <col min="2237" max="2237" width="3" customWidth="1"/>
    <col min="2238" max="2238" width="39.7109375" customWidth="1"/>
    <col min="2239" max="2239" width="5.7109375" customWidth="1"/>
    <col min="2240" max="2240" width="35.7109375" customWidth="1"/>
    <col min="2244" max="2244" width="44.7109375" customWidth="1"/>
    <col min="2252" max="2252" width="88.7109375" customWidth="1"/>
    <col min="2486" max="2487" width="35.7109375" customWidth="1"/>
    <col min="2488" max="2488" width="25.7109375" customWidth="1"/>
    <col min="2493" max="2493" width="3" customWidth="1"/>
    <col min="2494" max="2494" width="39.7109375" customWidth="1"/>
    <col min="2495" max="2495" width="5.7109375" customWidth="1"/>
    <col min="2496" max="2496" width="35.7109375" customWidth="1"/>
    <col min="2500" max="2500" width="44.7109375" customWidth="1"/>
    <col min="2508" max="2508" width="88.7109375" customWidth="1"/>
    <col min="2742" max="2743" width="35.7109375" customWidth="1"/>
    <col min="2744" max="2744" width="25.7109375" customWidth="1"/>
    <col min="2749" max="2749" width="3" customWidth="1"/>
    <col min="2750" max="2750" width="39.7109375" customWidth="1"/>
    <col min="2751" max="2751" width="5.7109375" customWidth="1"/>
    <col min="2752" max="2752" width="35.7109375" customWidth="1"/>
    <col min="2756" max="2756" width="44.7109375" customWidth="1"/>
    <col min="2764" max="2764" width="88.7109375" customWidth="1"/>
    <col min="2998" max="2999" width="35.7109375" customWidth="1"/>
    <col min="3000" max="3000" width="25.7109375" customWidth="1"/>
    <col min="3005" max="3005" width="3" customWidth="1"/>
    <col min="3006" max="3006" width="39.7109375" customWidth="1"/>
    <col min="3007" max="3007" width="5.7109375" customWidth="1"/>
    <col min="3008" max="3008" width="35.7109375" customWidth="1"/>
    <col min="3012" max="3012" width="44.7109375" customWidth="1"/>
    <col min="3020" max="3020" width="88.7109375" customWidth="1"/>
    <col min="3254" max="3255" width="35.7109375" customWidth="1"/>
    <col min="3256" max="3256" width="25.7109375" customWidth="1"/>
    <col min="3261" max="3261" width="3" customWidth="1"/>
    <col min="3262" max="3262" width="39.7109375" customWidth="1"/>
    <col min="3263" max="3263" width="5.7109375" customWidth="1"/>
    <col min="3264" max="3264" width="35.7109375" customWidth="1"/>
    <col min="3268" max="3268" width="44.7109375" customWidth="1"/>
    <col min="3276" max="3276" width="88.7109375" customWidth="1"/>
    <col min="3510" max="3511" width="35.7109375" customWidth="1"/>
    <col min="3512" max="3512" width="25.7109375" customWidth="1"/>
    <col min="3517" max="3517" width="3" customWidth="1"/>
    <col min="3518" max="3518" width="39.7109375" customWidth="1"/>
    <col min="3519" max="3519" width="5.7109375" customWidth="1"/>
    <col min="3520" max="3520" width="35.7109375" customWidth="1"/>
    <col min="3524" max="3524" width="44.7109375" customWidth="1"/>
    <col min="3532" max="3532" width="88.7109375" customWidth="1"/>
    <col min="3766" max="3767" width="35.7109375" customWidth="1"/>
    <col min="3768" max="3768" width="25.7109375" customWidth="1"/>
    <col min="3773" max="3773" width="3" customWidth="1"/>
    <col min="3774" max="3774" width="39.7109375" customWidth="1"/>
    <col min="3775" max="3775" width="5.7109375" customWidth="1"/>
    <col min="3776" max="3776" width="35.7109375" customWidth="1"/>
    <col min="3780" max="3780" width="44.7109375" customWidth="1"/>
    <col min="3788" max="3788" width="88.7109375" customWidth="1"/>
    <col min="4022" max="4023" width="35.7109375" customWidth="1"/>
    <col min="4024" max="4024" width="25.7109375" customWidth="1"/>
    <col min="4029" max="4029" width="3" customWidth="1"/>
    <col min="4030" max="4030" width="39.7109375" customWidth="1"/>
    <col min="4031" max="4031" width="5.7109375" customWidth="1"/>
    <col min="4032" max="4032" width="35.7109375" customWidth="1"/>
    <col min="4036" max="4036" width="44.7109375" customWidth="1"/>
    <col min="4044" max="4044" width="88.7109375" customWidth="1"/>
    <col min="4278" max="4279" width="35.7109375" customWidth="1"/>
    <col min="4280" max="4280" width="25.7109375" customWidth="1"/>
    <col min="4285" max="4285" width="3" customWidth="1"/>
    <col min="4286" max="4286" width="39.7109375" customWidth="1"/>
    <col min="4287" max="4287" width="5.7109375" customWidth="1"/>
    <col min="4288" max="4288" width="35.7109375" customWidth="1"/>
    <col min="4292" max="4292" width="44.7109375" customWidth="1"/>
    <col min="4300" max="4300" width="88.7109375" customWidth="1"/>
    <col min="4534" max="4535" width="35.7109375" customWidth="1"/>
    <col min="4536" max="4536" width="25.7109375" customWidth="1"/>
    <col min="4541" max="4541" width="3" customWidth="1"/>
    <col min="4542" max="4542" width="39.7109375" customWidth="1"/>
    <col min="4543" max="4543" width="5.7109375" customWidth="1"/>
    <col min="4544" max="4544" width="35.7109375" customWidth="1"/>
    <col min="4548" max="4548" width="44.7109375" customWidth="1"/>
    <col min="4556" max="4556" width="88.7109375" customWidth="1"/>
    <col min="4790" max="4791" width="35.7109375" customWidth="1"/>
    <col min="4792" max="4792" width="25.7109375" customWidth="1"/>
    <col min="4797" max="4797" width="3" customWidth="1"/>
    <col min="4798" max="4798" width="39.7109375" customWidth="1"/>
    <col min="4799" max="4799" width="5.7109375" customWidth="1"/>
    <col min="4800" max="4800" width="35.7109375" customWidth="1"/>
    <col min="4804" max="4804" width="44.7109375" customWidth="1"/>
    <col min="4812" max="4812" width="88.7109375" customWidth="1"/>
    <col min="5046" max="5047" width="35.7109375" customWidth="1"/>
    <col min="5048" max="5048" width="25.7109375" customWidth="1"/>
    <col min="5053" max="5053" width="3" customWidth="1"/>
    <col min="5054" max="5054" width="39.7109375" customWidth="1"/>
    <col min="5055" max="5055" width="5.7109375" customWidth="1"/>
    <col min="5056" max="5056" width="35.7109375" customWidth="1"/>
    <col min="5060" max="5060" width="44.7109375" customWidth="1"/>
    <col min="5068" max="5068" width="88.7109375" customWidth="1"/>
    <col min="5302" max="5303" width="35.7109375" customWidth="1"/>
    <col min="5304" max="5304" width="25.7109375" customWidth="1"/>
    <col min="5309" max="5309" width="3" customWidth="1"/>
    <col min="5310" max="5310" width="39.7109375" customWidth="1"/>
    <col min="5311" max="5311" width="5.7109375" customWidth="1"/>
    <col min="5312" max="5312" width="35.7109375" customWidth="1"/>
    <col min="5316" max="5316" width="44.7109375" customWidth="1"/>
    <col min="5324" max="5324" width="88.7109375" customWidth="1"/>
    <col min="5558" max="5559" width="35.7109375" customWidth="1"/>
    <col min="5560" max="5560" width="25.7109375" customWidth="1"/>
    <col min="5565" max="5565" width="3" customWidth="1"/>
    <col min="5566" max="5566" width="39.7109375" customWidth="1"/>
    <col min="5567" max="5567" width="5.7109375" customWidth="1"/>
    <col min="5568" max="5568" width="35.7109375" customWidth="1"/>
    <col min="5572" max="5572" width="44.7109375" customWidth="1"/>
    <col min="5580" max="5580" width="88.7109375" customWidth="1"/>
    <col min="5814" max="5815" width="35.7109375" customWidth="1"/>
    <col min="5816" max="5816" width="25.7109375" customWidth="1"/>
    <col min="5821" max="5821" width="3" customWidth="1"/>
    <col min="5822" max="5822" width="39.7109375" customWidth="1"/>
    <col min="5823" max="5823" width="5.7109375" customWidth="1"/>
    <col min="5824" max="5824" width="35.7109375" customWidth="1"/>
    <col min="5828" max="5828" width="44.7109375" customWidth="1"/>
    <col min="5836" max="5836" width="88.7109375" customWidth="1"/>
    <col min="6070" max="6071" width="35.7109375" customWidth="1"/>
    <col min="6072" max="6072" width="25.7109375" customWidth="1"/>
    <col min="6077" max="6077" width="3" customWidth="1"/>
    <col min="6078" max="6078" width="39.7109375" customWidth="1"/>
    <col min="6079" max="6079" width="5.7109375" customWidth="1"/>
    <col min="6080" max="6080" width="35.7109375" customWidth="1"/>
    <col min="6084" max="6084" width="44.7109375" customWidth="1"/>
    <col min="6092" max="6092" width="88.7109375" customWidth="1"/>
    <col min="6326" max="6327" width="35.7109375" customWidth="1"/>
    <col min="6328" max="6328" width="25.7109375" customWidth="1"/>
    <col min="6333" max="6333" width="3" customWidth="1"/>
    <col min="6334" max="6334" width="39.7109375" customWidth="1"/>
    <col min="6335" max="6335" width="5.7109375" customWidth="1"/>
    <col min="6336" max="6336" width="35.7109375" customWidth="1"/>
    <col min="6340" max="6340" width="44.7109375" customWidth="1"/>
    <col min="6348" max="6348" width="88.7109375" customWidth="1"/>
    <col min="6582" max="6583" width="35.7109375" customWidth="1"/>
    <col min="6584" max="6584" width="25.7109375" customWidth="1"/>
    <col min="6589" max="6589" width="3" customWidth="1"/>
    <col min="6590" max="6590" width="39.7109375" customWidth="1"/>
    <col min="6591" max="6591" width="5.7109375" customWidth="1"/>
    <col min="6592" max="6592" width="35.7109375" customWidth="1"/>
    <col min="6596" max="6596" width="44.7109375" customWidth="1"/>
    <col min="6604" max="6604" width="88.7109375" customWidth="1"/>
    <col min="6838" max="6839" width="35.7109375" customWidth="1"/>
    <col min="6840" max="6840" width="25.7109375" customWidth="1"/>
    <col min="6845" max="6845" width="3" customWidth="1"/>
    <col min="6846" max="6846" width="39.7109375" customWidth="1"/>
    <col min="6847" max="6847" width="5.7109375" customWidth="1"/>
    <col min="6848" max="6848" width="35.7109375" customWidth="1"/>
    <col min="6852" max="6852" width="44.7109375" customWidth="1"/>
    <col min="6860" max="6860" width="88.7109375" customWidth="1"/>
    <col min="7094" max="7095" width="35.7109375" customWidth="1"/>
    <col min="7096" max="7096" width="25.7109375" customWidth="1"/>
    <col min="7101" max="7101" width="3" customWidth="1"/>
    <col min="7102" max="7102" width="39.7109375" customWidth="1"/>
    <col min="7103" max="7103" width="5.7109375" customWidth="1"/>
    <col min="7104" max="7104" width="35.7109375" customWidth="1"/>
    <col min="7108" max="7108" width="44.7109375" customWidth="1"/>
    <col min="7116" max="7116" width="88.7109375" customWidth="1"/>
    <col min="7350" max="7351" width="35.7109375" customWidth="1"/>
    <col min="7352" max="7352" width="25.7109375" customWidth="1"/>
    <col min="7357" max="7357" width="3" customWidth="1"/>
    <col min="7358" max="7358" width="39.7109375" customWidth="1"/>
    <col min="7359" max="7359" width="5.7109375" customWidth="1"/>
    <col min="7360" max="7360" width="35.7109375" customWidth="1"/>
    <col min="7364" max="7364" width="44.7109375" customWidth="1"/>
    <col min="7372" max="7372" width="88.7109375" customWidth="1"/>
    <col min="7606" max="7607" width="35.7109375" customWidth="1"/>
    <col min="7608" max="7608" width="25.7109375" customWidth="1"/>
    <col min="7613" max="7613" width="3" customWidth="1"/>
    <col min="7614" max="7614" width="39.7109375" customWidth="1"/>
    <col min="7615" max="7615" width="5.7109375" customWidth="1"/>
    <col min="7616" max="7616" width="35.7109375" customWidth="1"/>
    <col min="7620" max="7620" width="44.7109375" customWidth="1"/>
    <col min="7628" max="7628" width="88.7109375" customWidth="1"/>
    <col min="7862" max="7863" width="35.7109375" customWidth="1"/>
    <col min="7864" max="7864" width="25.7109375" customWidth="1"/>
    <col min="7869" max="7869" width="3" customWidth="1"/>
    <col min="7870" max="7870" width="39.7109375" customWidth="1"/>
    <col min="7871" max="7871" width="5.7109375" customWidth="1"/>
    <col min="7872" max="7872" width="35.7109375" customWidth="1"/>
    <col min="7876" max="7876" width="44.7109375" customWidth="1"/>
    <col min="7884" max="7884" width="88.7109375" customWidth="1"/>
    <col min="8118" max="8119" width="35.7109375" customWidth="1"/>
    <col min="8120" max="8120" width="25.7109375" customWidth="1"/>
    <col min="8125" max="8125" width="3" customWidth="1"/>
    <col min="8126" max="8126" width="39.7109375" customWidth="1"/>
    <col min="8127" max="8127" width="5.7109375" customWidth="1"/>
    <col min="8128" max="8128" width="35.7109375" customWidth="1"/>
    <col min="8132" max="8132" width="44.7109375" customWidth="1"/>
    <col min="8140" max="8140" width="88.7109375" customWidth="1"/>
    <col min="8374" max="8375" width="35.7109375" customWidth="1"/>
    <col min="8376" max="8376" width="25.7109375" customWidth="1"/>
    <col min="8381" max="8381" width="3" customWidth="1"/>
    <col min="8382" max="8382" width="39.7109375" customWidth="1"/>
    <col min="8383" max="8383" width="5.7109375" customWidth="1"/>
    <col min="8384" max="8384" width="35.7109375" customWidth="1"/>
    <col min="8388" max="8388" width="44.7109375" customWidth="1"/>
    <col min="8396" max="8396" width="88.7109375" customWidth="1"/>
    <col min="8630" max="8631" width="35.7109375" customWidth="1"/>
    <col min="8632" max="8632" width="25.7109375" customWidth="1"/>
    <col min="8637" max="8637" width="3" customWidth="1"/>
    <col min="8638" max="8638" width="39.7109375" customWidth="1"/>
    <col min="8639" max="8639" width="5.7109375" customWidth="1"/>
    <col min="8640" max="8640" width="35.7109375" customWidth="1"/>
    <col min="8644" max="8644" width="44.7109375" customWidth="1"/>
    <col min="8652" max="8652" width="88.7109375" customWidth="1"/>
    <col min="8886" max="8887" width="35.7109375" customWidth="1"/>
    <col min="8888" max="8888" width="25.7109375" customWidth="1"/>
    <col min="8893" max="8893" width="3" customWidth="1"/>
    <col min="8894" max="8894" width="39.7109375" customWidth="1"/>
    <col min="8895" max="8895" width="5.7109375" customWidth="1"/>
    <col min="8896" max="8896" width="35.7109375" customWidth="1"/>
    <col min="8900" max="8900" width="44.7109375" customWidth="1"/>
    <col min="8908" max="8908" width="88.7109375" customWidth="1"/>
    <col min="9142" max="9143" width="35.7109375" customWidth="1"/>
    <col min="9144" max="9144" width="25.7109375" customWidth="1"/>
    <col min="9149" max="9149" width="3" customWidth="1"/>
    <col min="9150" max="9150" width="39.7109375" customWidth="1"/>
    <col min="9151" max="9151" width="5.7109375" customWidth="1"/>
    <col min="9152" max="9152" width="35.7109375" customWidth="1"/>
    <col min="9156" max="9156" width="44.7109375" customWidth="1"/>
    <col min="9164" max="9164" width="88.7109375" customWidth="1"/>
    <col min="9398" max="9399" width="35.7109375" customWidth="1"/>
    <col min="9400" max="9400" width="25.7109375" customWidth="1"/>
    <col min="9405" max="9405" width="3" customWidth="1"/>
    <col min="9406" max="9406" width="39.7109375" customWidth="1"/>
    <col min="9407" max="9407" width="5.7109375" customWidth="1"/>
    <col min="9408" max="9408" width="35.7109375" customWidth="1"/>
    <col min="9412" max="9412" width="44.7109375" customWidth="1"/>
    <col min="9420" max="9420" width="88.7109375" customWidth="1"/>
    <col min="9654" max="9655" width="35.7109375" customWidth="1"/>
    <col min="9656" max="9656" width="25.7109375" customWidth="1"/>
    <col min="9661" max="9661" width="3" customWidth="1"/>
    <col min="9662" max="9662" width="39.7109375" customWidth="1"/>
    <col min="9663" max="9663" width="5.7109375" customWidth="1"/>
    <col min="9664" max="9664" width="35.7109375" customWidth="1"/>
    <col min="9668" max="9668" width="44.7109375" customWidth="1"/>
    <col min="9676" max="9676" width="88.7109375" customWidth="1"/>
    <col min="9910" max="9911" width="35.7109375" customWidth="1"/>
    <col min="9912" max="9912" width="25.7109375" customWidth="1"/>
    <col min="9917" max="9917" width="3" customWidth="1"/>
    <col min="9918" max="9918" width="39.7109375" customWidth="1"/>
    <col min="9919" max="9919" width="5.7109375" customWidth="1"/>
    <col min="9920" max="9920" width="35.7109375" customWidth="1"/>
    <col min="9924" max="9924" width="44.7109375" customWidth="1"/>
    <col min="9932" max="9932" width="88.7109375" customWidth="1"/>
    <col min="10166" max="10167" width="35.7109375" customWidth="1"/>
    <col min="10168" max="10168" width="25.7109375" customWidth="1"/>
    <col min="10173" max="10173" width="3" customWidth="1"/>
    <col min="10174" max="10174" width="39.7109375" customWidth="1"/>
    <col min="10175" max="10175" width="5.7109375" customWidth="1"/>
    <col min="10176" max="10176" width="35.7109375" customWidth="1"/>
    <col min="10180" max="10180" width="44.7109375" customWidth="1"/>
    <col min="10188" max="10188" width="88.7109375" customWidth="1"/>
    <col min="10422" max="10423" width="35.7109375" customWidth="1"/>
    <col min="10424" max="10424" width="25.7109375" customWidth="1"/>
    <col min="10429" max="10429" width="3" customWidth="1"/>
    <col min="10430" max="10430" width="39.7109375" customWidth="1"/>
    <col min="10431" max="10431" width="5.7109375" customWidth="1"/>
    <col min="10432" max="10432" width="35.7109375" customWidth="1"/>
    <col min="10436" max="10436" width="44.7109375" customWidth="1"/>
    <col min="10444" max="10444" width="88.7109375" customWidth="1"/>
    <col min="10678" max="10679" width="35.7109375" customWidth="1"/>
    <col min="10680" max="10680" width="25.7109375" customWidth="1"/>
    <col min="10685" max="10685" width="3" customWidth="1"/>
    <col min="10686" max="10686" width="39.7109375" customWidth="1"/>
    <col min="10687" max="10687" width="5.7109375" customWidth="1"/>
    <col min="10688" max="10688" width="35.7109375" customWidth="1"/>
    <col min="10692" max="10692" width="44.7109375" customWidth="1"/>
    <col min="10700" max="10700" width="88.7109375" customWidth="1"/>
    <col min="10934" max="10935" width="35.7109375" customWidth="1"/>
    <col min="10936" max="10936" width="25.7109375" customWidth="1"/>
    <col min="10941" max="10941" width="3" customWidth="1"/>
    <col min="10942" max="10942" width="39.7109375" customWidth="1"/>
    <col min="10943" max="10943" width="5.7109375" customWidth="1"/>
    <col min="10944" max="10944" width="35.7109375" customWidth="1"/>
    <col min="10948" max="10948" width="44.7109375" customWidth="1"/>
    <col min="10956" max="10956" width="88.7109375" customWidth="1"/>
    <col min="11190" max="11191" width="35.7109375" customWidth="1"/>
    <col min="11192" max="11192" width="25.7109375" customWidth="1"/>
    <col min="11197" max="11197" width="3" customWidth="1"/>
    <col min="11198" max="11198" width="39.7109375" customWidth="1"/>
    <col min="11199" max="11199" width="5.7109375" customWidth="1"/>
    <col min="11200" max="11200" width="35.7109375" customWidth="1"/>
    <col min="11204" max="11204" width="44.7109375" customWidth="1"/>
    <col min="11212" max="11212" width="88.7109375" customWidth="1"/>
    <col min="11446" max="11447" width="35.7109375" customWidth="1"/>
    <col min="11448" max="11448" width="25.7109375" customWidth="1"/>
    <col min="11453" max="11453" width="3" customWidth="1"/>
    <col min="11454" max="11454" width="39.7109375" customWidth="1"/>
    <col min="11455" max="11455" width="5.7109375" customWidth="1"/>
    <col min="11456" max="11456" width="35.7109375" customWidth="1"/>
    <col min="11460" max="11460" width="44.7109375" customWidth="1"/>
    <col min="11468" max="11468" width="88.7109375" customWidth="1"/>
    <col min="11702" max="11703" width="35.7109375" customWidth="1"/>
    <col min="11704" max="11704" width="25.7109375" customWidth="1"/>
    <col min="11709" max="11709" width="3" customWidth="1"/>
    <col min="11710" max="11710" width="39.7109375" customWidth="1"/>
    <col min="11711" max="11711" width="5.7109375" customWidth="1"/>
    <col min="11712" max="11712" width="35.7109375" customWidth="1"/>
    <col min="11716" max="11716" width="44.7109375" customWidth="1"/>
    <col min="11724" max="11724" width="88.7109375" customWidth="1"/>
    <col min="11958" max="11959" width="35.7109375" customWidth="1"/>
    <col min="11960" max="11960" width="25.7109375" customWidth="1"/>
    <col min="11965" max="11965" width="3" customWidth="1"/>
    <col min="11966" max="11966" width="39.7109375" customWidth="1"/>
    <col min="11967" max="11967" width="5.7109375" customWidth="1"/>
    <col min="11968" max="11968" width="35.7109375" customWidth="1"/>
    <col min="11972" max="11972" width="44.7109375" customWidth="1"/>
    <col min="11980" max="11980" width="88.7109375" customWidth="1"/>
    <col min="12214" max="12215" width="35.7109375" customWidth="1"/>
    <col min="12216" max="12216" width="25.7109375" customWidth="1"/>
    <col min="12221" max="12221" width="3" customWidth="1"/>
    <col min="12222" max="12222" width="39.7109375" customWidth="1"/>
    <col min="12223" max="12223" width="5.7109375" customWidth="1"/>
    <col min="12224" max="12224" width="35.7109375" customWidth="1"/>
    <col min="12228" max="12228" width="44.7109375" customWidth="1"/>
    <col min="12236" max="12236" width="88.7109375" customWidth="1"/>
    <col min="12470" max="12471" width="35.7109375" customWidth="1"/>
    <col min="12472" max="12472" width="25.7109375" customWidth="1"/>
    <col min="12477" max="12477" width="3" customWidth="1"/>
    <col min="12478" max="12478" width="39.7109375" customWidth="1"/>
    <col min="12479" max="12479" width="5.7109375" customWidth="1"/>
    <col min="12480" max="12480" width="35.7109375" customWidth="1"/>
    <col min="12484" max="12484" width="44.7109375" customWidth="1"/>
    <col min="12492" max="12492" width="88.7109375" customWidth="1"/>
    <col min="12726" max="12727" width="35.7109375" customWidth="1"/>
    <col min="12728" max="12728" width="25.7109375" customWidth="1"/>
    <col min="12733" max="12733" width="3" customWidth="1"/>
    <col min="12734" max="12734" width="39.7109375" customWidth="1"/>
    <col min="12735" max="12735" width="5.7109375" customWidth="1"/>
    <col min="12736" max="12736" width="35.7109375" customWidth="1"/>
    <col min="12740" max="12740" width="44.7109375" customWidth="1"/>
    <col min="12748" max="12748" width="88.7109375" customWidth="1"/>
    <col min="12982" max="12983" width="35.7109375" customWidth="1"/>
    <col min="12984" max="12984" width="25.7109375" customWidth="1"/>
    <col min="12989" max="12989" width="3" customWidth="1"/>
    <col min="12990" max="12990" width="39.7109375" customWidth="1"/>
    <col min="12991" max="12991" width="5.7109375" customWidth="1"/>
    <col min="12992" max="12992" width="35.7109375" customWidth="1"/>
    <col min="12996" max="12996" width="44.7109375" customWidth="1"/>
    <col min="13004" max="13004" width="88.7109375" customWidth="1"/>
    <col min="13238" max="13239" width="35.7109375" customWidth="1"/>
    <col min="13240" max="13240" width="25.7109375" customWidth="1"/>
    <col min="13245" max="13245" width="3" customWidth="1"/>
    <col min="13246" max="13246" width="39.7109375" customWidth="1"/>
    <col min="13247" max="13247" width="5.7109375" customWidth="1"/>
    <col min="13248" max="13248" width="35.7109375" customWidth="1"/>
    <col min="13252" max="13252" width="44.7109375" customWidth="1"/>
    <col min="13260" max="13260" width="88.7109375" customWidth="1"/>
    <col min="13494" max="13495" width="35.7109375" customWidth="1"/>
    <col min="13496" max="13496" width="25.7109375" customWidth="1"/>
    <col min="13501" max="13501" width="3" customWidth="1"/>
    <col min="13502" max="13502" width="39.7109375" customWidth="1"/>
    <col min="13503" max="13503" width="5.7109375" customWidth="1"/>
    <col min="13504" max="13504" width="35.7109375" customWidth="1"/>
    <col min="13508" max="13508" width="44.7109375" customWidth="1"/>
    <col min="13516" max="13516" width="88.7109375" customWidth="1"/>
    <col min="13750" max="13751" width="35.7109375" customWidth="1"/>
    <col min="13752" max="13752" width="25.7109375" customWidth="1"/>
    <col min="13757" max="13757" width="3" customWidth="1"/>
    <col min="13758" max="13758" width="39.7109375" customWidth="1"/>
    <col min="13759" max="13759" width="5.7109375" customWidth="1"/>
    <col min="13760" max="13760" width="35.7109375" customWidth="1"/>
    <col min="13764" max="13764" width="44.7109375" customWidth="1"/>
    <col min="13772" max="13772" width="88.7109375" customWidth="1"/>
    <col min="14006" max="14007" width="35.7109375" customWidth="1"/>
    <col min="14008" max="14008" width="25.7109375" customWidth="1"/>
    <col min="14013" max="14013" width="3" customWidth="1"/>
    <col min="14014" max="14014" width="39.7109375" customWidth="1"/>
    <col min="14015" max="14015" width="5.7109375" customWidth="1"/>
    <col min="14016" max="14016" width="35.7109375" customWidth="1"/>
    <col min="14020" max="14020" width="44.7109375" customWidth="1"/>
    <col min="14028" max="14028" width="88.7109375" customWidth="1"/>
    <col min="14262" max="14263" width="35.7109375" customWidth="1"/>
    <col min="14264" max="14264" width="25.7109375" customWidth="1"/>
    <col min="14269" max="14269" width="3" customWidth="1"/>
    <col min="14270" max="14270" width="39.7109375" customWidth="1"/>
    <col min="14271" max="14271" width="5.7109375" customWidth="1"/>
    <col min="14272" max="14272" width="35.7109375" customWidth="1"/>
    <col min="14276" max="14276" width="44.7109375" customWidth="1"/>
    <col min="14284" max="14284" width="88.7109375" customWidth="1"/>
    <col min="14518" max="14519" width="35.7109375" customWidth="1"/>
    <col min="14520" max="14520" width="25.7109375" customWidth="1"/>
    <col min="14525" max="14525" width="3" customWidth="1"/>
    <col min="14526" max="14526" width="39.7109375" customWidth="1"/>
    <col min="14527" max="14527" width="5.7109375" customWidth="1"/>
    <col min="14528" max="14528" width="35.7109375" customWidth="1"/>
    <col min="14532" max="14532" width="44.7109375" customWidth="1"/>
    <col min="14540" max="14540" width="88.7109375" customWidth="1"/>
    <col min="14774" max="14775" width="35.7109375" customWidth="1"/>
    <col min="14776" max="14776" width="25.7109375" customWidth="1"/>
    <col min="14781" max="14781" width="3" customWidth="1"/>
    <col min="14782" max="14782" width="39.7109375" customWidth="1"/>
    <col min="14783" max="14783" width="5.7109375" customWidth="1"/>
    <col min="14784" max="14784" width="35.7109375" customWidth="1"/>
    <col min="14788" max="14788" width="44.7109375" customWidth="1"/>
    <col min="14796" max="14796" width="88.7109375" customWidth="1"/>
    <col min="15030" max="15031" width="35.7109375" customWidth="1"/>
    <col min="15032" max="15032" width="25.7109375" customWidth="1"/>
    <col min="15037" max="15037" width="3" customWidth="1"/>
    <col min="15038" max="15038" width="39.7109375" customWidth="1"/>
    <col min="15039" max="15039" width="5.7109375" customWidth="1"/>
    <col min="15040" max="15040" width="35.7109375" customWidth="1"/>
    <col min="15044" max="15044" width="44.7109375" customWidth="1"/>
    <col min="15052" max="15052" width="88.7109375" customWidth="1"/>
    <col min="15286" max="15287" width="35.7109375" customWidth="1"/>
    <col min="15288" max="15288" width="25.7109375" customWidth="1"/>
    <col min="15293" max="15293" width="3" customWidth="1"/>
    <col min="15294" max="15294" width="39.7109375" customWidth="1"/>
    <col min="15295" max="15295" width="5.7109375" customWidth="1"/>
    <col min="15296" max="15296" width="35.7109375" customWidth="1"/>
    <col min="15300" max="15300" width="44.7109375" customWidth="1"/>
    <col min="15308" max="15308" width="88.7109375" customWidth="1"/>
    <col min="15542" max="15543" width="35.7109375" customWidth="1"/>
    <col min="15544" max="15544" width="25.7109375" customWidth="1"/>
    <col min="15549" max="15549" width="3" customWidth="1"/>
    <col min="15550" max="15550" width="39.7109375" customWidth="1"/>
    <col min="15551" max="15551" width="5.7109375" customWidth="1"/>
    <col min="15552" max="15552" width="35.7109375" customWidth="1"/>
    <col min="15556" max="15556" width="44.7109375" customWidth="1"/>
    <col min="15564" max="15564" width="88.7109375" customWidth="1"/>
    <col min="15798" max="15799" width="35.7109375" customWidth="1"/>
    <col min="15800" max="15800" width="25.7109375" customWidth="1"/>
    <col min="15805" max="15805" width="3" customWidth="1"/>
    <col min="15806" max="15806" width="39.7109375" customWidth="1"/>
    <col min="15807" max="15807" width="5.7109375" customWidth="1"/>
    <col min="15808" max="15808" width="35.7109375" customWidth="1"/>
    <col min="15812" max="15812" width="44.7109375" customWidth="1"/>
    <col min="15820" max="15820" width="88.7109375" customWidth="1"/>
    <col min="16054" max="16055" width="35.7109375" customWidth="1"/>
    <col min="16056" max="16056" width="25.7109375" customWidth="1"/>
    <col min="16061" max="16061" width="3" customWidth="1"/>
    <col min="16062" max="16062" width="39.7109375" customWidth="1"/>
    <col min="16063" max="16063" width="5.7109375" customWidth="1"/>
    <col min="16064" max="16064" width="35.7109375" customWidth="1"/>
    <col min="16068" max="16068" width="44.7109375" customWidth="1"/>
    <col min="16076" max="16076" width="88.7109375" customWidth="1"/>
  </cols>
  <sheetData>
    <row r="1" spans="1:4" ht="33" customHeight="1">
      <c r="A1" s="1068" t="s">
        <v>915</v>
      </c>
      <c r="B1" s="1068"/>
      <c r="C1" s="1068"/>
      <c r="D1" s="1068"/>
    </row>
    <row r="2" spans="1:4" ht="33" customHeight="1">
      <c r="A2" s="252" t="str">
        <f>+'jobinfo(2)'!C1</f>
        <v>Hatten, Nedra</v>
      </c>
      <c r="B2" s="251" t="str">
        <f>+'jobinfo(2)'!C2</f>
        <v>628 Quilliams Road</v>
      </c>
      <c r="C2" s="251" t="str">
        <f>+'jobinfo(2)'!C3</f>
        <v>Cleveland Heights, OH 44121</v>
      </c>
      <c r="D2" s="250" t="str">
        <f>+'jobinfo(2)'!C12</f>
        <v>Monday, June 16, 2025</v>
      </c>
    </row>
    <row r="3" spans="1:4" ht="24" customHeight="1">
      <c r="A3" s="41" t="s">
        <v>451</v>
      </c>
      <c r="B3" s="193" t="s">
        <v>916</v>
      </c>
      <c r="C3" s="193" t="s">
        <v>917</v>
      </c>
      <c r="D3" s="193" t="s">
        <v>918</v>
      </c>
    </row>
    <row r="4" spans="1:4" ht="34.9" customHeight="1">
      <c r="A4" s="219" t="s">
        <v>919</v>
      </c>
      <c r="C4" t="s">
        <v>840</v>
      </c>
      <c r="D4" s="41"/>
    </row>
    <row r="5" spans="1:4" ht="43.9" customHeight="1">
      <c r="A5" s="1" t="s">
        <v>920</v>
      </c>
      <c r="B5" s="135" t="s">
        <v>921</v>
      </c>
      <c r="C5" t="s">
        <v>840</v>
      </c>
      <c r="D5" s="41"/>
    </row>
    <row r="6" spans="1:4" ht="43.9" customHeight="1">
      <c r="A6" s="220" t="s">
        <v>922</v>
      </c>
      <c r="B6" s="135" t="s">
        <v>921</v>
      </c>
      <c r="C6" t="s">
        <v>840</v>
      </c>
      <c r="D6" s="41"/>
    </row>
    <row r="7" spans="1:4" ht="43.9" customHeight="1">
      <c r="A7" s="1" t="s">
        <v>923</v>
      </c>
      <c r="C7" t="s">
        <v>840</v>
      </c>
      <c r="D7" s="41"/>
    </row>
    <row r="8" spans="1:4" ht="43.9" customHeight="1">
      <c r="A8" s="221" t="s">
        <v>924</v>
      </c>
      <c r="B8" s="135" t="s">
        <v>921</v>
      </c>
      <c r="C8" t="s">
        <v>840</v>
      </c>
      <c r="D8" s="41"/>
    </row>
    <row r="9" spans="1:4" ht="43.9" customHeight="1">
      <c r="A9" s="194" t="s">
        <v>925</v>
      </c>
      <c r="B9" s="135" t="s">
        <v>921</v>
      </c>
      <c r="C9" t="s">
        <v>840</v>
      </c>
      <c r="D9" s="41"/>
    </row>
    <row r="10" spans="1:4" ht="43.9" customHeight="1">
      <c r="A10" s="194" t="s">
        <v>926</v>
      </c>
      <c r="B10" s="135" t="s">
        <v>921</v>
      </c>
      <c r="C10" t="s">
        <v>840</v>
      </c>
      <c r="D10" s="41"/>
    </row>
    <row r="11" spans="1:4" ht="43.9" customHeight="1">
      <c r="A11" s="222" t="s">
        <v>927</v>
      </c>
      <c r="B11" s="135" t="s">
        <v>921</v>
      </c>
      <c r="C11" t="s">
        <v>840</v>
      </c>
      <c r="D11" s="41"/>
    </row>
    <row r="12" spans="1:4" ht="43.9" customHeight="1">
      <c r="A12" s="221" t="s">
        <v>928</v>
      </c>
      <c r="B12" s="135" t="s">
        <v>921</v>
      </c>
      <c r="C12" t="s">
        <v>840</v>
      </c>
      <c r="D12" s="41"/>
    </row>
    <row r="13" spans="1:4" ht="43.9" customHeight="1">
      <c r="A13" s="221" t="s">
        <v>929</v>
      </c>
      <c r="B13" s="135" t="s">
        <v>921</v>
      </c>
      <c r="C13" t="s">
        <v>840</v>
      </c>
      <c r="D13" s="41"/>
    </row>
    <row r="14" spans="1:4" ht="43.9" customHeight="1">
      <c r="A14" s="1" t="s">
        <v>930</v>
      </c>
      <c r="B14" s="135" t="s">
        <v>921</v>
      </c>
      <c r="C14" t="s">
        <v>840</v>
      </c>
      <c r="D14" s="41"/>
    </row>
    <row r="15" spans="1:4" ht="43.9" customHeight="1">
      <c r="A15" s="1" t="s">
        <v>931</v>
      </c>
      <c r="B15" s="135" t="s">
        <v>921</v>
      </c>
      <c r="C15" t="s">
        <v>840</v>
      </c>
      <c r="D15" s="41"/>
    </row>
    <row r="16" spans="1:4" ht="34.9" customHeight="1">
      <c r="A16" s="1" t="s">
        <v>932</v>
      </c>
      <c r="B16" s="135"/>
    </row>
    <row r="17" spans="1:2" ht="34.9" customHeight="1">
      <c r="A17" s="1"/>
      <c r="B17" s="135"/>
    </row>
  </sheetData>
  <mergeCells count="1">
    <mergeCell ref="A1:D1"/>
  </mergeCells>
  <printOptions horizontalCentered="1" verticalCentered="1" gridLines="1"/>
  <pageMargins left="0.25" right="0.25" top="0.26" bottom="0.37" header="0.33" footer="0.21"/>
  <pageSetup orientation="portrait" r:id="rId1"/>
  <headerFooter>
    <oddFooter>&amp;LPage &amp;P of &amp;N&amp;C&amp;A&amp;R&amp;F</oddFooter>
  </headerFooter>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DCC6-0EC5-48CF-B3E9-64F5E8918DC9}">
  <sheetPr codeName="Sheet27"/>
  <dimension ref="A1:E47"/>
  <sheetViews>
    <sheetView view="pageBreakPreview" topLeftCell="B1" zoomScaleNormal="100" zoomScaleSheetLayoutView="100" workbookViewId="0">
      <selection activeCell="F16" sqref="F16"/>
    </sheetView>
  </sheetViews>
  <sheetFormatPr defaultRowHeight="14.45"/>
  <cols>
    <col min="1" max="1" width="15.5703125" customWidth="1"/>
    <col min="2" max="2" width="6.140625" customWidth="1"/>
    <col min="3" max="3" width="45.5703125" customWidth="1"/>
    <col min="4" max="4" width="16.85546875" customWidth="1"/>
  </cols>
  <sheetData>
    <row r="1" spans="1:4" ht="21">
      <c r="A1" s="1070" t="s">
        <v>933</v>
      </c>
      <c r="B1" s="1070"/>
      <c r="C1" s="1070"/>
      <c r="D1" s="1070"/>
    </row>
    <row r="2" spans="1:4" ht="33" customHeight="1">
      <c r="A2" s="1071" t="s">
        <v>934</v>
      </c>
      <c r="B2" s="1071"/>
      <c r="C2" s="1071"/>
      <c r="D2" s="1071"/>
    </row>
    <row r="3" spans="1:4" ht="28.9" customHeight="1">
      <c r="A3" s="223" t="s">
        <v>935</v>
      </c>
      <c r="B3" s="223"/>
      <c r="C3" s="178"/>
      <c r="D3" s="178"/>
    </row>
    <row r="4" spans="1:4" ht="28.9" customHeight="1">
      <c r="A4" s="1072" t="s">
        <v>936</v>
      </c>
      <c r="B4" s="224" t="s">
        <v>937</v>
      </c>
      <c r="C4" s="398" t="s">
        <v>938</v>
      </c>
      <c r="D4" s="398" t="s">
        <v>939</v>
      </c>
    </row>
    <row r="5" spans="1:4" ht="28.9" customHeight="1">
      <c r="A5" s="1072"/>
      <c r="B5" s="48" t="s">
        <v>937</v>
      </c>
      <c r="C5" s="264" t="s">
        <v>940</v>
      </c>
      <c r="D5" s="398" t="s">
        <v>941</v>
      </c>
    </row>
    <row r="6" spans="1:4" ht="28.9" customHeight="1">
      <c r="A6" s="1072"/>
      <c r="B6" s="224" t="s">
        <v>937</v>
      </c>
      <c r="C6" s="41" t="s">
        <v>942</v>
      </c>
    </row>
    <row r="7" spans="1:4" ht="12" customHeight="1">
      <c r="B7" s="48"/>
      <c r="D7" s="225"/>
    </row>
    <row r="8" spans="1:4" ht="22.15" customHeight="1">
      <c r="A8" s="1073" t="s">
        <v>943</v>
      </c>
      <c r="B8" s="224" t="s">
        <v>937</v>
      </c>
      <c r="C8" s="226" t="s">
        <v>944</v>
      </c>
      <c r="D8" t="s">
        <v>945</v>
      </c>
    </row>
    <row r="9" spans="1:4" ht="27" customHeight="1">
      <c r="A9" s="1073"/>
      <c r="B9" s="48" t="s">
        <v>937</v>
      </c>
      <c r="C9" s="225" t="s">
        <v>946</v>
      </c>
    </row>
    <row r="10" spans="1:4" ht="27" customHeight="1">
      <c r="A10" s="1073"/>
      <c r="B10" s="224" t="s">
        <v>937</v>
      </c>
      <c r="C10" s="225" t="s">
        <v>947</v>
      </c>
    </row>
    <row r="11" spans="1:4" ht="27" customHeight="1">
      <c r="A11" s="1073"/>
      <c r="B11" s="48" t="s">
        <v>937</v>
      </c>
      <c r="C11" s="225" t="s">
        <v>948</v>
      </c>
      <c r="D11" s="225"/>
    </row>
    <row r="12" spans="1:4" ht="27" customHeight="1">
      <c r="A12" s="956"/>
      <c r="B12" s="224" t="s">
        <v>937</v>
      </c>
      <c r="C12" s="225" t="s">
        <v>949</v>
      </c>
      <c r="D12" s="225"/>
    </row>
    <row r="13" spans="1:4" ht="27" customHeight="1">
      <c r="A13" s="956"/>
      <c r="B13" s="48" t="s">
        <v>937</v>
      </c>
      <c r="C13" s="225" t="s">
        <v>950</v>
      </c>
      <c r="D13" s="225"/>
    </row>
    <row r="14" spans="1:4" ht="27" customHeight="1">
      <c r="A14" s="956"/>
      <c r="B14" s="224" t="s">
        <v>937</v>
      </c>
      <c r="C14" s="225" t="s">
        <v>951</v>
      </c>
      <c r="D14" s="225"/>
    </row>
    <row r="15" spans="1:4" ht="10.9" customHeight="1">
      <c r="D15" s="225"/>
    </row>
    <row r="16" spans="1:4" ht="27" customHeight="1">
      <c r="A16" s="1074" t="s">
        <v>952</v>
      </c>
      <c r="B16" s="227" t="s">
        <v>953</v>
      </c>
      <c r="C16" s="225" t="s">
        <v>954</v>
      </c>
    </row>
    <row r="17" spans="1:5" ht="27" customHeight="1">
      <c r="A17" s="1074"/>
      <c r="B17" s="48" t="s">
        <v>953</v>
      </c>
      <c r="C17" s="228" t="s">
        <v>955</v>
      </c>
    </row>
    <row r="18" spans="1:5" ht="27" customHeight="1">
      <c r="A18" s="1074"/>
      <c r="B18" s="227" t="s">
        <v>953</v>
      </c>
      <c r="C18" s="228" t="s">
        <v>956</v>
      </c>
    </row>
    <row r="19" spans="1:5" ht="27" customHeight="1">
      <c r="A19" s="1074"/>
      <c r="B19" s="48" t="s">
        <v>953</v>
      </c>
      <c r="C19" s="228" t="s">
        <v>957</v>
      </c>
      <c r="D19" s="225"/>
    </row>
    <row r="20" spans="1:5" ht="27" customHeight="1">
      <c r="A20" s="1074"/>
      <c r="B20" s="227" t="s">
        <v>953</v>
      </c>
      <c r="C20" s="228" t="s">
        <v>958</v>
      </c>
      <c r="D20" s="225"/>
    </row>
    <row r="21" spans="1:5" ht="27" customHeight="1">
      <c r="A21" s="1074"/>
      <c r="B21" s="48" t="s">
        <v>953</v>
      </c>
      <c r="C21" s="228" t="s">
        <v>959</v>
      </c>
      <c r="D21" s="225"/>
    </row>
    <row r="22" spans="1:5" ht="27" customHeight="1">
      <c r="A22" s="225"/>
      <c r="B22" s="227" t="s">
        <v>953</v>
      </c>
      <c r="C22" s="228" t="s">
        <v>960</v>
      </c>
      <c r="D22" s="225"/>
    </row>
    <row r="23" spans="1:5" ht="27" customHeight="1">
      <c r="A23" s="225"/>
      <c r="B23" s="48" t="s">
        <v>953</v>
      </c>
      <c r="C23" s="228" t="s">
        <v>961</v>
      </c>
      <c r="D23" s="225"/>
    </row>
    <row r="24" spans="1:5" ht="27" customHeight="1">
      <c r="A24" s="225"/>
      <c r="B24" s="227" t="s">
        <v>953</v>
      </c>
      <c r="C24" s="228" t="s">
        <v>962</v>
      </c>
      <c r="D24" s="225"/>
    </row>
    <row r="25" spans="1:5" ht="27" customHeight="1">
      <c r="A25" s="1069" t="s">
        <v>963</v>
      </c>
      <c r="B25" s="48" t="s">
        <v>953</v>
      </c>
      <c r="C25" s="42" t="s">
        <v>964</v>
      </c>
      <c r="D25" s="229" t="s">
        <v>965</v>
      </c>
    </row>
    <row r="26" spans="1:5" ht="27" customHeight="1">
      <c r="A26" s="1069"/>
      <c r="B26" s="227" t="s">
        <v>953</v>
      </c>
      <c r="C26" s="42" t="s">
        <v>966</v>
      </c>
      <c r="D26" s="230"/>
      <c r="E26" s="47"/>
    </row>
    <row r="27" spans="1:5" ht="27" customHeight="1">
      <c r="A27" s="1069"/>
      <c r="B27" s="48" t="s">
        <v>953</v>
      </c>
      <c r="C27" s="42" t="s">
        <v>967</v>
      </c>
      <c r="D27" s="230"/>
      <c r="E27" s="47"/>
    </row>
    <row r="28" spans="1:5" ht="9" customHeight="1">
      <c r="E28" s="42"/>
    </row>
    <row r="29" spans="1:5" ht="15.6">
      <c r="A29" s="231" t="s">
        <v>968</v>
      </c>
      <c r="B29" s="48"/>
    </row>
    <row r="30" spans="1:5" ht="15.6">
      <c r="B30" s="48"/>
    </row>
    <row r="31" spans="1:5" ht="15.6">
      <c r="B31" s="224"/>
    </row>
    <row r="32" spans="1:5" ht="15.6">
      <c r="B32" s="48"/>
    </row>
    <row r="33" spans="2:2" ht="15.6">
      <c r="B33" s="224"/>
    </row>
    <row r="34" spans="2:2" ht="15.6">
      <c r="B34" s="48"/>
    </row>
    <row r="35" spans="2:2" ht="15.6">
      <c r="B35" s="224"/>
    </row>
    <row r="36" spans="2:2" ht="15.6">
      <c r="B36" s="48"/>
    </row>
    <row r="37" spans="2:2" ht="15.6">
      <c r="B37" s="232"/>
    </row>
    <row r="38" spans="2:2" ht="15.6">
      <c r="B38" s="227"/>
    </row>
    <row r="39" spans="2:2" ht="15.6">
      <c r="B39" s="48"/>
    </row>
    <row r="40" spans="2:2" ht="15.6">
      <c r="B40" s="227"/>
    </row>
    <row r="41" spans="2:2" ht="15.6">
      <c r="B41" s="48"/>
    </row>
    <row r="42" spans="2:2" ht="15.6">
      <c r="B42" s="227"/>
    </row>
    <row r="43" spans="2:2" ht="15.6">
      <c r="B43" s="48"/>
    </row>
    <row r="44" spans="2:2" ht="15.6">
      <c r="B44" s="1"/>
    </row>
    <row r="45" spans="2:2" ht="15.6">
      <c r="B45" s="1"/>
    </row>
    <row r="46" spans="2:2" ht="15.6">
      <c r="B46" s="1"/>
    </row>
    <row r="47" spans="2:2" ht="15.6">
      <c r="B47" s="1"/>
    </row>
  </sheetData>
  <mergeCells count="6">
    <mergeCell ref="A25:A27"/>
    <mergeCell ref="A1:D1"/>
    <mergeCell ref="A2:D2"/>
    <mergeCell ref="A4:A6"/>
    <mergeCell ref="A8:A11"/>
    <mergeCell ref="A16:A21"/>
  </mergeCells>
  <printOptions gridLines="1"/>
  <pageMargins left="1.38" right="0.25" top="0.26" bottom="0.17" header="0.3" footer="0.21"/>
  <pageSetup orientation="portrait" r:id="rId1"/>
  <headerFooter>
    <oddFooter>&amp;LPage &amp;P of &amp;N&amp;C&amp;A&amp;R&amp;F</oddFooter>
  </headerFooter>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A22C3-1E30-459C-83C7-F6745B363F82}">
  <sheetPr codeName="Sheet6"/>
  <dimension ref="A1:F55"/>
  <sheetViews>
    <sheetView view="pageBreakPreview" zoomScaleNormal="100" zoomScaleSheetLayoutView="100" workbookViewId="0">
      <selection activeCell="F6" sqref="F6"/>
    </sheetView>
  </sheetViews>
  <sheetFormatPr defaultColWidth="8.7109375" defaultRowHeight="72" customHeight="1"/>
  <cols>
    <col min="1" max="1" width="38.7109375" style="678" customWidth="1"/>
    <col min="2" max="2" width="9.7109375" style="334" customWidth="1"/>
    <col min="3" max="3" width="1.42578125" style="333" customWidth="1"/>
    <col min="4" max="4" width="41.140625" style="328" customWidth="1"/>
    <col min="5" max="5" width="9.7109375" style="334" customWidth="1"/>
    <col min="6" max="6" width="8.7109375" style="2"/>
  </cols>
  <sheetData>
    <row r="1" spans="1:6" s="327" customFormat="1" ht="22.15" customHeight="1">
      <c r="A1" s="677"/>
      <c r="B1" s="325"/>
      <c r="C1" s="330"/>
      <c r="D1" s="326"/>
      <c r="E1" s="331"/>
      <c r="F1" s="332"/>
    </row>
    <row r="2" spans="1:6" ht="72" customHeight="1">
      <c r="A2" s="1081" t="str">
        <f>'jobinfo(2)'!C53</f>
        <v xml:space="preserve">  LIVING ROOM  </v>
      </c>
      <c r="B2" s="1075">
        <v>1</v>
      </c>
      <c r="D2" s="1076" t="str">
        <f>A2</f>
        <v xml:space="preserve">  LIVING ROOM  </v>
      </c>
      <c r="E2" s="1075">
        <f>B2</f>
        <v>1</v>
      </c>
    </row>
    <row r="3" spans="1:6" ht="72" customHeight="1">
      <c r="A3" s="1081"/>
      <c r="B3" s="1075"/>
      <c r="D3" s="1076"/>
      <c r="E3" s="1075"/>
    </row>
    <row r="4" spans="1:6" ht="72" customHeight="1">
      <c r="A4" s="1081" t="str">
        <f>'jobinfo(2)'!C54</f>
        <v xml:space="preserve">  DINING ROOM  </v>
      </c>
      <c r="B4" s="1075">
        <f>1+B2</f>
        <v>2</v>
      </c>
      <c r="D4" s="1076" t="str">
        <f>A4</f>
        <v xml:space="preserve">  DINING ROOM  </v>
      </c>
      <c r="E4" s="1075">
        <f>1+E2</f>
        <v>2</v>
      </c>
    </row>
    <row r="5" spans="1:6" ht="72" customHeight="1">
      <c r="A5" s="1081"/>
      <c r="B5" s="1075"/>
      <c r="D5" s="1076"/>
      <c r="E5" s="1075"/>
    </row>
    <row r="6" spans="1:6" ht="72" customHeight="1">
      <c r="A6" s="1081" t="str">
        <f>'jobinfo(2)'!C55</f>
        <v xml:space="preserve">  KITCHEN  </v>
      </c>
      <c r="B6" s="1075">
        <f>1+B4</f>
        <v>3</v>
      </c>
      <c r="D6" s="1076" t="str">
        <f>A6</f>
        <v xml:space="preserve">  KITCHEN  </v>
      </c>
      <c r="E6" s="1075">
        <f>1+E4</f>
        <v>3</v>
      </c>
    </row>
    <row r="7" spans="1:6" ht="72" customHeight="1">
      <c r="A7" s="1081"/>
      <c r="B7" s="1075"/>
      <c r="D7" s="1076"/>
      <c r="E7" s="1075"/>
    </row>
    <row r="8" spans="1:6" ht="72" customHeight="1">
      <c r="A8" s="1081" t="str">
        <f>'jobinfo(2)'!C56</f>
        <v xml:space="preserve">  HALL FLR1  </v>
      </c>
      <c r="B8" s="1075">
        <f>1+B6</f>
        <v>4</v>
      </c>
      <c r="D8" s="1076" t="str">
        <f>A8</f>
        <v xml:space="preserve">  HALL FLR1  </v>
      </c>
      <c r="E8" s="1075">
        <f>1+E6</f>
        <v>4</v>
      </c>
    </row>
    <row r="9" spans="1:6" ht="72" customHeight="1">
      <c r="A9" s="1081"/>
      <c r="B9" s="1075"/>
      <c r="D9" s="1076"/>
      <c r="E9" s="1075"/>
    </row>
    <row r="10" spans="1:6" ht="72" customHeight="1">
      <c r="A10" s="1081" t="str">
        <f>'jobinfo(2)'!C57</f>
        <v xml:space="preserve">  STAIRS UP  </v>
      </c>
      <c r="B10" s="1075">
        <f>1+B8</f>
        <v>5</v>
      </c>
      <c r="D10" s="1076" t="str">
        <f>A10</f>
        <v xml:space="preserve">  STAIRS UP  </v>
      </c>
      <c r="E10" s="1075">
        <f>1+E8</f>
        <v>5</v>
      </c>
    </row>
    <row r="11" spans="1:6" ht="72" customHeight="1">
      <c r="A11" s="1081"/>
      <c r="B11" s="1075"/>
      <c r="D11" s="1076"/>
      <c r="E11" s="1075"/>
    </row>
    <row r="12" spans="1:6" ht="22.15" customHeight="1">
      <c r="B12" s="325"/>
      <c r="C12" s="330"/>
      <c r="E12" s="331"/>
    </row>
    <row r="13" spans="1:6" ht="72" customHeight="1">
      <c r="A13" s="1081" t="e">
        <f>'jobinfo(2)'!#REF!</f>
        <v>#REF!</v>
      </c>
      <c r="B13" s="1075">
        <f>+E10+1</f>
        <v>6</v>
      </c>
      <c r="D13" s="1076" t="e">
        <f>A13</f>
        <v>#REF!</v>
      </c>
      <c r="E13" s="1075">
        <f>B13</f>
        <v>6</v>
      </c>
    </row>
    <row r="14" spans="1:6" ht="72" customHeight="1">
      <c r="A14" s="1081"/>
      <c r="B14" s="1075"/>
      <c r="D14" s="1076"/>
      <c r="E14" s="1075"/>
    </row>
    <row r="15" spans="1:6" ht="72" customHeight="1">
      <c r="A15" s="1081" t="e">
        <f>'jobinfo(2)'!#REF!</f>
        <v>#REF!</v>
      </c>
      <c r="B15" s="1075">
        <f>1+B13</f>
        <v>7</v>
      </c>
      <c r="D15" s="1076" t="e">
        <f>A15</f>
        <v>#REF!</v>
      </c>
      <c r="E15" s="1075">
        <f>1+E13</f>
        <v>7</v>
      </c>
    </row>
    <row r="16" spans="1:6" ht="72" customHeight="1">
      <c r="A16" s="1081"/>
      <c r="B16" s="1075"/>
      <c r="D16" s="1076"/>
      <c r="E16" s="1075"/>
    </row>
    <row r="17" spans="1:5" ht="72" customHeight="1">
      <c r="A17" s="1081" t="str">
        <f>'jobinfo(2)'!C58</f>
        <v xml:space="preserve">  Hallway UP @ BR &amp; BATH  </v>
      </c>
      <c r="B17" s="1075">
        <f>1+B15</f>
        <v>8</v>
      </c>
      <c r="D17" s="1076" t="str">
        <f>A17</f>
        <v xml:space="preserve">  Hallway UP @ BR &amp; BATH  </v>
      </c>
      <c r="E17" s="1075">
        <f>1+E15</f>
        <v>8</v>
      </c>
    </row>
    <row r="18" spans="1:5" ht="72" customHeight="1">
      <c r="A18" s="1081"/>
      <c r="B18" s="1075"/>
      <c r="D18" s="1076"/>
      <c r="E18" s="1075"/>
    </row>
    <row r="19" spans="1:5" ht="72" customHeight="1">
      <c r="A19" s="1081" t="str">
        <f>'jobinfo(2)'!C59</f>
        <v xml:space="preserve">  BATHROOM  </v>
      </c>
      <c r="B19" s="1075">
        <f>1+B17</f>
        <v>9</v>
      </c>
      <c r="D19" s="1076" t="str">
        <f>A19</f>
        <v xml:space="preserve">  BATHROOM  </v>
      </c>
      <c r="E19" s="1075">
        <f>1+E17</f>
        <v>9</v>
      </c>
    </row>
    <row r="20" spans="1:5" ht="72" customHeight="1">
      <c r="A20" s="1081"/>
      <c r="B20" s="1075"/>
      <c r="D20" s="1076"/>
      <c r="E20" s="1075"/>
    </row>
    <row r="21" spans="1:5" ht="72" customHeight="1">
      <c r="A21" s="1081" t="e">
        <f>'jobinfo(2)'!#REF!</f>
        <v>#REF!</v>
      </c>
      <c r="B21" s="1075">
        <f>1+B19</f>
        <v>10</v>
      </c>
      <c r="D21" s="1076" t="e">
        <f>A21</f>
        <v>#REF!</v>
      </c>
      <c r="E21" s="1075">
        <f>1+E19</f>
        <v>10</v>
      </c>
    </row>
    <row r="22" spans="1:5" ht="72" customHeight="1">
      <c r="A22" s="1081"/>
      <c r="B22" s="1075"/>
      <c r="D22" s="1076"/>
      <c r="E22" s="1075"/>
    </row>
    <row r="23" spans="1:5" ht="22.15" customHeight="1">
      <c r="B23" s="957"/>
      <c r="E23" s="957"/>
    </row>
    <row r="24" spans="1:5" ht="72" customHeight="1">
      <c r="A24" s="1082" t="e">
        <f>'jobinfo(2)'!#REF!</f>
        <v>#REF!</v>
      </c>
      <c r="B24" s="1075">
        <f>1+E21</f>
        <v>11</v>
      </c>
      <c r="D24" s="1077" t="e">
        <f>A24</f>
        <v>#REF!</v>
      </c>
      <c r="E24" s="1075">
        <f>B24</f>
        <v>11</v>
      </c>
    </row>
    <row r="25" spans="1:5" ht="72" customHeight="1">
      <c r="A25" s="1081"/>
      <c r="B25" s="1075"/>
      <c r="D25" s="1076"/>
      <c r="E25" s="1075"/>
    </row>
    <row r="26" spans="1:5" ht="72" customHeight="1">
      <c r="A26" s="1082" t="str">
        <f>'jobinfo(2)'!C60</f>
        <v xml:space="preserve">  LINEN  </v>
      </c>
      <c r="B26" s="1075">
        <f>1+B24</f>
        <v>12</v>
      </c>
      <c r="D26" s="1077" t="str">
        <f>A26</f>
        <v xml:space="preserve">  LINEN  </v>
      </c>
      <c r="E26" s="1075">
        <f>1+E24</f>
        <v>12</v>
      </c>
    </row>
    <row r="27" spans="1:5" ht="72" customHeight="1">
      <c r="A27" s="1081"/>
      <c r="B27" s="1075"/>
      <c r="D27" s="1076"/>
      <c r="E27" s="1075"/>
    </row>
    <row r="28" spans="1:5" ht="72" customHeight="1">
      <c r="A28" s="1081" t="str">
        <f>'jobinfo(2)'!C61</f>
        <v xml:space="preserve">  PBR  </v>
      </c>
      <c r="B28" s="1075">
        <f>1+B26</f>
        <v>13</v>
      </c>
      <c r="D28" s="1078" t="str">
        <f>A28</f>
        <v xml:space="preserve">  PBR  </v>
      </c>
      <c r="E28" s="1075">
        <f>1+E26</f>
        <v>13</v>
      </c>
    </row>
    <row r="29" spans="1:5" ht="72" customHeight="1">
      <c r="A29" s="1081"/>
      <c r="B29" s="1075"/>
      <c r="D29" s="1079"/>
      <c r="E29" s="1075"/>
    </row>
    <row r="30" spans="1:5" ht="72" customHeight="1">
      <c r="A30" s="1082" t="str">
        <f>'jobinfo(2)'!C62</f>
        <v xml:space="preserve">  PBR CLOSET  </v>
      </c>
      <c r="B30" s="1075">
        <f>1+B28</f>
        <v>14</v>
      </c>
      <c r="D30" s="1077" t="str">
        <f>A30</f>
        <v xml:space="preserve">  PBR CLOSET  </v>
      </c>
      <c r="E30" s="1075">
        <f>1+E28</f>
        <v>14</v>
      </c>
    </row>
    <row r="31" spans="1:5" ht="72" customHeight="1">
      <c r="A31" s="1081"/>
      <c r="B31" s="1075"/>
      <c r="D31" s="1076"/>
      <c r="E31" s="1075"/>
    </row>
    <row r="32" spans="1:5" ht="72" customHeight="1">
      <c r="A32" s="1083" t="str">
        <f>'jobinfo(2)'!C63</f>
        <v xml:space="preserve">  BR2  </v>
      </c>
      <c r="B32" s="1075">
        <f>1+B30</f>
        <v>15</v>
      </c>
      <c r="D32" s="1077" t="str">
        <f>A32</f>
        <v xml:space="preserve">  BR2  </v>
      </c>
      <c r="E32" s="1075">
        <f>1+E30</f>
        <v>15</v>
      </c>
    </row>
    <row r="33" spans="1:5" ht="72" customHeight="1">
      <c r="A33" s="1084"/>
      <c r="B33" s="1075"/>
      <c r="D33" s="1076"/>
      <c r="E33" s="1075"/>
    </row>
    <row r="34" spans="1:5" ht="22.15" customHeight="1">
      <c r="B34" s="957"/>
      <c r="E34" s="957"/>
    </row>
    <row r="35" spans="1:5" ht="72" customHeight="1">
      <c r="A35" s="1082">
        <f>'jobinfo(2)'!C68</f>
        <v>0</v>
      </c>
      <c r="B35" s="1075">
        <f>1+E32</f>
        <v>16</v>
      </c>
      <c r="D35" s="1077">
        <f>A35</f>
        <v>0</v>
      </c>
      <c r="E35" s="1075">
        <f>B35</f>
        <v>16</v>
      </c>
    </row>
    <row r="36" spans="1:5" ht="72" customHeight="1">
      <c r="A36" s="1081"/>
      <c r="B36" s="1075"/>
      <c r="D36" s="1076"/>
      <c r="E36" s="1075"/>
    </row>
    <row r="37" spans="1:5" ht="72" customHeight="1">
      <c r="A37" s="1083">
        <f>'jobinfo(2)'!C69</f>
        <v>0</v>
      </c>
      <c r="B37" s="1075">
        <f>1+B35</f>
        <v>17</v>
      </c>
      <c r="D37" s="1077">
        <f>A37</f>
        <v>0</v>
      </c>
      <c r="E37" s="1075">
        <f>1+E35</f>
        <v>17</v>
      </c>
    </row>
    <row r="38" spans="1:5" ht="72" customHeight="1">
      <c r="A38" s="1084"/>
      <c r="B38" s="1075"/>
      <c r="D38" s="1076"/>
      <c r="E38" s="1075"/>
    </row>
    <row r="39" spans="1:5" ht="72" customHeight="1">
      <c r="A39" s="1082">
        <f>'jobinfo(2)'!C70</f>
        <v>0</v>
      </c>
      <c r="B39" s="1075">
        <f>1+B37</f>
        <v>18</v>
      </c>
      <c r="D39" s="1077">
        <f>A39</f>
        <v>0</v>
      </c>
      <c r="E39" s="1075">
        <f>1+E37</f>
        <v>18</v>
      </c>
    </row>
    <row r="40" spans="1:5" ht="72" customHeight="1">
      <c r="A40" s="1081"/>
      <c r="B40" s="1075"/>
      <c r="D40" s="1076"/>
      <c r="E40" s="1075"/>
    </row>
    <row r="41" spans="1:5" ht="72" customHeight="1">
      <c r="A41" s="1082">
        <f>'jobinfo(2)'!C71</f>
        <v>0</v>
      </c>
      <c r="B41" s="1075">
        <f>1+B39</f>
        <v>19</v>
      </c>
      <c r="D41" s="1077">
        <f>A41</f>
        <v>0</v>
      </c>
      <c r="E41" s="1075">
        <f>1+E39</f>
        <v>19</v>
      </c>
    </row>
    <row r="42" spans="1:5" ht="72" customHeight="1">
      <c r="A42" s="1081"/>
      <c r="B42" s="1075"/>
      <c r="D42" s="1076"/>
      <c r="E42" s="1075"/>
    </row>
    <row r="43" spans="1:5" ht="72" customHeight="1">
      <c r="A43" s="1082">
        <f>'jobinfo(2)'!C72</f>
        <v>0</v>
      </c>
      <c r="B43" s="1075">
        <f>1+B41</f>
        <v>20</v>
      </c>
      <c r="D43" s="1077">
        <f>A43</f>
        <v>0</v>
      </c>
      <c r="E43" s="1075">
        <f>1+E41</f>
        <v>20</v>
      </c>
    </row>
    <row r="44" spans="1:5" ht="72" customHeight="1">
      <c r="A44" s="1081"/>
      <c r="B44" s="1075"/>
      <c r="D44" s="1076"/>
      <c r="E44" s="1075"/>
    </row>
    <row r="45" spans="1:5" ht="22.15" customHeight="1">
      <c r="B45" s="957"/>
      <c r="E45" s="957"/>
    </row>
    <row r="46" spans="1:5" ht="72" customHeight="1">
      <c r="A46" s="1082">
        <f>'jobinfo(2)'!C73</f>
        <v>0</v>
      </c>
      <c r="B46" s="1075">
        <f>1+E43</f>
        <v>21</v>
      </c>
      <c r="D46" s="1077">
        <f>A46</f>
        <v>0</v>
      </c>
      <c r="E46" s="1075">
        <f>B46</f>
        <v>21</v>
      </c>
    </row>
    <row r="47" spans="1:5" ht="72" customHeight="1">
      <c r="A47" s="1081"/>
      <c r="B47" s="1075"/>
      <c r="D47" s="1076"/>
      <c r="E47" s="1075"/>
    </row>
    <row r="48" spans="1:5" ht="72" customHeight="1">
      <c r="A48" s="1082">
        <f>'jobinfo(2)'!C74</f>
        <v>0</v>
      </c>
      <c r="B48" s="1080">
        <f>1+B46</f>
        <v>22</v>
      </c>
      <c r="C48" s="329"/>
      <c r="D48" s="1085">
        <f>A48</f>
        <v>0</v>
      </c>
      <c r="E48" s="1075">
        <f>1+E46</f>
        <v>22</v>
      </c>
    </row>
    <row r="49" spans="1:5" ht="72" customHeight="1">
      <c r="A49" s="1081"/>
      <c r="B49" s="1080"/>
      <c r="C49" s="329"/>
      <c r="D49" s="1086"/>
      <c r="E49" s="1075"/>
    </row>
    <row r="50" spans="1:5" ht="72" customHeight="1">
      <c r="A50" s="1082">
        <f>'jobinfo(2)'!C75</f>
        <v>0</v>
      </c>
      <c r="B50" s="1075">
        <f>1+B48</f>
        <v>23</v>
      </c>
      <c r="D50" s="1077">
        <f>A50</f>
        <v>0</v>
      </c>
      <c r="E50" s="1075">
        <f>1+E48</f>
        <v>23</v>
      </c>
    </row>
    <row r="51" spans="1:5" ht="72" customHeight="1">
      <c r="A51" s="1081"/>
      <c r="B51" s="1075"/>
      <c r="D51" s="1076"/>
      <c r="E51" s="1075"/>
    </row>
    <row r="52" spans="1:5" ht="72" customHeight="1">
      <c r="A52" s="1082">
        <f>'jobinfo(2)'!C76</f>
        <v>0</v>
      </c>
      <c r="B52" s="1075">
        <f>1+B50</f>
        <v>24</v>
      </c>
      <c r="D52" s="1077">
        <f>A52</f>
        <v>0</v>
      </c>
      <c r="E52" s="1075">
        <f>1+E50</f>
        <v>24</v>
      </c>
    </row>
    <row r="53" spans="1:5" ht="72" customHeight="1">
      <c r="A53" s="1081"/>
      <c r="B53" s="1075"/>
      <c r="D53" s="1076"/>
      <c r="E53" s="1075"/>
    </row>
    <row r="54" spans="1:5" ht="72" customHeight="1">
      <c r="A54" s="1082">
        <f>'jobinfo(2)'!C77</f>
        <v>0</v>
      </c>
      <c r="B54" s="1075">
        <f>1+B52</f>
        <v>25</v>
      </c>
      <c r="D54" s="1077">
        <f>A54</f>
        <v>0</v>
      </c>
      <c r="E54" s="1075">
        <f>1+E52</f>
        <v>25</v>
      </c>
    </row>
    <row r="55" spans="1:5" ht="72" customHeight="1">
      <c r="A55" s="1081"/>
      <c r="B55" s="1075"/>
      <c r="D55" s="1076"/>
      <c r="E55" s="1075"/>
    </row>
  </sheetData>
  <mergeCells count="100">
    <mergeCell ref="A52:A53"/>
    <mergeCell ref="D52:D53"/>
    <mergeCell ref="A54:A55"/>
    <mergeCell ref="D54:D55"/>
    <mergeCell ref="A46:A47"/>
    <mergeCell ref="D46:D47"/>
    <mergeCell ref="A48:A49"/>
    <mergeCell ref="D48:D49"/>
    <mergeCell ref="A50:A51"/>
    <mergeCell ref="D50:D51"/>
    <mergeCell ref="B54:B55"/>
    <mergeCell ref="A35:A36"/>
    <mergeCell ref="A37:A38"/>
    <mergeCell ref="A39:A40"/>
    <mergeCell ref="A41:A42"/>
    <mergeCell ref="A43:A44"/>
    <mergeCell ref="A24:A25"/>
    <mergeCell ref="A26:A27"/>
    <mergeCell ref="A28:A29"/>
    <mergeCell ref="A30:A31"/>
    <mergeCell ref="A32:A33"/>
    <mergeCell ref="A13:A14"/>
    <mergeCell ref="A15:A16"/>
    <mergeCell ref="A17:A18"/>
    <mergeCell ref="A19:A20"/>
    <mergeCell ref="A21:A22"/>
    <mergeCell ref="A2:A3"/>
    <mergeCell ref="A4:A5"/>
    <mergeCell ref="A6:A7"/>
    <mergeCell ref="A8:A9"/>
    <mergeCell ref="A10:A11"/>
    <mergeCell ref="E54:E55"/>
    <mergeCell ref="B48:B49"/>
    <mergeCell ref="E48:E49"/>
    <mergeCell ref="B50:B51"/>
    <mergeCell ref="E50:E51"/>
    <mergeCell ref="B52:B53"/>
    <mergeCell ref="E52:E53"/>
    <mergeCell ref="B41:B42"/>
    <mergeCell ref="E41:E42"/>
    <mergeCell ref="B43:B44"/>
    <mergeCell ref="E43:E44"/>
    <mergeCell ref="B46:B47"/>
    <mergeCell ref="E46:E47"/>
    <mergeCell ref="D41:D42"/>
    <mergeCell ref="D43:D44"/>
    <mergeCell ref="B35:B36"/>
    <mergeCell ref="E35:E36"/>
    <mergeCell ref="B37:B38"/>
    <mergeCell ref="E37:E38"/>
    <mergeCell ref="B39:B40"/>
    <mergeCell ref="E39:E40"/>
    <mergeCell ref="D35:D36"/>
    <mergeCell ref="D37:D38"/>
    <mergeCell ref="D39:D40"/>
    <mergeCell ref="B28:B29"/>
    <mergeCell ref="E28:E29"/>
    <mergeCell ref="B30:B31"/>
    <mergeCell ref="E30:E31"/>
    <mergeCell ref="B32:B33"/>
    <mergeCell ref="E32:E33"/>
    <mergeCell ref="D28:D29"/>
    <mergeCell ref="D30:D31"/>
    <mergeCell ref="D32:D33"/>
    <mergeCell ref="B21:B22"/>
    <mergeCell ref="E21:E22"/>
    <mergeCell ref="B24:B25"/>
    <mergeCell ref="E24:E25"/>
    <mergeCell ref="B26:B27"/>
    <mergeCell ref="E26:E27"/>
    <mergeCell ref="D21:D22"/>
    <mergeCell ref="D24:D25"/>
    <mergeCell ref="D26:D27"/>
    <mergeCell ref="B15:B16"/>
    <mergeCell ref="E15:E16"/>
    <mergeCell ref="B17:B18"/>
    <mergeCell ref="E17:E18"/>
    <mergeCell ref="B19:B20"/>
    <mergeCell ref="E19:E20"/>
    <mergeCell ref="D15:D16"/>
    <mergeCell ref="D17:D18"/>
    <mergeCell ref="D19:D20"/>
    <mergeCell ref="B8:B9"/>
    <mergeCell ref="E8:E9"/>
    <mergeCell ref="B10:B11"/>
    <mergeCell ref="E10:E11"/>
    <mergeCell ref="B13:B14"/>
    <mergeCell ref="E13:E14"/>
    <mergeCell ref="D8:D9"/>
    <mergeCell ref="D10:D11"/>
    <mergeCell ref="D13:D14"/>
    <mergeCell ref="B2:B3"/>
    <mergeCell ref="E2:E3"/>
    <mergeCell ref="B4:B5"/>
    <mergeCell ref="E4:E5"/>
    <mergeCell ref="B6:B7"/>
    <mergeCell ref="E6:E7"/>
    <mergeCell ref="D2:D3"/>
    <mergeCell ref="D4:D5"/>
    <mergeCell ref="D6:D7"/>
  </mergeCells>
  <printOptions gridLines="1"/>
  <pageMargins left="0.32" right="0.17" top="0.28000000000000003" bottom="0.19" header="0.21" footer="0.18"/>
  <pageSetup paperSize="285" orientation="portrait" r:id="rId1"/>
  <headerFooter>
    <oddFooter>&amp;L&amp;P&amp;C&amp;A&amp;R&amp;F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D6FE0-5349-441B-8D74-13AD2868DBB2}">
  <sheetPr codeName="Sheet1">
    <tabColor rgb="FFFF0000"/>
  </sheetPr>
  <dimension ref="A1:N893"/>
  <sheetViews>
    <sheetView zoomScaleNormal="100" zoomScaleSheetLayoutView="100" workbookViewId="0"/>
  </sheetViews>
  <sheetFormatPr defaultColWidth="14.140625" defaultRowHeight="31.9" customHeight="1"/>
  <cols>
    <col min="1" max="1" width="8.85546875" style="166" customWidth="1"/>
    <col min="2" max="2" width="57.42578125" style="166" customWidth="1"/>
    <col min="3" max="3" width="33.140625" style="177" customWidth="1"/>
    <col min="4" max="4" width="44.7109375" style="166" customWidth="1"/>
    <col min="5" max="5" width="32.28515625" style="166" customWidth="1"/>
    <col min="6" max="6" width="8.5703125" style="166" customWidth="1"/>
    <col min="7" max="7" width="12.7109375" style="166" customWidth="1"/>
    <col min="8" max="8" width="17.5703125" style="166" bestFit="1" customWidth="1"/>
    <col min="9" max="9" width="51.42578125" style="166" bestFit="1" customWidth="1"/>
    <col min="12" max="12" width="3.7109375" style="166" customWidth="1"/>
    <col min="13" max="13" width="75.140625" style="238" customWidth="1"/>
    <col min="14" max="14" width="20.28515625" style="166" customWidth="1"/>
    <col min="15" max="24" width="8.5703125" style="166" customWidth="1"/>
    <col min="25" max="16384" width="14.140625" style="166"/>
  </cols>
  <sheetData>
    <row r="1" spans="1:14" ht="24" customHeight="1">
      <c r="A1" s="199" t="str">
        <f>+'jobinfo(2)'!$C$1</f>
        <v>Hatten, Nedra</v>
      </c>
      <c r="B1" s="191"/>
      <c r="C1" s="167" t="str">
        <f>+N1</f>
        <v>JOB FORMS</v>
      </c>
      <c r="D1" s="245" t="str">
        <f>+'jobinfo(2)'!C1</f>
        <v>Hatten, Nedra</v>
      </c>
      <c r="E1" s="245"/>
      <c r="F1" s="197" t="s">
        <v>969</v>
      </c>
      <c r="G1" s="1089" t="str">
        <f>+'jobinfo(2)'!$C$1</f>
        <v>Hatten, Nedra</v>
      </c>
      <c r="H1" s="195" t="s">
        <v>970</v>
      </c>
      <c r="I1" s="196" t="str">
        <f>+N1</f>
        <v>JOB FORMS</v>
      </c>
      <c r="L1" s="199" t="str">
        <f>+'jobinfo(2)'!$C$1</f>
        <v>Hatten, Nedra</v>
      </c>
      <c r="M1" s="239"/>
      <c r="N1" s="165" t="s">
        <v>971</v>
      </c>
    </row>
    <row r="2" spans="1:14" ht="23.45" customHeight="1">
      <c r="A2" s="170">
        <v>1</v>
      </c>
      <c r="B2" s="171" t="str">
        <f t="shared" ref="B2:B11" si="0">+M2</f>
        <v>CONTRACT    PACKAGE;</v>
      </c>
      <c r="C2" s="1096" t="str">
        <f>+N2</f>
        <v>CONTRACT    PACKAGE;</v>
      </c>
      <c r="D2" s="892" t="s">
        <v>972</v>
      </c>
      <c r="E2" s="892"/>
      <c r="F2" s="1092" t="s">
        <v>973</v>
      </c>
      <c r="G2" s="1090"/>
      <c r="H2" s="233" t="str">
        <f>+'jobinfo(2)'!B1</f>
        <v>Property-Owner Name</v>
      </c>
      <c r="I2" s="199" t="str">
        <f>+'jobinfo(2)'!C1</f>
        <v>Hatten, Nedra</v>
      </c>
      <c r="L2" s="169">
        <v>1</v>
      </c>
      <c r="M2" s="238" t="s">
        <v>974</v>
      </c>
      <c r="N2" s="1093" t="str">
        <f>+M2</f>
        <v>CONTRACT    PACKAGE;</v>
      </c>
    </row>
    <row r="3" spans="1:14" ht="19.149999999999999" customHeight="1">
      <c r="A3" s="170"/>
      <c r="B3" s="171" t="str">
        <f t="shared" si="0"/>
        <v xml:space="preserve"> BASIC SUMMARY OF RESTORATION PROCESS; (Quick version). </v>
      </c>
      <c r="C3" s="1096"/>
      <c r="D3" s="1100" t="s">
        <v>975</v>
      </c>
      <c r="E3" s="958"/>
      <c r="F3" s="1092"/>
      <c r="G3" s="1090"/>
      <c r="H3" s="235" t="str">
        <f>+'jobinfo(2)'!B2</f>
        <v>Property address: street</v>
      </c>
      <c r="I3" s="200" t="str">
        <f>+'jobinfo(2)'!C2</f>
        <v>628 Quilliams Road</v>
      </c>
      <c r="J3" s="892"/>
      <c r="K3" s="892"/>
      <c r="L3" s="169"/>
      <c r="M3" s="181" t="s">
        <v>976</v>
      </c>
      <c r="N3" s="1093"/>
    </row>
    <row r="4" spans="1:14" ht="21" customHeight="1">
      <c r="A4" s="170"/>
      <c r="B4" s="183" t="str">
        <f t="shared" si="0"/>
        <v xml:space="preserve">    Signed contract verification , MOU sent</v>
      </c>
      <c r="C4" s="1096"/>
      <c r="D4" s="1100"/>
      <c r="E4" s="958"/>
      <c r="F4" s="1092"/>
      <c r="G4" s="1090"/>
      <c r="H4" s="233" t="str">
        <f>+'jobinfo(2)'!B3</f>
        <v>Property city, state, zip</v>
      </c>
      <c r="I4" s="199" t="str">
        <f>+'jobinfo(2)'!C3</f>
        <v>Cleveland Heights, OH 44121</v>
      </c>
      <c r="J4" s="892"/>
      <c r="K4" s="892"/>
      <c r="L4" s="169"/>
      <c r="M4" s="238" t="s">
        <v>977</v>
      </c>
      <c r="N4" s="1093"/>
    </row>
    <row r="5" spans="1:14" ht="21" customHeight="1">
      <c r="A5" s="892"/>
      <c r="B5" s="167" t="str">
        <f t="shared" si="0"/>
        <v>Copy of Policy (full pages) Declaration page for AOB</v>
      </c>
      <c r="C5" s="1096"/>
      <c r="D5" s="1100"/>
      <c r="E5" s="958"/>
      <c r="F5" s="1092"/>
      <c r="G5" s="1090"/>
      <c r="H5" s="233" t="str">
        <f>+'jobinfo(2)'!B4</f>
        <v>Customer Email</v>
      </c>
      <c r="I5" s="199" t="str">
        <f>+'jobinfo(2)'!C4</f>
        <v>Msnedra1015@aol.com</v>
      </c>
      <c r="L5" s="169"/>
      <c r="M5" s="182" t="s">
        <v>978</v>
      </c>
      <c r="N5" s="1093"/>
    </row>
    <row r="6" spans="1:14" ht="43.9" customHeight="1">
      <c r="A6" s="170">
        <f>1+A2</f>
        <v>2</v>
      </c>
      <c r="B6" s="171" t="str">
        <f t="shared" si="0"/>
        <v>Claim Brief &amp; .'REPORTING SUMMARY</v>
      </c>
      <c r="C6" s="1098" t="str">
        <f>+N6</f>
        <v>Claim Brief &amp; .'REPORTING SUMMARY</v>
      </c>
      <c r="D6" s="246" t="str">
        <f>+B7</f>
        <v>INDEX = LISTING of  Job Work Areas.</v>
      </c>
      <c r="E6" s="246"/>
      <c r="F6" s="1092"/>
      <c r="G6" s="1090"/>
      <c r="H6" s="201" t="str">
        <f>+'jobinfo(2)'!B5</f>
        <v>Cst-owner Phone#</v>
      </c>
      <c r="I6" s="234" t="str">
        <f>+'jobinfo(2)'!C5</f>
        <v>(216) 240-4123</v>
      </c>
      <c r="L6" s="169">
        <f>1+L2</f>
        <v>2</v>
      </c>
      <c r="M6" s="238" t="s">
        <v>979</v>
      </c>
      <c r="N6" s="1097" t="str">
        <f>+M6</f>
        <v>Claim Brief &amp; .'REPORTING SUMMARY</v>
      </c>
    </row>
    <row r="7" spans="1:14" ht="40.15" customHeight="1">
      <c r="A7" s="169"/>
      <c r="B7" s="171" t="str">
        <f t="shared" si="0"/>
        <v>INDEX = LISTING of  Job Work Areas.</v>
      </c>
      <c r="C7" s="1098"/>
      <c r="D7" s="892" t="s">
        <v>975</v>
      </c>
      <c r="E7" s="892"/>
      <c r="F7" s="1095" t="str">
        <f>+I2</f>
        <v>Hatten, Nedra</v>
      </c>
      <c r="G7" s="1090"/>
      <c r="H7" s="233" t="str">
        <f>+'jobinfo(2)'!B11</f>
        <v>Cause of Loss</v>
      </c>
      <c r="I7" s="234" t="str">
        <f>+'jobinfo(2)'!C11</f>
        <v>BATHTUB OVERFLOW</v>
      </c>
      <c r="L7" s="169"/>
      <c r="M7" s="240" t="s">
        <v>980</v>
      </c>
      <c r="N7" s="1097"/>
    </row>
    <row r="8" spans="1:14" ht="48" customHeight="1">
      <c r="A8" s="170">
        <f>1+A6</f>
        <v>3</v>
      </c>
      <c r="B8" s="172" t="str">
        <f t="shared" si="0"/>
        <v>Exterior Mitigation &amp; Scope</v>
      </c>
      <c r="C8" s="1099" t="str">
        <f>+B8</f>
        <v>Exterior Mitigation &amp; Scope</v>
      </c>
      <c r="D8" s="892"/>
      <c r="E8" s="892"/>
      <c r="F8" s="1095"/>
      <c r="G8" s="1090"/>
      <c r="H8" s="202" t="str">
        <f>+'jobinfo(2)'!B12</f>
        <v>date of loss</v>
      </c>
      <c r="I8" s="236" t="str">
        <f>+'jobinfo(2)'!C12</f>
        <v>Monday, June 16, 2025</v>
      </c>
      <c r="L8" s="169">
        <f>1+L6</f>
        <v>3</v>
      </c>
      <c r="M8" s="241" t="s">
        <v>981</v>
      </c>
      <c r="N8" s="1093" t="str">
        <f>+M8</f>
        <v>Exterior Mitigation &amp; Scope</v>
      </c>
    </row>
    <row r="9" spans="1:14" ht="40.15" customHeight="1">
      <c r="A9" s="169"/>
      <c r="B9" s="184" t="str">
        <f t="shared" si="0"/>
        <v>a.) Supplies &amp;  Equipment   b.)  Mitigation   c.) Scope</v>
      </c>
      <c r="C9" s="1099"/>
      <c r="D9" s="892"/>
      <c r="E9" s="892"/>
      <c r="F9" s="1095"/>
      <c r="G9" s="1090"/>
      <c r="H9" s="201" t="str">
        <f>+'jobinfo(2)'!B13</f>
        <v>rebuild  type 1</v>
      </c>
      <c r="I9" s="234" t="str">
        <f>+'jobinfo(2)'!C13</f>
        <v>interior repairs LVL2</v>
      </c>
      <c r="L9" s="169"/>
      <c r="M9" s="240" t="s">
        <v>982</v>
      </c>
      <c r="N9" s="1093"/>
    </row>
    <row r="10" spans="1:14" ht="40.15" customHeight="1">
      <c r="A10" s="169">
        <f>1+A8</f>
        <v>4</v>
      </c>
      <c r="B10" s="167" t="str">
        <f t="shared" si="0"/>
        <v>SKETCHES  /    FLOOR PLAN /              Interior SCOPE</v>
      </c>
      <c r="C10" s="1101" t="str">
        <f>+B10</f>
        <v>SKETCHES  /    FLOOR PLAN /              Interior SCOPE</v>
      </c>
      <c r="D10" s="190" t="s">
        <v>975</v>
      </c>
      <c r="E10" s="190"/>
      <c r="F10" s="1095"/>
      <c r="G10" s="1090"/>
      <c r="H10" s="233" t="str">
        <f>+'jobinfo(2)'!B14</f>
        <v>rebuild  type 2</v>
      </c>
      <c r="I10" s="199" t="str">
        <f>+'jobinfo(2)'!C14</f>
        <v>interior repairs LVL1</v>
      </c>
      <c r="L10" s="169">
        <f>1+L8</f>
        <v>4</v>
      </c>
      <c r="M10" s="241" t="s">
        <v>983</v>
      </c>
      <c r="N10" s="1102" t="str">
        <f>+M10</f>
        <v>SKETCHES  /    FLOOR PLAN /              Interior SCOPE</v>
      </c>
    </row>
    <row r="11" spans="1:14" ht="40.15" customHeight="1">
      <c r="A11" s="169"/>
      <c r="B11" s="167" t="str">
        <f t="shared" si="0"/>
        <v>Interior SCOPE/SHEETS</v>
      </c>
      <c r="C11" s="1101"/>
      <c r="D11" s="892" t="str">
        <f>+B10</f>
        <v>SKETCHES  /    FLOOR PLAN /              Interior SCOPE</v>
      </c>
      <c r="E11" s="892"/>
      <c r="F11" s="1095"/>
      <c r="G11" s="1090"/>
      <c r="H11" s="201" t="str">
        <f>+'jobinfo(2)'!B15</f>
        <v>rebuild  type 3</v>
      </c>
      <c r="I11" s="234" t="str">
        <f>+'jobinfo(2)'!C15</f>
        <v>BASEMENT</v>
      </c>
      <c r="L11" s="169"/>
      <c r="M11" s="241" t="s">
        <v>984</v>
      </c>
      <c r="N11" s="1103"/>
    </row>
    <row r="12" spans="1:14" ht="40.15" customHeight="1">
      <c r="A12" s="169"/>
      <c r="B12" s="167"/>
      <c r="C12" s="173"/>
      <c r="D12" s="892"/>
      <c r="E12" s="892"/>
      <c r="F12" s="1095"/>
      <c r="G12" s="1091" t="s">
        <v>973</v>
      </c>
      <c r="H12" s="201" t="str">
        <f>+'jobinfo(2)'!B16</f>
        <v>DEMO</v>
      </c>
      <c r="I12" s="234" t="str">
        <f>+'jobinfo(2)'!C16</f>
        <v>Y</v>
      </c>
      <c r="L12" s="169"/>
      <c r="M12" s="258" t="s">
        <v>985</v>
      </c>
      <c r="N12" s="1103"/>
    </row>
    <row r="13" spans="1:14" ht="40.15" customHeight="1">
      <c r="A13" s="170">
        <f>1+A10</f>
        <v>5</v>
      </c>
      <c r="B13" s="171" t="str">
        <f>+M13</f>
        <v>Interior SCOPE/SHEETS</v>
      </c>
      <c r="C13" s="1105" t="str">
        <f>+N13</f>
        <v>Interior SCOPE/SHEETS</v>
      </c>
      <c r="D13" s="190" t="s">
        <v>975</v>
      </c>
      <c r="E13" s="190"/>
      <c r="F13" s="1095"/>
      <c r="G13" s="1091"/>
      <c r="H13" s="237" t="str">
        <f>+'jobinfo(2)'!B17</f>
        <v>Mitigation</v>
      </c>
      <c r="I13" s="199" t="str">
        <f>+'jobinfo(2)'!C17</f>
        <v>Y</v>
      </c>
      <c r="L13" s="169">
        <f>1+L10</f>
        <v>5</v>
      </c>
      <c r="M13" s="241" t="s">
        <v>984</v>
      </c>
      <c r="N13" s="1093" t="str">
        <f>+M13</f>
        <v>Interior SCOPE/SHEETS</v>
      </c>
    </row>
    <row r="14" spans="1:14" ht="22.15" customHeight="1">
      <c r="A14" s="169"/>
      <c r="B14" s="184" t="str">
        <f>+M14</f>
        <v>per room/area; as needed per job</v>
      </c>
      <c r="C14" s="1106"/>
      <c r="D14" s="191" t="str">
        <f>+B13</f>
        <v>Interior SCOPE/SHEETS</v>
      </c>
      <c r="E14" s="191"/>
      <c r="F14" s="1095"/>
      <c r="G14" s="1091"/>
      <c r="H14" s="201" t="str">
        <f>+'jobinfo(2)'!B18</f>
        <v>Other Structures</v>
      </c>
      <c r="I14" s="234" t="str">
        <f>+'jobinfo(2)'!C18</f>
        <v>NA</v>
      </c>
      <c r="L14" s="169"/>
      <c r="M14" s="242" t="s">
        <v>986</v>
      </c>
      <c r="N14" s="1104"/>
    </row>
    <row r="15" spans="1:14" ht="22.15" customHeight="1">
      <c r="A15" s="169"/>
      <c r="B15" s="184" t="str">
        <f>+'kit bath'!B2</f>
        <v>Kitchen</v>
      </c>
      <c r="C15" s="959"/>
      <c r="D15" s="191"/>
      <c r="E15" s="191"/>
      <c r="F15" s="1095"/>
      <c r="G15" s="1091"/>
      <c r="H15" s="201"/>
      <c r="I15" s="234"/>
      <c r="L15" s="169"/>
      <c r="M15" s="242" t="str">
        <f>+B15</f>
        <v>Kitchen</v>
      </c>
      <c r="N15" s="247"/>
    </row>
    <row r="16" spans="1:14" ht="40.15" customHeight="1">
      <c r="A16" s="169">
        <f>1+A13</f>
        <v>6</v>
      </c>
      <c r="B16" s="167" t="str">
        <f>+M16</f>
        <v>INTERIOR Mitigation    a) Equipment  b) Supplies  c) Scope of Mitigation</v>
      </c>
      <c r="C16" s="1087" t="str">
        <f>+N16</f>
        <v>INTERIOR Mitigation    a) Equipment  b) Supplies  c) Scope of Mitigation</v>
      </c>
      <c r="D16" s="190" t="s">
        <v>975</v>
      </c>
      <c r="E16" s="190"/>
      <c r="F16" s="1095"/>
      <c r="G16" s="1091"/>
      <c r="H16" s="237" t="str">
        <f>+'jobinfo(2)'!B19</f>
        <v>Replacement</v>
      </c>
      <c r="I16" s="199" t="str">
        <f>+'jobinfo(2)'!C19</f>
        <v>Y</v>
      </c>
      <c r="L16" s="169">
        <f>1+L13</f>
        <v>6</v>
      </c>
      <c r="M16" s="243" t="s">
        <v>987</v>
      </c>
      <c r="N16" s="1107" t="str">
        <f>+M16</f>
        <v>INTERIOR Mitigation    a) Equipment  b) Supplies  c) Scope of Mitigation</v>
      </c>
    </row>
    <row r="17" spans="1:14" ht="40.15" customHeight="1">
      <c r="A17" s="169"/>
      <c r="B17" s="167" t="str">
        <f>+M17</f>
        <v>a) Equipment   b) Supplies  c) Mitigation Scope</v>
      </c>
      <c r="C17" s="1088"/>
      <c r="D17" s="192" t="s">
        <v>988</v>
      </c>
      <c r="E17" s="192"/>
      <c r="F17" s="198">
        <v>1</v>
      </c>
      <c r="G17" s="198">
        <v>1</v>
      </c>
      <c r="H17" s="201" t="str">
        <f>+'jobinfo(2)'!B20</f>
        <v>CPS / CLN / CON/ CGN</v>
      </c>
      <c r="I17" s="234" t="str">
        <f>+'jobinfo(2)'!C20</f>
        <v>Y</v>
      </c>
      <c r="L17" s="169"/>
      <c r="M17" s="240" t="s">
        <v>989</v>
      </c>
      <c r="N17" s="1108"/>
    </row>
    <row r="18" spans="1:14" ht="36" customHeight="1">
      <c r="A18" s="169"/>
      <c r="B18" s="167"/>
      <c r="C18" s="175"/>
      <c r="D18" s="191" t="s">
        <v>990</v>
      </c>
      <c r="E18" s="191"/>
      <c r="F18" s="198">
        <v>5</v>
      </c>
      <c r="G18" s="198">
        <v>5</v>
      </c>
      <c r="H18" s="237" t="str">
        <f>+'jobinfo(2)'!B26</f>
        <v xml:space="preserve">Insurance Co. Name </v>
      </c>
      <c r="I18" s="199" t="str">
        <f>+'jobinfo(2)'!C26</f>
        <v>LIBERTY MUTUAL</v>
      </c>
      <c r="L18" s="169"/>
      <c r="M18" s="244"/>
      <c r="N18" s="174"/>
    </row>
    <row r="19" spans="1:14" ht="40.15" customHeight="1">
      <c r="A19" s="169">
        <f>1+A16</f>
        <v>7</v>
      </c>
      <c r="B19" s="171" t="str">
        <f>+M19</f>
        <v>INTERIOR Mitigation READINGS !!!!  a.) MC    b.) RH      c.) F TEMP</v>
      </c>
      <c r="C19" s="261" t="str">
        <f>+B19</f>
        <v>INTERIOR Mitigation READINGS !!!!  a.) MC    b.) RH      c.) F TEMP</v>
      </c>
      <c r="D19" s="190" t="s">
        <v>975</v>
      </c>
      <c r="E19" s="190"/>
      <c r="F19" s="198">
        <v>5</v>
      </c>
      <c r="G19" s="198">
        <v>5</v>
      </c>
      <c r="H19" s="201" t="str">
        <f>+'jobinfo(2)'!B27</f>
        <v xml:space="preserve">Claim # </v>
      </c>
      <c r="I19" s="234" t="str">
        <f>+'jobinfo(2)'!C27</f>
        <v>#059633981</v>
      </c>
      <c r="L19" s="169">
        <f>1+L16</f>
        <v>7</v>
      </c>
      <c r="M19" s="243" t="s">
        <v>991</v>
      </c>
      <c r="N19" s="1094" t="str">
        <f>+M19</f>
        <v>INTERIOR Mitigation READINGS !!!!  a.) MC    b.) RH      c.) F TEMP</v>
      </c>
    </row>
    <row r="20" spans="1:14" ht="42" customHeight="1">
      <c r="A20" s="892"/>
      <c r="B20" s="171" t="str">
        <f>+M20</f>
        <v>a.) MC  b.) RH c.) F TEMP</v>
      </c>
      <c r="C20" s="176" t="str">
        <f>+B20</f>
        <v>a.) MC  b.) RH c.) F TEMP</v>
      </c>
      <c r="D20" s="191" t="str">
        <f>+B21</f>
        <v>Contents SCOPE = QUICKVIEW</v>
      </c>
      <c r="E20" s="191"/>
      <c r="F20" s="197" t="s">
        <v>713</v>
      </c>
      <c r="G20" s="892"/>
      <c r="H20" s="237" t="str">
        <f>+'jobinfo(2)'!B28</f>
        <v>policy #</v>
      </c>
      <c r="I20" s="199" t="str">
        <f>+'jobinfo(2)'!C28</f>
        <v>H3V28806334771</v>
      </c>
      <c r="L20" s="169"/>
      <c r="M20" s="260" t="s">
        <v>992</v>
      </c>
      <c r="N20" s="1094"/>
    </row>
    <row r="21" spans="1:14" ht="43.9" customHeight="1">
      <c r="A21" s="170">
        <f>1+A19</f>
        <v>8</v>
      </c>
      <c r="B21" s="171" t="str">
        <f>+M21</f>
        <v>Contents SCOPE = QUICKVIEW</v>
      </c>
      <c r="C21" s="1101" t="str">
        <f>+B21</f>
        <v>Contents SCOPE = QUICKVIEW</v>
      </c>
      <c r="D21" s="892"/>
      <c r="E21" s="892"/>
      <c r="F21" s="197" t="s">
        <v>713</v>
      </c>
      <c r="G21" s="892"/>
      <c r="H21" s="201" t="str">
        <f>+'jobinfo(2)'!B29</f>
        <v>Email INS. co.</v>
      </c>
      <c r="I21" s="234">
        <f>+'jobinfo(2)'!C29</f>
        <v>0</v>
      </c>
      <c r="L21" s="169">
        <f>1+L19</f>
        <v>8</v>
      </c>
      <c r="M21" s="259" t="s">
        <v>993</v>
      </c>
      <c r="N21" s="1093" t="str">
        <f>+M21</f>
        <v>Contents SCOPE = QUICKVIEW</v>
      </c>
    </row>
    <row r="22" spans="1:14" ht="16.149999999999999" customHeight="1">
      <c r="A22" s="892"/>
      <c r="B22" s="167" t="s">
        <v>994</v>
      </c>
      <c r="C22" s="1101"/>
      <c r="D22" s="892"/>
      <c r="E22" s="892"/>
      <c r="F22" s="197" t="s">
        <v>713</v>
      </c>
      <c r="G22" s="892"/>
      <c r="H22" s="237" t="str">
        <f>+'jobinfo(2)'!B30</f>
        <v>DESK Adjuster DA</v>
      </c>
      <c r="I22" s="199">
        <f>+'jobinfo(2)'!C30</f>
        <v>0</v>
      </c>
      <c r="L22" s="164"/>
      <c r="M22" s="260" t="str">
        <f>+B22</f>
        <v>HMR Hazrdous Materials</v>
      </c>
      <c r="N22" s="1093"/>
    </row>
    <row r="23" spans="1:14" ht="16.149999999999999" customHeight="1">
      <c r="A23" s="892"/>
      <c r="B23" s="167" t="s">
        <v>995</v>
      </c>
      <c r="C23" s="168"/>
      <c r="D23" s="892"/>
      <c r="E23" s="892"/>
      <c r="F23" s="892"/>
      <c r="G23" s="892"/>
      <c r="H23" s="892"/>
      <c r="I23" s="892"/>
      <c r="L23" s="164"/>
      <c r="M23" s="238" t="str">
        <f>+B23</f>
        <v>Exterior Maintenance                 INT Maintenance</v>
      </c>
      <c r="N23" s="1093"/>
    </row>
    <row r="24" spans="1:14" ht="16.149999999999999" customHeight="1">
      <c r="A24" s="892"/>
      <c r="B24" s="892"/>
      <c r="C24" s="168"/>
      <c r="D24" s="892"/>
      <c r="E24" s="892"/>
      <c r="F24" s="892"/>
      <c r="G24" s="892"/>
      <c r="H24" s="892"/>
      <c r="I24" s="892"/>
      <c r="L24" s="164"/>
      <c r="N24" s="174"/>
    </row>
    <row r="25" spans="1:14" ht="31.9" customHeight="1">
      <c r="A25" s="892"/>
      <c r="B25" s="167"/>
      <c r="C25" s="168"/>
      <c r="D25" s="892"/>
      <c r="E25" s="892"/>
      <c r="F25" s="892"/>
      <c r="G25" s="892"/>
      <c r="H25" s="892"/>
      <c r="I25" s="892"/>
      <c r="L25" s="164"/>
      <c r="N25" s="174"/>
    </row>
    <row r="26" spans="1:14" ht="31.9" customHeight="1">
      <c r="A26" s="892"/>
      <c r="B26" s="167"/>
      <c r="C26" s="168"/>
      <c r="D26" s="892"/>
      <c r="E26" s="892"/>
      <c r="F26" s="892"/>
      <c r="G26" s="892"/>
      <c r="H26" s="892"/>
      <c r="I26" s="892"/>
      <c r="L26" s="164"/>
      <c r="N26" s="174"/>
    </row>
    <row r="27" spans="1:14" ht="31.9" customHeight="1">
      <c r="A27" s="892"/>
      <c r="B27" s="167"/>
      <c r="C27" s="168"/>
      <c r="D27" s="892"/>
      <c r="E27" s="892"/>
      <c r="F27" s="892"/>
      <c r="G27" s="892"/>
      <c r="H27" s="892"/>
      <c r="I27" s="892"/>
      <c r="L27" s="164"/>
      <c r="N27" s="174"/>
    </row>
    <row r="28" spans="1:14" ht="31.9" customHeight="1">
      <c r="A28" s="892"/>
      <c r="B28" s="167"/>
      <c r="C28" s="168"/>
      <c r="D28" s="892"/>
      <c r="E28" s="892"/>
      <c r="F28" s="892"/>
      <c r="G28" s="892"/>
      <c r="H28" s="892"/>
      <c r="I28" s="892"/>
      <c r="L28" s="164"/>
      <c r="N28" s="174"/>
    </row>
    <row r="29" spans="1:14" ht="31.9" customHeight="1">
      <c r="A29" s="892"/>
      <c r="B29" s="167"/>
      <c r="C29" s="168"/>
      <c r="D29" s="892"/>
      <c r="E29" s="892"/>
      <c r="F29" s="892"/>
      <c r="G29" s="892"/>
      <c r="H29" s="892"/>
      <c r="I29" s="892"/>
      <c r="L29" s="164"/>
      <c r="N29" s="174"/>
    </row>
    <row r="30" spans="1:14" ht="31.9" customHeight="1">
      <c r="A30" s="892"/>
      <c r="B30" s="167"/>
      <c r="C30" s="168"/>
      <c r="D30" s="892"/>
      <c r="E30" s="892"/>
      <c r="F30" s="892"/>
      <c r="G30" s="892"/>
      <c r="H30" s="892"/>
      <c r="I30" s="892"/>
      <c r="L30" s="164"/>
      <c r="N30" s="174"/>
    </row>
    <row r="31" spans="1:14" ht="31.9" customHeight="1">
      <c r="A31" s="892"/>
      <c r="B31" s="167"/>
      <c r="C31" s="168"/>
      <c r="D31" s="892"/>
      <c r="E31" s="892"/>
      <c r="F31" s="892"/>
      <c r="G31" s="892"/>
      <c r="H31" s="892"/>
      <c r="I31" s="892"/>
      <c r="L31" s="164"/>
      <c r="N31" s="174"/>
    </row>
    <row r="32" spans="1:14" ht="31.9" customHeight="1">
      <c r="A32" s="892"/>
      <c r="B32" s="167"/>
      <c r="C32" s="168"/>
      <c r="D32" s="892"/>
      <c r="E32" s="892"/>
      <c r="F32" s="892"/>
      <c r="G32" s="892"/>
      <c r="H32" s="892"/>
      <c r="I32" s="892"/>
      <c r="L32" s="164"/>
      <c r="N32" s="174"/>
    </row>
    <row r="33" spans="2:14" ht="31.9" customHeight="1">
      <c r="B33" s="167"/>
      <c r="C33" s="168"/>
      <c r="D33" s="892"/>
      <c r="E33" s="892"/>
      <c r="F33" s="892"/>
      <c r="G33" s="892"/>
      <c r="H33" s="892"/>
      <c r="I33" s="892"/>
      <c r="L33" s="164"/>
      <c r="N33" s="174"/>
    </row>
    <row r="34" spans="2:14" ht="31.9" customHeight="1">
      <c r="B34" s="167"/>
      <c r="C34" s="168"/>
      <c r="D34" s="892"/>
      <c r="E34" s="892"/>
      <c r="F34" s="892"/>
      <c r="G34" s="892"/>
      <c r="H34" s="892"/>
      <c r="I34" s="892"/>
      <c r="L34" s="164"/>
      <c r="N34" s="174"/>
    </row>
    <row r="35" spans="2:14" ht="31.9" customHeight="1">
      <c r="B35" s="167"/>
      <c r="C35" s="168"/>
      <c r="D35" s="892"/>
      <c r="E35" s="892"/>
      <c r="F35" s="892"/>
      <c r="G35" s="892"/>
      <c r="H35" s="892"/>
      <c r="I35" s="892"/>
      <c r="L35" s="164"/>
      <c r="N35" s="174"/>
    </row>
    <row r="36" spans="2:14" ht="31.9" customHeight="1">
      <c r="B36" s="167"/>
      <c r="C36" s="168"/>
      <c r="D36" s="892"/>
      <c r="E36" s="892"/>
      <c r="F36" s="892"/>
      <c r="G36" s="892"/>
      <c r="H36" s="892"/>
      <c r="I36" s="892"/>
      <c r="L36" s="164"/>
      <c r="N36" s="174"/>
    </row>
    <row r="37" spans="2:14" ht="31.9" customHeight="1">
      <c r="B37" s="167"/>
      <c r="C37" s="168"/>
      <c r="D37" s="892"/>
      <c r="E37" s="892"/>
      <c r="F37" s="892"/>
      <c r="G37" s="892"/>
      <c r="H37" s="892"/>
      <c r="I37" s="892"/>
      <c r="L37" s="164"/>
      <c r="N37" s="174"/>
    </row>
    <row r="38" spans="2:14" ht="31.9" customHeight="1">
      <c r="B38" s="167"/>
      <c r="C38" s="168"/>
      <c r="D38" s="892"/>
      <c r="E38" s="892"/>
      <c r="F38" s="892"/>
      <c r="G38" s="892"/>
      <c r="H38" s="892"/>
      <c r="I38" s="892"/>
      <c r="L38" s="164"/>
      <c r="N38" s="174"/>
    </row>
    <row r="39" spans="2:14" ht="31.9" customHeight="1">
      <c r="B39" s="167"/>
      <c r="C39" s="168"/>
      <c r="D39" s="892"/>
      <c r="E39" s="892"/>
      <c r="F39" s="892"/>
      <c r="G39" s="892"/>
      <c r="H39" s="892"/>
      <c r="I39" s="892"/>
      <c r="L39" s="164"/>
      <c r="N39" s="174"/>
    </row>
    <row r="40" spans="2:14" ht="31.9" customHeight="1">
      <c r="B40" s="167"/>
      <c r="C40" s="168"/>
      <c r="D40" s="892"/>
      <c r="E40" s="892"/>
      <c r="F40" s="892"/>
      <c r="G40" s="892"/>
      <c r="H40" s="892"/>
      <c r="I40" s="892"/>
      <c r="L40" s="164"/>
      <c r="N40" s="174"/>
    </row>
    <row r="41" spans="2:14" ht="31.9" customHeight="1">
      <c r="B41" s="167"/>
      <c r="C41" s="168"/>
      <c r="D41" s="892"/>
      <c r="E41" s="892"/>
      <c r="F41" s="892"/>
      <c r="G41" s="892"/>
      <c r="H41" s="892"/>
      <c r="I41" s="892"/>
      <c r="L41" s="164"/>
      <c r="N41" s="174"/>
    </row>
    <row r="42" spans="2:14" ht="31.9" customHeight="1">
      <c r="B42" s="167"/>
      <c r="C42" s="168"/>
      <c r="D42" s="892"/>
      <c r="E42" s="892"/>
      <c r="F42" s="892"/>
      <c r="G42" s="892"/>
      <c r="H42" s="892"/>
      <c r="I42" s="892"/>
      <c r="L42" s="164"/>
      <c r="N42" s="174"/>
    </row>
    <row r="43" spans="2:14" ht="31.9" customHeight="1">
      <c r="B43" s="167"/>
      <c r="C43" s="168"/>
      <c r="D43" s="892"/>
      <c r="E43" s="892"/>
      <c r="F43" s="892"/>
      <c r="G43" s="892"/>
      <c r="H43" s="892"/>
      <c r="I43" s="892"/>
      <c r="L43" s="164"/>
      <c r="N43" s="174"/>
    </row>
    <row r="44" spans="2:14" ht="31.9" customHeight="1">
      <c r="B44" s="167"/>
      <c r="C44" s="168"/>
      <c r="D44" s="892"/>
      <c r="E44" s="892"/>
      <c r="F44" s="892"/>
      <c r="G44" s="892"/>
      <c r="H44" s="892"/>
      <c r="I44" s="892"/>
      <c r="L44" s="164"/>
      <c r="N44" s="174"/>
    </row>
    <row r="45" spans="2:14" ht="31.9" customHeight="1">
      <c r="B45" s="167"/>
      <c r="C45" s="168"/>
      <c r="D45" s="892"/>
      <c r="E45" s="892"/>
      <c r="F45" s="892"/>
      <c r="G45" s="892"/>
      <c r="H45" s="892"/>
      <c r="I45" s="892"/>
      <c r="L45" s="164"/>
      <c r="N45" s="174"/>
    </row>
    <row r="46" spans="2:14" ht="31.9" customHeight="1">
      <c r="B46" s="167"/>
      <c r="C46" s="168"/>
      <c r="D46" s="892"/>
      <c r="E46" s="892"/>
      <c r="F46" s="892"/>
      <c r="G46" s="892"/>
      <c r="H46" s="892"/>
      <c r="I46" s="892"/>
      <c r="L46" s="164"/>
      <c r="N46" s="174"/>
    </row>
    <row r="47" spans="2:14" ht="31.9" customHeight="1">
      <c r="B47" s="167"/>
      <c r="C47" s="168"/>
      <c r="D47" s="892"/>
      <c r="E47" s="892"/>
      <c r="F47" s="892"/>
      <c r="G47" s="892"/>
      <c r="H47" s="892"/>
      <c r="I47" s="892"/>
      <c r="L47" s="164"/>
      <c r="N47" s="174"/>
    </row>
    <row r="48" spans="2:14" ht="31.9" customHeight="1">
      <c r="B48" s="167"/>
      <c r="C48" s="168"/>
      <c r="D48" s="892"/>
      <c r="E48" s="892"/>
      <c r="F48" s="892"/>
      <c r="G48" s="892"/>
      <c r="H48" s="892"/>
      <c r="I48" s="892"/>
      <c r="L48" s="164"/>
      <c r="N48" s="174"/>
    </row>
    <row r="49" spans="2:14" ht="31.9" customHeight="1">
      <c r="B49" s="167"/>
      <c r="C49" s="168"/>
      <c r="D49" s="892"/>
      <c r="E49" s="892"/>
      <c r="F49" s="892"/>
      <c r="G49" s="892"/>
      <c r="H49" s="892"/>
      <c r="I49" s="892"/>
      <c r="L49" s="164"/>
      <c r="N49" s="174"/>
    </row>
    <row r="50" spans="2:14" ht="31.9" customHeight="1">
      <c r="B50" s="167"/>
      <c r="C50" s="168"/>
      <c r="D50" s="892"/>
      <c r="E50" s="892"/>
      <c r="F50" s="892"/>
      <c r="G50" s="892"/>
      <c r="H50" s="892"/>
      <c r="I50" s="892"/>
      <c r="L50" s="164"/>
      <c r="N50" s="174"/>
    </row>
    <row r="51" spans="2:14" ht="31.9" customHeight="1">
      <c r="B51" s="167"/>
      <c r="C51" s="168"/>
      <c r="D51" s="892"/>
      <c r="E51" s="892"/>
      <c r="F51" s="892"/>
      <c r="G51" s="892"/>
      <c r="H51" s="892"/>
      <c r="I51" s="892"/>
      <c r="L51" s="164"/>
      <c r="N51" s="174"/>
    </row>
    <row r="52" spans="2:14" ht="31.9" customHeight="1">
      <c r="B52" s="167"/>
      <c r="C52" s="168"/>
      <c r="D52" s="892"/>
      <c r="E52" s="892"/>
      <c r="F52" s="892"/>
      <c r="G52" s="892"/>
      <c r="H52" s="892"/>
      <c r="I52" s="892"/>
      <c r="L52" s="164"/>
      <c r="N52" s="174"/>
    </row>
    <row r="53" spans="2:14" ht="31.9" customHeight="1">
      <c r="B53" s="167"/>
      <c r="C53" s="168"/>
      <c r="D53" s="892"/>
      <c r="E53" s="892"/>
      <c r="F53" s="892"/>
      <c r="G53" s="892"/>
      <c r="H53" s="892"/>
      <c r="I53" s="892"/>
      <c r="L53" s="164"/>
      <c r="N53" s="174"/>
    </row>
    <row r="54" spans="2:14" ht="31.9" customHeight="1">
      <c r="B54" s="167"/>
      <c r="C54" s="168"/>
      <c r="D54" s="892"/>
      <c r="E54" s="892"/>
      <c r="F54" s="892"/>
      <c r="G54" s="892"/>
      <c r="H54" s="892"/>
      <c r="I54" s="892"/>
      <c r="L54" s="164"/>
      <c r="N54" s="174"/>
    </row>
    <row r="55" spans="2:14" ht="31.9" customHeight="1">
      <c r="B55" s="167"/>
      <c r="C55" s="168"/>
      <c r="D55" s="892"/>
      <c r="E55" s="892"/>
      <c r="F55" s="892"/>
      <c r="G55" s="892"/>
      <c r="H55" s="892"/>
      <c r="I55" s="892"/>
      <c r="L55" s="164"/>
      <c r="N55" s="174"/>
    </row>
    <row r="56" spans="2:14" ht="31.9" customHeight="1">
      <c r="B56" s="167"/>
      <c r="C56" s="168"/>
      <c r="D56" s="892"/>
      <c r="E56" s="892"/>
      <c r="F56" s="892"/>
      <c r="G56" s="892"/>
      <c r="H56" s="892"/>
      <c r="I56" s="892"/>
      <c r="L56" s="164"/>
      <c r="N56" s="174"/>
    </row>
    <row r="57" spans="2:14" ht="31.9" customHeight="1">
      <c r="B57" s="167"/>
      <c r="C57" s="168"/>
      <c r="D57" s="892"/>
      <c r="E57" s="892"/>
      <c r="F57" s="892"/>
      <c r="G57" s="892"/>
      <c r="H57" s="892"/>
      <c r="I57" s="892"/>
      <c r="L57" s="164"/>
      <c r="N57" s="174"/>
    </row>
    <row r="58" spans="2:14" ht="31.9" customHeight="1">
      <c r="B58" s="167"/>
      <c r="C58" s="168"/>
      <c r="D58" s="892"/>
      <c r="E58" s="892"/>
      <c r="F58" s="892"/>
      <c r="G58" s="892"/>
      <c r="H58" s="892"/>
      <c r="I58" s="892"/>
      <c r="L58" s="164"/>
      <c r="N58" s="174"/>
    </row>
    <row r="59" spans="2:14" ht="31.9" customHeight="1">
      <c r="B59" s="167"/>
      <c r="C59" s="168"/>
      <c r="D59" s="892"/>
      <c r="E59" s="892"/>
      <c r="F59" s="892"/>
      <c r="G59" s="892"/>
      <c r="H59" s="892"/>
      <c r="I59" s="892"/>
      <c r="L59" s="164"/>
      <c r="N59" s="174"/>
    </row>
    <row r="60" spans="2:14" ht="31.9" customHeight="1">
      <c r="B60" s="167"/>
      <c r="C60" s="168"/>
      <c r="D60" s="892"/>
      <c r="E60" s="892"/>
      <c r="F60" s="892"/>
      <c r="G60" s="892"/>
      <c r="H60" s="892"/>
      <c r="I60" s="892"/>
      <c r="L60" s="164"/>
      <c r="N60" s="174"/>
    </row>
    <row r="61" spans="2:14" ht="31.9" customHeight="1">
      <c r="B61" s="167"/>
      <c r="C61" s="168"/>
      <c r="D61" s="892"/>
      <c r="E61" s="892"/>
      <c r="F61" s="892"/>
      <c r="G61" s="892"/>
      <c r="H61" s="892"/>
      <c r="I61" s="892"/>
      <c r="L61" s="164"/>
      <c r="N61" s="174"/>
    </row>
    <row r="62" spans="2:14" ht="31.9" customHeight="1">
      <c r="B62" s="167"/>
      <c r="C62" s="168"/>
      <c r="D62" s="892"/>
      <c r="E62" s="892"/>
      <c r="F62" s="892"/>
      <c r="G62" s="892"/>
      <c r="H62" s="892"/>
      <c r="I62" s="892"/>
      <c r="L62" s="164"/>
      <c r="N62" s="174"/>
    </row>
    <row r="63" spans="2:14" ht="31.9" customHeight="1">
      <c r="B63" s="167"/>
      <c r="C63" s="168"/>
      <c r="D63" s="892"/>
      <c r="E63" s="892"/>
      <c r="F63" s="892"/>
      <c r="G63" s="892"/>
      <c r="H63" s="892"/>
      <c r="I63" s="892"/>
      <c r="L63" s="164"/>
      <c r="N63" s="174"/>
    </row>
    <row r="64" spans="2:14" ht="31.9" customHeight="1">
      <c r="B64" s="167"/>
      <c r="C64" s="168"/>
      <c r="D64" s="892"/>
      <c r="E64" s="892"/>
      <c r="F64" s="892"/>
      <c r="G64" s="892"/>
      <c r="H64" s="892"/>
      <c r="I64" s="892"/>
      <c r="L64" s="164"/>
      <c r="N64" s="174"/>
    </row>
    <row r="65" spans="2:14" ht="31.9" customHeight="1">
      <c r="B65" s="167"/>
      <c r="C65" s="168"/>
      <c r="D65" s="892"/>
      <c r="E65" s="892"/>
      <c r="F65" s="892"/>
      <c r="G65" s="892"/>
      <c r="H65" s="892"/>
      <c r="I65" s="892"/>
      <c r="L65" s="164"/>
      <c r="N65" s="174"/>
    </row>
    <row r="66" spans="2:14" ht="31.9" customHeight="1">
      <c r="B66" s="167"/>
      <c r="C66" s="168"/>
      <c r="D66" s="892"/>
      <c r="E66" s="892"/>
      <c r="F66" s="892"/>
      <c r="G66" s="892"/>
      <c r="H66" s="892"/>
      <c r="I66" s="892"/>
      <c r="L66" s="164"/>
      <c r="N66" s="174"/>
    </row>
    <row r="67" spans="2:14" ht="31.9" customHeight="1">
      <c r="B67" s="167"/>
      <c r="C67" s="168"/>
      <c r="D67" s="892"/>
      <c r="E67" s="892"/>
      <c r="F67" s="892"/>
      <c r="G67" s="892"/>
      <c r="H67" s="892"/>
      <c r="I67" s="892"/>
      <c r="L67" s="164"/>
      <c r="N67" s="174"/>
    </row>
    <row r="68" spans="2:14" ht="31.9" customHeight="1">
      <c r="B68" s="167"/>
      <c r="C68" s="168"/>
      <c r="D68" s="892"/>
      <c r="E68" s="892"/>
      <c r="F68" s="892"/>
      <c r="G68" s="892"/>
      <c r="H68" s="892"/>
      <c r="I68" s="892"/>
      <c r="L68" s="164"/>
      <c r="N68" s="174"/>
    </row>
    <row r="69" spans="2:14" ht="31.9" customHeight="1">
      <c r="B69" s="167"/>
      <c r="C69" s="168"/>
      <c r="D69" s="892"/>
      <c r="E69" s="892"/>
      <c r="F69" s="892"/>
      <c r="G69" s="892"/>
      <c r="H69" s="892"/>
      <c r="I69" s="892"/>
      <c r="L69" s="164"/>
      <c r="N69" s="174"/>
    </row>
    <row r="70" spans="2:14" ht="31.9" customHeight="1">
      <c r="B70" s="167"/>
      <c r="C70" s="168"/>
      <c r="D70" s="892"/>
      <c r="E70" s="892"/>
      <c r="F70" s="892"/>
      <c r="G70" s="892"/>
      <c r="H70" s="892"/>
      <c r="I70" s="892"/>
      <c r="L70" s="164"/>
      <c r="N70" s="174"/>
    </row>
    <row r="71" spans="2:14" ht="31.9" customHeight="1">
      <c r="B71" s="167"/>
      <c r="C71" s="168"/>
      <c r="D71" s="892"/>
      <c r="E71" s="892"/>
      <c r="F71" s="892"/>
      <c r="G71" s="892"/>
      <c r="H71" s="892"/>
      <c r="I71" s="892"/>
      <c r="L71" s="164"/>
      <c r="N71" s="174"/>
    </row>
    <row r="72" spans="2:14" ht="31.9" customHeight="1">
      <c r="B72" s="167"/>
      <c r="C72" s="168"/>
      <c r="D72" s="892"/>
      <c r="E72" s="892"/>
      <c r="F72" s="892"/>
      <c r="G72" s="892"/>
      <c r="H72" s="892"/>
      <c r="I72" s="892"/>
      <c r="L72" s="164"/>
      <c r="N72" s="174"/>
    </row>
    <row r="73" spans="2:14" ht="31.9" customHeight="1">
      <c r="B73" s="167"/>
      <c r="C73" s="168"/>
      <c r="D73" s="892"/>
      <c r="E73" s="892"/>
      <c r="F73" s="892"/>
      <c r="G73" s="892"/>
      <c r="H73" s="892"/>
      <c r="I73" s="892"/>
      <c r="L73" s="164"/>
      <c r="N73" s="174"/>
    </row>
    <row r="74" spans="2:14" ht="31.9" customHeight="1">
      <c r="B74" s="167"/>
      <c r="C74" s="168"/>
      <c r="D74" s="892"/>
      <c r="E74" s="892"/>
      <c r="F74" s="892"/>
      <c r="G74" s="892"/>
      <c r="H74" s="892"/>
      <c r="I74" s="892"/>
      <c r="L74" s="164"/>
      <c r="N74" s="174"/>
    </row>
    <row r="75" spans="2:14" ht="31.9" customHeight="1">
      <c r="B75" s="167"/>
      <c r="C75" s="168"/>
      <c r="D75" s="892"/>
      <c r="E75" s="892"/>
      <c r="F75" s="892"/>
      <c r="G75" s="892"/>
      <c r="H75" s="892"/>
      <c r="I75" s="892"/>
      <c r="L75" s="164"/>
      <c r="N75" s="174"/>
    </row>
    <row r="76" spans="2:14" ht="31.9" customHeight="1">
      <c r="B76" s="167"/>
      <c r="C76" s="168"/>
      <c r="D76" s="892"/>
      <c r="E76" s="892"/>
      <c r="F76" s="892"/>
      <c r="G76" s="892"/>
      <c r="H76" s="892"/>
      <c r="I76" s="892"/>
      <c r="L76" s="164"/>
      <c r="N76" s="174"/>
    </row>
    <row r="77" spans="2:14" ht="31.9" customHeight="1">
      <c r="B77" s="167"/>
      <c r="C77" s="168"/>
      <c r="D77" s="892"/>
      <c r="E77" s="892"/>
      <c r="F77" s="892"/>
      <c r="G77" s="892"/>
      <c r="H77" s="892"/>
      <c r="I77" s="892"/>
      <c r="L77" s="164"/>
      <c r="N77" s="174"/>
    </row>
    <row r="78" spans="2:14" ht="31.9" customHeight="1">
      <c r="B78" s="167"/>
      <c r="C78" s="168"/>
      <c r="D78" s="892"/>
      <c r="E78" s="892"/>
      <c r="F78" s="892"/>
      <c r="G78" s="892"/>
      <c r="H78" s="892"/>
      <c r="I78" s="892"/>
      <c r="L78" s="164"/>
      <c r="N78" s="174"/>
    </row>
    <row r="79" spans="2:14" ht="31.9" customHeight="1">
      <c r="B79" s="167"/>
      <c r="C79" s="168"/>
      <c r="D79" s="892"/>
      <c r="E79" s="892"/>
      <c r="F79" s="892"/>
      <c r="G79" s="892"/>
      <c r="H79" s="892"/>
      <c r="I79" s="892"/>
      <c r="L79" s="164"/>
      <c r="N79" s="174"/>
    </row>
    <row r="80" spans="2:14" ht="31.9" customHeight="1">
      <c r="B80" s="167"/>
      <c r="C80" s="168"/>
      <c r="D80" s="892"/>
      <c r="E80" s="892"/>
      <c r="F80" s="892"/>
      <c r="G80" s="892"/>
      <c r="H80" s="892"/>
      <c r="I80" s="892"/>
      <c r="L80" s="164"/>
      <c r="N80" s="174"/>
    </row>
    <row r="81" spans="2:14" ht="31.9" customHeight="1">
      <c r="B81" s="167"/>
      <c r="C81" s="168"/>
      <c r="D81" s="892"/>
      <c r="E81" s="892"/>
      <c r="F81" s="892"/>
      <c r="G81" s="892"/>
      <c r="H81" s="892"/>
      <c r="I81" s="892"/>
      <c r="L81" s="164"/>
      <c r="N81" s="174"/>
    </row>
    <row r="82" spans="2:14" ht="31.9" customHeight="1">
      <c r="B82" s="167"/>
      <c r="C82" s="168"/>
      <c r="D82" s="892"/>
      <c r="E82" s="892"/>
      <c r="F82" s="892"/>
      <c r="G82" s="892"/>
      <c r="H82" s="892"/>
      <c r="I82" s="892"/>
      <c r="L82" s="164"/>
      <c r="N82" s="174"/>
    </row>
    <row r="83" spans="2:14" ht="31.9" customHeight="1">
      <c r="B83" s="167"/>
      <c r="C83" s="168"/>
      <c r="D83" s="892"/>
      <c r="E83" s="892"/>
      <c r="F83" s="892"/>
      <c r="G83" s="892"/>
      <c r="H83" s="892"/>
      <c r="I83" s="892"/>
      <c r="L83" s="164"/>
      <c r="N83" s="174"/>
    </row>
    <row r="84" spans="2:14" ht="31.9" customHeight="1">
      <c r="B84" s="167"/>
      <c r="C84" s="168"/>
      <c r="D84" s="892"/>
      <c r="E84" s="892"/>
      <c r="F84" s="892"/>
      <c r="G84" s="892"/>
      <c r="H84" s="892"/>
      <c r="I84" s="892"/>
      <c r="L84" s="164"/>
      <c r="N84" s="174"/>
    </row>
    <row r="85" spans="2:14" ht="31.9" customHeight="1">
      <c r="B85" s="167"/>
      <c r="C85" s="168"/>
      <c r="D85" s="892"/>
      <c r="E85" s="892"/>
      <c r="F85" s="892"/>
      <c r="G85" s="892"/>
      <c r="H85" s="892"/>
      <c r="I85" s="892"/>
      <c r="L85" s="164"/>
      <c r="N85" s="174"/>
    </row>
    <row r="86" spans="2:14" ht="31.9" customHeight="1">
      <c r="B86" s="167"/>
      <c r="C86" s="168"/>
      <c r="D86" s="892"/>
      <c r="E86" s="892"/>
      <c r="F86" s="892"/>
      <c r="G86" s="892"/>
      <c r="H86" s="892"/>
      <c r="I86" s="892"/>
      <c r="L86" s="164"/>
      <c r="N86" s="174"/>
    </row>
    <row r="87" spans="2:14" ht="31.9" customHeight="1">
      <c r="B87" s="167"/>
      <c r="C87" s="168"/>
      <c r="D87" s="892"/>
      <c r="E87" s="892"/>
      <c r="F87" s="892"/>
      <c r="G87" s="892"/>
      <c r="H87" s="892"/>
      <c r="I87" s="892"/>
      <c r="L87" s="164"/>
      <c r="N87" s="174"/>
    </row>
    <row r="88" spans="2:14" ht="31.9" customHeight="1">
      <c r="B88" s="167"/>
      <c r="C88" s="168"/>
      <c r="D88" s="892"/>
      <c r="E88" s="892"/>
      <c r="F88" s="892"/>
      <c r="G88" s="892"/>
      <c r="H88" s="892"/>
      <c r="I88" s="892"/>
      <c r="L88" s="164"/>
      <c r="N88" s="174"/>
    </row>
    <row r="89" spans="2:14" ht="31.9" customHeight="1">
      <c r="B89" s="167"/>
      <c r="C89" s="168"/>
      <c r="D89" s="892"/>
      <c r="E89" s="892"/>
      <c r="F89" s="892"/>
      <c r="G89" s="892"/>
      <c r="H89" s="892"/>
      <c r="I89" s="892"/>
      <c r="L89" s="164"/>
      <c r="N89" s="174"/>
    </row>
    <row r="90" spans="2:14" ht="31.9" customHeight="1">
      <c r="B90" s="167"/>
      <c r="C90" s="168"/>
      <c r="D90" s="892"/>
      <c r="E90" s="892"/>
      <c r="F90" s="892"/>
      <c r="G90" s="892"/>
      <c r="H90" s="892"/>
      <c r="I90" s="892"/>
      <c r="L90" s="164"/>
      <c r="N90" s="174"/>
    </row>
    <row r="91" spans="2:14" ht="31.9" customHeight="1">
      <c r="B91" s="167"/>
      <c r="C91" s="168"/>
      <c r="D91" s="892"/>
      <c r="E91" s="892"/>
      <c r="F91" s="892"/>
      <c r="G91" s="892"/>
      <c r="H91" s="892"/>
      <c r="I91" s="892"/>
      <c r="L91" s="164"/>
      <c r="N91" s="174"/>
    </row>
    <row r="92" spans="2:14" ht="31.9" customHeight="1">
      <c r="B92" s="167"/>
      <c r="C92" s="168"/>
      <c r="D92" s="892"/>
      <c r="E92" s="892"/>
      <c r="F92" s="892"/>
      <c r="G92" s="892"/>
      <c r="H92" s="892"/>
      <c r="I92" s="892"/>
      <c r="L92" s="164"/>
      <c r="N92" s="174"/>
    </row>
    <row r="93" spans="2:14" ht="31.9" customHeight="1">
      <c r="B93" s="167"/>
      <c r="C93" s="168"/>
      <c r="D93" s="892"/>
      <c r="E93" s="892"/>
      <c r="F93" s="892"/>
      <c r="G93" s="892"/>
      <c r="H93" s="892"/>
      <c r="I93" s="892"/>
      <c r="L93" s="164"/>
      <c r="N93" s="174"/>
    </row>
    <row r="94" spans="2:14" ht="31.9" customHeight="1">
      <c r="B94" s="167"/>
      <c r="C94" s="168"/>
      <c r="D94" s="892"/>
      <c r="E94" s="892"/>
      <c r="F94" s="892"/>
      <c r="G94" s="892"/>
      <c r="H94" s="892"/>
      <c r="I94" s="892"/>
      <c r="L94" s="164"/>
      <c r="N94" s="174"/>
    </row>
    <row r="95" spans="2:14" ht="31.9" customHeight="1">
      <c r="B95" s="167"/>
      <c r="C95" s="168"/>
      <c r="D95" s="892"/>
      <c r="E95" s="892"/>
      <c r="F95" s="892"/>
      <c r="G95" s="892"/>
      <c r="H95" s="892"/>
      <c r="I95" s="892"/>
      <c r="L95" s="164"/>
      <c r="N95" s="174"/>
    </row>
    <row r="96" spans="2:14" ht="31.9" customHeight="1">
      <c r="B96" s="167"/>
      <c r="C96" s="168"/>
      <c r="D96" s="892"/>
      <c r="E96" s="892"/>
      <c r="F96" s="892"/>
      <c r="G96" s="892"/>
      <c r="H96" s="892"/>
      <c r="I96" s="892"/>
      <c r="L96" s="164"/>
      <c r="N96" s="174"/>
    </row>
    <row r="97" spans="2:14" ht="31.9" customHeight="1">
      <c r="B97" s="167"/>
      <c r="C97" s="168"/>
      <c r="D97" s="892"/>
      <c r="E97" s="892"/>
      <c r="F97" s="892"/>
      <c r="G97" s="892"/>
      <c r="H97" s="892"/>
      <c r="I97" s="892"/>
      <c r="L97" s="164"/>
      <c r="N97" s="174"/>
    </row>
    <row r="98" spans="2:14" ht="31.9" customHeight="1">
      <c r="B98" s="167"/>
      <c r="C98" s="168"/>
      <c r="D98" s="892"/>
      <c r="E98" s="892"/>
      <c r="F98" s="892"/>
      <c r="G98" s="892"/>
      <c r="H98" s="892"/>
      <c r="I98" s="892"/>
      <c r="L98" s="164"/>
      <c r="N98" s="174"/>
    </row>
    <row r="99" spans="2:14" ht="31.9" customHeight="1">
      <c r="B99" s="167"/>
      <c r="C99" s="168"/>
      <c r="D99" s="892"/>
      <c r="E99" s="892"/>
      <c r="F99" s="892"/>
      <c r="G99" s="892"/>
      <c r="H99" s="892"/>
      <c r="I99" s="892"/>
      <c r="L99" s="164"/>
      <c r="N99" s="174"/>
    </row>
    <row r="100" spans="2:14" ht="31.9" customHeight="1">
      <c r="B100" s="167"/>
      <c r="C100" s="168"/>
      <c r="D100" s="892"/>
      <c r="E100" s="892"/>
      <c r="F100" s="892"/>
      <c r="G100" s="892"/>
      <c r="H100" s="892"/>
      <c r="I100" s="892"/>
      <c r="L100" s="164"/>
      <c r="N100" s="174"/>
    </row>
    <row r="101" spans="2:14" ht="31.9" customHeight="1">
      <c r="B101" s="167"/>
      <c r="C101" s="168"/>
      <c r="D101" s="892"/>
      <c r="E101" s="892"/>
      <c r="F101" s="892"/>
      <c r="G101" s="892"/>
      <c r="H101" s="892"/>
      <c r="I101" s="892"/>
      <c r="L101" s="164"/>
      <c r="N101" s="174"/>
    </row>
    <row r="102" spans="2:14" ht="31.9" customHeight="1">
      <c r="B102" s="167"/>
      <c r="C102" s="168"/>
      <c r="D102" s="892"/>
      <c r="E102" s="892"/>
      <c r="F102" s="892"/>
      <c r="G102" s="892"/>
      <c r="H102" s="892"/>
      <c r="I102" s="892"/>
      <c r="L102" s="164"/>
      <c r="N102" s="174"/>
    </row>
    <row r="103" spans="2:14" ht="31.9" customHeight="1">
      <c r="B103" s="167"/>
      <c r="C103" s="168"/>
      <c r="D103" s="892"/>
      <c r="E103" s="892"/>
      <c r="F103" s="892"/>
      <c r="G103" s="892"/>
      <c r="H103" s="892"/>
      <c r="I103" s="892"/>
      <c r="L103" s="164"/>
      <c r="N103" s="174"/>
    </row>
    <row r="104" spans="2:14" ht="31.9" customHeight="1">
      <c r="B104" s="167"/>
      <c r="C104" s="168"/>
      <c r="D104" s="892"/>
      <c r="E104" s="892"/>
      <c r="F104" s="892"/>
      <c r="G104" s="892"/>
      <c r="H104" s="892"/>
      <c r="I104" s="892"/>
      <c r="L104" s="164"/>
      <c r="N104" s="174"/>
    </row>
    <row r="105" spans="2:14" ht="31.9" customHeight="1">
      <c r="B105" s="167"/>
      <c r="C105" s="168"/>
      <c r="D105" s="892"/>
      <c r="E105" s="892"/>
      <c r="F105" s="892"/>
      <c r="G105" s="892"/>
      <c r="H105" s="892"/>
      <c r="I105" s="892"/>
      <c r="L105" s="164"/>
      <c r="N105" s="174"/>
    </row>
    <row r="106" spans="2:14" ht="31.9" customHeight="1">
      <c r="B106" s="167"/>
      <c r="C106" s="168"/>
      <c r="D106" s="892"/>
      <c r="E106" s="892"/>
      <c r="F106" s="892"/>
      <c r="G106" s="892"/>
      <c r="H106" s="892"/>
      <c r="I106" s="892"/>
      <c r="L106" s="164"/>
      <c r="N106" s="174"/>
    </row>
    <row r="107" spans="2:14" ht="31.9" customHeight="1">
      <c r="B107" s="167"/>
      <c r="C107" s="168"/>
      <c r="D107" s="892"/>
      <c r="E107" s="892"/>
      <c r="F107" s="892"/>
      <c r="G107" s="892"/>
      <c r="H107" s="892"/>
      <c r="I107" s="892"/>
      <c r="L107" s="164"/>
      <c r="N107" s="174"/>
    </row>
    <row r="108" spans="2:14" ht="31.9" customHeight="1">
      <c r="B108" s="167"/>
      <c r="C108" s="168"/>
      <c r="D108" s="892"/>
      <c r="E108" s="892"/>
      <c r="F108" s="892"/>
      <c r="G108" s="892"/>
      <c r="H108" s="892"/>
      <c r="I108" s="892"/>
      <c r="L108" s="164"/>
      <c r="N108" s="174"/>
    </row>
    <row r="109" spans="2:14" ht="31.9" customHeight="1">
      <c r="B109" s="167"/>
      <c r="C109" s="168"/>
      <c r="D109" s="892"/>
      <c r="E109" s="892"/>
      <c r="F109" s="892"/>
      <c r="G109" s="892"/>
      <c r="H109" s="892"/>
      <c r="I109" s="892"/>
      <c r="L109" s="164"/>
      <c r="N109" s="174"/>
    </row>
    <row r="110" spans="2:14" ht="31.9" customHeight="1">
      <c r="B110" s="167"/>
      <c r="C110" s="168"/>
      <c r="D110" s="892"/>
      <c r="E110" s="892"/>
      <c r="F110" s="892"/>
      <c r="G110" s="892"/>
      <c r="H110" s="892"/>
      <c r="I110" s="892"/>
      <c r="L110" s="164"/>
      <c r="N110" s="174"/>
    </row>
    <row r="111" spans="2:14" ht="31.9" customHeight="1">
      <c r="B111" s="167"/>
      <c r="C111" s="168"/>
      <c r="D111" s="892"/>
      <c r="E111" s="892"/>
      <c r="F111" s="892"/>
      <c r="G111" s="892"/>
      <c r="H111" s="892"/>
      <c r="I111" s="892"/>
      <c r="L111" s="164"/>
      <c r="N111" s="174"/>
    </row>
    <row r="112" spans="2:14" ht="31.9" customHeight="1">
      <c r="B112" s="167"/>
      <c r="C112" s="168"/>
      <c r="D112" s="892"/>
      <c r="E112" s="892"/>
      <c r="F112" s="892"/>
      <c r="G112" s="892"/>
      <c r="H112" s="892"/>
      <c r="I112" s="892"/>
      <c r="L112" s="164"/>
      <c r="N112" s="174"/>
    </row>
    <row r="113" spans="2:14" ht="31.9" customHeight="1">
      <c r="B113" s="167"/>
      <c r="C113" s="168"/>
      <c r="D113" s="892"/>
      <c r="E113" s="892"/>
      <c r="F113" s="892"/>
      <c r="G113" s="892"/>
      <c r="H113" s="892"/>
      <c r="I113" s="892"/>
      <c r="L113" s="164"/>
      <c r="N113" s="174"/>
    </row>
    <row r="114" spans="2:14" ht="31.9" customHeight="1">
      <c r="B114" s="167"/>
      <c r="C114" s="168"/>
      <c r="D114" s="892"/>
      <c r="E114" s="892"/>
      <c r="F114" s="892"/>
      <c r="G114" s="892"/>
      <c r="H114" s="892"/>
      <c r="I114" s="892"/>
      <c r="L114" s="164"/>
      <c r="N114" s="174"/>
    </row>
    <row r="115" spans="2:14" ht="31.9" customHeight="1">
      <c r="B115" s="167"/>
      <c r="C115" s="168"/>
      <c r="D115" s="892"/>
      <c r="E115" s="892"/>
      <c r="F115" s="892"/>
      <c r="G115" s="892"/>
      <c r="H115" s="892"/>
      <c r="I115" s="892"/>
      <c r="L115" s="164"/>
      <c r="N115" s="174"/>
    </row>
    <row r="116" spans="2:14" ht="31.9" customHeight="1">
      <c r="B116" s="167"/>
      <c r="C116" s="168"/>
      <c r="D116" s="892"/>
      <c r="E116" s="892"/>
      <c r="F116" s="892"/>
      <c r="G116" s="892"/>
      <c r="H116" s="892"/>
      <c r="I116" s="892"/>
      <c r="L116" s="164"/>
      <c r="N116" s="174"/>
    </row>
    <row r="117" spans="2:14" ht="31.9" customHeight="1">
      <c r="B117" s="167"/>
      <c r="C117" s="168"/>
      <c r="D117" s="892"/>
      <c r="E117" s="892"/>
      <c r="F117" s="892"/>
      <c r="G117" s="892"/>
      <c r="H117" s="892"/>
      <c r="I117" s="892"/>
      <c r="L117" s="164"/>
      <c r="N117" s="174"/>
    </row>
    <row r="118" spans="2:14" ht="31.9" customHeight="1">
      <c r="B118" s="167"/>
      <c r="C118" s="168"/>
      <c r="D118" s="892"/>
      <c r="E118" s="892"/>
      <c r="F118" s="892"/>
      <c r="G118" s="892"/>
      <c r="H118" s="892"/>
      <c r="I118" s="892"/>
      <c r="L118" s="164"/>
      <c r="N118" s="174"/>
    </row>
    <row r="119" spans="2:14" ht="31.9" customHeight="1">
      <c r="B119" s="167"/>
      <c r="C119" s="168"/>
      <c r="D119" s="892"/>
      <c r="E119" s="892"/>
      <c r="F119" s="892"/>
      <c r="G119" s="892"/>
      <c r="H119" s="892"/>
      <c r="I119" s="892"/>
      <c r="L119" s="164"/>
      <c r="N119" s="174"/>
    </row>
    <row r="120" spans="2:14" ht="31.9" customHeight="1">
      <c r="B120" s="167"/>
      <c r="C120" s="168"/>
      <c r="D120" s="892"/>
      <c r="E120" s="892"/>
      <c r="F120" s="892"/>
      <c r="G120" s="892"/>
      <c r="H120" s="892"/>
      <c r="I120" s="892"/>
      <c r="L120" s="164"/>
      <c r="N120" s="174"/>
    </row>
    <row r="121" spans="2:14" ht="31.9" customHeight="1">
      <c r="B121" s="167"/>
      <c r="C121" s="168"/>
      <c r="D121" s="892"/>
      <c r="E121" s="892"/>
      <c r="F121" s="892"/>
      <c r="G121" s="892"/>
      <c r="H121" s="892"/>
      <c r="I121" s="892"/>
      <c r="L121" s="164"/>
      <c r="N121" s="174"/>
    </row>
    <row r="122" spans="2:14" ht="31.9" customHeight="1">
      <c r="B122" s="167"/>
      <c r="C122" s="168"/>
      <c r="D122" s="892"/>
      <c r="E122" s="892"/>
      <c r="F122" s="892"/>
      <c r="G122" s="892"/>
      <c r="H122" s="892"/>
      <c r="I122" s="892"/>
      <c r="L122" s="164"/>
      <c r="N122" s="174"/>
    </row>
    <row r="123" spans="2:14" ht="31.9" customHeight="1">
      <c r="B123" s="167"/>
      <c r="C123" s="168"/>
      <c r="D123" s="892"/>
      <c r="E123" s="892"/>
      <c r="F123" s="892"/>
      <c r="G123" s="892"/>
      <c r="H123" s="892"/>
      <c r="I123" s="892"/>
      <c r="L123" s="164"/>
      <c r="N123" s="174"/>
    </row>
    <row r="124" spans="2:14" ht="31.9" customHeight="1">
      <c r="B124" s="167"/>
      <c r="C124" s="168"/>
      <c r="D124" s="892"/>
      <c r="E124" s="892"/>
      <c r="F124" s="892"/>
      <c r="G124" s="892"/>
      <c r="H124" s="892"/>
      <c r="I124" s="892"/>
      <c r="L124" s="164"/>
      <c r="N124" s="174"/>
    </row>
    <row r="125" spans="2:14" ht="31.9" customHeight="1">
      <c r="B125" s="167"/>
      <c r="C125" s="168"/>
      <c r="D125" s="892"/>
      <c r="E125" s="892"/>
      <c r="F125" s="892"/>
      <c r="G125" s="892"/>
      <c r="H125" s="892"/>
      <c r="I125" s="892"/>
      <c r="L125" s="164"/>
      <c r="N125" s="174"/>
    </row>
    <row r="126" spans="2:14" ht="31.9" customHeight="1">
      <c r="B126" s="167"/>
      <c r="C126" s="168"/>
      <c r="D126" s="892"/>
      <c r="E126" s="892"/>
      <c r="F126" s="892"/>
      <c r="G126" s="892"/>
      <c r="H126" s="892"/>
      <c r="I126" s="892"/>
      <c r="L126" s="164"/>
      <c r="N126" s="174"/>
    </row>
    <row r="127" spans="2:14" ht="31.9" customHeight="1">
      <c r="B127" s="167"/>
      <c r="C127" s="168"/>
      <c r="D127" s="892"/>
      <c r="E127" s="892"/>
      <c r="F127" s="892"/>
      <c r="G127" s="892"/>
      <c r="H127" s="892"/>
      <c r="I127" s="892"/>
      <c r="L127" s="164"/>
      <c r="N127" s="174"/>
    </row>
    <row r="128" spans="2:14" ht="31.9" customHeight="1">
      <c r="B128" s="167"/>
      <c r="C128" s="168"/>
      <c r="D128" s="892"/>
      <c r="E128" s="892"/>
      <c r="F128" s="892"/>
      <c r="G128" s="892"/>
      <c r="H128" s="892"/>
      <c r="I128" s="892"/>
      <c r="L128" s="164"/>
      <c r="N128" s="174"/>
    </row>
    <row r="129" spans="2:14" ht="31.9" customHeight="1">
      <c r="B129" s="167"/>
      <c r="C129" s="168"/>
      <c r="D129" s="892"/>
      <c r="E129" s="892"/>
      <c r="F129" s="892"/>
      <c r="G129" s="892"/>
      <c r="H129" s="892"/>
      <c r="I129" s="892"/>
      <c r="L129" s="164"/>
      <c r="N129" s="174"/>
    </row>
    <row r="130" spans="2:14" ht="31.9" customHeight="1">
      <c r="B130" s="167"/>
      <c r="C130" s="168"/>
      <c r="D130" s="892"/>
      <c r="E130" s="892"/>
      <c r="F130" s="892"/>
      <c r="G130" s="892"/>
      <c r="H130" s="892"/>
      <c r="I130" s="892"/>
      <c r="L130" s="164"/>
      <c r="N130" s="174"/>
    </row>
    <row r="131" spans="2:14" ht="31.9" customHeight="1">
      <c r="B131" s="167"/>
      <c r="C131" s="168"/>
      <c r="D131" s="892"/>
      <c r="E131" s="892"/>
      <c r="F131" s="892"/>
      <c r="G131" s="892"/>
      <c r="H131" s="892"/>
      <c r="I131" s="892"/>
      <c r="L131" s="164"/>
      <c r="N131" s="174"/>
    </row>
    <row r="132" spans="2:14" ht="31.9" customHeight="1">
      <c r="B132" s="167"/>
      <c r="C132" s="168"/>
      <c r="D132" s="892"/>
      <c r="E132" s="892"/>
      <c r="F132" s="892"/>
      <c r="G132" s="892"/>
      <c r="H132" s="892"/>
      <c r="I132" s="892"/>
      <c r="L132" s="164"/>
      <c r="N132" s="174"/>
    </row>
    <row r="133" spans="2:14" ht="31.9" customHeight="1">
      <c r="B133" s="167"/>
      <c r="C133" s="168"/>
      <c r="D133" s="892"/>
      <c r="E133" s="892"/>
      <c r="F133" s="892"/>
      <c r="G133" s="892"/>
      <c r="H133" s="892"/>
      <c r="I133" s="892"/>
      <c r="L133" s="164"/>
      <c r="N133" s="174"/>
    </row>
    <row r="134" spans="2:14" ht="31.9" customHeight="1">
      <c r="B134" s="167"/>
      <c r="C134" s="168"/>
      <c r="D134" s="892"/>
      <c r="E134" s="892"/>
      <c r="F134" s="892"/>
      <c r="G134" s="892"/>
      <c r="H134" s="892"/>
      <c r="I134" s="892"/>
      <c r="L134" s="164"/>
      <c r="N134" s="174"/>
    </row>
    <row r="135" spans="2:14" ht="31.9" customHeight="1">
      <c r="B135" s="167"/>
      <c r="C135" s="168"/>
      <c r="D135" s="892"/>
      <c r="E135" s="892"/>
      <c r="F135" s="892"/>
      <c r="G135" s="892"/>
      <c r="H135" s="892"/>
      <c r="I135" s="892"/>
      <c r="L135" s="164"/>
      <c r="N135" s="174"/>
    </row>
    <row r="136" spans="2:14" ht="31.9" customHeight="1">
      <c r="B136" s="167"/>
      <c r="C136" s="168"/>
      <c r="D136" s="892"/>
      <c r="E136" s="892"/>
      <c r="F136" s="892"/>
      <c r="G136" s="892"/>
      <c r="H136" s="892"/>
      <c r="I136" s="892"/>
      <c r="L136" s="164"/>
      <c r="N136" s="174"/>
    </row>
    <row r="137" spans="2:14" ht="31.9" customHeight="1">
      <c r="B137" s="167"/>
      <c r="C137" s="168"/>
      <c r="D137" s="892"/>
      <c r="E137" s="892"/>
      <c r="F137" s="892"/>
      <c r="G137" s="892"/>
      <c r="H137" s="892"/>
      <c r="I137" s="892"/>
      <c r="L137" s="164"/>
      <c r="N137" s="174"/>
    </row>
    <row r="138" spans="2:14" ht="31.9" customHeight="1">
      <c r="B138" s="167"/>
      <c r="C138" s="168"/>
      <c r="D138" s="892"/>
      <c r="E138" s="892"/>
      <c r="F138" s="892"/>
      <c r="G138" s="892"/>
      <c r="H138" s="892"/>
      <c r="I138" s="892"/>
      <c r="L138" s="164"/>
      <c r="N138" s="174"/>
    </row>
    <row r="139" spans="2:14" ht="31.9" customHeight="1">
      <c r="B139" s="167"/>
      <c r="C139" s="168"/>
      <c r="D139" s="892"/>
      <c r="E139" s="892"/>
      <c r="F139" s="892"/>
      <c r="G139" s="892"/>
      <c r="H139" s="892"/>
      <c r="I139" s="892"/>
      <c r="L139" s="164"/>
      <c r="N139" s="174"/>
    </row>
    <row r="140" spans="2:14" ht="31.9" customHeight="1">
      <c r="B140" s="167"/>
      <c r="C140" s="168"/>
      <c r="D140" s="892"/>
      <c r="E140" s="892"/>
      <c r="F140" s="892"/>
      <c r="G140" s="892"/>
      <c r="H140" s="892"/>
      <c r="I140" s="892"/>
      <c r="L140" s="164"/>
      <c r="N140" s="174"/>
    </row>
    <row r="141" spans="2:14" ht="31.9" customHeight="1">
      <c r="B141" s="167"/>
      <c r="C141" s="168"/>
      <c r="D141" s="892"/>
      <c r="E141" s="892"/>
      <c r="F141" s="892"/>
      <c r="G141" s="892"/>
      <c r="H141" s="892"/>
      <c r="I141" s="892"/>
      <c r="L141" s="164"/>
      <c r="N141" s="174"/>
    </row>
    <row r="142" spans="2:14" ht="31.9" customHeight="1">
      <c r="B142" s="167"/>
      <c r="C142" s="168"/>
      <c r="D142" s="892"/>
      <c r="E142" s="892"/>
      <c r="F142" s="892"/>
      <c r="G142" s="892"/>
      <c r="H142" s="892"/>
      <c r="I142" s="892"/>
      <c r="L142" s="164"/>
      <c r="N142" s="174"/>
    </row>
    <row r="143" spans="2:14" ht="31.9" customHeight="1">
      <c r="B143" s="167"/>
      <c r="C143" s="168"/>
      <c r="D143" s="892"/>
      <c r="E143" s="892"/>
      <c r="F143" s="892"/>
      <c r="G143" s="892"/>
      <c r="H143" s="892"/>
      <c r="I143" s="892"/>
      <c r="L143" s="164"/>
      <c r="N143" s="174"/>
    </row>
    <row r="144" spans="2:14" ht="31.9" customHeight="1">
      <c r="B144" s="167"/>
      <c r="C144" s="168"/>
      <c r="D144" s="892"/>
      <c r="E144" s="892"/>
      <c r="F144" s="892"/>
      <c r="G144" s="892"/>
      <c r="H144" s="892"/>
      <c r="I144" s="892"/>
      <c r="L144" s="164"/>
      <c r="N144" s="174"/>
    </row>
    <row r="145" spans="2:14" ht="31.9" customHeight="1">
      <c r="B145" s="167"/>
      <c r="C145" s="168"/>
      <c r="D145" s="892"/>
      <c r="E145" s="892"/>
      <c r="F145" s="892"/>
      <c r="G145" s="892"/>
      <c r="H145" s="892"/>
      <c r="I145" s="892"/>
      <c r="L145" s="164"/>
      <c r="N145" s="174"/>
    </row>
    <row r="146" spans="2:14" ht="31.9" customHeight="1">
      <c r="B146" s="167"/>
      <c r="C146" s="168"/>
      <c r="D146" s="892"/>
      <c r="E146" s="892"/>
      <c r="F146" s="892"/>
      <c r="G146" s="892"/>
      <c r="H146" s="892"/>
      <c r="I146" s="892"/>
      <c r="L146" s="164"/>
      <c r="N146" s="174"/>
    </row>
    <row r="147" spans="2:14" ht="31.9" customHeight="1">
      <c r="B147" s="167"/>
      <c r="C147" s="168"/>
      <c r="D147" s="892"/>
      <c r="E147" s="892"/>
      <c r="F147" s="892"/>
      <c r="G147" s="892"/>
      <c r="H147" s="892"/>
      <c r="I147" s="892"/>
      <c r="L147" s="164"/>
      <c r="N147" s="174"/>
    </row>
    <row r="148" spans="2:14" ht="31.9" customHeight="1">
      <c r="B148" s="167"/>
      <c r="C148" s="168"/>
      <c r="D148" s="892"/>
      <c r="E148" s="892"/>
      <c r="F148" s="892"/>
      <c r="G148" s="892"/>
      <c r="H148" s="892"/>
      <c r="I148" s="892"/>
      <c r="L148" s="164"/>
      <c r="N148" s="174"/>
    </row>
    <row r="149" spans="2:14" ht="31.9" customHeight="1">
      <c r="B149" s="167"/>
      <c r="C149" s="168"/>
      <c r="D149" s="892"/>
      <c r="E149" s="892"/>
      <c r="F149" s="892"/>
      <c r="G149" s="892"/>
      <c r="H149" s="892"/>
      <c r="I149" s="892"/>
      <c r="L149" s="164"/>
      <c r="N149" s="174"/>
    </row>
    <row r="150" spans="2:14" ht="31.9" customHeight="1">
      <c r="B150" s="167"/>
      <c r="C150" s="168"/>
      <c r="D150" s="892"/>
      <c r="E150" s="892"/>
      <c r="F150" s="892"/>
      <c r="G150" s="892"/>
      <c r="H150" s="892"/>
      <c r="I150" s="892"/>
      <c r="L150" s="164"/>
      <c r="N150" s="174"/>
    </row>
    <row r="151" spans="2:14" ht="31.9" customHeight="1">
      <c r="B151" s="167"/>
      <c r="C151" s="168"/>
      <c r="D151" s="892"/>
      <c r="E151" s="892"/>
      <c r="F151" s="892"/>
      <c r="G151" s="892"/>
      <c r="H151" s="892"/>
      <c r="I151" s="892"/>
      <c r="L151" s="164"/>
      <c r="N151" s="174"/>
    </row>
    <row r="152" spans="2:14" ht="31.9" customHeight="1">
      <c r="B152" s="167"/>
      <c r="C152" s="168"/>
      <c r="D152" s="892"/>
      <c r="E152" s="892"/>
      <c r="F152" s="892"/>
      <c r="G152" s="892"/>
      <c r="H152" s="892"/>
      <c r="I152" s="892"/>
      <c r="L152" s="164"/>
      <c r="N152" s="174"/>
    </row>
    <row r="153" spans="2:14" ht="31.9" customHeight="1">
      <c r="B153" s="167"/>
      <c r="C153" s="168"/>
      <c r="D153" s="892"/>
      <c r="E153" s="892"/>
      <c r="F153" s="892"/>
      <c r="G153" s="892"/>
      <c r="H153" s="892"/>
      <c r="I153" s="892"/>
      <c r="L153" s="164"/>
      <c r="N153" s="174"/>
    </row>
    <row r="154" spans="2:14" ht="31.9" customHeight="1">
      <c r="B154" s="167"/>
      <c r="C154" s="168"/>
      <c r="D154" s="892"/>
      <c r="E154" s="892"/>
      <c r="F154" s="892"/>
      <c r="G154" s="892"/>
      <c r="H154" s="892"/>
      <c r="I154" s="892"/>
      <c r="L154" s="164"/>
      <c r="N154" s="174"/>
    </row>
    <row r="155" spans="2:14" ht="31.9" customHeight="1">
      <c r="B155" s="167"/>
      <c r="C155" s="168"/>
      <c r="D155" s="892"/>
      <c r="E155" s="892"/>
      <c r="F155" s="892"/>
      <c r="G155" s="892"/>
      <c r="H155" s="892"/>
      <c r="I155" s="892"/>
      <c r="L155" s="164"/>
      <c r="N155" s="174"/>
    </row>
    <row r="156" spans="2:14" ht="31.9" customHeight="1">
      <c r="B156" s="167"/>
      <c r="C156" s="168"/>
      <c r="D156" s="892"/>
      <c r="E156" s="892"/>
      <c r="F156" s="892"/>
      <c r="G156" s="892"/>
      <c r="H156" s="892"/>
      <c r="I156" s="892"/>
      <c r="L156" s="164"/>
      <c r="N156" s="174"/>
    </row>
    <row r="157" spans="2:14" ht="31.9" customHeight="1">
      <c r="B157" s="167"/>
      <c r="C157" s="168"/>
      <c r="D157" s="892"/>
      <c r="E157" s="892"/>
      <c r="F157" s="892"/>
      <c r="G157" s="892"/>
      <c r="H157" s="892"/>
      <c r="I157" s="892"/>
      <c r="L157" s="164"/>
      <c r="N157" s="174"/>
    </row>
    <row r="158" spans="2:14" ht="31.9" customHeight="1">
      <c r="B158" s="167"/>
      <c r="C158" s="168"/>
      <c r="D158" s="892"/>
      <c r="E158" s="892"/>
      <c r="F158" s="892"/>
      <c r="G158" s="892"/>
      <c r="H158" s="892"/>
      <c r="I158" s="892"/>
      <c r="L158" s="164"/>
      <c r="N158" s="174"/>
    </row>
    <row r="159" spans="2:14" ht="31.9" customHeight="1">
      <c r="B159" s="167"/>
      <c r="C159" s="168"/>
      <c r="D159" s="892"/>
      <c r="E159" s="892"/>
      <c r="F159" s="892"/>
      <c r="G159" s="892"/>
      <c r="H159" s="892"/>
      <c r="I159" s="892"/>
      <c r="L159" s="164"/>
      <c r="N159" s="174"/>
    </row>
    <row r="160" spans="2:14" ht="31.9" customHeight="1">
      <c r="B160" s="167"/>
      <c r="C160" s="168"/>
      <c r="D160" s="892"/>
      <c r="E160" s="892"/>
      <c r="F160" s="892"/>
      <c r="G160" s="892"/>
      <c r="H160" s="892"/>
      <c r="I160" s="892"/>
      <c r="L160" s="164"/>
      <c r="N160" s="174"/>
    </row>
    <row r="161" spans="2:14" ht="31.9" customHeight="1">
      <c r="B161" s="167"/>
      <c r="C161" s="168"/>
      <c r="D161" s="892"/>
      <c r="E161" s="892"/>
      <c r="F161" s="892"/>
      <c r="G161" s="892"/>
      <c r="H161" s="892"/>
      <c r="I161" s="892"/>
      <c r="L161" s="164"/>
      <c r="N161" s="174"/>
    </row>
    <row r="162" spans="2:14" ht="31.9" customHeight="1">
      <c r="B162" s="167"/>
      <c r="C162" s="168"/>
      <c r="D162" s="892"/>
      <c r="E162" s="892"/>
      <c r="F162" s="892"/>
      <c r="G162" s="892"/>
      <c r="H162" s="892"/>
      <c r="I162" s="892"/>
      <c r="L162" s="164"/>
      <c r="N162" s="174"/>
    </row>
    <row r="163" spans="2:14" ht="31.9" customHeight="1">
      <c r="B163" s="167"/>
      <c r="C163" s="168"/>
      <c r="D163" s="892"/>
      <c r="E163" s="892"/>
      <c r="F163" s="892"/>
      <c r="G163" s="892"/>
      <c r="H163" s="892"/>
      <c r="I163" s="892"/>
      <c r="L163" s="164"/>
      <c r="N163" s="174"/>
    </row>
    <row r="164" spans="2:14" ht="31.9" customHeight="1">
      <c r="B164" s="167"/>
      <c r="C164" s="168"/>
      <c r="D164" s="892"/>
      <c r="E164" s="892"/>
      <c r="F164" s="892"/>
      <c r="G164" s="892"/>
      <c r="H164" s="892"/>
      <c r="I164" s="892"/>
      <c r="L164" s="164"/>
      <c r="N164" s="174"/>
    </row>
    <row r="165" spans="2:14" ht="31.9" customHeight="1">
      <c r="B165" s="167"/>
      <c r="C165" s="168"/>
      <c r="D165" s="892"/>
      <c r="E165" s="892"/>
      <c r="F165" s="892"/>
      <c r="G165" s="892"/>
      <c r="H165" s="892"/>
      <c r="I165" s="892"/>
      <c r="L165" s="164"/>
      <c r="N165" s="174"/>
    </row>
    <row r="166" spans="2:14" ht="31.9" customHeight="1">
      <c r="B166" s="167"/>
      <c r="C166" s="168"/>
      <c r="D166" s="892"/>
      <c r="E166" s="892"/>
      <c r="F166" s="892"/>
      <c r="G166" s="892"/>
      <c r="H166" s="892"/>
      <c r="I166" s="892"/>
      <c r="L166" s="164"/>
      <c r="N166" s="174"/>
    </row>
    <row r="167" spans="2:14" ht="31.9" customHeight="1">
      <c r="B167" s="167"/>
      <c r="C167" s="168"/>
      <c r="D167" s="892"/>
      <c r="E167" s="892"/>
      <c r="F167" s="892"/>
      <c r="G167" s="892"/>
      <c r="H167" s="892"/>
      <c r="I167" s="892"/>
      <c r="L167" s="164"/>
      <c r="N167" s="174"/>
    </row>
    <row r="168" spans="2:14" ht="31.9" customHeight="1">
      <c r="B168" s="167"/>
      <c r="C168" s="168"/>
      <c r="D168" s="892"/>
      <c r="E168" s="892"/>
      <c r="F168" s="892"/>
      <c r="G168" s="892"/>
      <c r="H168" s="892"/>
      <c r="I168" s="892"/>
      <c r="L168" s="164"/>
      <c r="N168" s="174"/>
    </row>
    <row r="169" spans="2:14" ht="31.9" customHeight="1">
      <c r="B169" s="167"/>
      <c r="C169" s="168"/>
      <c r="D169" s="892"/>
      <c r="E169" s="892"/>
      <c r="F169" s="892"/>
      <c r="G169" s="892"/>
      <c r="H169" s="892"/>
      <c r="I169" s="892"/>
      <c r="L169" s="164"/>
      <c r="N169" s="174"/>
    </row>
    <row r="170" spans="2:14" ht="31.9" customHeight="1">
      <c r="B170" s="167"/>
      <c r="C170" s="168"/>
      <c r="D170" s="892"/>
      <c r="E170" s="892"/>
      <c r="F170" s="892"/>
      <c r="G170" s="892"/>
      <c r="H170" s="892"/>
      <c r="I170" s="892"/>
      <c r="L170" s="164"/>
      <c r="N170" s="174"/>
    </row>
    <row r="171" spans="2:14" ht="31.9" customHeight="1">
      <c r="B171" s="167"/>
      <c r="C171" s="168"/>
      <c r="D171" s="892"/>
      <c r="E171" s="892"/>
      <c r="F171" s="892"/>
      <c r="G171" s="892"/>
      <c r="H171" s="892"/>
      <c r="I171" s="892"/>
      <c r="L171" s="164"/>
      <c r="N171" s="174"/>
    </row>
    <row r="172" spans="2:14" ht="31.9" customHeight="1">
      <c r="B172" s="167"/>
      <c r="C172" s="168"/>
      <c r="D172" s="892"/>
      <c r="E172" s="892"/>
      <c r="F172" s="892"/>
      <c r="G172" s="892"/>
      <c r="H172" s="892"/>
      <c r="I172" s="892"/>
      <c r="L172" s="164"/>
      <c r="N172" s="174"/>
    </row>
    <row r="173" spans="2:14" ht="31.9" customHeight="1">
      <c r="B173" s="167"/>
      <c r="C173" s="168"/>
      <c r="D173" s="892"/>
      <c r="E173" s="892"/>
      <c r="F173" s="892"/>
      <c r="G173" s="892"/>
      <c r="H173" s="892"/>
      <c r="I173" s="892"/>
      <c r="L173" s="164"/>
      <c r="N173" s="174"/>
    </row>
    <row r="174" spans="2:14" ht="31.9" customHeight="1">
      <c r="B174" s="167"/>
      <c r="C174" s="168"/>
      <c r="D174" s="892"/>
      <c r="E174" s="892"/>
      <c r="F174" s="892"/>
      <c r="G174" s="892"/>
      <c r="H174" s="892"/>
      <c r="I174" s="892"/>
      <c r="L174" s="164"/>
      <c r="N174" s="174"/>
    </row>
    <row r="175" spans="2:14" ht="31.9" customHeight="1">
      <c r="B175" s="167"/>
      <c r="C175" s="168"/>
      <c r="D175" s="892"/>
      <c r="E175" s="892"/>
      <c r="F175" s="892"/>
      <c r="G175" s="892"/>
      <c r="H175" s="892"/>
      <c r="I175" s="892"/>
      <c r="L175" s="164"/>
      <c r="N175" s="174"/>
    </row>
    <row r="176" spans="2:14" ht="31.9" customHeight="1">
      <c r="B176" s="167"/>
      <c r="C176" s="168"/>
      <c r="D176" s="892"/>
      <c r="E176" s="892"/>
      <c r="F176" s="892"/>
      <c r="G176" s="892"/>
      <c r="H176" s="892"/>
      <c r="I176" s="892"/>
      <c r="L176" s="164"/>
      <c r="N176" s="174"/>
    </row>
    <row r="177" spans="2:14" ht="31.9" customHeight="1">
      <c r="B177" s="167"/>
      <c r="C177" s="168"/>
      <c r="D177" s="892"/>
      <c r="E177" s="892"/>
      <c r="F177" s="892"/>
      <c r="G177" s="892"/>
      <c r="H177" s="892"/>
      <c r="I177" s="892"/>
      <c r="L177" s="164"/>
      <c r="N177" s="174"/>
    </row>
    <row r="178" spans="2:14" ht="31.9" customHeight="1">
      <c r="B178" s="167"/>
      <c r="C178" s="168"/>
      <c r="D178" s="892"/>
      <c r="E178" s="892"/>
      <c r="F178" s="892"/>
      <c r="G178" s="892"/>
      <c r="H178" s="892"/>
      <c r="I178" s="892"/>
      <c r="L178" s="164"/>
      <c r="N178" s="174"/>
    </row>
    <row r="179" spans="2:14" ht="31.9" customHeight="1">
      <c r="B179" s="167"/>
      <c r="C179" s="168"/>
      <c r="D179" s="892"/>
      <c r="E179" s="892"/>
      <c r="F179" s="892"/>
      <c r="G179" s="892"/>
      <c r="H179" s="892"/>
      <c r="I179" s="892"/>
      <c r="L179" s="164"/>
      <c r="N179" s="174"/>
    </row>
    <row r="180" spans="2:14" ht="31.9" customHeight="1">
      <c r="B180" s="167"/>
      <c r="C180" s="168"/>
      <c r="D180" s="892"/>
      <c r="E180" s="892"/>
      <c r="F180" s="892"/>
      <c r="G180" s="892"/>
      <c r="H180" s="892"/>
      <c r="I180" s="892"/>
      <c r="L180" s="164"/>
      <c r="N180" s="174"/>
    </row>
    <row r="181" spans="2:14" ht="31.9" customHeight="1">
      <c r="B181" s="167"/>
      <c r="C181" s="168"/>
      <c r="D181" s="892"/>
      <c r="E181" s="892"/>
      <c r="F181" s="892"/>
      <c r="G181" s="892"/>
      <c r="H181" s="892"/>
      <c r="I181" s="892"/>
      <c r="L181" s="164"/>
      <c r="N181" s="174"/>
    </row>
    <row r="182" spans="2:14" ht="31.9" customHeight="1">
      <c r="B182" s="167"/>
      <c r="C182" s="168"/>
      <c r="D182" s="892"/>
      <c r="E182" s="892"/>
      <c r="F182" s="892"/>
      <c r="G182" s="892"/>
      <c r="H182" s="892"/>
      <c r="I182" s="892"/>
      <c r="L182" s="164"/>
      <c r="N182" s="174"/>
    </row>
    <row r="183" spans="2:14" ht="31.9" customHeight="1">
      <c r="B183" s="167"/>
      <c r="C183" s="168"/>
      <c r="D183" s="892"/>
      <c r="E183" s="892"/>
      <c r="F183" s="892"/>
      <c r="G183" s="892"/>
      <c r="H183" s="892"/>
      <c r="I183" s="892"/>
      <c r="L183" s="164"/>
      <c r="N183" s="174"/>
    </row>
    <row r="184" spans="2:14" ht="31.9" customHeight="1">
      <c r="B184" s="167"/>
      <c r="C184" s="168"/>
      <c r="D184" s="892"/>
      <c r="E184" s="892"/>
      <c r="F184" s="892"/>
      <c r="G184" s="892"/>
      <c r="H184" s="892"/>
      <c r="I184" s="892"/>
      <c r="L184" s="164"/>
      <c r="N184" s="174"/>
    </row>
    <row r="185" spans="2:14" ht="31.9" customHeight="1">
      <c r="B185" s="167"/>
      <c r="C185" s="168"/>
      <c r="D185" s="892"/>
      <c r="E185" s="892"/>
      <c r="F185" s="892"/>
      <c r="G185" s="892"/>
      <c r="H185" s="892"/>
      <c r="I185" s="892"/>
      <c r="L185" s="164"/>
      <c r="N185" s="174"/>
    </row>
    <row r="186" spans="2:14" ht="31.9" customHeight="1">
      <c r="B186" s="167"/>
      <c r="C186" s="168"/>
      <c r="D186" s="892"/>
      <c r="E186" s="892"/>
      <c r="F186" s="892"/>
      <c r="G186" s="892"/>
      <c r="H186" s="892"/>
      <c r="I186" s="892"/>
      <c r="L186" s="164"/>
      <c r="N186" s="174"/>
    </row>
    <row r="187" spans="2:14" ht="31.9" customHeight="1">
      <c r="B187" s="167"/>
      <c r="C187" s="168"/>
      <c r="D187" s="892"/>
      <c r="E187" s="892"/>
      <c r="F187" s="892"/>
      <c r="G187" s="892"/>
      <c r="H187" s="892"/>
      <c r="I187" s="892"/>
      <c r="L187" s="164"/>
      <c r="N187" s="174"/>
    </row>
    <row r="188" spans="2:14" ht="31.9" customHeight="1">
      <c r="B188" s="167"/>
      <c r="C188" s="168"/>
      <c r="D188" s="892"/>
      <c r="E188" s="892"/>
      <c r="F188" s="892"/>
      <c r="G188" s="892"/>
      <c r="H188" s="892"/>
      <c r="I188" s="892"/>
      <c r="L188" s="164"/>
      <c r="N188" s="174"/>
    </row>
    <row r="189" spans="2:14" ht="31.9" customHeight="1">
      <c r="B189" s="167"/>
      <c r="C189" s="168"/>
      <c r="D189" s="892"/>
      <c r="E189" s="892"/>
      <c r="F189" s="892"/>
      <c r="G189" s="892"/>
      <c r="H189" s="892"/>
      <c r="I189" s="892"/>
      <c r="L189" s="164"/>
      <c r="N189" s="174"/>
    </row>
    <row r="190" spans="2:14" ht="31.9" customHeight="1">
      <c r="B190" s="167"/>
      <c r="C190" s="168"/>
      <c r="D190" s="892"/>
      <c r="E190" s="892"/>
      <c r="F190" s="892"/>
      <c r="G190" s="892"/>
      <c r="H190" s="892"/>
      <c r="I190" s="892"/>
      <c r="L190" s="164"/>
      <c r="N190" s="174"/>
    </row>
    <row r="191" spans="2:14" ht="31.9" customHeight="1">
      <c r="B191" s="167"/>
      <c r="C191" s="168"/>
      <c r="D191" s="892"/>
      <c r="E191" s="892"/>
      <c r="F191" s="892"/>
      <c r="G191" s="892"/>
      <c r="H191" s="892"/>
      <c r="I191" s="892"/>
      <c r="L191" s="164"/>
      <c r="N191" s="174"/>
    </row>
    <row r="192" spans="2:14" ht="31.9" customHeight="1">
      <c r="B192" s="167"/>
      <c r="C192" s="168"/>
      <c r="D192" s="892"/>
      <c r="E192" s="892"/>
      <c r="F192" s="892"/>
      <c r="G192" s="892"/>
      <c r="H192" s="892"/>
      <c r="I192" s="892"/>
      <c r="L192" s="164"/>
      <c r="N192" s="174"/>
    </row>
    <row r="193" spans="2:14" ht="31.9" customHeight="1">
      <c r="B193" s="167"/>
      <c r="C193" s="168"/>
      <c r="D193" s="892"/>
      <c r="E193" s="892"/>
      <c r="F193" s="892"/>
      <c r="G193" s="892"/>
      <c r="H193" s="892"/>
      <c r="I193" s="892"/>
      <c r="L193" s="164"/>
      <c r="N193" s="174"/>
    </row>
    <row r="194" spans="2:14" ht="31.9" customHeight="1">
      <c r="B194" s="167"/>
      <c r="C194" s="168"/>
      <c r="D194" s="892"/>
      <c r="E194" s="892"/>
      <c r="F194" s="892"/>
      <c r="G194" s="892"/>
      <c r="H194" s="892"/>
      <c r="I194" s="892"/>
      <c r="L194" s="164"/>
      <c r="N194" s="174"/>
    </row>
    <row r="195" spans="2:14" ht="31.9" customHeight="1">
      <c r="B195" s="167"/>
      <c r="C195" s="168"/>
      <c r="D195" s="892"/>
      <c r="E195" s="892"/>
      <c r="F195" s="892"/>
      <c r="G195" s="892"/>
      <c r="H195" s="892"/>
      <c r="I195" s="892"/>
      <c r="L195" s="164"/>
      <c r="N195" s="174"/>
    </row>
    <row r="196" spans="2:14" ht="31.9" customHeight="1">
      <c r="B196" s="167"/>
      <c r="C196" s="168"/>
      <c r="D196" s="892"/>
      <c r="E196" s="892"/>
      <c r="F196" s="892"/>
      <c r="G196" s="892"/>
      <c r="H196" s="892"/>
      <c r="I196" s="892"/>
      <c r="L196" s="164"/>
      <c r="N196" s="174"/>
    </row>
    <row r="197" spans="2:14" ht="31.9" customHeight="1">
      <c r="B197" s="167"/>
      <c r="C197" s="168"/>
      <c r="D197" s="892"/>
      <c r="E197" s="892"/>
      <c r="F197" s="892"/>
      <c r="G197" s="892"/>
      <c r="H197" s="892"/>
      <c r="I197" s="892"/>
      <c r="L197" s="164"/>
      <c r="N197" s="174"/>
    </row>
    <row r="198" spans="2:14" ht="31.9" customHeight="1">
      <c r="B198" s="167"/>
      <c r="C198" s="168"/>
      <c r="D198" s="892"/>
      <c r="E198" s="892"/>
      <c r="F198" s="892"/>
      <c r="G198" s="892"/>
      <c r="H198" s="892"/>
      <c r="I198" s="892"/>
      <c r="L198" s="164"/>
      <c r="N198" s="174"/>
    </row>
    <row r="199" spans="2:14" ht="31.9" customHeight="1">
      <c r="B199" s="167"/>
      <c r="C199" s="168"/>
      <c r="D199" s="892"/>
      <c r="E199" s="892"/>
      <c r="F199" s="892"/>
      <c r="G199" s="892"/>
      <c r="H199" s="892"/>
      <c r="I199" s="892"/>
      <c r="L199" s="164"/>
      <c r="N199" s="174"/>
    </row>
    <row r="200" spans="2:14" ht="31.9" customHeight="1">
      <c r="B200" s="167"/>
      <c r="C200" s="168"/>
      <c r="D200" s="892"/>
      <c r="E200" s="892"/>
      <c r="F200" s="892"/>
      <c r="G200" s="892"/>
      <c r="H200" s="892"/>
      <c r="I200" s="892"/>
      <c r="L200" s="164"/>
      <c r="N200" s="174"/>
    </row>
    <row r="201" spans="2:14" ht="31.9" customHeight="1">
      <c r="B201" s="167"/>
      <c r="C201" s="168"/>
      <c r="D201" s="892"/>
      <c r="E201" s="892"/>
      <c r="F201" s="892"/>
      <c r="G201" s="892"/>
      <c r="H201" s="892"/>
      <c r="I201" s="892"/>
      <c r="L201" s="164"/>
      <c r="N201" s="174"/>
    </row>
    <row r="202" spans="2:14" ht="31.9" customHeight="1">
      <c r="B202" s="167"/>
      <c r="C202" s="168"/>
      <c r="D202" s="892"/>
      <c r="E202" s="892"/>
      <c r="F202" s="892"/>
      <c r="G202" s="892"/>
      <c r="H202" s="892"/>
      <c r="I202" s="892"/>
      <c r="L202" s="164"/>
      <c r="N202" s="174"/>
    </row>
    <row r="203" spans="2:14" ht="31.9" customHeight="1">
      <c r="B203" s="167"/>
      <c r="C203" s="168"/>
      <c r="D203" s="892"/>
      <c r="E203" s="892"/>
      <c r="F203" s="892"/>
      <c r="G203" s="892"/>
      <c r="H203" s="892"/>
      <c r="I203" s="892"/>
      <c r="L203" s="164"/>
      <c r="N203" s="174"/>
    </row>
    <row r="204" spans="2:14" ht="31.9" customHeight="1">
      <c r="B204" s="167"/>
      <c r="C204" s="168"/>
      <c r="D204" s="892"/>
      <c r="E204" s="892"/>
      <c r="F204" s="892"/>
      <c r="G204" s="892"/>
      <c r="H204" s="892"/>
      <c r="I204" s="892"/>
      <c r="L204" s="164"/>
      <c r="N204" s="174"/>
    </row>
    <row r="205" spans="2:14" ht="31.9" customHeight="1">
      <c r="B205" s="167"/>
      <c r="C205" s="168"/>
      <c r="D205" s="892"/>
      <c r="E205" s="892"/>
      <c r="F205" s="892"/>
      <c r="G205" s="892"/>
      <c r="H205" s="892"/>
      <c r="I205" s="892"/>
      <c r="L205" s="164"/>
      <c r="N205" s="174"/>
    </row>
    <row r="206" spans="2:14" ht="31.9" customHeight="1">
      <c r="B206" s="167"/>
      <c r="C206" s="168"/>
      <c r="D206" s="892"/>
      <c r="E206" s="892"/>
      <c r="F206" s="892"/>
      <c r="G206" s="892"/>
      <c r="H206" s="892"/>
      <c r="I206" s="892"/>
      <c r="L206" s="164"/>
      <c r="N206" s="174"/>
    </row>
    <row r="207" spans="2:14" ht="31.9" customHeight="1">
      <c r="B207" s="167"/>
      <c r="C207" s="168"/>
      <c r="D207" s="892"/>
      <c r="E207" s="892"/>
      <c r="F207" s="892"/>
      <c r="G207" s="892"/>
      <c r="H207" s="892"/>
      <c r="I207" s="892"/>
      <c r="L207" s="164"/>
      <c r="N207" s="174"/>
    </row>
    <row r="208" spans="2:14" ht="31.9" customHeight="1">
      <c r="B208" s="167"/>
      <c r="C208" s="168"/>
      <c r="D208" s="892"/>
      <c r="E208" s="892"/>
      <c r="F208" s="892"/>
      <c r="G208" s="892"/>
      <c r="H208" s="892"/>
      <c r="I208" s="892"/>
      <c r="L208" s="164"/>
      <c r="N208" s="174"/>
    </row>
    <row r="209" spans="2:14" ht="31.9" customHeight="1">
      <c r="B209" s="167"/>
      <c r="C209" s="168"/>
      <c r="D209" s="892"/>
      <c r="E209" s="892"/>
      <c r="F209" s="892"/>
      <c r="G209" s="892"/>
      <c r="H209" s="892"/>
      <c r="I209" s="892"/>
      <c r="L209" s="164"/>
      <c r="N209" s="174"/>
    </row>
    <row r="210" spans="2:14" ht="31.9" customHeight="1">
      <c r="B210" s="167"/>
      <c r="C210" s="168"/>
      <c r="D210" s="892"/>
      <c r="E210" s="892"/>
      <c r="F210" s="892"/>
      <c r="G210" s="892"/>
      <c r="H210" s="892"/>
      <c r="I210" s="892"/>
      <c r="L210" s="164"/>
      <c r="N210" s="174"/>
    </row>
    <row r="211" spans="2:14" ht="31.9" customHeight="1">
      <c r="B211" s="167"/>
      <c r="C211" s="168"/>
      <c r="D211" s="892"/>
      <c r="E211" s="892"/>
      <c r="F211" s="892"/>
      <c r="G211" s="892"/>
      <c r="H211" s="892"/>
      <c r="I211" s="892"/>
      <c r="L211" s="164"/>
      <c r="N211" s="174"/>
    </row>
    <row r="212" spans="2:14" ht="31.9" customHeight="1">
      <c r="B212" s="167"/>
      <c r="C212" s="168"/>
      <c r="D212" s="892"/>
      <c r="E212" s="892"/>
      <c r="F212" s="892"/>
      <c r="G212" s="892"/>
      <c r="H212" s="892"/>
      <c r="I212" s="892"/>
      <c r="L212" s="164"/>
      <c r="N212" s="174"/>
    </row>
    <row r="213" spans="2:14" ht="31.9" customHeight="1">
      <c r="B213" s="167"/>
      <c r="C213" s="168"/>
      <c r="D213" s="892"/>
      <c r="E213" s="892"/>
      <c r="F213" s="892"/>
      <c r="G213" s="892"/>
      <c r="H213" s="892"/>
      <c r="I213" s="892"/>
      <c r="L213" s="164"/>
      <c r="N213" s="174"/>
    </row>
    <row r="214" spans="2:14" ht="31.9" customHeight="1">
      <c r="B214" s="167"/>
      <c r="C214" s="168"/>
      <c r="D214" s="892"/>
      <c r="E214" s="892"/>
      <c r="F214" s="892"/>
      <c r="G214" s="892"/>
      <c r="H214" s="892"/>
      <c r="I214" s="892"/>
      <c r="L214" s="164"/>
      <c r="N214" s="174"/>
    </row>
    <row r="215" spans="2:14" ht="31.9" customHeight="1">
      <c r="B215" s="167"/>
      <c r="C215" s="168"/>
      <c r="D215" s="892"/>
      <c r="E215" s="892"/>
      <c r="F215" s="892"/>
      <c r="G215" s="892"/>
      <c r="H215" s="892"/>
      <c r="I215" s="892"/>
      <c r="L215" s="164"/>
      <c r="N215" s="174"/>
    </row>
    <row r="216" spans="2:14" ht="31.9" customHeight="1">
      <c r="B216" s="167"/>
      <c r="C216" s="168"/>
      <c r="D216" s="892"/>
      <c r="E216" s="892"/>
      <c r="F216" s="892"/>
      <c r="G216" s="892"/>
      <c r="H216" s="892"/>
      <c r="I216" s="892"/>
      <c r="L216" s="164"/>
      <c r="N216" s="174"/>
    </row>
    <row r="217" spans="2:14" ht="31.9" customHeight="1">
      <c r="B217" s="167"/>
      <c r="C217" s="168"/>
      <c r="D217" s="892"/>
      <c r="E217" s="892"/>
      <c r="F217" s="892"/>
      <c r="G217" s="892"/>
      <c r="H217" s="892"/>
      <c r="I217" s="892"/>
      <c r="L217" s="164"/>
      <c r="N217" s="174"/>
    </row>
    <row r="218" spans="2:14" ht="31.9" customHeight="1">
      <c r="B218" s="167"/>
      <c r="C218" s="168"/>
      <c r="D218" s="892"/>
      <c r="E218" s="892"/>
      <c r="F218" s="892"/>
      <c r="G218" s="892"/>
      <c r="H218" s="892"/>
      <c r="I218" s="892"/>
      <c r="L218" s="164"/>
      <c r="N218" s="174"/>
    </row>
    <row r="219" spans="2:14" ht="31.9" customHeight="1">
      <c r="B219" s="167"/>
      <c r="C219" s="168"/>
      <c r="D219" s="892"/>
      <c r="E219" s="892"/>
      <c r="F219" s="892"/>
      <c r="G219" s="892"/>
      <c r="H219" s="892"/>
      <c r="I219" s="892"/>
      <c r="L219" s="164"/>
      <c r="N219" s="174"/>
    </row>
    <row r="220" spans="2:14" ht="31.9" customHeight="1">
      <c r="B220" s="167"/>
      <c r="C220" s="168"/>
      <c r="D220" s="892"/>
      <c r="E220" s="892"/>
      <c r="F220" s="892"/>
      <c r="G220" s="892"/>
      <c r="H220" s="892"/>
      <c r="I220" s="892"/>
      <c r="L220" s="164"/>
      <c r="N220" s="174"/>
    </row>
    <row r="221" spans="2:14" ht="31.9" customHeight="1">
      <c r="B221" s="167"/>
      <c r="C221" s="168"/>
      <c r="D221" s="892"/>
      <c r="E221" s="892"/>
      <c r="F221" s="892"/>
      <c r="G221" s="892"/>
      <c r="H221" s="892"/>
      <c r="I221" s="892"/>
      <c r="L221" s="164"/>
      <c r="N221" s="174"/>
    </row>
    <row r="222" spans="2:14" ht="31.9" customHeight="1">
      <c r="B222" s="167"/>
      <c r="C222" s="168"/>
      <c r="D222" s="892"/>
      <c r="E222" s="892"/>
      <c r="F222" s="892"/>
      <c r="G222" s="892"/>
      <c r="H222" s="892"/>
      <c r="I222" s="892"/>
      <c r="L222" s="164"/>
      <c r="N222" s="174"/>
    </row>
    <row r="223" spans="2:14" ht="31.9" customHeight="1">
      <c r="B223" s="167"/>
      <c r="C223" s="168"/>
      <c r="D223" s="892"/>
      <c r="E223" s="892"/>
      <c r="F223" s="892"/>
      <c r="G223" s="892"/>
      <c r="H223" s="892"/>
      <c r="I223" s="892"/>
      <c r="L223" s="164"/>
      <c r="N223" s="174"/>
    </row>
    <row r="224" spans="2:14" ht="31.9" customHeight="1">
      <c r="B224" s="167"/>
      <c r="C224" s="168"/>
      <c r="D224" s="892"/>
      <c r="E224" s="892"/>
      <c r="F224" s="892"/>
      <c r="G224" s="892"/>
      <c r="H224" s="892"/>
      <c r="I224" s="892"/>
      <c r="L224" s="164"/>
      <c r="N224" s="174"/>
    </row>
    <row r="225" spans="2:14" ht="31.9" customHeight="1">
      <c r="B225" s="167"/>
      <c r="C225" s="168"/>
      <c r="D225" s="892"/>
      <c r="E225" s="892"/>
      <c r="F225" s="892"/>
      <c r="G225" s="892"/>
      <c r="H225" s="892"/>
      <c r="I225" s="892"/>
      <c r="L225" s="164"/>
      <c r="N225" s="174"/>
    </row>
    <row r="226" spans="2:14" ht="31.9" customHeight="1">
      <c r="B226" s="167"/>
      <c r="C226" s="168"/>
      <c r="D226" s="892"/>
      <c r="E226" s="892"/>
      <c r="F226" s="892"/>
      <c r="G226" s="892"/>
      <c r="H226" s="892"/>
      <c r="I226" s="892"/>
      <c r="L226" s="164"/>
      <c r="N226" s="174"/>
    </row>
    <row r="227" spans="2:14" ht="31.9" customHeight="1">
      <c r="B227" s="167"/>
      <c r="C227" s="168"/>
      <c r="D227" s="892"/>
      <c r="E227" s="892"/>
      <c r="F227" s="892"/>
      <c r="G227" s="892"/>
      <c r="H227" s="892"/>
      <c r="I227" s="892"/>
      <c r="L227" s="164"/>
      <c r="N227" s="174"/>
    </row>
    <row r="228" spans="2:14" ht="31.9" customHeight="1">
      <c r="B228" s="167"/>
      <c r="C228" s="168"/>
      <c r="D228" s="892"/>
      <c r="E228" s="892"/>
      <c r="F228" s="892"/>
      <c r="G228" s="892"/>
      <c r="H228" s="892"/>
      <c r="I228" s="892"/>
      <c r="L228" s="164"/>
      <c r="N228" s="174"/>
    </row>
    <row r="229" spans="2:14" ht="31.9" customHeight="1">
      <c r="B229" s="167"/>
      <c r="C229" s="168"/>
      <c r="D229" s="892"/>
      <c r="E229" s="892"/>
      <c r="F229" s="892"/>
      <c r="G229" s="892"/>
      <c r="H229" s="892"/>
      <c r="I229" s="892"/>
      <c r="L229" s="164"/>
      <c r="N229" s="174"/>
    </row>
    <row r="230" spans="2:14" ht="31.9" customHeight="1">
      <c r="B230" s="167"/>
      <c r="C230" s="168"/>
      <c r="D230" s="892"/>
      <c r="E230" s="892"/>
      <c r="F230" s="892"/>
      <c r="G230" s="892"/>
      <c r="H230" s="892"/>
      <c r="I230" s="892"/>
      <c r="L230" s="164"/>
      <c r="N230" s="174"/>
    </row>
    <row r="231" spans="2:14" ht="31.9" customHeight="1">
      <c r="B231" s="167"/>
      <c r="C231" s="168"/>
      <c r="D231" s="892"/>
      <c r="E231" s="892"/>
      <c r="F231" s="892"/>
      <c r="G231" s="892"/>
      <c r="H231" s="892"/>
      <c r="I231" s="892"/>
      <c r="L231" s="164"/>
      <c r="N231" s="174"/>
    </row>
    <row r="232" spans="2:14" ht="31.9" customHeight="1">
      <c r="B232" s="167"/>
      <c r="C232" s="168"/>
      <c r="D232" s="892"/>
      <c r="E232" s="892"/>
      <c r="F232" s="892"/>
      <c r="G232" s="892"/>
      <c r="H232" s="892"/>
      <c r="I232" s="892"/>
      <c r="L232" s="164"/>
      <c r="N232" s="174"/>
    </row>
    <row r="233" spans="2:14" ht="31.9" customHeight="1">
      <c r="B233" s="167"/>
      <c r="C233" s="168"/>
      <c r="D233" s="892"/>
      <c r="E233" s="892"/>
      <c r="F233" s="892"/>
      <c r="G233" s="892"/>
      <c r="H233" s="892"/>
      <c r="I233" s="892"/>
      <c r="L233" s="164"/>
      <c r="N233" s="174"/>
    </row>
    <row r="234" spans="2:14" ht="31.9" customHeight="1">
      <c r="B234" s="167"/>
      <c r="C234" s="168"/>
      <c r="D234" s="892"/>
      <c r="E234" s="892"/>
      <c r="F234" s="892"/>
      <c r="G234" s="892"/>
      <c r="H234" s="892"/>
      <c r="I234" s="892"/>
      <c r="L234" s="164"/>
      <c r="N234" s="174"/>
    </row>
    <row r="235" spans="2:14" ht="31.9" customHeight="1">
      <c r="B235" s="167"/>
      <c r="C235" s="168"/>
      <c r="D235" s="892"/>
      <c r="E235" s="892"/>
      <c r="F235" s="892"/>
      <c r="G235" s="892"/>
      <c r="H235" s="892"/>
      <c r="I235" s="892"/>
      <c r="L235" s="164"/>
      <c r="N235" s="174"/>
    </row>
    <row r="236" spans="2:14" ht="31.9" customHeight="1">
      <c r="B236" s="167"/>
      <c r="C236" s="168"/>
      <c r="D236" s="892"/>
      <c r="E236" s="892"/>
      <c r="F236" s="892"/>
      <c r="G236" s="892"/>
      <c r="H236" s="892"/>
      <c r="I236" s="892"/>
      <c r="L236" s="164"/>
      <c r="N236" s="174"/>
    </row>
    <row r="237" spans="2:14" ht="31.9" customHeight="1">
      <c r="B237" s="167"/>
      <c r="C237" s="168"/>
      <c r="D237" s="892"/>
      <c r="E237" s="892"/>
      <c r="F237" s="892"/>
      <c r="G237" s="892"/>
      <c r="H237" s="892"/>
      <c r="I237" s="892"/>
      <c r="L237" s="164"/>
      <c r="N237" s="174"/>
    </row>
    <row r="238" spans="2:14" ht="31.9" customHeight="1">
      <c r="B238" s="167"/>
      <c r="C238" s="168"/>
      <c r="D238" s="892"/>
      <c r="E238" s="892"/>
      <c r="F238" s="892"/>
      <c r="G238" s="892"/>
      <c r="H238" s="892"/>
      <c r="I238" s="892"/>
      <c r="L238" s="164"/>
      <c r="N238" s="174"/>
    </row>
    <row r="239" spans="2:14" ht="31.9" customHeight="1">
      <c r="B239" s="167"/>
      <c r="C239" s="168"/>
      <c r="D239" s="892"/>
      <c r="E239" s="892"/>
      <c r="F239" s="892"/>
      <c r="G239" s="892"/>
      <c r="H239" s="892"/>
      <c r="I239" s="892"/>
      <c r="L239" s="164"/>
      <c r="N239" s="174"/>
    </row>
    <row r="240" spans="2:14" ht="31.9" customHeight="1">
      <c r="B240" s="167"/>
      <c r="C240" s="168"/>
      <c r="D240" s="892"/>
      <c r="E240" s="892"/>
      <c r="F240" s="892"/>
      <c r="G240" s="892"/>
      <c r="H240" s="892"/>
      <c r="I240" s="892"/>
      <c r="L240" s="164"/>
      <c r="N240" s="174"/>
    </row>
    <row r="241" spans="2:14" ht="31.9" customHeight="1">
      <c r="B241" s="167"/>
      <c r="C241" s="168"/>
      <c r="D241" s="892"/>
      <c r="E241" s="892"/>
      <c r="F241" s="892"/>
      <c r="G241" s="892"/>
      <c r="H241" s="892"/>
      <c r="I241" s="892"/>
      <c r="L241" s="164"/>
      <c r="N241" s="174"/>
    </row>
    <row r="242" spans="2:14" ht="31.9" customHeight="1">
      <c r="B242" s="167"/>
      <c r="C242" s="168"/>
      <c r="D242" s="892"/>
      <c r="E242" s="892"/>
      <c r="F242" s="892"/>
      <c r="G242" s="892"/>
      <c r="H242" s="892"/>
      <c r="I242" s="892"/>
      <c r="L242" s="164"/>
      <c r="N242" s="174"/>
    </row>
    <row r="243" spans="2:14" ht="31.9" customHeight="1">
      <c r="B243" s="167"/>
      <c r="C243" s="168"/>
      <c r="D243" s="892"/>
      <c r="E243" s="892"/>
      <c r="F243" s="892"/>
      <c r="G243" s="892"/>
      <c r="H243" s="892"/>
      <c r="I243" s="892"/>
      <c r="L243" s="164"/>
      <c r="N243" s="174"/>
    </row>
    <row r="244" spans="2:14" ht="31.9" customHeight="1">
      <c r="B244" s="167"/>
      <c r="C244" s="168"/>
      <c r="D244" s="892"/>
      <c r="E244" s="892"/>
      <c r="F244" s="892"/>
      <c r="G244" s="892"/>
      <c r="H244" s="892"/>
      <c r="I244" s="892"/>
      <c r="L244" s="164"/>
      <c r="N244" s="174"/>
    </row>
    <row r="245" spans="2:14" ht="31.9" customHeight="1">
      <c r="B245" s="167"/>
      <c r="C245" s="168"/>
      <c r="D245" s="892"/>
      <c r="E245" s="892"/>
      <c r="F245" s="892"/>
      <c r="G245" s="892"/>
      <c r="H245" s="892"/>
      <c r="I245" s="892"/>
      <c r="L245" s="164"/>
      <c r="N245" s="174"/>
    </row>
    <row r="246" spans="2:14" ht="31.9" customHeight="1">
      <c r="B246" s="167"/>
      <c r="C246" s="168"/>
      <c r="D246" s="892"/>
      <c r="E246" s="892"/>
      <c r="F246" s="892"/>
      <c r="G246" s="892"/>
      <c r="H246" s="892"/>
      <c r="I246" s="892"/>
      <c r="L246" s="164"/>
      <c r="N246" s="174"/>
    </row>
    <row r="247" spans="2:14" ht="31.9" customHeight="1">
      <c r="B247" s="167"/>
      <c r="C247" s="168"/>
      <c r="D247" s="892"/>
      <c r="E247" s="892"/>
      <c r="F247" s="892"/>
      <c r="G247" s="892"/>
      <c r="H247" s="892"/>
      <c r="I247" s="892"/>
      <c r="L247" s="164"/>
      <c r="N247" s="174"/>
    </row>
    <row r="248" spans="2:14" ht="31.9" customHeight="1">
      <c r="B248" s="167"/>
      <c r="C248" s="168"/>
      <c r="D248" s="892"/>
      <c r="E248" s="892"/>
      <c r="F248" s="892"/>
      <c r="G248" s="892"/>
      <c r="H248" s="892"/>
      <c r="I248" s="892"/>
      <c r="L248" s="164"/>
      <c r="N248" s="174"/>
    </row>
    <row r="249" spans="2:14" ht="31.9" customHeight="1">
      <c r="B249" s="167"/>
      <c r="C249" s="168"/>
      <c r="D249" s="892"/>
      <c r="E249" s="892"/>
      <c r="F249" s="892"/>
      <c r="G249" s="892"/>
      <c r="H249" s="892"/>
      <c r="I249" s="892"/>
      <c r="L249" s="164"/>
      <c r="N249" s="174"/>
    </row>
    <row r="250" spans="2:14" ht="31.9" customHeight="1">
      <c r="B250" s="167"/>
      <c r="C250" s="168"/>
      <c r="D250" s="892"/>
      <c r="E250" s="892"/>
      <c r="F250" s="892"/>
      <c r="G250" s="892"/>
      <c r="H250" s="892"/>
      <c r="I250" s="892"/>
      <c r="L250" s="164"/>
      <c r="N250" s="174"/>
    </row>
    <row r="251" spans="2:14" ht="31.9" customHeight="1">
      <c r="B251" s="167"/>
      <c r="C251" s="168"/>
      <c r="D251" s="892"/>
      <c r="E251" s="892"/>
      <c r="F251" s="892"/>
      <c r="G251" s="892"/>
      <c r="H251" s="892"/>
      <c r="I251" s="892"/>
      <c r="L251" s="164"/>
      <c r="N251" s="174"/>
    </row>
    <row r="252" spans="2:14" ht="31.9" customHeight="1">
      <c r="B252" s="167"/>
      <c r="C252" s="168"/>
      <c r="D252" s="892"/>
      <c r="E252" s="892"/>
      <c r="F252" s="892"/>
      <c r="G252" s="892"/>
      <c r="H252" s="892"/>
      <c r="I252" s="892"/>
      <c r="L252" s="164"/>
      <c r="N252" s="174"/>
    </row>
    <row r="253" spans="2:14" ht="31.9" customHeight="1">
      <c r="B253" s="167"/>
      <c r="C253" s="168"/>
      <c r="D253" s="892"/>
      <c r="E253" s="892"/>
      <c r="F253" s="892"/>
      <c r="G253" s="892"/>
      <c r="H253" s="892"/>
      <c r="I253" s="892"/>
      <c r="L253" s="164"/>
      <c r="N253" s="174"/>
    </row>
    <row r="254" spans="2:14" ht="31.9" customHeight="1">
      <c r="B254" s="167"/>
      <c r="C254" s="168"/>
      <c r="D254" s="892"/>
      <c r="E254" s="892"/>
      <c r="F254" s="892"/>
      <c r="G254" s="892"/>
      <c r="H254" s="892"/>
      <c r="I254" s="892"/>
      <c r="L254" s="164"/>
      <c r="N254" s="174"/>
    </row>
    <row r="255" spans="2:14" ht="31.9" customHeight="1">
      <c r="B255" s="167"/>
      <c r="C255" s="168"/>
      <c r="D255" s="892"/>
      <c r="E255" s="892"/>
      <c r="F255" s="892"/>
      <c r="G255" s="892"/>
      <c r="H255" s="892"/>
      <c r="I255" s="892"/>
      <c r="L255" s="164"/>
      <c r="N255" s="174"/>
    </row>
    <row r="256" spans="2:14" ht="31.9" customHeight="1">
      <c r="B256" s="167"/>
      <c r="C256" s="168"/>
      <c r="D256" s="892"/>
      <c r="E256" s="892"/>
      <c r="F256" s="892"/>
      <c r="G256" s="892"/>
      <c r="H256" s="892"/>
      <c r="I256" s="892"/>
      <c r="L256" s="164"/>
      <c r="N256" s="174"/>
    </row>
    <row r="257" spans="2:14" ht="31.9" customHeight="1">
      <c r="B257" s="167"/>
      <c r="C257" s="168"/>
      <c r="D257" s="892"/>
      <c r="E257" s="892"/>
      <c r="F257" s="892"/>
      <c r="G257" s="892"/>
      <c r="H257" s="892"/>
      <c r="I257" s="892"/>
      <c r="L257" s="164"/>
      <c r="N257" s="174"/>
    </row>
    <row r="258" spans="2:14" ht="31.9" customHeight="1">
      <c r="B258" s="167"/>
      <c r="C258" s="168"/>
      <c r="D258" s="892"/>
      <c r="E258" s="892"/>
      <c r="F258" s="892"/>
      <c r="G258" s="892"/>
      <c r="H258" s="892"/>
      <c r="I258" s="892"/>
      <c r="L258" s="164"/>
      <c r="N258" s="174"/>
    </row>
    <row r="259" spans="2:14" ht="31.9" customHeight="1">
      <c r="B259" s="167"/>
      <c r="C259" s="168"/>
      <c r="D259" s="892"/>
      <c r="E259" s="892"/>
      <c r="F259" s="892"/>
      <c r="G259" s="892"/>
      <c r="H259" s="892"/>
      <c r="I259" s="892"/>
      <c r="L259" s="164"/>
      <c r="N259" s="174"/>
    </row>
    <row r="260" spans="2:14" ht="31.9" customHeight="1">
      <c r="B260" s="167"/>
      <c r="C260" s="168"/>
      <c r="D260" s="892"/>
      <c r="E260" s="892"/>
      <c r="F260" s="892"/>
      <c r="G260" s="892"/>
      <c r="H260" s="892"/>
      <c r="I260" s="892"/>
      <c r="L260" s="164"/>
      <c r="N260" s="174"/>
    </row>
    <row r="261" spans="2:14" ht="31.9" customHeight="1">
      <c r="B261" s="167"/>
      <c r="C261" s="168"/>
      <c r="D261" s="892"/>
      <c r="E261" s="892"/>
      <c r="F261" s="892"/>
      <c r="G261" s="892"/>
      <c r="H261" s="892"/>
      <c r="I261" s="892"/>
      <c r="L261" s="164"/>
      <c r="N261" s="174"/>
    </row>
    <row r="262" spans="2:14" ht="31.9" customHeight="1">
      <c r="B262" s="167"/>
      <c r="C262" s="168"/>
      <c r="D262" s="892"/>
      <c r="E262" s="892"/>
      <c r="F262" s="892"/>
      <c r="G262" s="892"/>
      <c r="H262" s="892"/>
      <c r="I262" s="892"/>
      <c r="L262" s="164"/>
      <c r="N262" s="174"/>
    </row>
    <row r="263" spans="2:14" ht="31.9" customHeight="1">
      <c r="B263" s="167"/>
      <c r="C263" s="168"/>
      <c r="D263" s="892"/>
      <c r="E263" s="892"/>
      <c r="F263" s="892"/>
      <c r="G263" s="892"/>
      <c r="H263" s="892"/>
      <c r="I263" s="892"/>
      <c r="L263" s="164"/>
      <c r="N263" s="174"/>
    </row>
    <row r="264" spans="2:14" ht="31.9" customHeight="1">
      <c r="B264" s="167"/>
      <c r="C264" s="168"/>
      <c r="D264" s="892"/>
      <c r="E264" s="892"/>
      <c r="F264" s="892"/>
      <c r="G264" s="892"/>
      <c r="H264" s="892"/>
      <c r="I264" s="892"/>
      <c r="L264" s="164"/>
      <c r="N264" s="174"/>
    </row>
    <row r="265" spans="2:14" ht="31.9" customHeight="1">
      <c r="B265" s="167"/>
      <c r="C265" s="168"/>
      <c r="D265" s="892"/>
      <c r="E265" s="892"/>
      <c r="F265" s="892"/>
      <c r="G265" s="892"/>
      <c r="H265" s="892"/>
      <c r="I265" s="892"/>
      <c r="L265" s="164"/>
      <c r="N265" s="174"/>
    </row>
    <row r="266" spans="2:14" ht="31.9" customHeight="1">
      <c r="B266" s="167"/>
      <c r="C266" s="168"/>
      <c r="D266" s="892"/>
      <c r="E266" s="892"/>
      <c r="F266" s="892"/>
      <c r="G266" s="892"/>
      <c r="H266" s="892"/>
      <c r="I266" s="892"/>
      <c r="L266" s="164"/>
      <c r="N266" s="174"/>
    </row>
    <row r="267" spans="2:14" ht="31.9" customHeight="1">
      <c r="B267" s="167"/>
      <c r="C267" s="168"/>
      <c r="D267" s="892"/>
      <c r="E267" s="892"/>
      <c r="F267" s="892"/>
      <c r="G267" s="892"/>
      <c r="H267" s="892"/>
      <c r="I267" s="892"/>
      <c r="L267" s="164"/>
      <c r="N267" s="174"/>
    </row>
    <row r="268" spans="2:14" ht="31.9" customHeight="1">
      <c r="B268" s="167"/>
      <c r="C268" s="168"/>
      <c r="D268" s="892"/>
      <c r="E268" s="892"/>
      <c r="F268" s="892"/>
      <c r="G268" s="892"/>
      <c r="H268" s="892"/>
      <c r="I268" s="892"/>
      <c r="L268" s="164"/>
      <c r="N268" s="174"/>
    </row>
    <row r="269" spans="2:14" ht="31.9" customHeight="1">
      <c r="B269" s="167"/>
      <c r="C269" s="168"/>
      <c r="D269" s="892"/>
      <c r="E269" s="892"/>
      <c r="F269" s="892"/>
      <c r="G269" s="892"/>
      <c r="H269" s="892"/>
      <c r="I269" s="892"/>
      <c r="L269" s="164"/>
      <c r="N269" s="174"/>
    </row>
    <row r="270" spans="2:14" ht="31.9" customHeight="1">
      <c r="B270" s="167"/>
      <c r="C270" s="168"/>
      <c r="D270" s="892"/>
      <c r="E270" s="892"/>
      <c r="F270" s="892"/>
      <c r="G270" s="892"/>
      <c r="H270" s="892"/>
      <c r="I270" s="892"/>
      <c r="L270" s="164"/>
      <c r="N270" s="174"/>
    </row>
    <row r="271" spans="2:14" ht="31.9" customHeight="1">
      <c r="B271" s="167"/>
      <c r="C271" s="168"/>
      <c r="D271" s="892"/>
      <c r="E271" s="892"/>
      <c r="F271" s="892"/>
      <c r="G271" s="892"/>
      <c r="H271" s="892"/>
      <c r="I271" s="892"/>
      <c r="L271" s="164"/>
      <c r="N271" s="174"/>
    </row>
    <row r="272" spans="2:14" ht="31.9" customHeight="1">
      <c r="B272" s="167"/>
      <c r="C272" s="168"/>
      <c r="D272" s="892"/>
      <c r="E272" s="892"/>
      <c r="F272" s="892"/>
      <c r="G272" s="892"/>
      <c r="H272" s="892"/>
      <c r="I272" s="892"/>
      <c r="L272" s="164"/>
      <c r="N272" s="174"/>
    </row>
    <row r="273" spans="2:14" ht="31.9" customHeight="1">
      <c r="B273" s="167"/>
      <c r="C273" s="168"/>
      <c r="D273" s="892"/>
      <c r="E273" s="892"/>
      <c r="F273" s="892"/>
      <c r="G273" s="892"/>
      <c r="H273" s="892"/>
      <c r="I273" s="892"/>
      <c r="L273" s="164"/>
      <c r="N273" s="174"/>
    </row>
    <row r="274" spans="2:14" ht="31.9" customHeight="1">
      <c r="B274" s="167"/>
      <c r="C274" s="168"/>
      <c r="D274" s="892"/>
      <c r="E274" s="892"/>
      <c r="F274" s="892"/>
      <c r="G274" s="892"/>
      <c r="H274" s="892"/>
      <c r="I274" s="892"/>
      <c r="L274" s="164"/>
      <c r="N274" s="174"/>
    </row>
    <row r="275" spans="2:14" ht="31.9" customHeight="1">
      <c r="B275" s="167"/>
      <c r="C275" s="168"/>
      <c r="D275" s="892"/>
      <c r="E275" s="892"/>
      <c r="F275" s="892"/>
      <c r="G275" s="892"/>
      <c r="H275" s="892"/>
      <c r="I275" s="892"/>
      <c r="L275" s="164"/>
      <c r="N275" s="174"/>
    </row>
    <row r="276" spans="2:14" ht="31.9" customHeight="1">
      <c r="B276" s="167"/>
      <c r="C276" s="168"/>
      <c r="D276" s="892"/>
      <c r="E276" s="892"/>
      <c r="F276" s="892"/>
      <c r="G276" s="892"/>
      <c r="H276" s="892"/>
      <c r="I276" s="892"/>
      <c r="L276" s="164"/>
      <c r="N276" s="174"/>
    </row>
    <row r="277" spans="2:14" ht="31.9" customHeight="1">
      <c r="B277" s="167"/>
      <c r="C277" s="168"/>
      <c r="D277" s="892"/>
      <c r="E277" s="892"/>
      <c r="F277" s="892"/>
      <c r="G277" s="892"/>
      <c r="H277" s="892"/>
      <c r="I277" s="892"/>
      <c r="L277" s="164"/>
      <c r="N277" s="174"/>
    </row>
    <row r="278" spans="2:14" ht="31.9" customHeight="1">
      <c r="B278" s="167"/>
      <c r="C278" s="168"/>
      <c r="D278" s="892"/>
      <c r="E278" s="892"/>
      <c r="F278" s="892"/>
      <c r="G278" s="892"/>
      <c r="H278" s="892"/>
      <c r="I278" s="892"/>
      <c r="L278" s="164"/>
      <c r="N278" s="174"/>
    </row>
    <row r="279" spans="2:14" ht="31.9" customHeight="1">
      <c r="B279" s="167"/>
      <c r="C279" s="168"/>
      <c r="D279" s="892"/>
      <c r="E279" s="892"/>
      <c r="F279" s="892"/>
      <c r="G279" s="892"/>
      <c r="H279" s="892"/>
      <c r="I279" s="892"/>
      <c r="L279" s="164"/>
      <c r="N279" s="174"/>
    </row>
    <row r="280" spans="2:14" ht="31.9" customHeight="1">
      <c r="B280" s="167"/>
      <c r="C280" s="168"/>
      <c r="D280" s="892"/>
      <c r="E280" s="892"/>
      <c r="F280" s="892"/>
      <c r="G280" s="892"/>
      <c r="H280" s="892"/>
      <c r="I280" s="892"/>
      <c r="L280" s="164"/>
      <c r="N280" s="174"/>
    </row>
    <row r="281" spans="2:14" ht="31.9" customHeight="1">
      <c r="B281" s="167"/>
      <c r="C281" s="168"/>
      <c r="D281" s="892"/>
      <c r="E281" s="892"/>
      <c r="F281" s="892"/>
      <c r="G281" s="892"/>
      <c r="H281" s="892"/>
      <c r="I281" s="892"/>
      <c r="L281" s="164"/>
      <c r="N281" s="174"/>
    </row>
    <row r="282" spans="2:14" ht="31.9" customHeight="1">
      <c r="B282" s="167"/>
      <c r="C282" s="168"/>
      <c r="D282" s="892"/>
      <c r="E282" s="892"/>
      <c r="F282" s="892"/>
      <c r="G282" s="892"/>
      <c r="H282" s="892"/>
      <c r="I282" s="892"/>
      <c r="L282" s="164"/>
      <c r="N282" s="174"/>
    </row>
    <row r="283" spans="2:14" ht="31.9" customHeight="1">
      <c r="B283" s="167"/>
      <c r="C283" s="168"/>
      <c r="D283" s="892"/>
      <c r="E283" s="892"/>
      <c r="F283" s="892"/>
      <c r="G283" s="892"/>
      <c r="H283" s="892"/>
      <c r="I283" s="892"/>
      <c r="L283" s="164"/>
      <c r="N283" s="174"/>
    </row>
    <row r="284" spans="2:14" ht="31.9" customHeight="1">
      <c r="B284" s="167"/>
      <c r="C284" s="168"/>
      <c r="D284" s="892"/>
      <c r="E284" s="892"/>
      <c r="F284" s="892"/>
      <c r="G284" s="892"/>
      <c r="H284" s="892"/>
      <c r="I284" s="892"/>
      <c r="L284" s="164"/>
      <c r="N284" s="174"/>
    </row>
    <row r="285" spans="2:14" ht="31.9" customHeight="1">
      <c r="B285" s="167"/>
      <c r="C285" s="168"/>
      <c r="D285" s="892"/>
      <c r="E285" s="892"/>
      <c r="F285" s="892"/>
      <c r="G285" s="892"/>
      <c r="H285" s="892"/>
      <c r="I285" s="892"/>
      <c r="L285" s="164"/>
      <c r="N285" s="174"/>
    </row>
    <row r="286" spans="2:14" ht="31.9" customHeight="1">
      <c r="B286" s="167"/>
      <c r="C286" s="168"/>
      <c r="D286" s="892"/>
      <c r="E286" s="892"/>
      <c r="F286" s="892"/>
      <c r="G286" s="892"/>
      <c r="H286" s="892"/>
      <c r="I286" s="892"/>
      <c r="L286" s="164"/>
      <c r="N286" s="174"/>
    </row>
    <row r="287" spans="2:14" ht="31.9" customHeight="1">
      <c r="B287" s="167"/>
      <c r="C287" s="168"/>
      <c r="D287" s="892"/>
      <c r="E287" s="892"/>
      <c r="F287" s="892"/>
      <c r="G287" s="892"/>
      <c r="H287" s="892"/>
      <c r="I287" s="892"/>
      <c r="L287" s="164"/>
      <c r="N287" s="174"/>
    </row>
    <row r="288" spans="2:14" ht="31.9" customHeight="1">
      <c r="B288" s="167"/>
      <c r="C288" s="168"/>
      <c r="D288" s="892"/>
      <c r="E288" s="892"/>
      <c r="F288" s="892"/>
      <c r="G288" s="892"/>
      <c r="H288" s="892"/>
      <c r="I288" s="892"/>
      <c r="L288" s="164"/>
      <c r="N288" s="174"/>
    </row>
    <row r="289" spans="2:14" ht="31.9" customHeight="1">
      <c r="B289" s="167"/>
      <c r="C289" s="168"/>
      <c r="D289" s="892"/>
      <c r="E289" s="892"/>
      <c r="F289" s="892"/>
      <c r="G289" s="892"/>
      <c r="H289" s="892"/>
      <c r="I289" s="892"/>
      <c r="L289" s="164"/>
      <c r="N289" s="174"/>
    </row>
    <row r="290" spans="2:14" ht="31.9" customHeight="1">
      <c r="B290" s="167"/>
      <c r="C290" s="168"/>
      <c r="D290" s="892"/>
      <c r="E290" s="892"/>
      <c r="F290" s="892"/>
      <c r="G290" s="892"/>
      <c r="H290" s="892"/>
      <c r="I290" s="892"/>
      <c r="L290" s="164"/>
      <c r="N290" s="174"/>
    </row>
    <row r="291" spans="2:14" ht="31.9" customHeight="1">
      <c r="B291" s="167"/>
      <c r="C291" s="168"/>
      <c r="D291" s="892"/>
      <c r="E291" s="892"/>
      <c r="F291" s="892"/>
      <c r="G291" s="892"/>
      <c r="H291" s="892"/>
      <c r="I291" s="892"/>
      <c r="L291" s="164"/>
      <c r="N291" s="174"/>
    </row>
    <row r="292" spans="2:14" ht="31.9" customHeight="1">
      <c r="B292" s="167"/>
      <c r="C292" s="168"/>
      <c r="D292" s="892"/>
      <c r="E292" s="892"/>
      <c r="F292" s="892"/>
      <c r="G292" s="892"/>
      <c r="H292" s="892"/>
      <c r="I292" s="892"/>
      <c r="L292" s="164"/>
      <c r="N292" s="174"/>
    </row>
    <row r="293" spans="2:14" ht="31.9" customHeight="1">
      <c r="B293" s="167"/>
      <c r="C293" s="168"/>
      <c r="D293" s="892"/>
      <c r="E293" s="892"/>
      <c r="F293" s="892"/>
      <c r="G293" s="892"/>
      <c r="H293" s="892"/>
      <c r="I293" s="892"/>
      <c r="L293" s="164"/>
      <c r="N293" s="174"/>
    </row>
    <row r="294" spans="2:14" ht="31.9" customHeight="1">
      <c r="B294" s="167"/>
      <c r="C294" s="168"/>
      <c r="D294" s="892"/>
      <c r="E294" s="892"/>
      <c r="F294" s="892"/>
      <c r="G294" s="892"/>
      <c r="H294" s="892"/>
      <c r="I294" s="892"/>
      <c r="L294" s="164"/>
      <c r="N294" s="174"/>
    </row>
    <row r="295" spans="2:14" ht="31.9" customHeight="1">
      <c r="B295" s="167"/>
      <c r="C295" s="168"/>
      <c r="D295" s="892"/>
      <c r="E295" s="892"/>
      <c r="F295" s="892"/>
      <c r="G295" s="892"/>
      <c r="H295" s="892"/>
      <c r="I295" s="892"/>
      <c r="L295" s="164"/>
      <c r="N295" s="174"/>
    </row>
    <row r="296" spans="2:14" ht="31.9" customHeight="1">
      <c r="B296" s="167"/>
      <c r="C296" s="168"/>
      <c r="D296" s="892"/>
      <c r="E296" s="892"/>
      <c r="F296" s="892"/>
      <c r="G296" s="892"/>
      <c r="H296" s="892"/>
      <c r="I296" s="892"/>
      <c r="L296" s="164"/>
      <c r="N296" s="174"/>
    </row>
    <row r="297" spans="2:14" ht="31.9" customHeight="1">
      <c r="B297" s="167"/>
      <c r="C297" s="168"/>
      <c r="D297" s="892"/>
      <c r="E297" s="892"/>
      <c r="F297" s="892"/>
      <c r="G297" s="892"/>
      <c r="H297" s="892"/>
      <c r="I297" s="892"/>
      <c r="L297" s="164"/>
      <c r="N297" s="174"/>
    </row>
    <row r="298" spans="2:14" ht="31.9" customHeight="1">
      <c r="B298" s="167"/>
      <c r="C298" s="168"/>
      <c r="D298" s="892"/>
      <c r="E298" s="892"/>
      <c r="F298" s="892"/>
      <c r="G298" s="892"/>
      <c r="H298" s="892"/>
      <c r="I298" s="892"/>
      <c r="L298" s="164"/>
      <c r="N298" s="174"/>
    </row>
    <row r="299" spans="2:14" ht="31.9" customHeight="1">
      <c r="B299" s="167"/>
      <c r="C299" s="168"/>
      <c r="D299" s="892"/>
      <c r="E299" s="892"/>
      <c r="F299" s="892"/>
      <c r="G299" s="892"/>
      <c r="H299" s="892"/>
      <c r="I299" s="892"/>
      <c r="L299" s="164"/>
      <c r="N299" s="174"/>
    </row>
    <row r="300" spans="2:14" ht="31.9" customHeight="1">
      <c r="B300" s="167"/>
      <c r="C300" s="168"/>
      <c r="D300" s="892"/>
      <c r="E300" s="892"/>
      <c r="F300" s="892"/>
      <c r="G300" s="892"/>
      <c r="H300" s="892"/>
      <c r="I300" s="892"/>
      <c r="L300" s="164"/>
      <c r="N300" s="174"/>
    </row>
    <row r="301" spans="2:14" ht="31.9" customHeight="1">
      <c r="B301" s="167"/>
      <c r="C301" s="168"/>
      <c r="D301" s="892"/>
      <c r="E301" s="892"/>
      <c r="F301" s="892"/>
      <c r="G301" s="892"/>
      <c r="H301" s="892"/>
      <c r="I301" s="892"/>
      <c r="L301" s="164"/>
      <c r="N301" s="174"/>
    </row>
    <row r="302" spans="2:14" ht="31.9" customHeight="1">
      <c r="B302" s="167"/>
      <c r="C302" s="168"/>
      <c r="D302" s="892"/>
      <c r="E302" s="892"/>
      <c r="F302" s="892"/>
      <c r="G302" s="892"/>
      <c r="H302" s="892"/>
      <c r="I302" s="892"/>
      <c r="L302" s="164"/>
      <c r="N302" s="174"/>
    </row>
    <row r="303" spans="2:14" ht="31.9" customHeight="1">
      <c r="B303" s="167"/>
      <c r="C303" s="168"/>
      <c r="D303" s="892"/>
      <c r="E303" s="892"/>
      <c r="F303" s="892"/>
      <c r="G303" s="892"/>
      <c r="H303" s="892"/>
      <c r="I303" s="892"/>
      <c r="L303" s="164"/>
      <c r="N303" s="174"/>
    </row>
    <row r="304" spans="2:14" ht="31.9" customHeight="1">
      <c r="B304" s="167"/>
      <c r="C304" s="168"/>
      <c r="D304" s="892"/>
      <c r="E304" s="892"/>
      <c r="F304" s="892"/>
      <c r="G304" s="892"/>
      <c r="H304" s="892"/>
      <c r="I304" s="892"/>
      <c r="L304" s="164"/>
      <c r="N304" s="174"/>
    </row>
    <row r="305" spans="2:14" ht="31.9" customHeight="1">
      <c r="B305" s="167"/>
      <c r="C305" s="168"/>
      <c r="D305" s="892"/>
      <c r="E305" s="892"/>
      <c r="F305" s="892"/>
      <c r="G305" s="892"/>
      <c r="H305" s="892"/>
      <c r="I305" s="892"/>
      <c r="L305" s="164"/>
      <c r="N305" s="174"/>
    </row>
    <row r="306" spans="2:14" ht="31.9" customHeight="1">
      <c r="B306" s="167"/>
      <c r="C306" s="168"/>
      <c r="D306" s="892"/>
      <c r="E306" s="892"/>
      <c r="F306" s="892"/>
      <c r="G306" s="892"/>
      <c r="H306" s="892"/>
      <c r="I306" s="892"/>
      <c r="L306" s="164"/>
      <c r="N306" s="174"/>
    </row>
    <row r="307" spans="2:14" ht="31.9" customHeight="1">
      <c r="B307" s="167"/>
      <c r="C307" s="168"/>
      <c r="D307" s="892"/>
      <c r="E307" s="892"/>
      <c r="F307" s="892"/>
      <c r="G307" s="892"/>
      <c r="H307" s="892"/>
      <c r="I307" s="892"/>
      <c r="L307" s="164"/>
      <c r="N307" s="174"/>
    </row>
    <row r="308" spans="2:14" ht="31.9" customHeight="1">
      <c r="B308" s="167"/>
      <c r="C308" s="168"/>
      <c r="D308" s="892"/>
      <c r="E308" s="892"/>
      <c r="F308" s="892"/>
      <c r="G308" s="892"/>
      <c r="H308" s="892"/>
      <c r="I308" s="892"/>
      <c r="L308" s="164"/>
      <c r="N308" s="174"/>
    </row>
    <row r="309" spans="2:14" ht="31.9" customHeight="1">
      <c r="B309" s="167"/>
      <c r="C309" s="168"/>
      <c r="D309" s="892"/>
      <c r="E309" s="892"/>
      <c r="F309" s="892"/>
      <c r="G309" s="892"/>
      <c r="H309" s="892"/>
      <c r="I309" s="892"/>
      <c r="L309" s="164"/>
      <c r="N309" s="174"/>
    </row>
    <row r="310" spans="2:14" ht="31.9" customHeight="1">
      <c r="B310" s="167"/>
      <c r="C310" s="168"/>
      <c r="D310" s="892"/>
      <c r="E310" s="892"/>
      <c r="F310" s="892"/>
      <c r="G310" s="892"/>
      <c r="H310" s="892"/>
      <c r="I310" s="892"/>
      <c r="L310" s="164"/>
      <c r="N310" s="174"/>
    </row>
    <row r="311" spans="2:14" ht="31.9" customHeight="1">
      <c r="B311" s="167"/>
      <c r="C311" s="168"/>
      <c r="D311" s="892"/>
      <c r="E311" s="892"/>
      <c r="F311" s="892"/>
      <c r="G311" s="892"/>
      <c r="H311" s="892"/>
      <c r="I311" s="892"/>
      <c r="L311" s="164"/>
      <c r="N311" s="174"/>
    </row>
    <row r="312" spans="2:14" ht="31.9" customHeight="1">
      <c r="B312" s="167"/>
      <c r="C312" s="168"/>
      <c r="D312" s="892"/>
      <c r="E312" s="892"/>
      <c r="F312" s="892"/>
      <c r="G312" s="892"/>
      <c r="H312" s="892"/>
      <c r="I312" s="892"/>
      <c r="L312" s="164"/>
      <c r="N312" s="174"/>
    </row>
    <row r="313" spans="2:14" ht="31.9" customHeight="1">
      <c r="B313" s="167"/>
      <c r="C313" s="168"/>
      <c r="D313" s="892"/>
      <c r="E313" s="892"/>
      <c r="F313" s="892"/>
      <c r="G313" s="892"/>
      <c r="H313" s="892"/>
      <c r="I313" s="892"/>
      <c r="L313" s="164"/>
      <c r="N313" s="174"/>
    </row>
    <row r="314" spans="2:14" ht="31.9" customHeight="1">
      <c r="B314" s="167"/>
      <c r="C314" s="168"/>
      <c r="D314" s="892"/>
      <c r="E314" s="892"/>
      <c r="F314" s="892"/>
      <c r="G314" s="892"/>
      <c r="H314" s="892"/>
      <c r="I314" s="892"/>
      <c r="L314" s="164"/>
      <c r="N314" s="174"/>
    </row>
    <row r="315" spans="2:14" ht="31.9" customHeight="1">
      <c r="B315" s="167"/>
      <c r="C315" s="168"/>
      <c r="D315" s="892"/>
      <c r="E315" s="892"/>
      <c r="F315" s="892"/>
      <c r="G315" s="892"/>
      <c r="H315" s="892"/>
      <c r="I315" s="892"/>
      <c r="L315" s="164"/>
      <c r="N315" s="174"/>
    </row>
    <row r="316" spans="2:14" ht="31.9" customHeight="1">
      <c r="B316" s="167"/>
      <c r="C316" s="168"/>
      <c r="D316" s="892"/>
      <c r="E316" s="892"/>
      <c r="F316" s="892"/>
      <c r="G316" s="892"/>
      <c r="H316" s="892"/>
      <c r="I316" s="892"/>
      <c r="L316" s="164"/>
      <c r="N316" s="174"/>
    </row>
    <row r="317" spans="2:14" ht="31.9" customHeight="1">
      <c r="B317" s="167"/>
      <c r="C317" s="168"/>
      <c r="D317" s="892"/>
      <c r="E317" s="892"/>
      <c r="F317" s="892"/>
      <c r="G317" s="892"/>
      <c r="H317" s="892"/>
      <c r="I317" s="892"/>
      <c r="L317" s="164"/>
      <c r="N317" s="174"/>
    </row>
    <row r="318" spans="2:14" ht="31.9" customHeight="1">
      <c r="B318" s="167"/>
      <c r="C318" s="168"/>
      <c r="D318" s="892"/>
      <c r="E318" s="892"/>
      <c r="F318" s="892"/>
      <c r="G318" s="892"/>
      <c r="H318" s="892"/>
      <c r="I318" s="892"/>
      <c r="L318" s="164"/>
      <c r="N318" s="174"/>
    </row>
    <row r="319" spans="2:14" ht="31.9" customHeight="1">
      <c r="B319" s="167"/>
      <c r="C319" s="168"/>
      <c r="D319" s="892"/>
      <c r="E319" s="892"/>
      <c r="F319" s="892"/>
      <c r="G319" s="892"/>
      <c r="H319" s="892"/>
      <c r="I319" s="892"/>
      <c r="L319" s="164"/>
      <c r="N319" s="174"/>
    </row>
    <row r="320" spans="2:14" ht="31.9" customHeight="1">
      <c r="B320" s="167"/>
      <c r="C320" s="168"/>
      <c r="D320" s="892"/>
      <c r="E320" s="892"/>
      <c r="F320" s="892"/>
      <c r="G320" s="892"/>
      <c r="H320" s="892"/>
      <c r="I320" s="892"/>
      <c r="L320" s="164"/>
      <c r="N320" s="174"/>
    </row>
    <row r="321" spans="2:14" ht="31.9" customHeight="1">
      <c r="B321" s="167"/>
      <c r="C321" s="168"/>
      <c r="D321" s="892"/>
      <c r="E321" s="892"/>
      <c r="F321" s="892"/>
      <c r="G321" s="892"/>
      <c r="H321" s="892"/>
      <c r="I321" s="892"/>
      <c r="L321" s="164"/>
      <c r="N321" s="174"/>
    </row>
    <row r="322" spans="2:14" ht="31.9" customHeight="1">
      <c r="B322" s="167"/>
      <c r="C322" s="168"/>
      <c r="D322" s="892"/>
      <c r="E322" s="892"/>
      <c r="F322" s="892"/>
      <c r="G322" s="892"/>
      <c r="H322" s="892"/>
      <c r="I322" s="892"/>
      <c r="L322" s="164"/>
      <c r="N322" s="174"/>
    </row>
    <row r="323" spans="2:14" ht="31.9" customHeight="1">
      <c r="B323" s="167"/>
      <c r="C323" s="168"/>
      <c r="D323" s="892"/>
      <c r="E323" s="892"/>
      <c r="F323" s="892"/>
      <c r="G323" s="892"/>
      <c r="H323" s="892"/>
      <c r="I323" s="892"/>
      <c r="L323" s="164"/>
      <c r="N323" s="174"/>
    </row>
    <row r="324" spans="2:14" ht="31.9" customHeight="1">
      <c r="B324" s="167"/>
      <c r="C324" s="168"/>
      <c r="D324" s="892"/>
      <c r="E324" s="892"/>
      <c r="F324" s="892"/>
      <c r="G324" s="892"/>
      <c r="H324" s="892"/>
      <c r="I324" s="892"/>
      <c r="L324" s="164"/>
      <c r="N324" s="174"/>
    </row>
    <row r="325" spans="2:14" ht="31.9" customHeight="1">
      <c r="B325" s="167"/>
      <c r="C325" s="168"/>
      <c r="D325" s="892"/>
      <c r="E325" s="892"/>
      <c r="F325" s="892"/>
      <c r="G325" s="892"/>
      <c r="H325" s="892"/>
      <c r="I325" s="892"/>
      <c r="L325" s="164"/>
      <c r="N325" s="174"/>
    </row>
    <row r="326" spans="2:14" ht="31.9" customHeight="1">
      <c r="B326" s="167"/>
      <c r="C326" s="168"/>
      <c r="D326" s="892"/>
      <c r="E326" s="892"/>
      <c r="F326" s="892"/>
      <c r="G326" s="892"/>
      <c r="H326" s="892"/>
      <c r="I326" s="892"/>
      <c r="L326" s="164"/>
      <c r="N326" s="174"/>
    </row>
    <row r="327" spans="2:14" ht="31.9" customHeight="1">
      <c r="B327" s="167"/>
      <c r="C327" s="168"/>
      <c r="D327" s="892"/>
      <c r="E327" s="892"/>
      <c r="F327" s="892"/>
      <c r="G327" s="892"/>
      <c r="H327" s="892"/>
      <c r="I327" s="892"/>
      <c r="L327" s="164"/>
      <c r="N327" s="174"/>
    </row>
    <row r="328" spans="2:14" ht="31.9" customHeight="1">
      <c r="B328" s="167"/>
      <c r="C328" s="168"/>
      <c r="D328" s="892"/>
      <c r="E328" s="892"/>
      <c r="F328" s="892"/>
      <c r="G328" s="892"/>
      <c r="H328" s="892"/>
      <c r="I328" s="892"/>
      <c r="L328" s="164"/>
      <c r="N328" s="174"/>
    </row>
    <row r="329" spans="2:14" ht="31.9" customHeight="1">
      <c r="B329" s="167"/>
      <c r="C329" s="168"/>
      <c r="D329" s="892"/>
      <c r="E329" s="892"/>
      <c r="F329" s="892"/>
      <c r="G329" s="892"/>
      <c r="H329" s="892"/>
      <c r="I329" s="892"/>
      <c r="L329" s="164"/>
      <c r="N329" s="174"/>
    </row>
    <row r="330" spans="2:14" ht="31.9" customHeight="1">
      <c r="B330" s="167"/>
      <c r="C330" s="168"/>
      <c r="D330" s="892"/>
      <c r="E330" s="892"/>
      <c r="F330" s="892"/>
      <c r="G330" s="892"/>
      <c r="H330" s="892"/>
      <c r="I330" s="892"/>
      <c r="L330" s="164"/>
      <c r="N330" s="174"/>
    </row>
    <row r="331" spans="2:14" ht="31.9" customHeight="1">
      <c r="B331" s="167"/>
      <c r="C331" s="168"/>
      <c r="D331" s="892"/>
      <c r="E331" s="892"/>
      <c r="F331" s="892"/>
      <c r="G331" s="892"/>
      <c r="H331" s="892"/>
      <c r="I331" s="892"/>
      <c r="L331" s="164"/>
      <c r="N331" s="174"/>
    </row>
    <row r="332" spans="2:14" ht="31.9" customHeight="1">
      <c r="B332" s="167"/>
      <c r="C332" s="168"/>
      <c r="D332" s="892"/>
      <c r="E332" s="892"/>
      <c r="F332" s="892"/>
      <c r="G332" s="892"/>
      <c r="H332" s="892"/>
      <c r="I332" s="892"/>
      <c r="L332" s="164"/>
      <c r="N332" s="174"/>
    </row>
    <row r="333" spans="2:14" ht="31.9" customHeight="1">
      <c r="B333" s="167"/>
      <c r="C333" s="168"/>
      <c r="D333" s="892"/>
      <c r="E333" s="892"/>
      <c r="F333" s="892"/>
      <c r="G333" s="892"/>
      <c r="H333" s="892"/>
      <c r="I333" s="892"/>
      <c r="L333" s="164"/>
      <c r="N333" s="174"/>
    </row>
    <row r="334" spans="2:14" ht="31.9" customHeight="1">
      <c r="B334" s="167"/>
      <c r="C334" s="168"/>
      <c r="D334" s="892"/>
      <c r="E334" s="892"/>
      <c r="F334" s="892"/>
      <c r="G334" s="892"/>
      <c r="H334" s="892"/>
      <c r="I334" s="892"/>
      <c r="L334" s="164"/>
      <c r="N334" s="174"/>
    </row>
    <row r="335" spans="2:14" ht="31.9" customHeight="1">
      <c r="B335" s="167"/>
      <c r="C335" s="168"/>
      <c r="D335" s="892"/>
      <c r="E335" s="892"/>
      <c r="F335" s="892"/>
      <c r="G335" s="892"/>
      <c r="H335" s="892"/>
      <c r="I335" s="892"/>
      <c r="L335" s="164"/>
      <c r="N335" s="174"/>
    </row>
    <row r="336" spans="2:14" ht="31.9" customHeight="1">
      <c r="B336" s="167"/>
      <c r="C336" s="168"/>
      <c r="D336" s="892"/>
      <c r="E336" s="892"/>
      <c r="F336" s="892"/>
      <c r="G336" s="892"/>
      <c r="H336" s="892"/>
      <c r="I336" s="892"/>
      <c r="L336" s="164"/>
      <c r="N336" s="174"/>
    </row>
    <row r="337" spans="2:14" ht="31.9" customHeight="1">
      <c r="B337" s="167"/>
      <c r="C337" s="168"/>
      <c r="D337" s="892"/>
      <c r="E337" s="892"/>
      <c r="F337" s="892"/>
      <c r="G337" s="892"/>
      <c r="H337" s="892"/>
      <c r="I337" s="892"/>
      <c r="L337" s="164"/>
      <c r="N337" s="174"/>
    </row>
    <row r="338" spans="2:14" ht="31.9" customHeight="1">
      <c r="B338" s="167"/>
      <c r="C338" s="168"/>
      <c r="D338" s="892"/>
      <c r="E338" s="892"/>
      <c r="F338" s="892"/>
      <c r="G338" s="892"/>
      <c r="H338" s="892"/>
      <c r="I338" s="892"/>
      <c r="L338" s="164"/>
      <c r="N338" s="174"/>
    </row>
    <row r="339" spans="2:14" ht="31.9" customHeight="1">
      <c r="B339" s="167"/>
      <c r="C339" s="168"/>
      <c r="D339" s="892"/>
      <c r="E339" s="892"/>
      <c r="F339" s="892"/>
      <c r="G339" s="892"/>
      <c r="H339" s="892"/>
      <c r="I339" s="892"/>
      <c r="L339" s="164"/>
      <c r="N339" s="174"/>
    </row>
    <row r="340" spans="2:14" ht="31.9" customHeight="1">
      <c r="B340" s="167"/>
      <c r="C340" s="168"/>
      <c r="D340" s="892"/>
      <c r="E340" s="892"/>
      <c r="F340" s="892"/>
      <c r="G340" s="892"/>
      <c r="H340" s="892"/>
      <c r="I340" s="892"/>
      <c r="L340" s="164"/>
      <c r="N340" s="174"/>
    </row>
    <row r="341" spans="2:14" ht="31.9" customHeight="1">
      <c r="B341" s="167"/>
      <c r="C341" s="168"/>
      <c r="D341" s="892"/>
      <c r="E341" s="892"/>
      <c r="F341" s="892"/>
      <c r="G341" s="892"/>
      <c r="H341" s="892"/>
      <c r="I341" s="892"/>
      <c r="L341" s="164"/>
      <c r="N341" s="174"/>
    </row>
    <row r="342" spans="2:14" ht="31.9" customHeight="1">
      <c r="B342" s="167"/>
      <c r="C342" s="168"/>
      <c r="D342" s="892"/>
      <c r="E342" s="892"/>
      <c r="F342" s="892"/>
      <c r="G342" s="892"/>
      <c r="H342" s="892"/>
      <c r="I342" s="892"/>
      <c r="L342" s="164"/>
      <c r="N342" s="174"/>
    </row>
    <row r="343" spans="2:14" ht="31.9" customHeight="1">
      <c r="B343" s="167"/>
      <c r="C343" s="168"/>
      <c r="D343" s="892"/>
      <c r="E343" s="892"/>
      <c r="F343" s="892"/>
      <c r="G343" s="892"/>
      <c r="H343" s="892"/>
      <c r="I343" s="892"/>
      <c r="L343" s="164"/>
      <c r="N343" s="174"/>
    </row>
    <row r="344" spans="2:14" ht="31.9" customHeight="1">
      <c r="B344" s="167"/>
      <c r="C344" s="168"/>
      <c r="D344" s="892"/>
      <c r="E344" s="892"/>
      <c r="F344" s="892"/>
      <c r="G344" s="892"/>
      <c r="H344" s="892"/>
      <c r="I344" s="892"/>
      <c r="L344" s="164"/>
      <c r="N344" s="174"/>
    </row>
    <row r="345" spans="2:14" ht="31.9" customHeight="1">
      <c r="B345" s="167"/>
      <c r="C345" s="168"/>
      <c r="D345" s="892"/>
      <c r="E345" s="892"/>
      <c r="F345" s="892"/>
      <c r="G345" s="892"/>
      <c r="H345" s="892"/>
      <c r="I345" s="892"/>
      <c r="L345" s="164"/>
      <c r="N345" s="174"/>
    </row>
    <row r="346" spans="2:14" ht="31.9" customHeight="1">
      <c r="B346" s="167"/>
      <c r="C346" s="168"/>
      <c r="D346" s="892"/>
      <c r="E346" s="892"/>
      <c r="F346" s="892"/>
      <c r="G346" s="892"/>
      <c r="H346" s="892"/>
      <c r="I346" s="892"/>
      <c r="L346" s="164"/>
      <c r="N346" s="174"/>
    </row>
    <row r="347" spans="2:14" ht="31.9" customHeight="1">
      <c r="B347" s="167"/>
      <c r="C347" s="168"/>
      <c r="D347" s="892"/>
      <c r="E347" s="892"/>
      <c r="F347" s="892"/>
      <c r="G347" s="892"/>
      <c r="H347" s="892"/>
      <c r="I347" s="892"/>
      <c r="L347" s="164"/>
      <c r="N347" s="174"/>
    </row>
    <row r="348" spans="2:14" ht="31.9" customHeight="1">
      <c r="B348" s="167"/>
      <c r="C348" s="168"/>
      <c r="D348" s="892"/>
      <c r="E348" s="892"/>
      <c r="F348" s="892"/>
      <c r="G348" s="892"/>
      <c r="H348" s="892"/>
      <c r="I348" s="892"/>
      <c r="L348" s="164"/>
      <c r="N348" s="174"/>
    </row>
    <row r="349" spans="2:14" ht="31.9" customHeight="1">
      <c r="B349" s="167"/>
      <c r="C349" s="168"/>
      <c r="D349" s="892"/>
      <c r="E349" s="892"/>
      <c r="F349" s="892"/>
      <c r="G349" s="892"/>
      <c r="H349" s="892"/>
      <c r="I349" s="892"/>
      <c r="L349" s="164"/>
      <c r="N349" s="174"/>
    </row>
    <row r="350" spans="2:14" ht="31.9" customHeight="1">
      <c r="B350" s="167"/>
      <c r="C350" s="168"/>
      <c r="D350" s="892"/>
      <c r="E350" s="892"/>
      <c r="F350" s="892"/>
      <c r="G350" s="892"/>
      <c r="H350" s="892"/>
      <c r="I350" s="892"/>
      <c r="L350" s="164"/>
      <c r="N350" s="174"/>
    </row>
    <row r="351" spans="2:14" ht="31.9" customHeight="1">
      <c r="B351" s="167"/>
      <c r="C351" s="168"/>
      <c r="D351" s="892"/>
      <c r="E351" s="892"/>
      <c r="F351" s="892"/>
      <c r="G351" s="892"/>
      <c r="H351" s="892"/>
      <c r="I351" s="892"/>
      <c r="L351" s="164"/>
      <c r="N351" s="174"/>
    </row>
    <row r="352" spans="2:14" ht="31.9" customHeight="1">
      <c r="B352" s="167"/>
      <c r="C352" s="168"/>
      <c r="D352" s="892"/>
      <c r="E352" s="892"/>
      <c r="F352" s="892"/>
      <c r="G352" s="892"/>
      <c r="H352" s="892"/>
      <c r="I352" s="892"/>
      <c r="L352" s="164"/>
      <c r="N352" s="174"/>
    </row>
    <row r="353" spans="2:14" ht="31.9" customHeight="1">
      <c r="B353" s="167"/>
      <c r="C353" s="168"/>
      <c r="D353" s="892"/>
      <c r="E353" s="892"/>
      <c r="F353" s="892"/>
      <c r="G353" s="892"/>
      <c r="H353" s="892"/>
      <c r="I353" s="892"/>
      <c r="L353" s="164"/>
      <c r="N353" s="174"/>
    </row>
    <row r="354" spans="2:14" ht="31.9" customHeight="1">
      <c r="B354" s="167"/>
      <c r="C354" s="168"/>
      <c r="D354" s="892"/>
      <c r="E354" s="892"/>
      <c r="F354" s="892"/>
      <c r="G354" s="892"/>
      <c r="H354" s="892"/>
      <c r="I354" s="892"/>
      <c r="L354" s="164"/>
      <c r="N354" s="174"/>
    </row>
    <row r="355" spans="2:14" ht="31.9" customHeight="1">
      <c r="B355" s="167"/>
      <c r="C355" s="168"/>
      <c r="D355" s="892"/>
      <c r="E355" s="892"/>
      <c r="F355" s="892"/>
      <c r="G355" s="892"/>
      <c r="H355" s="892"/>
      <c r="I355" s="892"/>
      <c r="L355" s="164"/>
      <c r="N355" s="174"/>
    </row>
    <row r="356" spans="2:14" ht="31.9" customHeight="1">
      <c r="B356" s="167"/>
      <c r="C356" s="168"/>
      <c r="D356" s="892"/>
      <c r="E356" s="892"/>
      <c r="F356" s="892"/>
      <c r="G356" s="892"/>
      <c r="H356" s="892"/>
      <c r="I356" s="892"/>
      <c r="L356" s="164"/>
      <c r="N356" s="174"/>
    </row>
    <row r="357" spans="2:14" ht="31.9" customHeight="1">
      <c r="B357" s="167"/>
      <c r="C357" s="168"/>
      <c r="D357" s="892"/>
      <c r="E357" s="892"/>
      <c r="F357" s="892"/>
      <c r="G357" s="892"/>
      <c r="H357" s="892"/>
      <c r="I357" s="892"/>
      <c r="L357" s="164"/>
      <c r="N357" s="174"/>
    </row>
    <row r="358" spans="2:14" ht="31.9" customHeight="1">
      <c r="B358" s="167"/>
      <c r="C358" s="168"/>
      <c r="D358" s="892"/>
      <c r="E358" s="892"/>
      <c r="F358" s="892"/>
      <c r="G358" s="892"/>
      <c r="H358" s="892"/>
      <c r="I358" s="892"/>
      <c r="L358" s="164"/>
      <c r="N358" s="174"/>
    </row>
    <row r="359" spans="2:14" ht="31.9" customHeight="1">
      <c r="B359" s="167"/>
      <c r="C359" s="168"/>
      <c r="D359" s="892"/>
      <c r="E359" s="892"/>
      <c r="F359" s="892"/>
      <c r="G359" s="892"/>
      <c r="H359" s="892"/>
      <c r="I359" s="892"/>
      <c r="L359" s="164"/>
      <c r="N359" s="174"/>
    </row>
    <row r="360" spans="2:14" ht="31.9" customHeight="1">
      <c r="B360" s="167"/>
      <c r="C360" s="168"/>
      <c r="D360" s="892"/>
      <c r="E360" s="892"/>
      <c r="F360" s="892"/>
      <c r="G360" s="892"/>
      <c r="H360" s="892"/>
      <c r="I360" s="892"/>
      <c r="L360" s="164"/>
      <c r="N360" s="174"/>
    </row>
    <row r="361" spans="2:14" ht="31.9" customHeight="1">
      <c r="B361" s="167"/>
      <c r="C361" s="168"/>
      <c r="D361" s="892"/>
      <c r="E361" s="892"/>
      <c r="F361" s="892"/>
      <c r="G361" s="892"/>
      <c r="H361" s="892"/>
      <c r="I361" s="892"/>
      <c r="L361" s="164"/>
      <c r="N361" s="174"/>
    </row>
    <row r="362" spans="2:14" ht="31.9" customHeight="1">
      <c r="B362" s="167"/>
      <c r="C362" s="168"/>
      <c r="D362" s="892"/>
      <c r="E362" s="892"/>
      <c r="F362" s="892"/>
      <c r="G362" s="892"/>
      <c r="H362" s="892"/>
      <c r="I362" s="892"/>
      <c r="L362" s="164"/>
      <c r="N362" s="174"/>
    </row>
    <row r="363" spans="2:14" ht="31.9" customHeight="1">
      <c r="B363" s="167"/>
      <c r="C363" s="168"/>
      <c r="D363" s="892"/>
      <c r="E363" s="892"/>
      <c r="F363" s="892"/>
      <c r="G363" s="892"/>
      <c r="H363" s="892"/>
      <c r="I363" s="892"/>
      <c r="L363" s="164"/>
      <c r="N363" s="174"/>
    </row>
    <row r="364" spans="2:14" ht="31.9" customHeight="1">
      <c r="B364" s="167"/>
      <c r="C364" s="168"/>
      <c r="D364" s="892"/>
      <c r="E364" s="892"/>
      <c r="F364" s="892"/>
      <c r="G364" s="892"/>
      <c r="H364" s="892"/>
      <c r="I364" s="892"/>
      <c r="L364" s="164"/>
      <c r="N364" s="174"/>
    </row>
    <row r="365" spans="2:14" ht="31.9" customHeight="1">
      <c r="B365" s="167"/>
      <c r="C365" s="168"/>
      <c r="D365" s="892"/>
      <c r="E365" s="892"/>
      <c r="F365" s="892"/>
      <c r="G365" s="892"/>
      <c r="H365" s="892"/>
      <c r="I365" s="892"/>
      <c r="L365" s="164"/>
      <c r="N365" s="174"/>
    </row>
    <row r="366" spans="2:14" ht="31.9" customHeight="1">
      <c r="B366" s="167"/>
      <c r="C366" s="168"/>
      <c r="D366" s="892"/>
      <c r="E366" s="892"/>
      <c r="F366" s="892"/>
      <c r="G366" s="892"/>
      <c r="H366" s="892"/>
      <c r="I366" s="892"/>
      <c r="L366" s="164"/>
      <c r="N366" s="174"/>
    </row>
    <row r="367" spans="2:14" ht="31.9" customHeight="1">
      <c r="B367" s="167"/>
      <c r="C367" s="168"/>
      <c r="D367" s="892"/>
      <c r="E367" s="892"/>
      <c r="F367" s="892"/>
      <c r="G367" s="892"/>
      <c r="H367" s="892"/>
      <c r="I367" s="892"/>
      <c r="L367" s="164"/>
      <c r="N367" s="174"/>
    </row>
    <row r="368" spans="2:14" ht="31.9" customHeight="1">
      <c r="B368" s="167"/>
      <c r="C368" s="168"/>
      <c r="D368" s="892"/>
      <c r="E368" s="892"/>
      <c r="F368" s="892"/>
      <c r="G368" s="892"/>
      <c r="H368" s="892"/>
      <c r="I368" s="892"/>
      <c r="L368" s="164"/>
      <c r="N368" s="174"/>
    </row>
    <row r="369" spans="2:14" ht="31.9" customHeight="1">
      <c r="B369" s="167"/>
      <c r="C369" s="168"/>
      <c r="D369" s="892"/>
      <c r="E369" s="892"/>
      <c r="F369" s="892"/>
      <c r="G369" s="892"/>
      <c r="H369" s="892"/>
      <c r="I369" s="892"/>
      <c r="L369" s="164"/>
      <c r="N369" s="174"/>
    </row>
    <row r="370" spans="2:14" ht="31.9" customHeight="1">
      <c r="B370" s="167"/>
      <c r="C370" s="168"/>
      <c r="D370" s="892"/>
      <c r="E370" s="892"/>
      <c r="F370" s="892"/>
      <c r="G370" s="892"/>
      <c r="H370" s="892"/>
      <c r="I370" s="892"/>
      <c r="L370" s="164"/>
      <c r="N370" s="174"/>
    </row>
    <row r="371" spans="2:14" ht="31.9" customHeight="1">
      <c r="B371" s="167"/>
      <c r="C371" s="168"/>
      <c r="D371" s="892"/>
      <c r="E371" s="892"/>
      <c r="F371" s="892"/>
      <c r="G371" s="892"/>
      <c r="H371" s="892"/>
      <c r="I371" s="892"/>
      <c r="L371" s="164"/>
      <c r="N371" s="174"/>
    </row>
    <row r="372" spans="2:14" ht="31.9" customHeight="1">
      <c r="B372" s="167"/>
      <c r="C372" s="168"/>
      <c r="D372" s="892"/>
      <c r="E372" s="892"/>
      <c r="F372" s="892"/>
      <c r="G372" s="892"/>
      <c r="H372" s="892"/>
      <c r="I372" s="892"/>
      <c r="L372" s="164"/>
      <c r="N372" s="174"/>
    </row>
    <row r="373" spans="2:14" ht="31.9" customHeight="1">
      <c r="B373" s="167"/>
      <c r="C373" s="168"/>
      <c r="D373" s="892"/>
      <c r="E373" s="892"/>
      <c r="F373" s="892"/>
      <c r="G373" s="892"/>
      <c r="H373" s="892"/>
      <c r="I373" s="892"/>
      <c r="L373" s="164"/>
      <c r="N373" s="174"/>
    </row>
    <row r="374" spans="2:14" ht="31.9" customHeight="1">
      <c r="B374" s="167"/>
      <c r="C374" s="168"/>
      <c r="D374" s="892"/>
      <c r="E374" s="892"/>
      <c r="F374" s="892"/>
      <c r="G374" s="892"/>
      <c r="H374" s="892"/>
      <c r="I374" s="892"/>
      <c r="L374" s="164"/>
      <c r="N374" s="174"/>
    </row>
    <row r="375" spans="2:14" ht="31.9" customHeight="1">
      <c r="B375" s="167"/>
      <c r="C375" s="168"/>
      <c r="D375" s="892"/>
      <c r="E375" s="892"/>
      <c r="F375" s="892"/>
      <c r="G375" s="892"/>
      <c r="H375" s="892"/>
      <c r="I375" s="892"/>
      <c r="L375" s="164"/>
      <c r="N375" s="174"/>
    </row>
    <row r="376" spans="2:14" ht="31.9" customHeight="1">
      <c r="B376" s="167"/>
      <c r="C376" s="168"/>
      <c r="D376" s="892"/>
      <c r="E376" s="892"/>
      <c r="F376" s="892"/>
      <c r="G376" s="892"/>
      <c r="H376" s="892"/>
      <c r="I376" s="892"/>
      <c r="L376" s="164"/>
      <c r="N376" s="174"/>
    </row>
    <row r="377" spans="2:14" ht="31.9" customHeight="1">
      <c r="B377" s="167"/>
      <c r="C377" s="168"/>
      <c r="D377" s="892"/>
      <c r="E377" s="892"/>
      <c r="F377" s="892"/>
      <c r="G377" s="892"/>
      <c r="H377" s="892"/>
      <c r="I377" s="892"/>
      <c r="L377" s="164"/>
      <c r="N377" s="174"/>
    </row>
    <row r="378" spans="2:14" ht="31.9" customHeight="1">
      <c r="B378" s="167"/>
      <c r="C378" s="168"/>
      <c r="D378" s="892"/>
      <c r="E378" s="892"/>
      <c r="F378" s="892"/>
      <c r="G378" s="892"/>
      <c r="H378" s="892"/>
      <c r="I378" s="892"/>
      <c r="L378" s="164"/>
      <c r="N378" s="174"/>
    </row>
    <row r="379" spans="2:14" ht="31.9" customHeight="1">
      <c r="B379" s="167"/>
      <c r="C379" s="168"/>
      <c r="D379" s="892"/>
      <c r="E379" s="892"/>
      <c r="F379" s="892"/>
      <c r="G379" s="892"/>
      <c r="H379" s="892"/>
      <c r="I379" s="892"/>
      <c r="L379" s="164"/>
      <c r="N379" s="174"/>
    </row>
    <row r="380" spans="2:14" ht="31.9" customHeight="1">
      <c r="B380" s="167"/>
      <c r="C380" s="168"/>
      <c r="D380" s="892"/>
      <c r="E380" s="892"/>
      <c r="F380" s="892"/>
      <c r="G380" s="892"/>
      <c r="H380" s="892"/>
      <c r="I380" s="892"/>
      <c r="L380" s="164"/>
      <c r="N380" s="174"/>
    </row>
    <row r="381" spans="2:14" ht="31.9" customHeight="1">
      <c r="B381" s="167"/>
      <c r="C381" s="168"/>
      <c r="D381" s="892"/>
      <c r="E381" s="892"/>
      <c r="F381" s="892"/>
      <c r="G381" s="892"/>
      <c r="H381" s="892"/>
      <c r="I381" s="892"/>
      <c r="L381" s="164"/>
      <c r="N381" s="174"/>
    </row>
    <row r="382" spans="2:14" ht="31.9" customHeight="1">
      <c r="B382" s="167"/>
      <c r="C382" s="168"/>
      <c r="D382" s="892"/>
      <c r="E382" s="892"/>
      <c r="F382" s="892"/>
      <c r="G382" s="892"/>
      <c r="H382" s="892"/>
      <c r="I382" s="892"/>
      <c r="L382" s="164"/>
      <c r="N382" s="174"/>
    </row>
    <row r="383" spans="2:14" ht="31.9" customHeight="1">
      <c r="B383" s="167"/>
      <c r="C383" s="168"/>
      <c r="D383" s="892"/>
      <c r="E383" s="892"/>
      <c r="F383" s="892"/>
      <c r="G383" s="892"/>
      <c r="H383" s="892"/>
      <c r="I383" s="892"/>
      <c r="L383" s="164"/>
      <c r="N383" s="174"/>
    </row>
    <row r="384" spans="2:14" ht="31.9" customHeight="1">
      <c r="B384" s="167"/>
      <c r="C384" s="168"/>
      <c r="D384" s="892"/>
      <c r="E384" s="892"/>
      <c r="F384" s="892"/>
      <c r="G384" s="892"/>
      <c r="H384" s="892"/>
      <c r="I384" s="892"/>
      <c r="L384" s="164"/>
      <c r="N384" s="174"/>
    </row>
    <row r="385" spans="2:14" ht="31.9" customHeight="1">
      <c r="B385" s="167"/>
      <c r="C385" s="168"/>
      <c r="D385" s="892"/>
      <c r="E385" s="892"/>
      <c r="F385" s="892"/>
      <c r="G385" s="892"/>
      <c r="H385" s="892"/>
      <c r="I385" s="892"/>
      <c r="L385" s="164"/>
      <c r="N385" s="174"/>
    </row>
    <row r="386" spans="2:14" ht="31.9" customHeight="1">
      <c r="B386" s="167"/>
      <c r="C386" s="168"/>
      <c r="D386" s="892"/>
      <c r="E386" s="892"/>
      <c r="F386" s="892"/>
      <c r="G386" s="892"/>
      <c r="H386" s="892"/>
      <c r="I386" s="892"/>
      <c r="L386" s="164"/>
      <c r="N386" s="174"/>
    </row>
    <row r="387" spans="2:14" ht="31.9" customHeight="1">
      <c r="B387" s="167"/>
      <c r="C387" s="168"/>
      <c r="D387" s="892"/>
      <c r="E387" s="892"/>
      <c r="F387" s="892"/>
      <c r="G387" s="892"/>
      <c r="H387" s="892"/>
      <c r="I387" s="892"/>
      <c r="L387" s="164"/>
      <c r="N387" s="174"/>
    </row>
    <row r="388" spans="2:14" ht="31.9" customHeight="1">
      <c r="B388" s="167"/>
      <c r="C388" s="168"/>
      <c r="D388" s="892"/>
      <c r="E388" s="892"/>
      <c r="F388" s="892"/>
      <c r="G388" s="892"/>
      <c r="H388" s="892"/>
      <c r="I388" s="892"/>
      <c r="L388" s="164"/>
      <c r="N388" s="174"/>
    </row>
    <row r="389" spans="2:14" ht="31.9" customHeight="1">
      <c r="B389" s="167"/>
      <c r="C389" s="168"/>
      <c r="D389" s="892"/>
      <c r="E389" s="892"/>
      <c r="F389" s="892"/>
      <c r="G389" s="892"/>
      <c r="H389" s="892"/>
      <c r="I389" s="892"/>
      <c r="L389" s="164"/>
      <c r="N389" s="174"/>
    </row>
    <row r="390" spans="2:14" ht="31.9" customHeight="1">
      <c r="B390" s="167"/>
      <c r="C390" s="168"/>
      <c r="D390" s="892"/>
      <c r="E390" s="892"/>
      <c r="F390" s="892"/>
      <c r="G390" s="892"/>
      <c r="H390" s="892"/>
      <c r="I390" s="892"/>
      <c r="L390" s="164"/>
      <c r="N390" s="174"/>
    </row>
    <row r="391" spans="2:14" ht="31.9" customHeight="1">
      <c r="B391" s="167"/>
      <c r="C391" s="168"/>
      <c r="D391" s="892"/>
      <c r="E391" s="892"/>
      <c r="F391" s="892"/>
      <c r="G391" s="892"/>
      <c r="H391" s="892"/>
      <c r="I391" s="892"/>
      <c r="L391" s="164"/>
      <c r="N391" s="174"/>
    </row>
    <row r="392" spans="2:14" ht="31.9" customHeight="1">
      <c r="B392" s="167"/>
      <c r="C392" s="168"/>
      <c r="D392" s="892"/>
      <c r="E392" s="892"/>
      <c r="F392" s="892"/>
      <c r="G392" s="892"/>
      <c r="H392" s="892"/>
      <c r="I392" s="892"/>
      <c r="L392" s="164"/>
      <c r="N392" s="174"/>
    </row>
    <row r="393" spans="2:14" ht="31.9" customHeight="1">
      <c r="B393" s="167"/>
      <c r="C393" s="168"/>
      <c r="D393" s="892"/>
      <c r="E393" s="892"/>
      <c r="F393" s="892"/>
      <c r="G393" s="892"/>
      <c r="H393" s="892"/>
      <c r="I393" s="892"/>
      <c r="L393" s="164"/>
      <c r="N393" s="174"/>
    </row>
    <row r="394" spans="2:14" ht="31.9" customHeight="1">
      <c r="B394" s="167"/>
      <c r="C394" s="168"/>
      <c r="D394" s="892"/>
      <c r="E394" s="892"/>
      <c r="F394" s="892"/>
      <c r="G394" s="892"/>
      <c r="H394" s="892"/>
      <c r="I394" s="892"/>
      <c r="L394" s="164"/>
      <c r="N394" s="174"/>
    </row>
    <row r="395" spans="2:14" ht="31.9" customHeight="1">
      <c r="B395" s="167"/>
      <c r="C395" s="168"/>
      <c r="D395" s="892"/>
      <c r="E395" s="892"/>
      <c r="F395" s="892"/>
      <c r="G395" s="892"/>
      <c r="H395" s="892"/>
      <c r="I395" s="892"/>
      <c r="L395" s="164"/>
      <c r="N395" s="174"/>
    </row>
    <row r="396" spans="2:14" ht="31.9" customHeight="1">
      <c r="B396" s="167"/>
      <c r="C396" s="168"/>
      <c r="D396" s="892"/>
      <c r="E396" s="892"/>
      <c r="F396" s="892"/>
      <c r="G396" s="892"/>
      <c r="H396" s="892"/>
      <c r="I396" s="892"/>
      <c r="L396" s="164"/>
      <c r="N396" s="174"/>
    </row>
    <row r="397" spans="2:14" ht="31.9" customHeight="1">
      <c r="B397" s="167"/>
      <c r="C397" s="168"/>
      <c r="D397" s="892"/>
      <c r="E397" s="892"/>
      <c r="F397" s="892"/>
      <c r="G397" s="892"/>
      <c r="H397" s="892"/>
      <c r="I397" s="892"/>
      <c r="L397" s="164"/>
      <c r="N397" s="174"/>
    </row>
    <row r="398" spans="2:14" ht="31.9" customHeight="1">
      <c r="B398" s="167"/>
      <c r="C398" s="168"/>
      <c r="D398" s="892"/>
      <c r="E398" s="892"/>
      <c r="F398" s="892"/>
      <c r="G398" s="892"/>
      <c r="H398" s="892"/>
      <c r="I398" s="892"/>
      <c r="L398" s="164"/>
      <c r="N398" s="174"/>
    </row>
    <row r="399" spans="2:14" ht="31.9" customHeight="1">
      <c r="B399" s="167"/>
      <c r="C399" s="168"/>
      <c r="D399" s="892"/>
      <c r="E399" s="892"/>
      <c r="F399" s="892"/>
      <c r="G399" s="892"/>
      <c r="H399" s="892"/>
      <c r="I399" s="892"/>
      <c r="L399" s="164"/>
      <c r="N399" s="174"/>
    </row>
    <row r="400" spans="2:14" ht="31.9" customHeight="1">
      <c r="B400" s="167"/>
      <c r="C400" s="168"/>
      <c r="D400" s="892"/>
      <c r="E400" s="892"/>
      <c r="F400" s="892"/>
      <c r="G400" s="892"/>
      <c r="H400" s="892"/>
      <c r="I400" s="892"/>
      <c r="L400" s="164"/>
      <c r="N400" s="174"/>
    </row>
    <row r="401" spans="2:14" ht="31.9" customHeight="1">
      <c r="B401" s="167"/>
      <c r="C401" s="168"/>
      <c r="D401" s="892"/>
      <c r="E401" s="892"/>
      <c r="F401" s="892"/>
      <c r="G401" s="892"/>
      <c r="H401" s="892"/>
      <c r="I401" s="892"/>
      <c r="L401" s="164"/>
      <c r="N401" s="174"/>
    </row>
    <row r="402" spans="2:14" ht="31.9" customHeight="1">
      <c r="B402" s="167"/>
      <c r="C402" s="168"/>
      <c r="D402" s="892"/>
      <c r="E402" s="892"/>
      <c r="F402" s="892"/>
      <c r="G402" s="892"/>
      <c r="H402" s="892"/>
      <c r="I402" s="892"/>
      <c r="L402" s="164"/>
      <c r="N402" s="174"/>
    </row>
    <row r="403" spans="2:14" ht="31.9" customHeight="1">
      <c r="B403" s="167"/>
      <c r="C403" s="168"/>
      <c r="D403" s="892"/>
      <c r="E403" s="892"/>
      <c r="F403" s="892"/>
      <c r="G403" s="892"/>
      <c r="H403" s="892"/>
      <c r="I403" s="892"/>
      <c r="L403" s="164"/>
      <c r="N403" s="174"/>
    </row>
    <row r="404" spans="2:14" ht="31.9" customHeight="1">
      <c r="B404" s="167"/>
      <c r="C404" s="168"/>
      <c r="D404" s="892"/>
      <c r="E404" s="892"/>
      <c r="F404" s="892"/>
      <c r="G404" s="892"/>
      <c r="H404" s="892"/>
      <c r="I404" s="892"/>
      <c r="L404" s="164"/>
      <c r="N404" s="174"/>
    </row>
    <row r="405" spans="2:14" ht="31.9" customHeight="1">
      <c r="B405" s="167"/>
      <c r="C405" s="168"/>
      <c r="D405" s="892"/>
      <c r="E405" s="892"/>
      <c r="F405" s="892"/>
      <c r="G405" s="892"/>
      <c r="H405" s="892"/>
      <c r="I405" s="892"/>
      <c r="L405" s="164"/>
      <c r="N405" s="174"/>
    </row>
    <row r="406" spans="2:14" ht="31.9" customHeight="1">
      <c r="B406" s="167"/>
      <c r="C406" s="168"/>
      <c r="D406" s="892"/>
      <c r="E406" s="892"/>
      <c r="F406" s="892"/>
      <c r="G406" s="892"/>
      <c r="H406" s="892"/>
      <c r="I406" s="892"/>
      <c r="L406" s="164"/>
      <c r="N406" s="174"/>
    </row>
    <row r="407" spans="2:14" ht="31.9" customHeight="1">
      <c r="B407" s="167"/>
      <c r="C407" s="168"/>
      <c r="D407" s="892"/>
      <c r="E407" s="892"/>
      <c r="F407" s="892"/>
      <c r="G407" s="892"/>
      <c r="H407" s="892"/>
      <c r="I407" s="892"/>
      <c r="L407" s="164"/>
      <c r="N407" s="174"/>
    </row>
    <row r="408" spans="2:14" ht="31.9" customHeight="1">
      <c r="B408" s="167"/>
      <c r="C408" s="168"/>
      <c r="D408" s="892"/>
      <c r="E408" s="892"/>
      <c r="F408" s="892"/>
      <c r="G408" s="892"/>
      <c r="H408" s="892"/>
      <c r="I408" s="892"/>
      <c r="L408" s="164"/>
      <c r="N408" s="174"/>
    </row>
    <row r="409" spans="2:14" ht="31.9" customHeight="1">
      <c r="B409" s="167"/>
      <c r="C409" s="168"/>
      <c r="D409" s="892"/>
      <c r="E409" s="892"/>
      <c r="F409" s="892"/>
      <c r="G409" s="892"/>
      <c r="H409" s="892"/>
      <c r="I409" s="892"/>
      <c r="L409" s="164"/>
      <c r="N409" s="174"/>
    </row>
    <row r="410" spans="2:14" ht="31.9" customHeight="1">
      <c r="B410" s="167"/>
      <c r="C410" s="168"/>
      <c r="D410" s="892"/>
      <c r="E410" s="892"/>
      <c r="F410" s="892"/>
      <c r="G410" s="892"/>
      <c r="H410" s="892"/>
      <c r="I410" s="892"/>
      <c r="L410" s="164"/>
      <c r="N410" s="174"/>
    </row>
    <row r="411" spans="2:14" ht="31.9" customHeight="1">
      <c r="B411" s="167"/>
      <c r="C411" s="168"/>
      <c r="D411" s="892"/>
      <c r="E411" s="892"/>
      <c r="F411" s="892"/>
      <c r="G411" s="892"/>
      <c r="H411" s="892"/>
      <c r="I411" s="892"/>
      <c r="L411" s="164"/>
      <c r="N411" s="174"/>
    </row>
    <row r="412" spans="2:14" ht="31.9" customHeight="1">
      <c r="B412" s="167"/>
      <c r="C412" s="168"/>
      <c r="D412" s="892"/>
      <c r="E412" s="892"/>
      <c r="F412" s="892"/>
      <c r="G412" s="892"/>
      <c r="H412" s="892"/>
      <c r="I412" s="892"/>
      <c r="L412" s="164"/>
      <c r="N412" s="174"/>
    </row>
    <row r="413" spans="2:14" ht="31.9" customHeight="1">
      <c r="B413" s="167"/>
      <c r="C413" s="168"/>
      <c r="D413" s="892"/>
      <c r="E413" s="892"/>
      <c r="F413" s="892"/>
      <c r="G413" s="892"/>
      <c r="H413" s="892"/>
      <c r="I413" s="892"/>
      <c r="L413" s="164"/>
      <c r="N413" s="174"/>
    </row>
    <row r="414" spans="2:14" ht="31.9" customHeight="1">
      <c r="B414" s="167"/>
      <c r="C414" s="168"/>
      <c r="D414" s="892"/>
      <c r="E414" s="892"/>
      <c r="F414" s="892"/>
      <c r="G414" s="892"/>
      <c r="H414" s="892"/>
      <c r="I414" s="892"/>
      <c r="L414" s="164"/>
      <c r="N414" s="174"/>
    </row>
    <row r="415" spans="2:14" ht="31.9" customHeight="1">
      <c r="B415" s="167"/>
      <c r="C415" s="168"/>
      <c r="D415" s="892"/>
      <c r="E415" s="892"/>
      <c r="F415" s="892"/>
      <c r="G415" s="892"/>
      <c r="H415" s="892"/>
      <c r="I415" s="892"/>
      <c r="L415" s="164"/>
      <c r="N415" s="174"/>
    </row>
    <row r="416" spans="2:14" ht="31.9" customHeight="1">
      <c r="B416" s="167"/>
      <c r="C416" s="168"/>
      <c r="D416" s="892"/>
      <c r="E416" s="892"/>
      <c r="F416" s="892"/>
      <c r="G416" s="892"/>
      <c r="H416" s="892"/>
      <c r="I416" s="892"/>
      <c r="L416" s="164"/>
      <c r="N416" s="174"/>
    </row>
    <row r="417" spans="2:14" ht="31.9" customHeight="1">
      <c r="B417" s="167"/>
      <c r="C417" s="168"/>
      <c r="D417" s="892"/>
      <c r="E417" s="892"/>
      <c r="F417" s="892"/>
      <c r="G417" s="892"/>
      <c r="H417" s="892"/>
      <c r="I417" s="892"/>
      <c r="L417" s="164"/>
      <c r="N417" s="174"/>
    </row>
    <row r="418" spans="2:14" ht="31.9" customHeight="1">
      <c r="B418" s="167"/>
      <c r="C418" s="168"/>
      <c r="D418" s="892"/>
      <c r="E418" s="892"/>
      <c r="F418" s="892"/>
      <c r="G418" s="892"/>
      <c r="H418" s="892"/>
      <c r="I418" s="892"/>
      <c r="L418" s="164"/>
      <c r="N418" s="174"/>
    </row>
    <row r="419" spans="2:14" ht="31.9" customHeight="1">
      <c r="B419" s="167"/>
      <c r="C419" s="168"/>
      <c r="D419" s="892"/>
      <c r="E419" s="892"/>
      <c r="F419" s="892"/>
      <c r="G419" s="892"/>
      <c r="H419" s="892"/>
      <c r="I419" s="892"/>
      <c r="L419" s="164"/>
      <c r="N419" s="174"/>
    </row>
    <row r="420" spans="2:14" ht="31.9" customHeight="1">
      <c r="B420" s="167"/>
      <c r="C420" s="168"/>
      <c r="D420" s="892"/>
      <c r="E420" s="892"/>
      <c r="F420" s="892"/>
      <c r="G420" s="892"/>
      <c r="H420" s="892"/>
      <c r="I420" s="892"/>
      <c r="L420" s="164"/>
      <c r="N420" s="174"/>
    </row>
    <row r="421" spans="2:14" ht="31.9" customHeight="1">
      <c r="B421" s="167"/>
      <c r="C421" s="168"/>
      <c r="D421" s="892"/>
      <c r="E421" s="892"/>
      <c r="F421" s="892"/>
      <c r="G421" s="892"/>
      <c r="H421" s="892"/>
      <c r="I421" s="892"/>
      <c r="L421" s="164"/>
      <c r="N421" s="174"/>
    </row>
    <row r="422" spans="2:14" ht="31.9" customHeight="1">
      <c r="B422" s="167"/>
      <c r="C422" s="168"/>
      <c r="D422" s="892"/>
      <c r="E422" s="892"/>
      <c r="F422" s="892"/>
      <c r="G422" s="892"/>
      <c r="H422" s="892"/>
      <c r="I422" s="892"/>
      <c r="L422" s="164"/>
      <c r="N422" s="174"/>
    </row>
    <row r="423" spans="2:14" ht="31.9" customHeight="1">
      <c r="B423" s="167"/>
      <c r="C423" s="168"/>
      <c r="D423" s="892"/>
      <c r="E423" s="892"/>
      <c r="F423" s="892"/>
      <c r="G423" s="892"/>
      <c r="H423" s="892"/>
      <c r="I423" s="892"/>
      <c r="L423" s="164"/>
      <c r="N423" s="174"/>
    </row>
    <row r="424" spans="2:14" ht="31.9" customHeight="1">
      <c r="B424" s="167"/>
      <c r="C424" s="168"/>
      <c r="D424" s="892"/>
      <c r="E424" s="892"/>
      <c r="F424" s="892"/>
      <c r="G424" s="892"/>
      <c r="H424" s="892"/>
      <c r="I424" s="892"/>
      <c r="L424" s="164"/>
      <c r="N424" s="174"/>
    </row>
    <row r="425" spans="2:14" ht="31.9" customHeight="1">
      <c r="B425" s="167"/>
      <c r="C425" s="168"/>
      <c r="D425" s="892"/>
      <c r="E425" s="892"/>
      <c r="F425" s="892"/>
      <c r="G425" s="892"/>
      <c r="H425" s="892"/>
      <c r="I425" s="892"/>
      <c r="L425" s="164"/>
      <c r="N425" s="174"/>
    </row>
    <row r="426" spans="2:14" ht="31.9" customHeight="1">
      <c r="B426" s="167"/>
      <c r="C426" s="168"/>
      <c r="D426" s="892"/>
      <c r="E426" s="892"/>
      <c r="F426" s="892"/>
      <c r="G426" s="892"/>
      <c r="H426" s="892"/>
      <c r="I426" s="892"/>
      <c r="L426" s="164"/>
      <c r="N426" s="174"/>
    </row>
    <row r="427" spans="2:14" ht="31.9" customHeight="1">
      <c r="B427" s="167"/>
      <c r="C427" s="168"/>
      <c r="D427" s="892"/>
      <c r="E427" s="892"/>
      <c r="F427" s="892"/>
      <c r="G427" s="892"/>
      <c r="H427" s="892"/>
      <c r="I427" s="892"/>
      <c r="L427" s="164"/>
      <c r="N427" s="174"/>
    </row>
    <row r="428" spans="2:14" ht="31.9" customHeight="1">
      <c r="B428" s="167"/>
      <c r="C428" s="168"/>
      <c r="D428" s="892"/>
      <c r="E428" s="892"/>
      <c r="F428" s="892"/>
      <c r="G428" s="892"/>
      <c r="H428" s="892"/>
      <c r="I428" s="892"/>
      <c r="L428" s="164"/>
      <c r="N428" s="174"/>
    </row>
    <row r="429" spans="2:14" ht="31.9" customHeight="1">
      <c r="B429" s="167"/>
      <c r="C429" s="168"/>
      <c r="D429" s="892"/>
      <c r="E429" s="892"/>
      <c r="F429" s="892"/>
      <c r="G429" s="892"/>
      <c r="H429" s="892"/>
      <c r="I429" s="892"/>
      <c r="L429" s="164"/>
      <c r="N429" s="174"/>
    </row>
    <row r="430" spans="2:14" ht="31.9" customHeight="1">
      <c r="B430" s="167"/>
      <c r="C430" s="168"/>
      <c r="D430" s="892"/>
      <c r="E430" s="892"/>
      <c r="F430" s="892"/>
      <c r="G430" s="892"/>
      <c r="H430" s="892"/>
      <c r="I430" s="892"/>
      <c r="L430" s="164"/>
      <c r="N430" s="174"/>
    </row>
    <row r="431" spans="2:14" ht="31.9" customHeight="1">
      <c r="B431" s="167"/>
      <c r="C431" s="168"/>
      <c r="D431" s="892"/>
      <c r="E431" s="892"/>
      <c r="F431" s="892"/>
      <c r="G431" s="892"/>
      <c r="H431" s="892"/>
      <c r="I431" s="892"/>
      <c r="L431" s="164"/>
      <c r="N431" s="174"/>
    </row>
    <row r="432" spans="2:14" ht="31.9" customHeight="1">
      <c r="B432" s="167"/>
      <c r="C432" s="168"/>
      <c r="D432" s="892"/>
      <c r="E432" s="892"/>
      <c r="F432" s="892"/>
      <c r="G432" s="892"/>
      <c r="H432" s="892"/>
      <c r="I432" s="892"/>
      <c r="L432" s="164"/>
      <c r="N432" s="174"/>
    </row>
    <row r="433" spans="2:14" ht="31.9" customHeight="1">
      <c r="B433" s="167"/>
      <c r="C433" s="168"/>
      <c r="D433" s="892"/>
      <c r="E433" s="892"/>
      <c r="F433" s="892"/>
      <c r="G433" s="892"/>
      <c r="H433" s="892"/>
      <c r="I433" s="892"/>
      <c r="L433" s="164"/>
      <c r="N433" s="174"/>
    </row>
    <row r="434" spans="2:14" ht="31.9" customHeight="1">
      <c r="B434" s="167"/>
      <c r="C434" s="168"/>
      <c r="D434" s="892"/>
      <c r="E434" s="892"/>
      <c r="F434" s="892"/>
      <c r="G434" s="892"/>
      <c r="H434" s="892"/>
      <c r="I434" s="892"/>
      <c r="L434" s="164"/>
      <c r="N434" s="174"/>
    </row>
    <row r="435" spans="2:14" ht="31.9" customHeight="1">
      <c r="B435" s="167"/>
      <c r="C435" s="168"/>
      <c r="D435" s="892"/>
      <c r="E435" s="892"/>
      <c r="F435" s="892"/>
      <c r="G435" s="892"/>
      <c r="H435" s="892"/>
      <c r="I435" s="892"/>
      <c r="L435" s="164"/>
      <c r="N435" s="174"/>
    </row>
    <row r="436" spans="2:14" ht="31.9" customHeight="1">
      <c r="B436" s="167"/>
      <c r="C436" s="168"/>
      <c r="D436" s="892"/>
      <c r="E436" s="892"/>
      <c r="F436" s="892"/>
      <c r="G436" s="892"/>
      <c r="H436" s="892"/>
      <c r="I436" s="892"/>
      <c r="L436" s="164"/>
      <c r="N436" s="174"/>
    </row>
    <row r="437" spans="2:14" ht="31.9" customHeight="1">
      <c r="B437" s="167"/>
      <c r="C437" s="168"/>
      <c r="D437" s="892"/>
      <c r="E437" s="892"/>
      <c r="F437" s="892"/>
      <c r="G437" s="892"/>
      <c r="H437" s="892"/>
      <c r="I437" s="892"/>
      <c r="L437" s="164"/>
      <c r="N437" s="174"/>
    </row>
    <row r="438" spans="2:14" ht="31.9" customHeight="1">
      <c r="B438" s="167"/>
      <c r="C438" s="168"/>
      <c r="D438" s="892"/>
      <c r="E438" s="892"/>
      <c r="F438" s="892"/>
      <c r="G438" s="892"/>
      <c r="H438" s="892"/>
      <c r="I438" s="892"/>
      <c r="L438" s="164"/>
      <c r="N438" s="174"/>
    </row>
    <row r="439" spans="2:14" ht="31.9" customHeight="1">
      <c r="B439" s="167"/>
      <c r="C439" s="168"/>
      <c r="D439" s="892"/>
      <c r="E439" s="892"/>
      <c r="F439" s="892"/>
      <c r="G439" s="892"/>
      <c r="H439" s="892"/>
      <c r="I439" s="892"/>
      <c r="L439" s="164"/>
      <c r="N439" s="174"/>
    </row>
    <row r="440" spans="2:14" ht="31.9" customHeight="1">
      <c r="B440" s="167"/>
      <c r="C440" s="168"/>
      <c r="D440" s="892"/>
      <c r="E440" s="892"/>
      <c r="F440" s="892"/>
      <c r="G440" s="892"/>
      <c r="H440" s="892"/>
      <c r="I440" s="892"/>
      <c r="L440" s="164"/>
      <c r="N440" s="174"/>
    </row>
    <row r="441" spans="2:14" ht="31.9" customHeight="1">
      <c r="B441" s="167"/>
      <c r="C441" s="168"/>
      <c r="D441" s="892"/>
      <c r="E441" s="892"/>
      <c r="F441" s="892"/>
      <c r="G441" s="892"/>
      <c r="H441" s="892"/>
      <c r="I441" s="892"/>
      <c r="L441" s="164"/>
      <c r="N441" s="174"/>
    </row>
    <row r="442" spans="2:14" ht="31.9" customHeight="1">
      <c r="B442" s="167"/>
      <c r="C442" s="168"/>
      <c r="D442" s="892"/>
      <c r="E442" s="892"/>
      <c r="F442" s="892"/>
      <c r="G442" s="892"/>
      <c r="H442" s="892"/>
      <c r="I442" s="892"/>
      <c r="L442" s="164"/>
      <c r="N442" s="174"/>
    </row>
    <row r="443" spans="2:14" ht="31.9" customHeight="1">
      <c r="B443" s="167"/>
      <c r="C443" s="168"/>
      <c r="D443" s="892"/>
      <c r="E443" s="892"/>
      <c r="F443" s="892"/>
      <c r="G443" s="892"/>
      <c r="H443" s="892"/>
      <c r="I443" s="892"/>
      <c r="L443" s="164"/>
      <c r="N443" s="174"/>
    </row>
    <row r="444" spans="2:14" ht="31.9" customHeight="1">
      <c r="B444" s="167"/>
      <c r="C444" s="168"/>
      <c r="D444" s="892"/>
      <c r="E444" s="892"/>
      <c r="F444" s="892"/>
      <c r="G444" s="892"/>
      <c r="H444" s="892"/>
      <c r="I444" s="892"/>
      <c r="L444" s="164"/>
      <c r="N444" s="174"/>
    </row>
    <row r="445" spans="2:14" ht="31.9" customHeight="1">
      <c r="B445" s="167"/>
      <c r="C445" s="168"/>
      <c r="D445" s="892"/>
      <c r="E445" s="892"/>
      <c r="F445" s="892"/>
      <c r="G445" s="892"/>
      <c r="H445" s="892"/>
      <c r="I445" s="892"/>
      <c r="L445" s="164"/>
      <c r="N445" s="174"/>
    </row>
    <row r="446" spans="2:14" ht="31.9" customHeight="1">
      <c r="B446" s="167"/>
      <c r="C446" s="168"/>
      <c r="D446" s="892"/>
      <c r="E446" s="892"/>
      <c r="F446" s="892"/>
      <c r="G446" s="892"/>
      <c r="H446" s="892"/>
      <c r="I446" s="892"/>
      <c r="L446" s="164"/>
      <c r="N446" s="174"/>
    </row>
    <row r="447" spans="2:14" ht="31.9" customHeight="1">
      <c r="B447" s="167"/>
      <c r="C447" s="168"/>
      <c r="D447" s="892"/>
      <c r="E447" s="892"/>
      <c r="F447" s="892"/>
      <c r="G447" s="892"/>
      <c r="H447" s="892"/>
      <c r="I447" s="892"/>
      <c r="L447" s="164"/>
      <c r="N447" s="174"/>
    </row>
    <row r="448" spans="2:14" ht="31.9" customHeight="1">
      <c r="B448" s="167"/>
      <c r="C448" s="168"/>
      <c r="D448" s="892"/>
      <c r="E448" s="892"/>
      <c r="F448" s="892"/>
      <c r="G448" s="892"/>
      <c r="H448" s="892"/>
      <c r="I448" s="892"/>
      <c r="L448" s="164"/>
      <c r="N448" s="174"/>
    </row>
    <row r="449" spans="2:14" ht="31.9" customHeight="1">
      <c r="B449" s="167"/>
      <c r="C449" s="168"/>
      <c r="D449" s="892"/>
      <c r="E449" s="892"/>
      <c r="F449" s="892"/>
      <c r="G449" s="892"/>
      <c r="H449" s="892"/>
      <c r="I449" s="892"/>
      <c r="L449" s="164"/>
      <c r="N449" s="174"/>
    </row>
    <row r="450" spans="2:14" ht="31.9" customHeight="1">
      <c r="B450" s="167"/>
      <c r="C450" s="168"/>
      <c r="D450" s="892"/>
      <c r="E450" s="892"/>
      <c r="F450" s="892"/>
      <c r="G450" s="892"/>
      <c r="H450" s="892"/>
      <c r="I450" s="892"/>
      <c r="L450" s="164"/>
      <c r="N450" s="174"/>
    </row>
    <row r="451" spans="2:14" ht="31.9" customHeight="1">
      <c r="B451" s="167"/>
      <c r="C451" s="168"/>
      <c r="D451" s="892"/>
      <c r="E451" s="892"/>
      <c r="F451" s="892"/>
      <c r="G451" s="892"/>
      <c r="H451" s="892"/>
      <c r="I451" s="892"/>
      <c r="L451" s="164"/>
      <c r="N451" s="174"/>
    </row>
    <row r="452" spans="2:14" ht="31.9" customHeight="1">
      <c r="B452" s="167"/>
      <c r="C452" s="168"/>
      <c r="D452" s="892"/>
      <c r="E452" s="892"/>
      <c r="F452" s="892"/>
      <c r="G452" s="892"/>
      <c r="H452" s="892"/>
      <c r="I452" s="892"/>
      <c r="L452" s="164"/>
      <c r="N452" s="174"/>
    </row>
    <row r="453" spans="2:14" ht="31.9" customHeight="1">
      <c r="B453" s="167"/>
      <c r="C453" s="168"/>
      <c r="D453" s="892"/>
      <c r="E453" s="892"/>
      <c r="F453" s="892"/>
      <c r="G453" s="892"/>
      <c r="H453" s="892"/>
      <c r="I453" s="892"/>
      <c r="L453" s="164"/>
      <c r="N453" s="174"/>
    </row>
    <row r="454" spans="2:14" ht="31.9" customHeight="1">
      <c r="B454" s="167"/>
      <c r="C454" s="168"/>
      <c r="D454" s="892"/>
      <c r="E454" s="892"/>
      <c r="F454" s="892"/>
      <c r="G454" s="892"/>
      <c r="H454" s="892"/>
      <c r="I454" s="892"/>
      <c r="L454" s="164"/>
      <c r="N454" s="174"/>
    </row>
    <row r="455" spans="2:14" ht="31.9" customHeight="1">
      <c r="B455" s="167"/>
      <c r="C455" s="168"/>
      <c r="D455" s="892"/>
      <c r="E455" s="892"/>
      <c r="F455" s="892"/>
      <c r="G455" s="892"/>
      <c r="H455" s="892"/>
      <c r="I455" s="892"/>
      <c r="L455" s="164"/>
      <c r="N455" s="174"/>
    </row>
    <row r="456" spans="2:14" ht="31.9" customHeight="1">
      <c r="B456" s="167"/>
      <c r="C456" s="168"/>
      <c r="D456" s="892"/>
      <c r="E456" s="892"/>
      <c r="F456" s="892"/>
      <c r="G456" s="892"/>
      <c r="H456" s="892"/>
      <c r="I456" s="892"/>
      <c r="L456" s="164"/>
      <c r="N456" s="174"/>
    </row>
    <row r="457" spans="2:14" ht="31.9" customHeight="1">
      <c r="B457" s="167"/>
      <c r="C457" s="168"/>
      <c r="D457" s="892"/>
      <c r="E457" s="892"/>
      <c r="F457" s="892"/>
      <c r="G457" s="892"/>
      <c r="H457" s="892"/>
      <c r="I457" s="892"/>
      <c r="L457" s="164"/>
      <c r="N457" s="174"/>
    </row>
    <row r="458" spans="2:14" ht="31.9" customHeight="1">
      <c r="B458" s="167"/>
      <c r="C458" s="168"/>
      <c r="D458" s="892"/>
      <c r="E458" s="892"/>
      <c r="F458" s="892"/>
      <c r="G458" s="892"/>
      <c r="H458" s="892"/>
      <c r="I458" s="892"/>
      <c r="L458" s="164"/>
      <c r="N458" s="174"/>
    </row>
    <row r="459" spans="2:14" ht="31.9" customHeight="1">
      <c r="B459" s="167"/>
      <c r="C459" s="168"/>
      <c r="D459" s="892"/>
      <c r="E459" s="892"/>
      <c r="F459" s="892"/>
      <c r="G459" s="892"/>
      <c r="H459" s="892"/>
      <c r="I459" s="892"/>
      <c r="L459" s="164"/>
      <c r="N459" s="174"/>
    </row>
    <row r="460" spans="2:14" ht="31.9" customHeight="1">
      <c r="B460" s="167"/>
      <c r="C460" s="168"/>
      <c r="D460" s="892"/>
      <c r="E460" s="892"/>
      <c r="F460" s="892"/>
      <c r="G460" s="892"/>
      <c r="H460" s="892"/>
      <c r="I460" s="892"/>
      <c r="L460" s="164"/>
      <c r="N460" s="174"/>
    </row>
    <row r="461" spans="2:14" ht="31.9" customHeight="1">
      <c r="B461" s="167"/>
      <c r="C461" s="168"/>
      <c r="D461" s="892"/>
      <c r="E461" s="892"/>
      <c r="F461" s="892"/>
      <c r="G461" s="892"/>
      <c r="H461" s="892"/>
      <c r="I461" s="892"/>
      <c r="L461" s="164"/>
      <c r="N461" s="174"/>
    </row>
    <row r="462" spans="2:14" ht="31.9" customHeight="1">
      <c r="B462" s="167"/>
      <c r="C462" s="168"/>
      <c r="D462" s="892"/>
      <c r="E462" s="892"/>
      <c r="F462" s="892"/>
      <c r="G462" s="892"/>
      <c r="H462" s="892"/>
      <c r="I462" s="892"/>
      <c r="L462" s="164"/>
      <c r="N462" s="174"/>
    </row>
    <row r="463" spans="2:14" ht="31.9" customHeight="1">
      <c r="B463" s="167"/>
      <c r="C463" s="168"/>
      <c r="D463" s="892"/>
      <c r="E463" s="892"/>
      <c r="F463" s="892"/>
      <c r="G463" s="892"/>
      <c r="H463" s="892"/>
      <c r="I463" s="892"/>
      <c r="L463" s="164"/>
      <c r="N463" s="174"/>
    </row>
    <row r="464" spans="2:14" ht="31.9" customHeight="1">
      <c r="B464" s="167"/>
      <c r="C464" s="168"/>
      <c r="D464" s="892"/>
      <c r="E464" s="892"/>
      <c r="F464" s="892"/>
      <c r="G464" s="892"/>
      <c r="H464" s="892"/>
      <c r="I464" s="892"/>
      <c r="L464" s="164"/>
      <c r="N464" s="174"/>
    </row>
    <row r="465" spans="2:14" ht="31.9" customHeight="1">
      <c r="B465" s="167"/>
      <c r="C465" s="168"/>
      <c r="D465" s="892"/>
      <c r="E465" s="892"/>
      <c r="F465" s="892"/>
      <c r="G465" s="892"/>
      <c r="H465" s="892"/>
      <c r="I465" s="892"/>
      <c r="L465" s="164"/>
      <c r="N465" s="174"/>
    </row>
    <row r="466" spans="2:14" ht="31.9" customHeight="1">
      <c r="B466" s="167"/>
      <c r="C466" s="168"/>
      <c r="D466" s="892"/>
      <c r="E466" s="892"/>
      <c r="F466" s="892"/>
      <c r="G466" s="892"/>
      <c r="H466" s="892"/>
      <c r="I466" s="892"/>
      <c r="L466" s="164"/>
      <c r="N466" s="174"/>
    </row>
    <row r="467" spans="2:14" ht="31.9" customHeight="1">
      <c r="B467" s="167"/>
      <c r="C467" s="168"/>
      <c r="D467" s="892"/>
      <c r="E467" s="892"/>
      <c r="F467" s="892"/>
      <c r="G467" s="892"/>
      <c r="H467" s="892"/>
      <c r="I467" s="892"/>
      <c r="L467" s="164"/>
      <c r="N467" s="174"/>
    </row>
    <row r="468" spans="2:14" ht="31.9" customHeight="1">
      <c r="B468" s="167"/>
      <c r="C468" s="168"/>
      <c r="D468" s="892"/>
      <c r="E468" s="892"/>
      <c r="F468" s="892"/>
      <c r="G468" s="892"/>
      <c r="H468" s="892"/>
      <c r="I468" s="892"/>
      <c r="L468" s="164"/>
      <c r="N468" s="174"/>
    </row>
    <row r="469" spans="2:14" ht="31.9" customHeight="1">
      <c r="B469" s="167"/>
      <c r="C469" s="168"/>
      <c r="D469" s="892"/>
      <c r="E469" s="892"/>
      <c r="F469" s="892"/>
      <c r="G469" s="892"/>
      <c r="H469" s="892"/>
      <c r="I469" s="892"/>
      <c r="L469" s="164"/>
      <c r="N469" s="174"/>
    </row>
    <row r="470" spans="2:14" ht="31.9" customHeight="1">
      <c r="B470" s="167"/>
      <c r="C470" s="168"/>
      <c r="D470" s="892"/>
      <c r="E470" s="892"/>
      <c r="F470" s="892"/>
      <c r="G470" s="892"/>
      <c r="H470" s="892"/>
      <c r="I470" s="892"/>
      <c r="L470" s="164"/>
      <c r="N470" s="174"/>
    </row>
    <row r="471" spans="2:14" ht="31.9" customHeight="1">
      <c r="B471" s="167"/>
      <c r="C471" s="168"/>
      <c r="D471" s="892"/>
      <c r="E471" s="892"/>
      <c r="F471" s="892"/>
      <c r="G471" s="892"/>
      <c r="H471" s="892"/>
      <c r="I471" s="892"/>
      <c r="L471" s="164"/>
      <c r="N471" s="174"/>
    </row>
    <row r="472" spans="2:14" ht="31.9" customHeight="1">
      <c r="B472" s="167"/>
      <c r="C472" s="168"/>
      <c r="D472" s="892"/>
      <c r="E472" s="892"/>
      <c r="F472" s="892"/>
      <c r="G472" s="892"/>
      <c r="H472" s="892"/>
      <c r="I472" s="892"/>
      <c r="L472" s="164"/>
      <c r="N472" s="174"/>
    </row>
    <row r="473" spans="2:14" ht="31.9" customHeight="1">
      <c r="B473" s="167"/>
      <c r="C473" s="168"/>
      <c r="D473" s="892"/>
      <c r="E473" s="892"/>
      <c r="F473" s="892"/>
      <c r="G473" s="892"/>
      <c r="H473" s="892"/>
      <c r="I473" s="892"/>
      <c r="L473" s="164"/>
      <c r="N473" s="174"/>
    </row>
    <row r="474" spans="2:14" ht="31.9" customHeight="1">
      <c r="B474" s="167"/>
      <c r="C474" s="168"/>
      <c r="D474" s="892"/>
      <c r="E474" s="892"/>
      <c r="F474" s="892"/>
      <c r="G474" s="892"/>
      <c r="H474" s="892"/>
      <c r="I474" s="892"/>
      <c r="L474" s="164"/>
      <c r="N474" s="174"/>
    </row>
    <row r="475" spans="2:14" ht="31.9" customHeight="1">
      <c r="B475" s="167"/>
      <c r="C475" s="168"/>
      <c r="D475" s="892"/>
      <c r="E475" s="892"/>
      <c r="F475" s="892"/>
      <c r="G475" s="892"/>
      <c r="H475" s="892"/>
      <c r="I475" s="892"/>
      <c r="L475" s="164"/>
      <c r="N475" s="174"/>
    </row>
    <row r="476" spans="2:14" ht="31.9" customHeight="1">
      <c r="B476" s="167"/>
      <c r="C476" s="168"/>
      <c r="D476" s="892"/>
      <c r="E476" s="892"/>
      <c r="F476" s="892"/>
      <c r="G476" s="892"/>
      <c r="H476" s="892"/>
      <c r="I476" s="892"/>
      <c r="L476" s="164"/>
      <c r="N476" s="174"/>
    </row>
    <row r="477" spans="2:14" ht="31.9" customHeight="1">
      <c r="B477" s="167"/>
      <c r="C477" s="168"/>
      <c r="D477" s="892"/>
      <c r="E477" s="892"/>
      <c r="F477" s="892"/>
      <c r="G477" s="892"/>
      <c r="H477" s="892"/>
      <c r="I477" s="892"/>
      <c r="L477" s="164"/>
      <c r="N477" s="174"/>
    </row>
    <row r="478" spans="2:14" ht="31.9" customHeight="1">
      <c r="B478" s="167"/>
      <c r="C478" s="168"/>
      <c r="D478" s="892"/>
      <c r="E478" s="892"/>
      <c r="F478" s="892"/>
      <c r="G478" s="892"/>
      <c r="H478" s="892"/>
      <c r="I478" s="892"/>
      <c r="L478" s="164"/>
      <c r="N478" s="174"/>
    </row>
    <row r="479" spans="2:14" ht="31.9" customHeight="1">
      <c r="B479" s="167"/>
      <c r="C479" s="168"/>
      <c r="D479" s="892"/>
      <c r="E479" s="892"/>
      <c r="F479" s="892"/>
      <c r="G479" s="892"/>
      <c r="H479" s="892"/>
      <c r="I479" s="892"/>
      <c r="L479" s="164"/>
      <c r="N479" s="174"/>
    </row>
    <row r="480" spans="2:14" ht="31.9" customHeight="1">
      <c r="B480" s="167"/>
      <c r="C480" s="168"/>
      <c r="D480" s="892"/>
      <c r="E480" s="892"/>
      <c r="F480" s="892"/>
      <c r="G480" s="892"/>
      <c r="H480" s="892"/>
      <c r="I480" s="892"/>
      <c r="L480" s="164"/>
      <c r="N480" s="174"/>
    </row>
    <row r="481" spans="2:14" ht="31.9" customHeight="1">
      <c r="B481" s="167"/>
      <c r="C481" s="168"/>
      <c r="D481" s="892"/>
      <c r="E481" s="892"/>
      <c r="F481" s="892"/>
      <c r="G481" s="892"/>
      <c r="H481" s="892"/>
      <c r="I481" s="892"/>
      <c r="L481" s="164"/>
      <c r="N481" s="174"/>
    </row>
    <row r="482" spans="2:14" ht="31.9" customHeight="1">
      <c r="B482" s="167"/>
      <c r="C482" s="168"/>
      <c r="D482" s="892"/>
      <c r="E482" s="892"/>
      <c r="F482" s="892"/>
      <c r="G482" s="892"/>
      <c r="H482" s="892"/>
      <c r="I482" s="892"/>
      <c r="L482" s="164"/>
      <c r="N482" s="174"/>
    </row>
    <row r="483" spans="2:14" ht="31.9" customHeight="1">
      <c r="B483" s="167"/>
      <c r="C483" s="168"/>
      <c r="D483" s="892"/>
      <c r="E483" s="892"/>
      <c r="F483" s="892"/>
      <c r="G483" s="892"/>
      <c r="H483" s="892"/>
      <c r="I483" s="892"/>
      <c r="L483" s="164"/>
      <c r="N483" s="174"/>
    </row>
    <row r="484" spans="2:14" ht="31.9" customHeight="1">
      <c r="B484" s="167"/>
      <c r="C484" s="168"/>
      <c r="D484" s="892"/>
      <c r="E484" s="892"/>
      <c r="F484" s="892"/>
      <c r="G484" s="892"/>
      <c r="H484" s="892"/>
      <c r="I484" s="892"/>
      <c r="L484" s="164"/>
      <c r="N484" s="174"/>
    </row>
    <row r="485" spans="2:14" ht="31.9" customHeight="1">
      <c r="B485" s="167"/>
      <c r="C485" s="168"/>
      <c r="D485" s="892"/>
      <c r="E485" s="892"/>
      <c r="F485" s="892"/>
      <c r="G485" s="892"/>
      <c r="H485" s="892"/>
      <c r="I485" s="892"/>
      <c r="L485" s="164"/>
      <c r="N485" s="174"/>
    </row>
    <row r="486" spans="2:14" ht="31.9" customHeight="1">
      <c r="B486" s="167"/>
      <c r="C486" s="168"/>
      <c r="D486" s="892"/>
      <c r="E486" s="892"/>
      <c r="F486" s="892"/>
      <c r="G486" s="892"/>
      <c r="H486" s="892"/>
      <c r="I486" s="892"/>
      <c r="L486" s="164"/>
      <c r="N486" s="174"/>
    </row>
    <row r="487" spans="2:14" ht="31.9" customHeight="1">
      <c r="B487" s="167"/>
      <c r="C487" s="168"/>
      <c r="D487" s="892"/>
      <c r="E487" s="892"/>
      <c r="F487" s="892"/>
      <c r="G487" s="892"/>
      <c r="H487" s="892"/>
      <c r="I487" s="892"/>
      <c r="L487" s="164"/>
      <c r="N487" s="174"/>
    </row>
    <row r="488" spans="2:14" ht="31.9" customHeight="1">
      <c r="B488" s="167"/>
      <c r="C488" s="168"/>
      <c r="D488" s="892"/>
      <c r="E488" s="892"/>
      <c r="F488" s="892"/>
      <c r="G488" s="892"/>
      <c r="H488" s="892"/>
      <c r="I488" s="892"/>
      <c r="L488" s="164"/>
      <c r="N488" s="174"/>
    </row>
    <row r="489" spans="2:14" ht="31.9" customHeight="1">
      <c r="B489" s="167"/>
      <c r="C489" s="168"/>
      <c r="D489" s="892"/>
      <c r="E489" s="892"/>
      <c r="F489" s="892"/>
      <c r="G489" s="892"/>
      <c r="H489" s="892"/>
      <c r="I489" s="892"/>
      <c r="L489" s="164"/>
      <c r="N489" s="174"/>
    </row>
    <row r="490" spans="2:14" ht="31.9" customHeight="1">
      <c r="B490" s="167"/>
      <c r="C490" s="168"/>
      <c r="D490" s="892"/>
      <c r="E490" s="892"/>
      <c r="F490" s="892"/>
      <c r="G490" s="892"/>
      <c r="H490" s="892"/>
      <c r="I490" s="892"/>
      <c r="L490" s="164"/>
      <c r="N490" s="174"/>
    </row>
    <row r="491" spans="2:14" ht="31.9" customHeight="1">
      <c r="B491" s="167"/>
      <c r="C491" s="168"/>
      <c r="D491" s="892"/>
      <c r="E491" s="892"/>
      <c r="F491" s="892"/>
      <c r="G491" s="892"/>
      <c r="H491" s="892"/>
      <c r="I491" s="892"/>
      <c r="L491" s="164"/>
      <c r="N491" s="174"/>
    </row>
    <row r="492" spans="2:14" ht="31.9" customHeight="1">
      <c r="B492" s="167"/>
      <c r="C492" s="168"/>
      <c r="D492" s="892"/>
      <c r="E492" s="892"/>
      <c r="F492" s="892"/>
      <c r="G492" s="892"/>
      <c r="H492" s="892"/>
      <c r="I492" s="892"/>
      <c r="L492" s="164"/>
      <c r="N492" s="174"/>
    </row>
    <row r="493" spans="2:14" ht="31.9" customHeight="1">
      <c r="B493" s="167"/>
      <c r="C493" s="168"/>
      <c r="D493" s="892"/>
      <c r="E493" s="892"/>
      <c r="F493" s="892"/>
      <c r="G493" s="892"/>
      <c r="H493" s="892"/>
      <c r="I493" s="892"/>
      <c r="L493" s="164"/>
      <c r="N493" s="174"/>
    </row>
    <row r="494" spans="2:14" ht="31.9" customHeight="1">
      <c r="B494" s="167"/>
      <c r="C494" s="168"/>
      <c r="D494" s="892"/>
      <c r="E494" s="892"/>
      <c r="F494" s="892"/>
      <c r="G494" s="892"/>
      <c r="H494" s="892"/>
      <c r="I494" s="892"/>
      <c r="L494" s="164"/>
      <c r="N494" s="174"/>
    </row>
    <row r="495" spans="2:14" ht="31.9" customHeight="1">
      <c r="B495" s="167"/>
      <c r="C495" s="168"/>
      <c r="D495" s="892"/>
      <c r="E495" s="892"/>
      <c r="F495" s="892"/>
      <c r="G495" s="892"/>
      <c r="H495" s="892"/>
      <c r="I495" s="892"/>
      <c r="L495" s="164"/>
      <c r="N495" s="174"/>
    </row>
    <row r="496" spans="2:14" ht="31.9" customHeight="1">
      <c r="B496" s="167"/>
      <c r="C496" s="168"/>
      <c r="D496" s="892"/>
      <c r="E496" s="892"/>
      <c r="F496" s="892"/>
      <c r="G496" s="892"/>
      <c r="H496" s="892"/>
      <c r="I496" s="892"/>
      <c r="L496" s="164"/>
      <c r="N496" s="174"/>
    </row>
    <row r="497" spans="2:14" ht="31.9" customHeight="1">
      <c r="B497" s="167"/>
      <c r="C497" s="168"/>
      <c r="D497" s="892"/>
      <c r="E497" s="892"/>
      <c r="F497" s="892"/>
      <c r="G497" s="892"/>
      <c r="H497" s="892"/>
      <c r="I497" s="892"/>
      <c r="L497" s="164"/>
      <c r="N497" s="174"/>
    </row>
    <row r="498" spans="2:14" ht="31.9" customHeight="1">
      <c r="B498" s="167"/>
      <c r="C498" s="168"/>
      <c r="D498" s="892"/>
      <c r="E498" s="892"/>
      <c r="F498" s="892"/>
      <c r="G498" s="892"/>
      <c r="H498" s="892"/>
      <c r="I498" s="892"/>
      <c r="L498" s="164"/>
      <c r="N498" s="174"/>
    </row>
    <row r="499" spans="2:14" ht="31.9" customHeight="1">
      <c r="B499" s="167"/>
      <c r="C499" s="168"/>
      <c r="D499" s="892"/>
      <c r="E499" s="892"/>
      <c r="F499" s="892"/>
      <c r="G499" s="892"/>
      <c r="H499" s="892"/>
      <c r="I499" s="892"/>
      <c r="L499" s="164"/>
      <c r="N499" s="174"/>
    </row>
    <row r="500" spans="2:14" ht="31.9" customHeight="1">
      <c r="B500" s="167"/>
      <c r="C500" s="168"/>
      <c r="D500" s="892"/>
      <c r="E500" s="892"/>
      <c r="F500" s="892"/>
      <c r="G500" s="892"/>
      <c r="H500" s="892"/>
      <c r="I500" s="892"/>
      <c r="L500" s="164"/>
      <c r="N500" s="174"/>
    </row>
    <row r="501" spans="2:14" ht="31.9" customHeight="1">
      <c r="B501" s="167"/>
      <c r="C501" s="168"/>
      <c r="D501" s="892"/>
      <c r="E501" s="892"/>
      <c r="F501" s="892"/>
      <c r="G501" s="892"/>
      <c r="H501" s="892"/>
      <c r="I501" s="892"/>
      <c r="L501" s="164"/>
      <c r="N501" s="174"/>
    </row>
    <row r="502" spans="2:14" ht="31.9" customHeight="1">
      <c r="B502" s="167"/>
      <c r="C502" s="168"/>
      <c r="D502" s="892"/>
      <c r="E502" s="892"/>
      <c r="F502" s="892"/>
      <c r="G502" s="892"/>
      <c r="H502" s="892"/>
      <c r="I502" s="892"/>
      <c r="L502" s="164"/>
      <c r="N502" s="174"/>
    </row>
    <row r="503" spans="2:14" ht="31.9" customHeight="1">
      <c r="B503" s="167"/>
      <c r="C503" s="168"/>
      <c r="D503" s="892"/>
      <c r="E503" s="892"/>
      <c r="F503" s="892"/>
      <c r="G503" s="892"/>
      <c r="H503" s="892"/>
      <c r="I503" s="892"/>
      <c r="L503" s="164"/>
      <c r="N503" s="174"/>
    </row>
    <row r="504" spans="2:14" ht="31.9" customHeight="1">
      <c r="B504" s="167"/>
      <c r="C504" s="168"/>
      <c r="D504" s="892"/>
      <c r="E504" s="892"/>
      <c r="F504" s="892"/>
      <c r="G504" s="892"/>
      <c r="H504" s="892"/>
      <c r="I504" s="892"/>
      <c r="L504" s="164"/>
      <c r="N504" s="174"/>
    </row>
    <row r="505" spans="2:14" ht="31.9" customHeight="1">
      <c r="B505" s="167"/>
      <c r="C505" s="168"/>
      <c r="D505" s="892"/>
      <c r="E505" s="892"/>
      <c r="F505" s="892"/>
      <c r="G505" s="892"/>
      <c r="H505" s="892"/>
      <c r="I505" s="892"/>
      <c r="L505" s="164"/>
      <c r="N505" s="174"/>
    </row>
    <row r="506" spans="2:14" ht="31.9" customHeight="1">
      <c r="B506" s="167"/>
      <c r="C506" s="168"/>
      <c r="D506" s="892"/>
      <c r="E506" s="892"/>
      <c r="F506" s="892"/>
      <c r="G506" s="892"/>
      <c r="H506" s="892"/>
      <c r="I506" s="892"/>
      <c r="L506" s="164"/>
      <c r="N506" s="174"/>
    </row>
    <row r="507" spans="2:14" ht="31.9" customHeight="1">
      <c r="B507" s="167"/>
      <c r="C507" s="168"/>
      <c r="D507" s="892"/>
      <c r="E507" s="892"/>
      <c r="F507" s="892"/>
      <c r="G507" s="892"/>
      <c r="H507" s="892"/>
      <c r="I507" s="892"/>
      <c r="L507" s="164"/>
      <c r="N507" s="174"/>
    </row>
    <row r="508" spans="2:14" ht="31.9" customHeight="1">
      <c r="B508" s="167"/>
      <c r="C508" s="168"/>
      <c r="D508" s="892"/>
      <c r="E508" s="892"/>
      <c r="F508" s="892"/>
      <c r="G508" s="892"/>
      <c r="H508" s="892"/>
      <c r="I508" s="892"/>
      <c r="L508" s="164"/>
      <c r="N508" s="174"/>
    </row>
    <row r="509" spans="2:14" ht="31.9" customHeight="1">
      <c r="B509" s="167"/>
      <c r="C509" s="168"/>
      <c r="D509" s="892"/>
      <c r="E509" s="892"/>
      <c r="F509" s="892"/>
      <c r="G509" s="892"/>
      <c r="H509" s="892"/>
      <c r="I509" s="892"/>
      <c r="L509" s="164"/>
      <c r="N509" s="174"/>
    </row>
    <row r="510" spans="2:14" ht="31.9" customHeight="1">
      <c r="B510" s="167"/>
      <c r="C510" s="168"/>
      <c r="D510" s="892"/>
      <c r="E510" s="892"/>
      <c r="F510" s="892"/>
      <c r="G510" s="892"/>
      <c r="H510" s="892"/>
      <c r="I510" s="892"/>
      <c r="L510" s="164"/>
      <c r="N510" s="174"/>
    </row>
    <row r="511" spans="2:14" ht="31.9" customHeight="1">
      <c r="B511" s="167"/>
      <c r="C511" s="168"/>
      <c r="D511" s="892"/>
      <c r="E511" s="892"/>
      <c r="F511" s="892"/>
      <c r="G511" s="892"/>
      <c r="H511" s="892"/>
      <c r="I511" s="892"/>
      <c r="L511" s="164"/>
      <c r="N511" s="174"/>
    </row>
    <row r="512" spans="2:14" ht="31.9" customHeight="1">
      <c r="B512" s="167"/>
      <c r="C512" s="168"/>
      <c r="D512" s="892"/>
      <c r="E512" s="892"/>
      <c r="F512" s="892"/>
      <c r="G512" s="892"/>
      <c r="H512" s="892"/>
      <c r="I512" s="892"/>
      <c r="L512" s="164"/>
      <c r="N512" s="174"/>
    </row>
    <row r="513" spans="2:14" ht="31.9" customHeight="1">
      <c r="B513" s="167"/>
      <c r="C513" s="168"/>
      <c r="D513" s="892"/>
      <c r="E513" s="892"/>
      <c r="F513" s="892"/>
      <c r="G513" s="892"/>
      <c r="H513" s="892"/>
      <c r="I513" s="892"/>
      <c r="L513" s="164"/>
      <c r="N513" s="174"/>
    </row>
    <row r="514" spans="2:14" ht="31.9" customHeight="1">
      <c r="B514" s="167"/>
      <c r="C514" s="168"/>
      <c r="D514" s="892"/>
      <c r="E514" s="892"/>
      <c r="F514" s="892"/>
      <c r="G514" s="892"/>
      <c r="H514" s="892"/>
      <c r="I514" s="892"/>
      <c r="L514" s="164"/>
      <c r="N514" s="174"/>
    </row>
    <row r="515" spans="2:14" ht="31.9" customHeight="1">
      <c r="B515" s="167"/>
      <c r="C515" s="168"/>
      <c r="D515" s="892"/>
      <c r="E515" s="892"/>
      <c r="F515" s="892"/>
      <c r="G515" s="892"/>
      <c r="H515" s="892"/>
      <c r="I515" s="892"/>
      <c r="L515" s="164"/>
      <c r="N515" s="174"/>
    </row>
    <row r="516" spans="2:14" ht="31.9" customHeight="1">
      <c r="B516" s="167"/>
      <c r="C516" s="168"/>
      <c r="D516" s="892"/>
      <c r="E516" s="892"/>
      <c r="F516" s="892"/>
      <c r="G516" s="892"/>
      <c r="H516" s="892"/>
      <c r="I516" s="892"/>
      <c r="L516" s="164"/>
      <c r="N516" s="174"/>
    </row>
    <row r="517" spans="2:14" ht="31.9" customHeight="1">
      <c r="B517" s="167"/>
      <c r="C517" s="168"/>
      <c r="D517" s="892"/>
      <c r="E517" s="892"/>
      <c r="F517" s="892"/>
      <c r="G517" s="892"/>
      <c r="H517" s="892"/>
      <c r="I517" s="892"/>
      <c r="L517" s="164"/>
      <c r="N517" s="174"/>
    </row>
    <row r="518" spans="2:14" ht="31.9" customHeight="1">
      <c r="B518" s="167"/>
      <c r="C518" s="168"/>
      <c r="D518" s="892"/>
      <c r="E518" s="892"/>
      <c r="F518" s="892"/>
      <c r="G518" s="892"/>
      <c r="H518" s="892"/>
      <c r="I518" s="892"/>
      <c r="L518" s="164"/>
      <c r="N518" s="174"/>
    </row>
    <row r="519" spans="2:14" ht="31.9" customHeight="1">
      <c r="B519" s="167"/>
      <c r="C519" s="168"/>
      <c r="D519" s="892"/>
      <c r="E519" s="892"/>
      <c r="F519" s="892"/>
      <c r="G519" s="892"/>
      <c r="H519" s="892"/>
      <c r="I519" s="892"/>
      <c r="L519" s="164"/>
      <c r="N519" s="174"/>
    </row>
    <row r="520" spans="2:14" ht="31.9" customHeight="1">
      <c r="B520" s="167"/>
      <c r="C520" s="168"/>
      <c r="D520" s="892"/>
      <c r="E520" s="892"/>
      <c r="F520" s="892"/>
      <c r="G520" s="892"/>
      <c r="H520" s="892"/>
      <c r="I520" s="892"/>
      <c r="L520" s="164"/>
      <c r="N520" s="174"/>
    </row>
    <row r="521" spans="2:14" ht="31.9" customHeight="1">
      <c r="B521" s="167"/>
      <c r="C521" s="168"/>
      <c r="D521" s="892"/>
      <c r="E521" s="892"/>
      <c r="F521" s="892"/>
      <c r="G521" s="892"/>
      <c r="H521" s="892"/>
      <c r="I521" s="892"/>
      <c r="L521" s="164"/>
      <c r="N521" s="174"/>
    </row>
    <row r="522" spans="2:14" ht="31.9" customHeight="1">
      <c r="B522" s="167"/>
      <c r="C522" s="168"/>
      <c r="D522" s="892"/>
      <c r="E522" s="892"/>
      <c r="F522" s="892"/>
      <c r="G522" s="892"/>
      <c r="H522" s="892"/>
      <c r="I522" s="892"/>
      <c r="L522" s="164"/>
      <c r="N522" s="174"/>
    </row>
    <row r="523" spans="2:14" ht="31.9" customHeight="1">
      <c r="B523" s="167"/>
      <c r="C523" s="168"/>
      <c r="D523" s="892"/>
      <c r="E523" s="892"/>
      <c r="F523" s="892"/>
      <c r="G523" s="892"/>
      <c r="H523" s="892"/>
      <c r="I523" s="892"/>
      <c r="L523" s="164"/>
      <c r="N523" s="174"/>
    </row>
    <row r="524" spans="2:14" ht="31.9" customHeight="1">
      <c r="B524" s="167"/>
      <c r="C524" s="168"/>
      <c r="D524" s="892"/>
      <c r="E524" s="892"/>
      <c r="F524" s="892"/>
      <c r="G524" s="892"/>
      <c r="H524" s="892"/>
      <c r="I524" s="892"/>
      <c r="L524" s="164"/>
      <c r="N524" s="174"/>
    </row>
    <row r="525" spans="2:14" ht="31.9" customHeight="1">
      <c r="B525" s="167"/>
      <c r="C525" s="168"/>
      <c r="D525" s="892"/>
      <c r="E525" s="892"/>
      <c r="F525" s="892"/>
      <c r="G525" s="892"/>
      <c r="H525" s="892"/>
      <c r="I525" s="892"/>
      <c r="L525" s="164"/>
      <c r="N525" s="174"/>
    </row>
    <row r="526" spans="2:14" ht="31.9" customHeight="1">
      <c r="B526" s="167"/>
      <c r="C526" s="168"/>
      <c r="D526" s="892"/>
      <c r="E526" s="892"/>
      <c r="F526" s="892"/>
      <c r="G526" s="892"/>
      <c r="H526" s="892"/>
      <c r="I526" s="892"/>
      <c r="L526" s="164"/>
      <c r="N526" s="174"/>
    </row>
    <row r="527" spans="2:14" ht="31.9" customHeight="1">
      <c r="B527" s="167"/>
      <c r="C527" s="168"/>
      <c r="D527" s="892"/>
      <c r="E527" s="892"/>
      <c r="F527" s="892"/>
      <c r="G527" s="892"/>
      <c r="H527" s="892"/>
      <c r="I527" s="892"/>
      <c r="L527" s="164"/>
      <c r="N527" s="174"/>
    </row>
    <row r="528" spans="2:14" ht="31.9" customHeight="1">
      <c r="B528" s="167"/>
      <c r="C528" s="168"/>
      <c r="D528" s="892"/>
      <c r="E528" s="892"/>
      <c r="F528" s="892"/>
      <c r="G528" s="892"/>
      <c r="H528" s="892"/>
      <c r="I528" s="892"/>
      <c r="L528" s="164"/>
      <c r="N528" s="174"/>
    </row>
    <row r="529" spans="2:14" ht="31.9" customHeight="1">
      <c r="B529" s="167"/>
      <c r="C529" s="168"/>
      <c r="D529" s="892"/>
      <c r="E529" s="892"/>
      <c r="F529" s="892"/>
      <c r="G529" s="892"/>
      <c r="H529" s="892"/>
      <c r="I529" s="892"/>
      <c r="L529" s="164"/>
      <c r="N529" s="174"/>
    </row>
    <row r="530" spans="2:14" ht="31.9" customHeight="1">
      <c r="B530" s="167"/>
      <c r="C530" s="168"/>
      <c r="D530" s="892"/>
      <c r="E530" s="892"/>
      <c r="F530" s="892"/>
      <c r="G530" s="892"/>
      <c r="H530" s="892"/>
      <c r="I530" s="892"/>
      <c r="L530" s="164"/>
      <c r="N530" s="174"/>
    </row>
    <row r="531" spans="2:14" ht="31.9" customHeight="1">
      <c r="B531" s="167"/>
      <c r="C531" s="168"/>
      <c r="D531" s="892"/>
      <c r="E531" s="892"/>
      <c r="F531" s="892"/>
      <c r="G531" s="892"/>
      <c r="H531" s="892"/>
      <c r="I531" s="892"/>
      <c r="L531" s="164"/>
      <c r="N531" s="174"/>
    </row>
    <row r="532" spans="2:14" ht="31.9" customHeight="1">
      <c r="B532" s="167"/>
      <c r="C532" s="168"/>
      <c r="D532" s="892"/>
      <c r="E532" s="892"/>
      <c r="F532" s="892"/>
      <c r="G532" s="892"/>
      <c r="H532" s="892"/>
      <c r="I532" s="892"/>
      <c r="L532" s="164"/>
      <c r="N532" s="174"/>
    </row>
    <row r="533" spans="2:14" ht="31.9" customHeight="1">
      <c r="B533" s="167"/>
      <c r="C533" s="168"/>
      <c r="D533" s="892"/>
      <c r="E533" s="892"/>
      <c r="F533" s="892"/>
      <c r="G533" s="892"/>
      <c r="H533" s="892"/>
      <c r="I533" s="892"/>
      <c r="L533" s="164"/>
      <c r="N533" s="174"/>
    </row>
    <row r="534" spans="2:14" ht="31.9" customHeight="1">
      <c r="B534" s="167"/>
      <c r="C534" s="168"/>
      <c r="D534" s="892"/>
      <c r="E534" s="892"/>
      <c r="F534" s="892"/>
      <c r="G534" s="892"/>
      <c r="H534" s="892"/>
      <c r="I534" s="892"/>
      <c r="L534" s="164"/>
      <c r="N534" s="174"/>
    </row>
    <row r="535" spans="2:14" ht="31.9" customHeight="1">
      <c r="B535" s="167"/>
      <c r="C535" s="168"/>
      <c r="D535" s="892"/>
      <c r="E535" s="892"/>
      <c r="F535" s="892"/>
      <c r="G535" s="892"/>
      <c r="H535" s="892"/>
      <c r="I535" s="892"/>
      <c r="L535" s="164"/>
      <c r="N535" s="174"/>
    </row>
    <row r="536" spans="2:14" ht="31.9" customHeight="1">
      <c r="B536" s="167"/>
      <c r="C536" s="168"/>
      <c r="D536" s="892"/>
      <c r="E536" s="892"/>
      <c r="F536" s="892"/>
      <c r="G536" s="892"/>
      <c r="H536" s="892"/>
      <c r="I536" s="892"/>
      <c r="L536" s="164"/>
      <c r="N536" s="174"/>
    </row>
    <row r="537" spans="2:14" ht="31.9" customHeight="1">
      <c r="B537" s="167"/>
      <c r="C537" s="168"/>
      <c r="D537" s="892"/>
      <c r="E537" s="892"/>
      <c r="F537" s="892"/>
      <c r="G537" s="892"/>
      <c r="H537" s="892"/>
      <c r="I537" s="892"/>
      <c r="L537" s="164"/>
      <c r="N537" s="174"/>
    </row>
    <row r="538" spans="2:14" ht="31.9" customHeight="1">
      <c r="B538" s="167"/>
      <c r="C538" s="168"/>
      <c r="D538" s="892"/>
      <c r="E538" s="892"/>
      <c r="F538" s="892"/>
      <c r="G538" s="892"/>
      <c r="H538" s="892"/>
      <c r="I538" s="892"/>
      <c r="L538" s="164"/>
      <c r="N538" s="174"/>
    </row>
    <row r="539" spans="2:14" ht="31.9" customHeight="1">
      <c r="B539" s="167"/>
      <c r="C539" s="168"/>
      <c r="D539" s="892"/>
      <c r="E539" s="892"/>
      <c r="F539" s="892"/>
      <c r="G539" s="892"/>
      <c r="H539" s="892"/>
      <c r="I539" s="892"/>
      <c r="L539" s="164"/>
      <c r="N539" s="174"/>
    </row>
    <row r="540" spans="2:14" ht="31.9" customHeight="1">
      <c r="B540" s="167"/>
      <c r="C540" s="168"/>
      <c r="D540" s="892"/>
      <c r="E540" s="892"/>
      <c r="F540" s="892"/>
      <c r="G540" s="892"/>
      <c r="H540" s="892"/>
      <c r="I540" s="892"/>
      <c r="L540" s="164"/>
      <c r="N540" s="174"/>
    </row>
    <row r="541" spans="2:14" ht="31.9" customHeight="1">
      <c r="B541" s="167"/>
      <c r="C541" s="168"/>
      <c r="D541" s="892"/>
      <c r="E541" s="892"/>
      <c r="F541" s="892"/>
      <c r="G541" s="892"/>
      <c r="H541" s="892"/>
      <c r="I541" s="892"/>
      <c r="L541" s="164"/>
      <c r="N541" s="174"/>
    </row>
    <row r="542" spans="2:14" ht="31.9" customHeight="1">
      <c r="B542" s="167"/>
      <c r="C542" s="168"/>
      <c r="D542" s="892"/>
      <c r="E542" s="892"/>
      <c r="F542" s="892"/>
      <c r="G542" s="892"/>
      <c r="H542" s="892"/>
      <c r="I542" s="892"/>
      <c r="L542" s="164"/>
      <c r="N542" s="174"/>
    </row>
    <row r="543" spans="2:14" ht="31.9" customHeight="1">
      <c r="B543" s="167"/>
      <c r="C543" s="168"/>
      <c r="D543" s="892"/>
      <c r="E543" s="892"/>
      <c r="F543" s="892"/>
      <c r="G543" s="892"/>
      <c r="H543" s="892"/>
      <c r="I543" s="892"/>
      <c r="L543" s="164"/>
      <c r="N543" s="174"/>
    </row>
    <row r="544" spans="2:14" ht="31.9" customHeight="1">
      <c r="B544" s="167"/>
      <c r="C544" s="168"/>
      <c r="D544" s="892"/>
      <c r="E544" s="892"/>
      <c r="F544" s="892"/>
      <c r="G544" s="892"/>
      <c r="H544" s="892"/>
      <c r="I544" s="892"/>
      <c r="L544" s="164"/>
      <c r="N544" s="174"/>
    </row>
    <row r="545" spans="2:14" ht="31.9" customHeight="1">
      <c r="B545" s="167"/>
      <c r="C545" s="168"/>
      <c r="D545" s="892"/>
      <c r="E545" s="892"/>
      <c r="F545" s="892"/>
      <c r="G545" s="892"/>
      <c r="H545" s="892"/>
      <c r="I545" s="892"/>
      <c r="L545" s="164"/>
      <c r="N545" s="174"/>
    </row>
    <row r="546" spans="2:14" ht="31.9" customHeight="1">
      <c r="B546" s="167"/>
      <c r="C546" s="168"/>
      <c r="D546" s="892"/>
      <c r="E546" s="892"/>
      <c r="F546" s="892"/>
      <c r="G546" s="892"/>
      <c r="H546" s="892"/>
      <c r="I546" s="892"/>
      <c r="L546" s="164"/>
      <c r="N546" s="174"/>
    </row>
    <row r="547" spans="2:14" ht="31.9" customHeight="1">
      <c r="B547" s="167"/>
      <c r="C547" s="168"/>
      <c r="D547" s="892"/>
      <c r="E547" s="892"/>
      <c r="F547" s="892"/>
      <c r="G547" s="892"/>
      <c r="H547" s="892"/>
      <c r="I547" s="892"/>
      <c r="L547" s="164"/>
      <c r="N547" s="174"/>
    </row>
    <row r="548" spans="2:14" ht="31.9" customHeight="1">
      <c r="B548" s="167"/>
      <c r="C548" s="168"/>
      <c r="D548" s="892"/>
      <c r="E548" s="892"/>
      <c r="F548" s="892"/>
      <c r="G548" s="892"/>
      <c r="H548" s="892"/>
      <c r="I548" s="892"/>
      <c r="L548" s="164"/>
      <c r="N548" s="174"/>
    </row>
    <row r="549" spans="2:14" ht="31.9" customHeight="1">
      <c r="B549" s="167"/>
      <c r="C549" s="168"/>
      <c r="D549" s="892"/>
      <c r="E549" s="892"/>
      <c r="F549" s="892"/>
      <c r="G549" s="892"/>
      <c r="H549" s="892"/>
      <c r="I549" s="892"/>
      <c r="L549" s="164"/>
      <c r="N549" s="174"/>
    </row>
    <row r="550" spans="2:14" ht="31.9" customHeight="1">
      <c r="B550" s="167"/>
      <c r="C550" s="168"/>
      <c r="D550" s="892"/>
      <c r="E550" s="892"/>
      <c r="F550" s="892"/>
      <c r="G550" s="892"/>
      <c r="H550" s="892"/>
      <c r="I550" s="892"/>
      <c r="L550" s="164"/>
      <c r="N550" s="174"/>
    </row>
    <row r="551" spans="2:14" ht="31.9" customHeight="1">
      <c r="B551" s="167"/>
      <c r="C551" s="168"/>
      <c r="D551" s="892"/>
      <c r="E551" s="892"/>
      <c r="F551" s="892"/>
      <c r="G551" s="892"/>
      <c r="H551" s="892"/>
      <c r="I551" s="892"/>
      <c r="L551" s="164"/>
      <c r="N551" s="174"/>
    </row>
    <row r="552" spans="2:14" ht="31.9" customHeight="1">
      <c r="B552" s="167"/>
      <c r="C552" s="168"/>
      <c r="D552" s="892"/>
      <c r="E552" s="892"/>
      <c r="F552" s="892"/>
      <c r="G552" s="892"/>
      <c r="H552" s="892"/>
      <c r="I552" s="892"/>
      <c r="L552" s="164"/>
      <c r="N552" s="174"/>
    </row>
    <row r="553" spans="2:14" ht="31.9" customHeight="1">
      <c r="B553" s="167"/>
      <c r="C553" s="168"/>
      <c r="D553" s="892"/>
      <c r="E553" s="892"/>
      <c r="F553" s="892"/>
      <c r="G553" s="892"/>
      <c r="H553" s="892"/>
      <c r="I553" s="892"/>
      <c r="L553" s="164"/>
      <c r="N553" s="174"/>
    </row>
    <row r="554" spans="2:14" ht="31.9" customHeight="1">
      <c r="B554" s="167"/>
      <c r="C554" s="168"/>
      <c r="D554" s="892"/>
      <c r="E554" s="892"/>
      <c r="F554" s="892"/>
      <c r="G554" s="892"/>
      <c r="H554" s="892"/>
      <c r="I554" s="892"/>
      <c r="L554" s="164"/>
      <c r="N554" s="174"/>
    </row>
    <row r="555" spans="2:14" ht="31.9" customHeight="1">
      <c r="B555" s="167"/>
      <c r="C555" s="168"/>
      <c r="D555" s="892"/>
      <c r="E555" s="892"/>
      <c r="F555" s="892"/>
      <c r="G555" s="892"/>
      <c r="H555" s="892"/>
      <c r="I555" s="892"/>
      <c r="L555" s="164"/>
      <c r="N555" s="174"/>
    </row>
    <row r="556" spans="2:14" ht="31.9" customHeight="1">
      <c r="B556" s="167"/>
      <c r="C556" s="168"/>
      <c r="D556" s="892"/>
      <c r="E556" s="892"/>
      <c r="F556" s="892"/>
      <c r="G556" s="892"/>
      <c r="H556" s="892"/>
      <c r="I556" s="892"/>
      <c r="L556" s="164"/>
      <c r="N556" s="174"/>
    </row>
    <row r="557" spans="2:14" ht="31.9" customHeight="1">
      <c r="B557" s="167"/>
      <c r="C557" s="168"/>
      <c r="D557" s="892"/>
      <c r="E557" s="892"/>
      <c r="F557" s="892"/>
      <c r="G557" s="892"/>
      <c r="H557" s="892"/>
      <c r="I557" s="892"/>
      <c r="L557" s="164"/>
      <c r="N557" s="174"/>
    </row>
    <row r="558" spans="2:14" ht="31.9" customHeight="1">
      <c r="B558" s="167"/>
      <c r="C558" s="168"/>
      <c r="D558" s="892"/>
      <c r="E558" s="892"/>
      <c r="F558" s="892"/>
      <c r="G558" s="892"/>
      <c r="H558" s="892"/>
      <c r="I558" s="892"/>
      <c r="L558" s="164"/>
      <c r="N558" s="174"/>
    </row>
    <row r="559" spans="2:14" ht="31.9" customHeight="1">
      <c r="B559" s="167"/>
      <c r="C559" s="168"/>
      <c r="D559" s="892"/>
      <c r="E559" s="892"/>
      <c r="F559" s="892"/>
      <c r="G559" s="892"/>
      <c r="H559" s="892"/>
      <c r="I559" s="892"/>
      <c r="L559" s="164"/>
      <c r="N559" s="174"/>
    </row>
    <row r="560" spans="2:14" ht="31.9" customHeight="1">
      <c r="B560" s="167"/>
      <c r="C560" s="168"/>
      <c r="D560" s="892"/>
      <c r="E560" s="892"/>
      <c r="F560" s="892"/>
      <c r="G560" s="892"/>
      <c r="H560" s="892"/>
      <c r="I560" s="892"/>
      <c r="L560" s="164"/>
      <c r="N560" s="174"/>
    </row>
    <row r="561" spans="2:14" ht="31.9" customHeight="1">
      <c r="B561" s="167"/>
      <c r="C561" s="168"/>
      <c r="D561" s="892"/>
      <c r="E561" s="892"/>
      <c r="F561" s="892"/>
      <c r="G561" s="892"/>
      <c r="H561" s="892"/>
      <c r="I561" s="892"/>
      <c r="L561" s="164"/>
      <c r="N561" s="174"/>
    </row>
    <row r="562" spans="2:14" ht="31.9" customHeight="1">
      <c r="B562" s="167"/>
      <c r="C562" s="168"/>
      <c r="D562" s="892"/>
      <c r="E562" s="892"/>
      <c r="F562" s="892"/>
      <c r="G562" s="892"/>
      <c r="H562" s="892"/>
      <c r="I562" s="892"/>
      <c r="L562" s="164"/>
      <c r="N562" s="174"/>
    </row>
    <row r="563" spans="2:14" ht="31.9" customHeight="1">
      <c r="B563" s="167"/>
      <c r="C563" s="168"/>
      <c r="D563" s="892"/>
      <c r="E563" s="892"/>
      <c r="F563" s="892"/>
      <c r="G563" s="892"/>
      <c r="H563" s="892"/>
      <c r="I563" s="892"/>
      <c r="L563" s="164"/>
      <c r="N563" s="174"/>
    </row>
    <row r="564" spans="2:14" ht="31.9" customHeight="1">
      <c r="B564" s="167"/>
      <c r="C564" s="168"/>
      <c r="D564" s="892"/>
      <c r="E564" s="892"/>
      <c r="F564" s="892"/>
      <c r="G564" s="892"/>
      <c r="H564" s="892"/>
      <c r="I564" s="892"/>
      <c r="L564" s="164"/>
      <c r="N564" s="174"/>
    </row>
    <row r="565" spans="2:14" ht="31.9" customHeight="1">
      <c r="B565" s="167"/>
      <c r="C565" s="168"/>
      <c r="D565" s="892"/>
      <c r="E565" s="892"/>
      <c r="F565" s="892"/>
      <c r="G565" s="892"/>
      <c r="H565" s="892"/>
      <c r="I565" s="892"/>
      <c r="L565" s="164"/>
      <c r="N565" s="174"/>
    </row>
    <row r="566" spans="2:14" ht="31.9" customHeight="1">
      <c r="B566" s="167"/>
      <c r="C566" s="168"/>
      <c r="D566" s="892"/>
      <c r="E566" s="892"/>
      <c r="F566" s="892"/>
      <c r="G566" s="892"/>
      <c r="H566" s="892"/>
      <c r="I566" s="892"/>
      <c r="L566" s="164"/>
      <c r="N566" s="174"/>
    </row>
    <row r="567" spans="2:14" ht="31.9" customHeight="1">
      <c r="B567" s="167"/>
      <c r="C567" s="168"/>
      <c r="D567" s="892"/>
      <c r="E567" s="892"/>
      <c r="F567" s="892"/>
      <c r="G567" s="892"/>
      <c r="H567" s="892"/>
      <c r="I567" s="892"/>
      <c r="L567" s="164"/>
      <c r="N567" s="174"/>
    </row>
    <row r="568" spans="2:14" ht="31.9" customHeight="1">
      <c r="B568" s="167"/>
      <c r="C568" s="168"/>
      <c r="D568" s="892"/>
      <c r="E568" s="892"/>
      <c r="F568" s="892"/>
      <c r="G568" s="892"/>
      <c r="H568" s="892"/>
      <c r="I568" s="892"/>
      <c r="L568" s="164"/>
      <c r="N568" s="174"/>
    </row>
    <row r="569" spans="2:14" ht="31.9" customHeight="1">
      <c r="B569" s="167"/>
      <c r="C569" s="168"/>
      <c r="D569" s="892"/>
      <c r="E569" s="892"/>
      <c r="F569" s="892"/>
      <c r="G569" s="892"/>
      <c r="H569" s="892"/>
      <c r="I569" s="892"/>
      <c r="L569" s="164"/>
      <c r="N569" s="174"/>
    </row>
    <row r="570" spans="2:14" ht="31.9" customHeight="1">
      <c r="B570" s="167"/>
      <c r="C570" s="168"/>
      <c r="D570" s="892"/>
      <c r="E570" s="892"/>
      <c r="F570" s="892"/>
      <c r="G570" s="892"/>
      <c r="H570" s="892"/>
      <c r="I570" s="892"/>
      <c r="L570" s="164"/>
      <c r="N570" s="174"/>
    </row>
    <row r="571" spans="2:14" ht="31.9" customHeight="1">
      <c r="B571" s="167"/>
      <c r="C571" s="168"/>
      <c r="D571" s="892"/>
      <c r="E571" s="892"/>
      <c r="F571" s="892"/>
      <c r="G571" s="892"/>
      <c r="H571" s="892"/>
      <c r="I571" s="892"/>
      <c r="L571" s="164"/>
      <c r="N571" s="174"/>
    </row>
    <row r="572" spans="2:14" ht="31.9" customHeight="1">
      <c r="B572" s="167"/>
      <c r="C572" s="168"/>
      <c r="D572" s="892"/>
      <c r="E572" s="892"/>
      <c r="F572" s="892"/>
      <c r="G572" s="892"/>
      <c r="H572" s="892"/>
      <c r="I572" s="892"/>
      <c r="L572" s="164"/>
      <c r="N572" s="174"/>
    </row>
    <row r="573" spans="2:14" ht="31.9" customHeight="1">
      <c r="B573" s="167"/>
      <c r="C573" s="168"/>
      <c r="D573" s="892"/>
      <c r="E573" s="892"/>
      <c r="F573" s="892"/>
      <c r="G573" s="892"/>
      <c r="H573" s="892"/>
      <c r="I573" s="892"/>
      <c r="L573" s="164"/>
      <c r="N573" s="174"/>
    </row>
    <row r="574" spans="2:14" ht="31.9" customHeight="1">
      <c r="B574" s="167"/>
      <c r="C574" s="168"/>
      <c r="D574" s="892"/>
      <c r="E574" s="892"/>
      <c r="F574" s="892"/>
      <c r="G574" s="892"/>
      <c r="H574" s="892"/>
      <c r="I574" s="892"/>
      <c r="L574" s="164"/>
      <c r="N574" s="174"/>
    </row>
    <row r="575" spans="2:14" ht="31.9" customHeight="1">
      <c r="B575" s="167"/>
      <c r="C575" s="168"/>
      <c r="D575" s="892"/>
      <c r="E575" s="892"/>
      <c r="F575" s="892"/>
      <c r="G575" s="892"/>
      <c r="H575" s="892"/>
      <c r="I575" s="892"/>
      <c r="L575" s="164"/>
      <c r="N575" s="174"/>
    </row>
    <row r="576" spans="2:14" ht="31.9" customHeight="1">
      <c r="B576" s="167"/>
      <c r="C576" s="168"/>
      <c r="D576" s="892"/>
      <c r="E576" s="892"/>
      <c r="F576" s="892"/>
      <c r="G576" s="892"/>
      <c r="H576" s="892"/>
      <c r="I576" s="892"/>
      <c r="L576" s="164"/>
      <c r="N576" s="174"/>
    </row>
    <row r="577" spans="2:14" ht="31.9" customHeight="1">
      <c r="B577" s="167"/>
      <c r="C577" s="168"/>
      <c r="D577" s="892"/>
      <c r="E577" s="892"/>
      <c r="F577" s="892"/>
      <c r="G577" s="892"/>
      <c r="H577" s="892"/>
      <c r="I577" s="892"/>
      <c r="L577" s="164"/>
      <c r="N577" s="174"/>
    </row>
    <row r="578" spans="2:14" ht="31.9" customHeight="1">
      <c r="B578" s="167"/>
      <c r="C578" s="168"/>
      <c r="D578" s="892"/>
      <c r="E578" s="892"/>
      <c r="F578" s="892"/>
      <c r="G578" s="892"/>
      <c r="H578" s="892"/>
      <c r="I578" s="892"/>
      <c r="L578" s="164"/>
      <c r="N578" s="174"/>
    </row>
    <row r="579" spans="2:14" ht="31.9" customHeight="1">
      <c r="B579" s="167"/>
      <c r="C579" s="168"/>
      <c r="D579" s="892"/>
      <c r="E579" s="892"/>
      <c r="F579" s="892"/>
      <c r="G579" s="892"/>
      <c r="H579" s="892"/>
      <c r="I579" s="892"/>
      <c r="L579" s="164"/>
      <c r="N579" s="174"/>
    </row>
    <row r="580" spans="2:14" ht="31.9" customHeight="1">
      <c r="B580" s="167"/>
      <c r="C580" s="168"/>
      <c r="D580" s="892"/>
      <c r="E580" s="892"/>
      <c r="F580" s="892"/>
      <c r="G580" s="892"/>
      <c r="H580" s="892"/>
      <c r="I580" s="892"/>
      <c r="L580" s="164"/>
      <c r="N580" s="174"/>
    </row>
    <row r="581" spans="2:14" ht="31.9" customHeight="1">
      <c r="B581" s="167"/>
      <c r="C581" s="168"/>
      <c r="D581" s="892"/>
      <c r="E581" s="892"/>
      <c r="F581" s="892"/>
      <c r="G581" s="892"/>
      <c r="H581" s="892"/>
      <c r="I581" s="892"/>
      <c r="L581" s="164"/>
      <c r="N581" s="174"/>
    </row>
    <row r="582" spans="2:14" ht="31.9" customHeight="1">
      <c r="B582" s="167"/>
      <c r="C582" s="168"/>
      <c r="D582" s="892"/>
      <c r="E582" s="892"/>
      <c r="F582" s="892"/>
      <c r="G582" s="892"/>
      <c r="H582" s="892"/>
      <c r="I582" s="892"/>
      <c r="L582" s="164"/>
      <c r="N582" s="174"/>
    </row>
    <row r="583" spans="2:14" ht="31.9" customHeight="1">
      <c r="B583" s="167"/>
      <c r="C583" s="168"/>
      <c r="D583" s="892"/>
      <c r="E583" s="892"/>
      <c r="F583" s="892"/>
      <c r="G583" s="892"/>
      <c r="H583" s="892"/>
      <c r="I583" s="892"/>
      <c r="L583" s="164"/>
      <c r="N583" s="174"/>
    </row>
    <row r="584" spans="2:14" ht="31.9" customHeight="1">
      <c r="B584" s="167"/>
      <c r="C584" s="168"/>
      <c r="D584" s="892"/>
      <c r="E584" s="892"/>
      <c r="F584" s="892"/>
      <c r="G584" s="892"/>
      <c r="H584" s="892"/>
      <c r="I584" s="892"/>
      <c r="L584" s="164"/>
      <c r="N584" s="174"/>
    </row>
    <row r="585" spans="2:14" ht="31.9" customHeight="1">
      <c r="B585" s="167"/>
      <c r="C585" s="168"/>
      <c r="D585" s="892"/>
      <c r="E585" s="892"/>
      <c r="F585" s="892"/>
      <c r="G585" s="892"/>
      <c r="H585" s="892"/>
      <c r="I585" s="892"/>
      <c r="L585" s="164"/>
      <c r="N585" s="174"/>
    </row>
    <row r="586" spans="2:14" ht="31.9" customHeight="1">
      <c r="B586" s="167"/>
      <c r="C586" s="168"/>
      <c r="D586" s="892"/>
      <c r="E586" s="892"/>
      <c r="F586" s="892"/>
      <c r="G586" s="892"/>
      <c r="H586" s="892"/>
      <c r="I586" s="892"/>
      <c r="L586" s="164"/>
      <c r="N586" s="174"/>
    </row>
    <row r="587" spans="2:14" ht="31.9" customHeight="1">
      <c r="B587" s="167"/>
      <c r="C587" s="168"/>
      <c r="D587" s="892"/>
      <c r="E587" s="892"/>
      <c r="F587" s="892"/>
      <c r="G587" s="892"/>
      <c r="H587" s="892"/>
      <c r="I587" s="892"/>
      <c r="L587" s="164"/>
      <c r="N587" s="174"/>
    </row>
    <row r="588" spans="2:14" ht="31.9" customHeight="1">
      <c r="B588" s="167"/>
      <c r="C588" s="168"/>
      <c r="D588" s="892"/>
      <c r="E588" s="892"/>
      <c r="F588" s="892"/>
      <c r="G588" s="892"/>
      <c r="H588" s="892"/>
      <c r="I588" s="892"/>
      <c r="L588" s="164"/>
      <c r="N588" s="174"/>
    </row>
    <row r="589" spans="2:14" ht="31.9" customHeight="1">
      <c r="B589" s="167"/>
      <c r="C589" s="168"/>
      <c r="D589" s="892"/>
      <c r="E589" s="892"/>
      <c r="F589" s="892"/>
      <c r="G589" s="892"/>
      <c r="H589" s="892"/>
      <c r="I589" s="892"/>
      <c r="L589" s="164"/>
      <c r="N589" s="174"/>
    </row>
    <row r="590" spans="2:14" ht="31.9" customHeight="1">
      <c r="B590" s="167"/>
      <c r="C590" s="168"/>
      <c r="D590" s="892"/>
      <c r="E590" s="892"/>
      <c r="F590" s="892"/>
      <c r="G590" s="892"/>
      <c r="H590" s="892"/>
      <c r="I590" s="892"/>
      <c r="L590" s="164"/>
      <c r="N590" s="174"/>
    </row>
    <row r="591" spans="2:14" ht="31.9" customHeight="1">
      <c r="B591" s="167"/>
      <c r="C591" s="168"/>
      <c r="D591" s="892"/>
      <c r="E591" s="892"/>
      <c r="F591" s="892"/>
      <c r="G591" s="892"/>
      <c r="H591" s="892"/>
      <c r="I591" s="892"/>
      <c r="L591" s="164"/>
      <c r="N591" s="174"/>
    </row>
    <row r="592" spans="2:14" ht="31.9" customHeight="1">
      <c r="B592" s="167"/>
      <c r="C592" s="168"/>
      <c r="D592" s="892"/>
      <c r="E592" s="892"/>
      <c r="F592" s="892"/>
      <c r="G592" s="892"/>
      <c r="H592" s="892"/>
      <c r="I592" s="892"/>
      <c r="L592" s="164"/>
      <c r="N592" s="174"/>
    </row>
    <row r="593" spans="2:14" ht="31.9" customHeight="1">
      <c r="B593" s="167"/>
      <c r="C593" s="168"/>
      <c r="D593" s="892"/>
      <c r="E593" s="892"/>
      <c r="F593" s="892"/>
      <c r="G593" s="892"/>
      <c r="H593" s="892"/>
      <c r="I593" s="892"/>
      <c r="L593" s="164"/>
      <c r="N593" s="174"/>
    </row>
    <row r="594" spans="2:14" ht="31.9" customHeight="1">
      <c r="B594" s="167"/>
      <c r="C594" s="168"/>
      <c r="D594" s="892"/>
      <c r="E594" s="892"/>
      <c r="F594" s="892"/>
      <c r="G594" s="892"/>
      <c r="H594" s="892"/>
      <c r="I594" s="892"/>
      <c r="L594" s="164"/>
      <c r="N594" s="174"/>
    </row>
    <row r="595" spans="2:14" ht="31.9" customHeight="1">
      <c r="B595" s="167"/>
      <c r="C595" s="168"/>
      <c r="D595" s="892"/>
      <c r="E595" s="892"/>
      <c r="F595" s="892"/>
      <c r="G595" s="892"/>
      <c r="H595" s="892"/>
      <c r="I595" s="892"/>
      <c r="L595" s="164"/>
      <c r="N595" s="174"/>
    </row>
    <row r="596" spans="2:14" ht="31.9" customHeight="1">
      <c r="B596" s="167"/>
      <c r="C596" s="168"/>
      <c r="D596" s="892"/>
      <c r="E596" s="892"/>
      <c r="F596" s="892"/>
      <c r="G596" s="892"/>
      <c r="H596" s="892"/>
      <c r="I596" s="892"/>
      <c r="L596" s="164"/>
      <c r="N596" s="174"/>
    </row>
    <row r="597" spans="2:14" ht="31.9" customHeight="1">
      <c r="B597" s="167"/>
      <c r="C597" s="168"/>
      <c r="D597" s="892"/>
      <c r="E597" s="892"/>
      <c r="F597" s="892"/>
      <c r="G597" s="892"/>
      <c r="H597" s="892"/>
      <c r="I597" s="892"/>
      <c r="L597" s="164"/>
      <c r="N597" s="174"/>
    </row>
    <row r="598" spans="2:14" ht="31.9" customHeight="1">
      <c r="B598" s="167"/>
      <c r="C598" s="168"/>
      <c r="D598" s="892"/>
      <c r="E598" s="892"/>
      <c r="F598" s="892"/>
      <c r="G598" s="892"/>
      <c r="H598" s="892"/>
      <c r="I598" s="892"/>
      <c r="L598" s="164"/>
      <c r="N598" s="174"/>
    </row>
    <row r="599" spans="2:14" ht="31.9" customHeight="1">
      <c r="B599" s="167"/>
      <c r="C599" s="168"/>
      <c r="D599" s="892"/>
      <c r="E599" s="892"/>
      <c r="F599" s="892"/>
      <c r="G599" s="892"/>
      <c r="H599" s="892"/>
      <c r="I599" s="892"/>
      <c r="L599" s="164"/>
      <c r="N599" s="174"/>
    </row>
    <row r="600" spans="2:14" ht="31.9" customHeight="1">
      <c r="B600" s="167"/>
      <c r="C600" s="168"/>
      <c r="D600" s="892"/>
      <c r="E600" s="892"/>
      <c r="F600" s="892"/>
      <c r="G600" s="892"/>
      <c r="H600" s="892"/>
      <c r="I600" s="892"/>
      <c r="L600" s="164"/>
      <c r="N600" s="174"/>
    </row>
    <row r="601" spans="2:14" ht="31.9" customHeight="1">
      <c r="B601" s="167"/>
      <c r="C601" s="168"/>
      <c r="D601" s="892"/>
      <c r="E601" s="892"/>
      <c r="F601" s="892"/>
      <c r="G601" s="892"/>
      <c r="H601" s="892"/>
      <c r="I601" s="892"/>
      <c r="L601" s="164"/>
      <c r="N601" s="174"/>
    </row>
    <row r="602" spans="2:14" ht="31.9" customHeight="1">
      <c r="B602" s="167"/>
      <c r="C602" s="168"/>
      <c r="D602" s="892"/>
      <c r="E602" s="892"/>
      <c r="F602" s="892"/>
      <c r="G602" s="892"/>
      <c r="H602" s="892"/>
      <c r="I602" s="892"/>
      <c r="L602" s="164"/>
      <c r="N602" s="174"/>
    </row>
    <row r="603" spans="2:14" ht="31.9" customHeight="1">
      <c r="B603" s="167"/>
      <c r="C603" s="168"/>
      <c r="D603" s="892"/>
      <c r="E603" s="892"/>
      <c r="F603" s="892"/>
      <c r="G603" s="892"/>
      <c r="H603" s="892"/>
      <c r="I603" s="892"/>
      <c r="L603" s="164"/>
      <c r="N603" s="174"/>
    </row>
    <row r="604" spans="2:14" ht="31.9" customHeight="1">
      <c r="B604" s="167"/>
      <c r="C604" s="168"/>
      <c r="D604" s="892"/>
      <c r="E604" s="892"/>
      <c r="F604" s="892"/>
      <c r="G604" s="892"/>
      <c r="H604" s="892"/>
      <c r="I604" s="892"/>
      <c r="L604" s="164"/>
      <c r="N604" s="174"/>
    </row>
    <row r="605" spans="2:14" ht="31.9" customHeight="1">
      <c r="B605" s="167"/>
      <c r="C605" s="168"/>
      <c r="D605" s="892"/>
      <c r="E605" s="892"/>
      <c r="F605" s="892"/>
      <c r="G605" s="892"/>
      <c r="H605" s="892"/>
      <c r="I605" s="892"/>
      <c r="L605" s="164"/>
      <c r="N605" s="174"/>
    </row>
    <row r="606" spans="2:14" ht="31.9" customHeight="1">
      <c r="B606" s="167"/>
      <c r="C606" s="168"/>
      <c r="D606" s="892"/>
      <c r="E606" s="892"/>
      <c r="F606" s="892"/>
      <c r="G606" s="892"/>
      <c r="H606" s="892"/>
      <c r="I606" s="892"/>
      <c r="L606" s="164"/>
      <c r="N606" s="174"/>
    </row>
    <row r="607" spans="2:14" ht="31.9" customHeight="1">
      <c r="B607" s="167"/>
      <c r="C607" s="168"/>
      <c r="D607" s="892"/>
      <c r="E607" s="892"/>
      <c r="F607" s="892"/>
      <c r="G607" s="892"/>
      <c r="H607" s="892"/>
      <c r="I607" s="892"/>
      <c r="L607" s="164"/>
      <c r="N607" s="174"/>
    </row>
    <row r="608" spans="2:14" ht="31.9" customHeight="1">
      <c r="B608" s="167"/>
      <c r="C608" s="168"/>
      <c r="D608" s="892"/>
      <c r="E608" s="892"/>
      <c r="F608" s="892"/>
      <c r="G608" s="892"/>
      <c r="H608" s="892"/>
      <c r="I608" s="892"/>
      <c r="L608" s="164"/>
      <c r="N608" s="174"/>
    </row>
    <row r="609" spans="2:14" ht="31.9" customHeight="1">
      <c r="B609" s="167"/>
      <c r="C609" s="168"/>
      <c r="D609" s="892"/>
      <c r="E609" s="892"/>
      <c r="F609" s="892"/>
      <c r="G609" s="892"/>
      <c r="H609" s="892"/>
      <c r="I609" s="892"/>
      <c r="L609" s="164"/>
      <c r="N609" s="174"/>
    </row>
    <row r="610" spans="2:14" ht="31.9" customHeight="1">
      <c r="B610" s="167"/>
      <c r="C610" s="168"/>
      <c r="D610" s="892"/>
      <c r="E610" s="892"/>
      <c r="F610" s="892"/>
      <c r="G610" s="892"/>
      <c r="H610" s="892"/>
      <c r="I610" s="892"/>
      <c r="L610" s="164"/>
      <c r="N610" s="174"/>
    </row>
    <row r="611" spans="2:14" ht="31.9" customHeight="1">
      <c r="B611" s="167"/>
      <c r="C611" s="168"/>
      <c r="D611" s="892"/>
      <c r="E611" s="892"/>
      <c r="F611" s="892"/>
      <c r="G611" s="892"/>
      <c r="H611" s="892"/>
      <c r="I611" s="892"/>
      <c r="L611" s="164"/>
      <c r="N611" s="174"/>
    </row>
    <row r="612" spans="2:14" ht="31.9" customHeight="1">
      <c r="B612" s="167"/>
      <c r="C612" s="168"/>
      <c r="D612" s="892"/>
      <c r="E612" s="892"/>
      <c r="F612" s="892"/>
      <c r="G612" s="892"/>
      <c r="H612" s="892"/>
      <c r="I612" s="892"/>
      <c r="L612" s="164"/>
      <c r="N612" s="174"/>
    </row>
    <row r="613" spans="2:14" ht="31.9" customHeight="1">
      <c r="B613" s="167"/>
      <c r="C613" s="168"/>
      <c r="D613" s="892"/>
      <c r="E613" s="892"/>
      <c r="F613" s="892"/>
      <c r="G613" s="892"/>
      <c r="H613" s="892"/>
      <c r="I613" s="892"/>
      <c r="L613" s="164"/>
      <c r="N613" s="174"/>
    </row>
    <row r="614" spans="2:14" ht="31.9" customHeight="1">
      <c r="B614" s="167"/>
      <c r="C614" s="168"/>
      <c r="D614" s="892"/>
      <c r="E614" s="892"/>
      <c r="F614" s="892"/>
      <c r="G614" s="892"/>
      <c r="H614" s="892"/>
      <c r="I614" s="892"/>
      <c r="L614" s="164"/>
      <c r="N614" s="174"/>
    </row>
    <row r="615" spans="2:14" ht="31.9" customHeight="1">
      <c r="B615" s="167"/>
      <c r="C615" s="168"/>
      <c r="D615" s="892"/>
      <c r="E615" s="892"/>
      <c r="F615" s="892"/>
      <c r="G615" s="892"/>
      <c r="H615" s="892"/>
      <c r="I615" s="892"/>
      <c r="L615" s="164"/>
      <c r="N615" s="174"/>
    </row>
    <row r="616" spans="2:14" ht="31.9" customHeight="1">
      <c r="B616" s="167"/>
      <c r="C616" s="168"/>
      <c r="D616" s="892"/>
      <c r="E616" s="892"/>
      <c r="F616" s="892"/>
      <c r="G616" s="892"/>
      <c r="H616" s="892"/>
      <c r="I616" s="892"/>
      <c r="L616" s="164"/>
      <c r="N616" s="174"/>
    </row>
    <row r="617" spans="2:14" ht="31.9" customHeight="1">
      <c r="B617" s="167"/>
      <c r="C617" s="168"/>
      <c r="D617" s="892"/>
      <c r="E617" s="892"/>
      <c r="F617" s="892"/>
      <c r="G617" s="892"/>
      <c r="H617" s="892"/>
      <c r="I617" s="892"/>
      <c r="L617" s="164"/>
      <c r="N617" s="174"/>
    </row>
    <row r="618" spans="2:14" ht="31.9" customHeight="1">
      <c r="B618" s="167"/>
      <c r="C618" s="168"/>
      <c r="D618" s="892"/>
      <c r="E618" s="892"/>
      <c r="F618" s="892"/>
      <c r="G618" s="892"/>
      <c r="H618" s="892"/>
      <c r="I618" s="892"/>
      <c r="L618" s="164"/>
      <c r="N618" s="174"/>
    </row>
    <row r="619" spans="2:14" ht="31.9" customHeight="1">
      <c r="B619" s="167"/>
      <c r="C619" s="168"/>
      <c r="D619" s="892"/>
      <c r="E619" s="892"/>
      <c r="F619" s="892"/>
      <c r="G619" s="892"/>
      <c r="H619" s="892"/>
      <c r="I619" s="892"/>
      <c r="L619" s="164"/>
      <c r="N619" s="174"/>
    </row>
    <row r="620" spans="2:14" ht="31.9" customHeight="1">
      <c r="B620" s="167"/>
      <c r="C620" s="168"/>
      <c r="D620" s="892"/>
      <c r="E620" s="892"/>
      <c r="F620" s="892"/>
      <c r="G620" s="892"/>
      <c r="H620" s="892"/>
      <c r="I620" s="892"/>
      <c r="L620" s="164"/>
      <c r="N620" s="174"/>
    </row>
    <row r="621" spans="2:14" ht="31.9" customHeight="1">
      <c r="B621" s="167"/>
      <c r="C621" s="168"/>
      <c r="D621" s="892"/>
      <c r="E621" s="892"/>
      <c r="F621" s="892"/>
      <c r="G621" s="892"/>
      <c r="H621" s="892"/>
      <c r="I621" s="892"/>
      <c r="L621" s="164"/>
      <c r="N621" s="174"/>
    </row>
    <row r="622" spans="2:14" ht="31.9" customHeight="1">
      <c r="B622" s="167"/>
      <c r="C622" s="168"/>
      <c r="D622" s="892"/>
      <c r="E622" s="892"/>
      <c r="F622" s="892"/>
      <c r="G622" s="892"/>
      <c r="H622" s="892"/>
      <c r="I622" s="892"/>
      <c r="L622" s="164"/>
      <c r="N622" s="174"/>
    </row>
    <row r="623" spans="2:14" ht="31.9" customHeight="1">
      <c r="B623" s="167"/>
      <c r="C623" s="168"/>
      <c r="D623" s="892"/>
      <c r="E623" s="892"/>
      <c r="F623" s="892"/>
      <c r="G623" s="892"/>
      <c r="H623" s="892"/>
      <c r="I623" s="892"/>
      <c r="L623" s="164"/>
      <c r="N623" s="174"/>
    </row>
    <row r="624" spans="2:14" ht="31.9" customHeight="1">
      <c r="B624" s="167"/>
      <c r="C624" s="168"/>
      <c r="D624" s="892"/>
      <c r="E624" s="892"/>
      <c r="F624" s="892"/>
      <c r="G624" s="892"/>
      <c r="H624" s="892"/>
      <c r="I624" s="892"/>
      <c r="L624" s="164"/>
      <c r="N624" s="174"/>
    </row>
    <row r="625" spans="2:14" ht="31.9" customHeight="1">
      <c r="B625" s="167"/>
      <c r="C625" s="168"/>
      <c r="D625" s="892"/>
      <c r="E625" s="892"/>
      <c r="F625" s="892"/>
      <c r="G625" s="892"/>
      <c r="H625" s="892"/>
      <c r="I625" s="892"/>
      <c r="L625" s="164"/>
      <c r="N625" s="174"/>
    </row>
    <row r="626" spans="2:14" ht="31.9" customHeight="1">
      <c r="B626" s="167"/>
      <c r="C626" s="168"/>
      <c r="D626" s="892"/>
      <c r="E626" s="892"/>
      <c r="F626" s="892"/>
      <c r="G626" s="892"/>
      <c r="H626" s="892"/>
      <c r="I626" s="892"/>
      <c r="L626" s="164"/>
      <c r="N626" s="174"/>
    </row>
    <row r="627" spans="2:14" ht="31.9" customHeight="1">
      <c r="B627" s="167"/>
      <c r="C627" s="168"/>
      <c r="D627" s="892"/>
      <c r="E627" s="892"/>
      <c r="F627" s="892"/>
      <c r="G627" s="892"/>
      <c r="H627" s="892"/>
      <c r="I627" s="892"/>
      <c r="L627" s="164"/>
      <c r="N627" s="174"/>
    </row>
    <row r="628" spans="2:14" ht="31.9" customHeight="1">
      <c r="B628" s="167"/>
      <c r="C628" s="168"/>
      <c r="D628" s="892"/>
      <c r="E628" s="892"/>
      <c r="F628" s="892"/>
      <c r="G628" s="892"/>
      <c r="H628" s="892"/>
      <c r="I628" s="892"/>
      <c r="L628" s="164"/>
      <c r="N628" s="174"/>
    </row>
    <row r="629" spans="2:14" ht="31.9" customHeight="1">
      <c r="B629" s="167"/>
      <c r="C629" s="168"/>
      <c r="D629" s="892"/>
      <c r="E629" s="892"/>
      <c r="F629" s="892"/>
      <c r="G629" s="892"/>
      <c r="H629" s="892"/>
      <c r="I629" s="892"/>
      <c r="L629" s="164"/>
      <c r="N629" s="174"/>
    </row>
    <row r="630" spans="2:14" ht="31.9" customHeight="1">
      <c r="B630" s="167"/>
      <c r="C630" s="168"/>
      <c r="D630" s="892"/>
      <c r="E630" s="892"/>
      <c r="F630" s="892"/>
      <c r="G630" s="892"/>
      <c r="H630" s="892"/>
      <c r="I630" s="892"/>
      <c r="L630" s="164"/>
      <c r="N630" s="174"/>
    </row>
    <row r="631" spans="2:14" ht="31.9" customHeight="1">
      <c r="B631" s="167"/>
      <c r="C631" s="168"/>
      <c r="D631" s="892"/>
      <c r="E631" s="892"/>
      <c r="F631" s="892"/>
      <c r="G631" s="892"/>
      <c r="H631" s="892"/>
      <c r="I631" s="892"/>
      <c r="L631" s="164"/>
      <c r="N631" s="174"/>
    </row>
    <row r="632" spans="2:14" ht="31.9" customHeight="1">
      <c r="B632" s="167"/>
      <c r="C632" s="168"/>
      <c r="D632" s="892"/>
      <c r="E632" s="892"/>
      <c r="F632" s="892"/>
      <c r="G632" s="892"/>
      <c r="H632" s="892"/>
      <c r="I632" s="892"/>
      <c r="L632" s="164"/>
      <c r="N632" s="174"/>
    </row>
    <row r="633" spans="2:14" ht="31.9" customHeight="1">
      <c r="B633" s="167"/>
      <c r="C633" s="168"/>
      <c r="D633" s="892"/>
      <c r="E633" s="892"/>
      <c r="F633" s="892"/>
      <c r="G633" s="892"/>
      <c r="H633" s="892"/>
      <c r="I633" s="892"/>
      <c r="L633" s="164"/>
      <c r="N633" s="174"/>
    </row>
    <row r="634" spans="2:14" ht="31.9" customHeight="1">
      <c r="B634" s="167"/>
      <c r="C634" s="168"/>
      <c r="D634" s="892"/>
      <c r="E634" s="892"/>
      <c r="F634" s="892"/>
      <c r="G634" s="892"/>
      <c r="H634" s="892"/>
      <c r="I634" s="892"/>
      <c r="L634" s="164"/>
      <c r="N634" s="174"/>
    </row>
    <row r="635" spans="2:14" ht="31.9" customHeight="1">
      <c r="B635" s="167"/>
      <c r="C635" s="168"/>
      <c r="D635" s="892"/>
      <c r="E635" s="892"/>
      <c r="F635" s="892"/>
      <c r="G635" s="892"/>
      <c r="H635" s="892"/>
      <c r="I635" s="892"/>
      <c r="L635" s="164"/>
      <c r="N635" s="174"/>
    </row>
    <row r="636" spans="2:14" ht="31.9" customHeight="1">
      <c r="B636" s="167"/>
      <c r="C636" s="168"/>
      <c r="D636" s="892"/>
      <c r="E636" s="892"/>
      <c r="F636" s="892"/>
      <c r="G636" s="892"/>
      <c r="H636" s="892"/>
      <c r="I636" s="892"/>
      <c r="L636" s="164"/>
      <c r="N636" s="174"/>
    </row>
    <row r="637" spans="2:14" ht="31.9" customHeight="1">
      <c r="B637" s="167"/>
      <c r="C637" s="168"/>
      <c r="D637" s="892"/>
      <c r="E637" s="892"/>
      <c r="F637" s="892"/>
      <c r="G637" s="892"/>
      <c r="H637" s="892"/>
      <c r="I637" s="892"/>
      <c r="L637" s="164"/>
      <c r="N637" s="174"/>
    </row>
    <row r="638" spans="2:14" ht="31.9" customHeight="1">
      <c r="B638" s="167"/>
      <c r="C638" s="168"/>
      <c r="D638" s="892"/>
      <c r="E638" s="892"/>
      <c r="F638" s="892"/>
      <c r="G638" s="892"/>
      <c r="H638" s="892"/>
      <c r="I638" s="892"/>
      <c r="L638" s="164"/>
      <c r="N638" s="174"/>
    </row>
    <row r="639" spans="2:14" ht="31.9" customHeight="1">
      <c r="B639" s="167"/>
      <c r="C639" s="168"/>
      <c r="D639" s="892"/>
      <c r="E639" s="892"/>
      <c r="F639" s="892"/>
      <c r="G639" s="892"/>
      <c r="H639" s="892"/>
      <c r="I639" s="892"/>
      <c r="L639" s="164"/>
      <c r="N639" s="174"/>
    </row>
    <row r="640" spans="2:14" ht="31.9" customHeight="1">
      <c r="B640" s="167"/>
      <c r="C640" s="168"/>
      <c r="D640" s="892"/>
      <c r="E640" s="892"/>
      <c r="F640" s="892"/>
      <c r="G640" s="892"/>
      <c r="H640" s="892"/>
      <c r="I640" s="892"/>
      <c r="L640" s="164"/>
      <c r="N640" s="174"/>
    </row>
    <row r="641" spans="2:14" ht="31.9" customHeight="1">
      <c r="B641" s="167"/>
      <c r="C641" s="168"/>
      <c r="D641" s="892"/>
      <c r="E641" s="892"/>
      <c r="F641" s="892"/>
      <c r="G641" s="892"/>
      <c r="H641" s="892"/>
      <c r="I641" s="892"/>
      <c r="L641" s="164"/>
      <c r="N641" s="174"/>
    </row>
    <row r="642" spans="2:14" ht="31.9" customHeight="1">
      <c r="B642" s="167"/>
      <c r="C642" s="168"/>
      <c r="D642" s="892"/>
      <c r="E642" s="892"/>
      <c r="F642" s="892"/>
      <c r="G642" s="892"/>
      <c r="H642" s="892"/>
      <c r="I642" s="892"/>
      <c r="L642" s="164"/>
      <c r="N642" s="174"/>
    </row>
    <row r="643" spans="2:14" ht="31.9" customHeight="1">
      <c r="B643" s="167"/>
      <c r="C643" s="168"/>
      <c r="D643" s="892"/>
      <c r="E643" s="892"/>
      <c r="F643" s="892"/>
      <c r="G643" s="892"/>
      <c r="H643" s="892"/>
      <c r="I643" s="892"/>
      <c r="L643" s="164"/>
      <c r="N643" s="174"/>
    </row>
    <row r="644" spans="2:14" ht="31.9" customHeight="1">
      <c r="B644" s="167"/>
      <c r="C644" s="168"/>
      <c r="D644" s="892"/>
      <c r="E644" s="892"/>
      <c r="F644" s="892"/>
      <c r="G644" s="892"/>
      <c r="H644" s="892"/>
      <c r="I644" s="892"/>
      <c r="L644" s="164"/>
      <c r="N644" s="174"/>
    </row>
    <row r="645" spans="2:14" ht="31.9" customHeight="1">
      <c r="B645" s="167"/>
      <c r="C645" s="168"/>
      <c r="D645" s="892"/>
      <c r="E645" s="892"/>
      <c r="F645" s="892"/>
      <c r="G645" s="892"/>
      <c r="H645" s="892"/>
      <c r="I645" s="892"/>
      <c r="L645" s="164"/>
      <c r="N645" s="174"/>
    </row>
    <row r="646" spans="2:14" ht="31.9" customHeight="1">
      <c r="B646" s="167"/>
      <c r="C646" s="168"/>
      <c r="D646" s="892"/>
      <c r="E646" s="892"/>
      <c r="F646" s="892"/>
      <c r="G646" s="892"/>
      <c r="H646" s="892"/>
      <c r="I646" s="892"/>
      <c r="L646" s="164"/>
      <c r="N646" s="174"/>
    </row>
    <row r="647" spans="2:14" ht="31.9" customHeight="1">
      <c r="B647" s="167"/>
      <c r="C647" s="168"/>
      <c r="D647" s="892"/>
      <c r="E647" s="892"/>
      <c r="F647" s="892"/>
      <c r="G647" s="892"/>
      <c r="H647" s="892"/>
      <c r="I647" s="892"/>
      <c r="L647" s="164"/>
      <c r="N647" s="174"/>
    </row>
    <row r="648" spans="2:14" ht="31.9" customHeight="1">
      <c r="B648" s="167"/>
      <c r="C648" s="168"/>
      <c r="D648" s="892"/>
      <c r="E648" s="892"/>
      <c r="F648" s="892"/>
      <c r="G648" s="892"/>
      <c r="H648" s="892"/>
      <c r="I648" s="892"/>
      <c r="L648" s="164"/>
      <c r="N648" s="174"/>
    </row>
    <row r="649" spans="2:14" ht="31.9" customHeight="1">
      <c r="B649" s="167"/>
      <c r="C649" s="168"/>
      <c r="D649" s="892"/>
      <c r="E649" s="892"/>
      <c r="F649" s="892"/>
      <c r="G649" s="892"/>
      <c r="H649" s="892"/>
      <c r="I649" s="892"/>
      <c r="L649" s="164"/>
      <c r="N649" s="174"/>
    </row>
    <row r="650" spans="2:14" ht="31.9" customHeight="1">
      <c r="B650" s="167"/>
      <c r="C650" s="168"/>
      <c r="D650" s="892"/>
      <c r="E650" s="892"/>
      <c r="F650" s="892"/>
      <c r="G650" s="892"/>
      <c r="H650" s="892"/>
      <c r="I650" s="892"/>
      <c r="L650" s="164"/>
      <c r="N650" s="174"/>
    </row>
    <row r="651" spans="2:14" ht="31.9" customHeight="1">
      <c r="B651" s="167"/>
      <c r="C651" s="168"/>
      <c r="D651" s="892"/>
      <c r="E651" s="892"/>
      <c r="F651" s="892"/>
      <c r="G651" s="892"/>
      <c r="H651" s="892"/>
      <c r="I651" s="892"/>
      <c r="L651" s="164"/>
      <c r="N651" s="174"/>
    </row>
    <row r="652" spans="2:14" ht="31.9" customHeight="1">
      <c r="B652" s="167"/>
      <c r="C652" s="168"/>
      <c r="D652" s="892"/>
      <c r="E652" s="892"/>
      <c r="F652" s="892"/>
      <c r="G652" s="892"/>
      <c r="H652" s="892"/>
      <c r="I652" s="892"/>
      <c r="L652" s="164"/>
      <c r="N652" s="174"/>
    </row>
    <row r="653" spans="2:14" ht="31.9" customHeight="1">
      <c r="B653" s="167"/>
      <c r="C653" s="168"/>
      <c r="D653" s="892"/>
      <c r="E653" s="892"/>
      <c r="F653" s="892"/>
      <c r="G653" s="892"/>
      <c r="H653" s="892"/>
      <c r="I653" s="892"/>
      <c r="L653" s="164"/>
      <c r="N653" s="174"/>
    </row>
    <row r="654" spans="2:14" ht="31.9" customHeight="1">
      <c r="B654" s="167"/>
      <c r="C654" s="168"/>
      <c r="D654" s="892"/>
      <c r="E654" s="892"/>
      <c r="F654" s="892"/>
      <c r="G654" s="892"/>
      <c r="H654" s="892"/>
      <c r="I654" s="892"/>
      <c r="L654" s="164"/>
      <c r="N654" s="174"/>
    </row>
    <row r="655" spans="2:14" ht="31.9" customHeight="1">
      <c r="B655" s="167"/>
      <c r="C655" s="168"/>
      <c r="D655" s="892"/>
      <c r="E655" s="892"/>
      <c r="F655" s="892"/>
      <c r="G655" s="892"/>
      <c r="H655" s="892"/>
      <c r="I655" s="892"/>
      <c r="L655" s="164"/>
      <c r="N655" s="174"/>
    </row>
    <row r="656" spans="2:14" ht="31.9" customHeight="1">
      <c r="B656" s="167"/>
      <c r="C656" s="168"/>
      <c r="D656" s="892"/>
      <c r="E656" s="892"/>
      <c r="F656" s="892"/>
      <c r="G656" s="892"/>
      <c r="H656" s="892"/>
      <c r="I656" s="892"/>
      <c r="L656" s="164"/>
      <c r="N656" s="174"/>
    </row>
    <row r="657" spans="2:14" ht="31.9" customHeight="1">
      <c r="B657" s="167"/>
      <c r="C657" s="168"/>
      <c r="D657" s="892"/>
      <c r="E657" s="892"/>
      <c r="F657" s="892"/>
      <c r="G657" s="892"/>
      <c r="H657" s="892"/>
      <c r="I657" s="892"/>
      <c r="L657" s="164"/>
      <c r="N657" s="174"/>
    </row>
    <row r="658" spans="2:14" ht="31.9" customHeight="1">
      <c r="B658" s="167"/>
      <c r="C658" s="168"/>
      <c r="D658" s="892"/>
      <c r="E658" s="892"/>
      <c r="F658" s="892"/>
      <c r="G658" s="892"/>
      <c r="H658" s="892"/>
      <c r="I658" s="892"/>
      <c r="L658" s="164"/>
      <c r="N658" s="174"/>
    </row>
    <row r="659" spans="2:14" ht="31.9" customHeight="1">
      <c r="B659" s="167"/>
      <c r="C659" s="168"/>
      <c r="D659" s="892"/>
      <c r="E659" s="892"/>
      <c r="F659" s="892"/>
      <c r="G659" s="892"/>
      <c r="H659" s="892"/>
      <c r="I659" s="892"/>
      <c r="L659" s="164"/>
      <c r="N659" s="174"/>
    </row>
    <row r="660" spans="2:14" ht="31.9" customHeight="1">
      <c r="B660" s="167"/>
      <c r="C660" s="168"/>
      <c r="D660" s="892"/>
      <c r="E660" s="892"/>
      <c r="F660" s="892"/>
      <c r="G660" s="892"/>
      <c r="H660" s="892"/>
      <c r="I660" s="892"/>
      <c r="L660" s="164"/>
      <c r="N660" s="174"/>
    </row>
    <row r="661" spans="2:14" ht="31.9" customHeight="1">
      <c r="B661" s="167"/>
      <c r="C661" s="168"/>
      <c r="D661" s="892"/>
      <c r="E661" s="892"/>
      <c r="F661" s="892"/>
      <c r="G661" s="892"/>
      <c r="H661" s="892"/>
      <c r="I661" s="892"/>
      <c r="L661" s="164"/>
      <c r="N661" s="174"/>
    </row>
    <row r="662" spans="2:14" ht="31.9" customHeight="1">
      <c r="B662" s="167"/>
      <c r="C662" s="168"/>
      <c r="D662" s="892"/>
      <c r="E662" s="892"/>
      <c r="F662" s="892"/>
      <c r="G662" s="892"/>
      <c r="H662" s="892"/>
      <c r="I662" s="892"/>
      <c r="L662" s="164"/>
      <c r="N662" s="174"/>
    </row>
    <row r="663" spans="2:14" ht="31.9" customHeight="1">
      <c r="B663" s="167"/>
      <c r="C663" s="168"/>
      <c r="D663" s="892"/>
      <c r="E663" s="892"/>
      <c r="F663" s="892"/>
      <c r="G663" s="892"/>
      <c r="H663" s="892"/>
      <c r="I663" s="892"/>
      <c r="L663" s="164"/>
      <c r="N663" s="174"/>
    </row>
    <row r="664" spans="2:14" ht="31.9" customHeight="1">
      <c r="B664" s="167"/>
      <c r="C664" s="168"/>
      <c r="D664" s="892"/>
      <c r="E664" s="892"/>
      <c r="F664" s="892"/>
      <c r="G664" s="892"/>
      <c r="H664" s="892"/>
      <c r="I664" s="892"/>
      <c r="L664" s="164"/>
      <c r="N664" s="174"/>
    </row>
    <row r="665" spans="2:14" ht="31.9" customHeight="1">
      <c r="B665" s="167"/>
      <c r="C665" s="168"/>
      <c r="D665" s="892"/>
      <c r="E665" s="892"/>
      <c r="F665" s="892"/>
      <c r="G665" s="892"/>
      <c r="H665" s="892"/>
      <c r="I665" s="892"/>
      <c r="L665" s="164"/>
      <c r="N665" s="174"/>
    </row>
    <row r="666" spans="2:14" ht="31.9" customHeight="1">
      <c r="B666" s="167"/>
      <c r="C666" s="168"/>
      <c r="D666" s="892"/>
      <c r="E666" s="892"/>
      <c r="F666" s="892"/>
      <c r="G666" s="892"/>
      <c r="H666" s="892"/>
      <c r="I666" s="892"/>
      <c r="L666" s="164"/>
      <c r="N666" s="174"/>
    </row>
    <row r="667" spans="2:14" ht="31.9" customHeight="1">
      <c r="B667" s="167"/>
      <c r="C667" s="168"/>
      <c r="D667" s="892"/>
      <c r="E667" s="892"/>
      <c r="F667" s="892"/>
      <c r="G667" s="892"/>
      <c r="H667" s="892"/>
      <c r="I667" s="892"/>
      <c r="L667" s="164"/>
      <c r="N667" s="174"/>
    </row>
    <row r="668" spans="2:14" ht="31.9" customHeight="1">
      <c r="B668" s="167"/>
      <c r="C668" s="168"/>
      <c r="D668" s="892"/>
      <c r="E668" s="892"/>
      <c r="F668" s="892"/>
      <c r="G668" s="892"/>
      <c r="H668" s="892"/>
      <c r="I668" s="892"/>
      <c r="L668" s="164"/>
      <c r="N668" s="174"/>
    </row>
    <row r="669" spans="2:14" ht="31.9" customHeight="1">
      <c r="B669" s="167"/>
      <c r="C669" s="168"/>
      <c r="D669" s="892"/>
      <c r="E669" s="892"/>
      <c r="F669" s="892"/>
      <c r="G669" s="892"/>
      <c r="H669" s="892"/>
      <c r="I669" s="892"/>
      <c r="L669" s="164"/>
      <c r="N669" s="174"/>
    </row>
    <row r="670" spans="2:14" ht="31.9" customHeight="1">
      <c r="B670" s="167"/>
      <c r="C670" s="168"/>
      <c r="D670" s="892"/>
      <c r="E670" s="892"/>
      <c r="F670" s="892"/>
      <c r="G670" s="892"/>
      <c r="H670" s="892"/>
      <c r="I670" s="892"/>
      <c r="L670" s="164"/>
      <c r="N670" s="174"/>
    </row>
    <row r="671" spans="2:14" ht="31.9" customHeight="1">
      <c r="B671" s="167"/>
      <c r="C671" s="168"/>
      <c r="D671" s="892"/>
      <c r="E671" s="892"/>
      <c r="F671" s="892"/>
      <c r="G671" s="892"/>
      <c r="H671" s="892"/>
      <c r="I671" s="892"/>
      <c r="L671" s="164"/>
      <c r="N671" s="174"/>
    </row>
    <row r="672" spans="2:14" ht="31.9" customHeight="1">
      <c r="B672" s="167"/>
      <c r="C672" s="168"/>
      <c r="D672" s="892"/>
      <c r="E672" s="892"/>
      <c r="F672" s="892"/>
      <c r="G672" s="892"/>
      <c r="H672" s="892"/>
      <c r="I672" s="892"/>
      <c r="L672" s="164"/>
      <c r="N672" s="174"/>
    </row>
    <row r="673" spans="2:14" ht="31.9" customHeight="1">
      <c r="B673" s="167"/>
      <c r="C673" s="168"/>
      <c r="D673" s="892"/>
      <c r="E673" s="892"/>
      <c r="F673" s="892"/>
      <c r="G673" s="892"/>
      <c r="H673" s="892"/>
      <c r="I673" s="892"/>
      <c r="L673" s="164"/>
      <c r="N673" s="174"/>
    </row>
    <row r="674" spans="2:14" ht="31.9" customHeight="1">
      <c r="B674" s="167"/>
      <c r="C674" s="168"/>
      <c r="D674" s="892"/>
      <c r="E674" s="892"/>
      <c r="F674" s="892"/>
      <c r="G674" s="892"/>
      <c r="H674" s="892"/>
      <c r="I674" s="892"/>
      <c r="L674" s="164"/>
      <c r="N674" s="174"/>
    </row>
    <row r="675" spans="2:14" ht="31.9" customHeight="1">
      <c r="B675" s="167"/>
      <c r="C675" s="168"/>
      <c r="D675" s="892"/>
      <c r="E675" s="892"/>
      <c r="F675" s="892"/>
      <c r="G675" s="892"/>
      <c r="H675" s="892"/>
      <c r="I675" s="892"/>
      <c r="L675" s="164"/>
      <c r="N675" s="174"/>
    </row>
    <row r="676" spans="2:14" ht="31.9" customHeight="1">
      <c r="B676" s="167"/>
      <c r="C676" s="168"/>
      <c r="D676" s="892"/>
      <c r="E676" s="892"/>
      <c r="F676" s="892"/>
      <c r="G676" s="892"/>
      <c r="H676" s="892"/>
      <c r="I676" s="892"/>
      <c r="L676" s="164"/>
      <c r="N676" s="174"/>
    </row>
    <row r="677" spans="2:14" ht="31.9" customHeight="1">
      <c r="B677" s="167"/>
      <c r="C677" s="168"/>
      <c r="D677" s="892"/>
      <c r="E677" s="892"/>
      <c r="F677" s="892"/>
      <c r="G677" s="892"/>
      <c r="H677" s="892"/>
      <c r="I677" s="892"/>
      <c r="L677" s="164"/>
      <c r="N677" s="174"/>
    </row>
    <row r="678" spans="2:14" ht="31.9" customHeight="1">
      <c r="B678" s="167"/>
      <c r="C678" s="168"/>
      <c r="D678" s="892"/>
      <c r="E678" s="892"/>
      <c r="F678" s="892"/>
      <c r="G678" s="892"/>
      <c r="H678" s="892"/>
      <c r="I678" s="892"/>
      <c r="L678" s="164"/>
      <c r="N678" s="174"/>
    </row>
    <row r="679" spans="2:14" ht="31.9" customHeight="1">
      <c r="B679" s="167"/>
      <c r="C679" s="168"/>
      <c r="D679" s="892"/>
      <c r="E679" s="892"/>
      <c r="F679" s="892"/>
      <c r="G679" s="892"/>
      <c r="H679" s="892"/>
      <c r="I679" s="892"/>
      <c r="L679" s="164"/>
      <c r="N679" s="174"/>
    </row>
    <row r="680" spans="2:14" ht="31.9" customHeight="1">
      <c r="B680" s="167"/>
      <c r="C680" s="168"/>
      <c r="D680" s="892"/>
      <c r="E680" s="892"/>
      <c r="F680" s="892"/>
      <c r="G680" s="892"/>
      <c r="H680" s="892"/>
      <c r="I680" s="892"/>
      <c r="L680" s="164"/>
      <c r="N680" s="174"/>
    </row>
    <row r="681" spans="2:14" ht="31.9" customHeight="1">
      <c r="B681" s="167"/>
      <c r="C681" s="168"/>
      <c r="D681" s="892"/>
      <c r="E681" s="892"/>
      <c r="F681" s="892"/>
      <c r="G681" s="892"/>
      <c r="H681" s="892"/>
      <c r="I681" s="892"/>
      <c r="L681" s="164"/>
      <c r="N681" s="174"/>
    </row>
    <row r="682" spans="2:14" ht="31.9" customHeight="1">
      <c r="B682" s="167"/>
      <c r="C682" s="168"/>
      <c r="D682" s="892"/>
      <c r="E682" s="892"/>
      <c r="F682" s="892"/>
      <c r="G682" s="892"/>
      <c r="H682" s="892"/>
      <c r="I682" s="892"/>
      <c r="L682" s="164"/>
      <c r="N682" s="174"/>
    </row>
    <row r="683" spans="2:14" ht="31.9" customHeight="1">
      <c r="B683" s="167"/>
      <c r="C683" s="168"/>
      <c r="D683" s="892"/>
      <c r="E683" s="892"/>
      <c r="F683" s="892"/>
      <c r="G683" s="892"/>
      <c r="H683" s="892"/>
      <c r="I683" s="892"/>
      <c r="L683" s="164"/>
      <c r="N683" s="174"/>
    </row>
    <row r="684" spans="2:14" ht="31.9" customHeight="1">
      <c r="B684" s="167"/>
      <c r="C684" s="168"/>
      <c r="D684" s="892"/>
      <c r="E684" s="892"/>
      <c r="F684" s="892"/>
      <c r="G684" s="892"/>
      <c r="H684" s="892"/>
      <c r="I684" s="892"/>
      <c r="L684" s="164"/>
      <c r="N684" s="174"/>
    </row>
    <row r="685" spans="2:14" ht="31.9" customHeight="1">
      <c r="B685" s="167"/>
      <c r="C685" s="168"/>
      <c r="D685" s="892"/>
      <c r="E685" s="892"/>
      <c r="F685" s="892"/>
      <c r="G685" s="892"/>
      <c r="H685" s="892"/>
      <c r="I685" s="892"/>
      <c r="L685" s="164"/>
      <c r="N685" s="174"/>
    </row>
    <row r="686" spans="2:14" ht="31.9" customHeight="1">
      <c r="B686" s="167"/>
      <c r="C686" s="168"/>
      <c r="D686" s="892"/>
      <c r="E686" s="892"/>
      <c r="F686" s="892"/>
      <c r="G686" s="892"/>
      <c r="H686" s="892"/>
      <c r="I686" s="892"/>
      <c r="L686" s="164"/>
      <c r="N686" s="174"/>
    </row>
    <row r="687" spans="2:14" ht="31.9" customHeight="1">
      <c r="B687" s="167"/>
      <c r="C687" s="168"/>
      <c r="D687" s="892"/>
      <c r="E687" s="892"/>
      <c r="F687" s="892"/>
      <c r="G687" s="892"/>
      <c r="H687" s="892"/>
      <c r="I687" s="892"/>
      <c r="L687" s="164"/>
      <c r="N687" s="174"/>
    </row>
    <row r="688" spans="2:14" ht="31.9" customHeight="1">
      <c r="B688" s="167"/>
      <c r="C688" s="168"/>
      <c r="D688" s="892"/>
      <c r="E688" s="892"/>
      <c r="F688" s="892"/>
      <c r="G688" s="892"/>
      <c r="H688" s="892"/>
      <c r="I688" s="892"/>
      <c r="L688" s="164"/>
      <c r="N688" s="174"/>
    </row>
    <row r="689" spans="2:14" ht="31.9" customHeight="1">
      <c r="B689" s="167"/>
      <c r="C689" s="168"/>
      <c r="D689" s="892"/>
      <c r="E689" s="892"/>
      <c r="F689" s="892"/>
      <c r="G689" s="892"/>
      <c r="H689" s="892"/>
      <c r="I689" s="892"/>
      <c r="L689" s="164"/>
      <c r="N689" s="174"/>
    </row>
    <row r="690" spans="2:14" ht="31.9" customHeight="1">
      <c r="B690" s="167"/>
      <c r="C690" s="168"/>
      <c r="D690" s="892"/>
      <c r="E690" s="892"/>
      <c r="F690" s="892"/>
      <c r="G690" s="892"/>
      <c r="H690" s="892"/>
      <c r="I690" s="892"/>
      <c r="L690" s="164"/>
      <c r="N690" s="174"/>
    </row>
    <row r="691" spans="2:14" ht="31.9" customHeight="1">
      <c r="B691" s="167"/>
      <c r="C691" s="168"/>
      <c r="D691" s="892"/>
      <c r="E691" s="892"/>
      <c r="F691" s="892"/>
      <c r="G691" s="892"/>
      <c r="H691" s="892"/>
      <c r="I691" s="892"/>
      <c r="L691" s="164"/>
      <c r="N691" s="174"/>
    </row>
    <row r="692" spans="2:14" ht="31.9" customHeight="1">
      <c r="B692" s="167"/>
      <c r="C692" s="168"/>
      <c r="D692" s="892"/>
      <c r="E692" s="892"/>
      <c r="F692" s="892"/>
      <c r="G692" s="892"/>
      <c r="H692" s="892"/>
      <c r="I692" s="892"/>
      <c r="L692" s="164"/>
      <c r="N692" s="174"/>
    </row>
    <row r="693" spans="2:14" ht="31.9" customHeight="1">
      <c r="B693" s="167"/>
      <c r="C693" s="168"/>
      <c r="D693" s="892"/>
      <c r="E693" s="892"/>
      <c r="F693" s="892"/>
      <c r="G693" s="892"/>
      <c r="H693" s="892"/>
      <c r="I693" s="892"/>
      <c r="L693" s="164"/>
      <c r="N693" s="174"/>
    </row>
    <row r="694" spans="2:14" ht="31.9" customHeight="1">
      <c r="B694" s="167"/>
      <c r="C694" s="168"/>
      <c r="D694" s="892"/>
      <c r="E694" s="892"/>
      <c r="F694" s="892"/>
      <c r="G694" s="892"/>
      <c r="H694" s="892"/>
      <c r="I694" s="892"/>
      <c r="L694" s="164"/>
      <c r="N694" s="174"/>
    </row>
    <row r="695" spans="2:14" ht="31.9" customHeight="1">
      <c r="B695" s="167"/>
      <c r="C695" s="168"/>
      <c r="D695" s="892"/>
      <c r="E695" s="892"/>
      <c r="F695" s="892"/>
      <c r="G695" s="892"/>
      <c r="H695" s="892"/>
      <c r="I695" s="892"/>
      <c r="L695" s="164"/>
      <c r="N695" s="174"/>
    </row>
    <row r="696" spans="2:14" ht="31.9" customHeight="1">
      <c r="B696" s="167"/>
      <c r="C696" s="168"/>
      <c r="D696" s="892"/>
      <c r="E696" s="892"/>
      <c r="F696" s="892"/>
      <c r="G696" s="892"/>
      <c r="H696" s="892"/>
      <c r="I696" s="892"/>
      <c r="L696" s="164"/>
      <c r="N696" s="174"/>
    </row>
    <row r="697" spans="2:14" ht="31.9" customHeight="1">
      <c r="B697" s="167"/>
      <c r="C697" s="168"/>
      <c r="D697" s="892"/>
      <c r="E697" s="892"/>
      <c r="F697" s="892"/>
      <c r="G697" s="892"/>
      <c r="H697" s="892"/>
      <c r="I697" s="892"/>
      <c r="L697" s="164"/>
      <c r="N697" s="174"/>
    </row>
    <row r="698" spans="2:14" ht="31.9" customHeight="1">
      <c r="B698" s="167"/>
      <c r="C698" s="168"/>
      <c r="D698" s="892"/>
      <c r="E698" s="892"/>
      <c r="F698" s="892"/>
      <c r="G698" s="892"/>
      <c r="H698" s="892"/>
      <c r="I698" s="892"/>
      <c r="L698" s="164"/>
      <c r="N698" s="174"/>
    </row>
    <row r="699" spans="2:14" ht="31.9" customHeight="1">
      <c r="B699" s="167"/>
      <c r="C699" s="168"/>
      <c r="D699" s="892"/>
      <c r="E699" s="892"/>
      <c r="F699" s="892"/>
      <c r="G699" s="892"/>
      <c r="H699" s="892"/>
      <c r="I699" s="892"/>
      <c r="L699" s="164"/>
      <c r="N699" s="174"/>
    </row>
    <row r="700" spans="2:14" ht="31.9" customHeight="1">
      <c r="B700" s="167"/>
      <c r="C700" s="168"/>
      <c r="D700" s="892"/>
      <c r="E700" s="892"/>
      <c r="F700" s="892"/>
      <c r="G700" s="892"/>
      <c r="H700" s="892"/>
      <c r="I700" s="892"/>
      <c r="L700" s="164"/>
      <c r="N700" s="174"/>
    </row>
    <row r="701" spans="2:14" ht="31.9" customHeight="1">
      <c r="B701" s="167"/>
      <c r="C701" s="168"/>
      <c r="D701" s="892"/>
      <c r="E701" s="892"/>
      <c r="F701" s="892"/>
      <c r="G701" s="892"/>
      <c r="H701" s="892"/>
      <c r="I701" s="892"/>
      <c r="L701" s="164"/>
      <c r="N701" s="174"/>
    </row>
    <row r="702" spans="2:14" ht="31.9" customHeight="1">
      <c r="B702" s="167"/>
      <c r="C702" s="168"/>
      <c r="D702" s="892"/>
      <c r="E702" s="892"/>
      <c r="F702" s="892"/>
      <c r="G702" s="892"/>
      <c r="H702" s="892"/>
      <c r="I702" s="892"/>
      <c r="L702" s="164"/>
      <c r="N702" s="174"/>
    </row>
    <row r="703" spans="2:14" ht="31.9" customHeight="1">
      <c r="B703" s="167"/>
      <c r="C703" s="168"/>
      <c r="D703" s="892"/>
      <c r="E703" s="892"/>
      <c r="F703" s="892"/>
      <c r="G703" s="892"/>
      <c r="H703" s="892"/>
      <c r="I703" s="892"/>
      <c r="L703" s="164"/>
      <c r="N703" s="174"/>
    </row>
    <row r="704" spans="2:14" ht="31.9" customHeight="1">
      <c r="B704" s="167"/>
      <c r="C704" s="168"/>
      <c r="D704" s="892"/>
      <c r="E704" s="892"/>
      <c r="F704" s="892"/>
      <c r="G704" s="892"/>
      <c r="H704" s="892"/>
      <c r="I704" s="892"/>
      <c r="L704" s="164"/>
      <c r="N704" s="174"/>
    </row>
    <row r="705" spans="2:14" ht="31.9" customHeight="1">
      <c r="B705" s="167"/>
      <c r="C705" s="168"/>
      <c r="D705" s="892"/>
      <c r="E705" s="892"/>
      <c r="F705" s="892"/>
      <c r="G705" s="892"/>
      <c r="H705" s="892"/>
      <c r="I705" s="892"/>
      <c r="L705" s="164"/>
      <c r="N705" s="174"/>
    </row>
    <row r="706" spans="2:14" ht="31.9" customHeight="1">
      <c r="B706" s="167"/>
      <c r="C706" s="168"/>
      <c r="D706" s="892"/>
      <c r="E706" s="892"/>
      <c r="F706" s="892"/>
      <c r="G706" s="892"/>
      <c r="H706" s="892"/>
      <c r="I706" s="892"/>
      <c r="L706" s="164"/>
      <c r="N706" s="174"/>
    </row>
    <row r="707" spans="2:14" ht="31.9" customHeight="1">
      <c r="B707" s="167"/>
      <c r="C707" s="168"/>
      <c r="D707" s="892"/>
      <c r="E707" s="892"/>
      <c r="F707" s="892"/>
      <c r="G707" s="892"/>
      <c r="H707" s="892"/>
      <c r="I707" s="892"/>
      <c r="L707" s="164"/>
      <c r="N707" s="174"/>
    </row>
    <row r="708" spans="2:14" ht="31.9" customHeight="1">
      <c r="B708" s="167"/>
      <c r="C708" s="168"/>
      <c r="D708" s="892"/>
      <c r="E708" s="892"/>
      <c r="F708" s="892"/>
      <c r="G708" s="892"/>
      <c r="H708" s="892"/>
      <c r="I708" s="892"/>
      <c r="L708" s="164"/>
      <c r="N708" s="174"/>
    </row>
    <row r="709" spans="2:14" ht="31.9" customHeight="1">
      <c r="B709" s="167"/>
      <c r="C709" s="168"/>
      <c r="D709" s="892"/>
      <c r="E709" s="892"/>
      <c r="F709" s="892"/>
      <c r="G709" s="892"/>
      <c r="H709" s="892"/>
      <c r="I709" s="892"/>
      <c r="L709" s="164"/>
      <c r="N709" s="174"/>
    </row>
    <row r="710" spans="2:14" ht="31.9" customHeight="1">
      <c r="B710" s="167"/>
      <c r="C710" s="168"/>
      <c r="D710" s="892"/>
      <c r="E710" s="892"/>
      <c r="F710" s="892"/>
      <c r="G710" s="892"/>
      <c r="H710" s="892"/>
      <c r="I710" s="892"/>
      <c r="L710" s="164"/>
      <c r="N710" s="174"/>
    </row>
    <row r="711" spans="2:14" ht="31.9" customHeight="1">
      <c r="B711" s="167"/>
      <c r="C711" s="168"/>
      <c r="D711" s="892"/>
      <c r="E711" s="892"/>
      <c r="F711" s="892"/>
      <c r="G711" s="892"/>
      <c r="H711" s="892"/>
      <c r="I711" s="892"/>
      <c r="L711" s="164"/>
      <c r="N711" s="174"/>
    </row>
    <row r="712" spans="2:14" ht="31.9" customHeight="1">
      <c r="B712" s="167"/>
      <c r="C712" s="168"/>
      <c r="D712" s="892"/>
      <c r="E712" s="892"/>
      <c r="F712" s="892"/>
      <c r="G712" s="892"/>
      <c r="H712" s="892"/>
      <c r="I712" s="892"/>
      <c r="L712" s="164"/>
      <c r="N712" s="174"/>
    </row>
    <row r="713" spans="2:14" ht="31.9" customHeight="1">
      <c r="B713" s="167"/>
      <c r="C713" s="168"/>
      <c r="D713" s="892"/>
      <c r="E713" s="892"/>
      <c r="F713" s="892"/>
      <c r="G713" s="892"/>
      <c r="H713" s="892"/>
      <c r="I713" s="892"/>
      <c r="L713" s="164"/>
      <c r="N713" s="174"/>
    </row>
    <row r="714" spans="2:14" ht="31.9" customHeight="1">
      <c r="B714" s="167"/>
      <c r="C714" s="168"/>
      <c r="D714" s="892"/>
      <c r="E714" s="892"/>
      <c r="F714" s="892"/>
      <c r="G714" s="892"/>
      <c r="H714" s="892"/>
      <c r="I714" s="892"/>
      <c r="L714" s="164"/>
      <c r="N714" s="174"/>
    </row>
    <row r="715" spans="2:14" ht="31.9" customHeight="1">
      <c r="B715" s="167"/>
      <c r="C715" s="168"/>
      <c r="D715" s="892"/>
      <c r="E715" s="892"/>
      <c r="F715" s="892"/>
      <c r="G715" s="892"/>
      <c r="H715" s="892"/>
      <c r="I715" s="892"/>
      <c r="L715" s="164"/>
      <c r="N715" s="174"/>
    </row>
    <row r="716" spans="2:14" ht="31.9" customHeight="1">
      <c r="B716" s="167"/>
      <c r="C716" s="168"/>
      <c r="D716" s="892"/>
      <c r="E716" s="892"/>
      <c r="F716" s="892"/>
      <c r="G716" s="892"/>
      <c r="H716" s="892"/>
      <c r="I716" s="892"/>
      <c r="L716" s="164"/>
      <c r="N716" s="174"/>
    </row>
    <row r="717" spans="2:14" ht="31.9" customHeight="1">
      <c r="B717" s="167"/>
      <c r="C717" s="168"/>
      <c r="D717" s="892"/>
      <c r="E717" s="892"/>
      <c r="F717" s="892"/>
      <c r="G717" s="892"/>
      <c r="H717" s="892"/>
      <c r="I717" s="892"/>
      <c r="L717" s="164"/>
      <c r="N717" s="174"/>
    </row>
    <row r="718" spans="2:14" ht="31.9" customHeight="1">
      <c r="B718" s="167"/>
      <c r="C718" s="168"/>
      <c r="D718" s="892"/>
      <c r="E718" s="892"/>
      <c r="F718" s="892"/>
      <c r="G718" s="892"/>
      <c r="H718" s="892"/>
      <c r="I718" s="892"/>
      <c r="L718" s="164"/>
      <c r="N718" s="174"/>
    </row>
    <row r="719" spans="2:14" ht="31.9" customHeight="1">
      <c r="B719" s="167"/>
      <c r="C719" s="168"/>
      <c r="D719" s="892"/>
      <c r="E719" s="892"/>
      <c r="F719" s="892"/>
      <c r="G719" s="892"/>
      <c r="H719" s="892"/>
      <c r="I719" s="892"/>
      <c r="L719" s="164"/>
      <c r="N719" s="174"/>
    </row>
    <row r="720" spans="2:14" ht="31.9" customHeight="1">
      <c r="B720" s="167"/>
      <c r="C720" s="168"/>
      <c r="D720" s="892"/>
      <c r="E720" s="892"/>
      <c r="F720" s="892"/>
      <c r="G720" s="892"/>
      <c r="H720" s="892"/>
      <c r="I720" s="892"/>
      <c r="L720" s="164"/>
      <c r="N720" s="174"/>
    </row>
    <row r="721" spans="2:14" ht="31.9" customHeight="1">
      <c r="B721" s="167"/>
      <c r="C721" s="168"/>
      <c r="D721" s="892"/>
      <c r="E721" s="892"/>
      <c r="F721" s="892"/>
      <c r="G721" s="892"/>
      <c r="H721" s="892"/>
      <c r="I721" s="892"/>
      <c r="L721" s="164"/>
      <c r="N721" s="174"/>
    </row>
    <row r="722" spans="2:14" ht="31.9" customHeight="1">
      <c r="B722" s="167"/>
      <c r="C722" s="168"/>
      <c r="D722" s="892"/>
      <c r="E722" s="892"/>
      <c r="F722" s="892"/>
      <c r="G722" s="892"/>
      <c r="H722" s="892"/>
      <c r="I722" s="892"/>
      <c r="L722" s="164"/>
      <c r="N722" s="174"/>
    </row>
    <row r="723" spans="2:14" ht="31.9" customHeight="1">
      <c r="B723" s="167"/>
      <c r="C723" s="168"/>
      <c r="D723" s="892"/>
      <c r="E723" s="892"/>
      <c r="F723" s="892"/>
      <c r="G723" s="892"/>
      <c r="H723" s="892"/>
      <c r="I723" s="892"/>
      <c r="L723" s="164"/>
      <c r="N723" s="174"/>
    </row>
    <row r="724" spans="2:14" ht="31.9" customHeight="1">
      <c r="B724" s="167"/>
      <c r="C724" s="168"/>
      <c r="D724" s="892"/>
      <c r="E724" s="892"/>
      <c r="F724" s="892"/>
      <c r="G724" s="892"/>
      <c r="H724" s="892"/>
      <c r="I724" s="892"/>
      <c r="L724" s="164"/>
      <c r="N724" s="174"/>
    </row>
    <row r="725" spans="2:14" ht="31.9" customHeight="1">
      <c r="B725" s="167"/>
      <c r="C725" s="168"/>
      <c r="D725" s="892"/>
      <c r="E725" s="892"/>
      <c r="F725" s="892"/>
      <c r="G725" s="892"/>
      <c r="H725" s="892"/>
      <c r="I725" s="892"/>
      <c r="L725" s="164"/>
      <c r="N725" s="174"/>
    </row>
    <row r="726" spans="2:14" ht="31.9" customHeight="1">
      <c r="B726" s="167"/>
      <c r="C726" s="168"/>
      <c r="D726" s="892"/>
      <c r="E726" s="892"/>
      <c r="F726" s="892"/>
      <c r="G726" s="892"/>
      <c r="H726" s="892"/>
      <c r="I726" s="892"/>
      <c r="L726" s="164"/>
      <c r="N726" s="174"/>
    </row>
    <row r="727" spans="2:14" ht="31.9" customHeight="1">
      <c r="B727" s="167"/>
      <c r="C727" s="168"/>
      <c r="D727" s="892"/>
      <c r="E727" s="892"/>
      <c r="F727" s="892"/>
      <c r="G727" s="892"/>
      <c r="H727" s="892"/>
      <c r="I727" s="892"/>
      <c r="L727" s="164"/>
      <c r="N727" s="174"/>
    </row>
    <row r="728" spans="2:14" ht="31.9" customHeight="1">
      <c r="B728" s="167"/>
      <c r="C728" s="168"/>
      <c r="D728" s="892"/>
      <c r="E728" s="892"/>
      <c r="F728" s="892"/>
      <c r="G728" s="892"/>
      <c r="H728" s="892"/>
      <c r="I728" s="892"/>
      <c r="L728" s="164"/>
      <c r="N728" s="174"/>
    </row>
    <row r="729" spans="2:14" ht="31.9" customHeight="1">
      <c r="B729" s="167"/>
      <c r="C729" s="168"/>
      <c r="D729" s="892"/>
      <c r="E729" s="892"/>
      <c r="F729" s="892"/>
      <c r="G729" s="892"/>
      <c r="H729" s="892"/>
      <c r="I729" s="892"/>
      <c r="L729" s="164"/>
      <c r="N729" s="174"/>
    </row>
    <row r="730" spans="2:14" ht="31.9" customHeight="1">
      <c r="B730" s="167"/>
      <c r="C730" s="168"/>
      <c r="D730" s="892"/>
      <c r="E730" s="892"/>
      <c r="F730" s="892"/>
      <c r="G730" s="892"/>
      <c r="H730" s="892"/>
      <c r="I730" s="892"/>
      <c r="L730" s="164"/>
      <c r="N730" s="174"/>
    </row>
    <row r="731" spans="2:14" ht="31.9" customHeight="1">
      <c r="B731" s="167"/>
      <c r="C731" s="168"/>
      <c r="D731" s="892"/>
      <c r="E731" s="892"/>
      <c r="F731" s="892"/>
      <c r="G731" s="892"/>
      <c r="H731" s="892"/>
      <c r="I731" s="892"/>
      <c r="L731" s="164"/>
      <c r="N731" s="174"/>
    </row>
    <row r="732" spans="2:14" ht="31.9" customHeight="1">
      <c r="B732" s="167"/>
      <c r="C732" s="168"/>
      <c r="D732" s="892"/>
      <c r="E732" s="892"/>
      <c r="F732" s="892"/>
      <c r="G732" s="892"/>
      <c r="H732" s="892"/>
      <c r="I732" s="892"/>
      <c r="L732" s="164"/>
      <c r="N732" s="174"/>
    </row>
    <row r="733" spans="2:14" ht="31.9" customHeight="1">
      <c r="B733" s="167"/>
      <c r="C733" s="168"/>
      <c r="D733" s="892"/>
      <c r="E733" s="892"/>
      <c r="F733" s="892"/>
      <c r="G733" s="892"/>
      <c r="H733" s="892"/>
      <c r="I733" s="892"/>
      <c r="L733" s="164"/>
      <c r="N733" s="174"/>
    </row>
    <row r="734" spans="2:14" ht="31.9" customHeight="1">
      <c r="B734" s="167"/>
      <c r="C734" s="168"/>
      <c r="D734" s="892"/>
      <c r="E734" s="892"/>
      <c r="F734" s="892"/>
      <c r="G734" s="892"/>
      <c r="H734" s="892"/>
      <c r="I734" s="892"/>
      <c r="L734" s="164"/>
      <c r="N734" s="174"/>
    </row>
    <row r="735" spans="2:14" ht="31.9" customHeight="1">
      <c r="B735" s="167"/>
      <c r="C735" s="168"/>
      <c r="D735" s="892"/>
      <c r="E735" s="892"/>
      <c r="F735" s="892"/>
      <c r="G735" s="892"/>
      <c r="H735" s="892"/>
      <c r="I735" s="892"/>
      <c r="L735" s="164"/>
      <c r="N735" s="174"/>
    </row>
    <row r="736" spans="2:14" ht="31.9" customHeight="1">
      <c r="B736" s="167"/>
      <c r="C736" s="168"/>
      <c r="D736" s="892"/>
      <c r="E736" s="892"/>
      <c r="F736" s="892"/>
      <c r="G736" s="892"/>
      <c r="H736" s="892"/>
      <c r="I736" s="892"/>
      <c r="L736" s="164"/>
      <c r="N736" s="174"/>
    </row>
    <row r="737" spans="2:14" ht="31.9" customHeight="1">
      <c r="B737" s="167"/>
      <c r="C737" s="168"/>
      <c r="D737" s="892"/>
      <c r="E737" s="892"/>
      <c r="F737" s="892"/>
      <c r="G737" s="892"/>
      <c r="H737" s="892"/>
      <c r="I737" s="892"/>
      <c r="L737" s="164"/>
      <c r="N737" s="174"/>
    </row>
    <row r="738" spans="2:14" ht="31.9" customHeight="1">
      <c r="B738" s="167"/>
      <c r="C738" s="168"/>
      <c r="D738" s="892"/>
      <c r="E738" s="892"/>
      <c r="F738" s="892"/>
      <c r="G738" s="892"/>
      <c r="H738" s="892"/>
      <c r="I738" s="892"/>
      <c r="L738" s="164"/>
      <c r="N738" s="174"/>
    </row>
    <row r="739" spans="2:14" ht="31.9" customHeight="1">
      <c r="B739" s="167"/>
      <c r="C739" s="168"/>
      <c r="D739" s="892"/>
      <c r="E739" s="892"/>
      <c r="F739" s="892"/>
      <c r="G739" s="892"/>
      <c r="H739" s="892"/>
      <c r="I739" s="892"/>
      <c r="L739" s="164"/>
      <c r="N739" s="174"/>
    </row>
    <row r="740" spans="2:14" ht="31.9" customHeight="1">
      <c r="B740" s="167"/>
      <c r="C740" s="168"/>
      <c r="D740" s="892"/>
      <c r="E740" s="892"/>
      <c r="F740" s="892"/>
      <c r="G740" s="892"/>
      <c r="H740" s="892"/>
      <c r="I740" s="892"/>
      <c r="L740" s="164"/>
      <c r="N740" s="174"/>
    </row>
    <row r="741" spans="2:14" ht="31.9" customHeight="1">
      <c r="B741" s="167"/>
      <c r="C741" s="168"/>
      <c r="D741" s="892"/>
      <c r="E741" s="892"/>
      <c r="F741" s="892"/>
      <c r="G741" s="892"/>
      <c r="H741" s="892"/>
      <c r="I741" s="892"/>
      <c r="L741" s="164"/>
      <c r="N741" s="174"/>
    </row>
    <row r="742" spans="2:14" ht="31.9" customHeight="1">
      <c r="B742" s="167"/>
      <c r="C742" s="168"/>
      <c r="D742" s="892"/>
      <c r="E742" s="892"/>
      <c r="F742" s="892"/>
      <c r="G742" s="892"/>
      <c r="H742" s="892"/>
      <c r="I742" s="892"/>
      <c r="L742" s="164"/>
      <c r="N742" s="174"/>
    </row>
    <row r="743" spans="2:14" ht="31.9" customHeight="1">
      <c r="B743" s="167"/>
      <c r="C743" s="168"/>
      <c r="D743" s="892"/>
      <c r="E743" s="892"/>
      <c r="F743" s="892"/>
      <c r="G743" s="892"/>
      <c r="H743" s="892"/>
      <c r="I743" s="892"/>
      <c r="L743" s="164"/>
      <c r="N743" s="174"/>
    </row>
    <row r="744" spans="2:14" ht="31.9" customHeight="1">
      <c r="B744" s="167"/>
      <c r="C744" s="168"/>
      <c r="D744" s="892"/>
      <c r="E744" s="892"/>
      <c r="F744" s="892"/>
      <c r="G744" s="892"/>
      <c r="H744" s="892"/>
      <c r="I744" s="892"/>
      <c r="L744" s="164"/>
      <c r="N744" s="174"/>
    </row>
    <row r="745" spans="2:14" ht="31.9" customHeight="1">
      <c r="B745" s="167"/>
      <c r="C745" s="168"/>
      <c r="D745" s="892"/>
      <c r="E745" s="892"/>
      <c r="F745" s="892"/>
      <c r="G745" s="892"/>
      <c r="H745" s="892"/>
      <c r="I745" s="892"/>
      <c r="L745" s="164"/>
      <c r="N745" s="174"/>
    </row>
    <row r="746" spans="2:14" ht="31.9" customHeight="1">
      <c r="B746" s="167"/>
      <c r="C746" s="168"/>
      <c r="D746" s="892"/>
      <c r="E746" s="892"/>
      <c r="F746" s="892"/>
      <c r="G746" s="892"/>
      <c r="H746" s="892"/>
      <c r="I746" s="892"/>
      <c r="L746" s="164"/>
      <c r="N746" s="174"/>
    </row>
    <row r="747" spans="2:14" ht="31.9" customHeight="1">
      <c r="B747" s="167"/>
      <c r="C747" s="168"/>
      <c r="D747" s="892"/>
      <c r="E747" s="892"/>
      <c r="F747" s="892"/>
      <c r="G747" s="892"/>
      <c r="H747" s="892"/>
      <c r="I747" s="892"/>
      <c r="L747" s="164"/>
      <c r="N747" s="174"/>
    </row>
    <row r="748" spans="2:14" ht="31.9" customHeight="1">
      <c r="B748" s="167"/>
      <c r="C748" s="168"/>
      <c r="D748" s="892"/>
      <c r="E748" s="892"/>
      <c r="F748" s="892"/>
      <c r="G748" s="892"/>
      <c r="H748" s="892"/>
      <c r="I748" s="892"/>
      <c r="L748" s="164"/>
      <c r="N748" s="174"/>
    </row>
    <row r="749" spans="2:14" ht="31.9" customHeight="1">
      <c r="B749" s="167"/>
      <c r="C749" s="168"/>
      <c r="D749" s="892"/>
      <c r="E749" s="892"/>
      <c r="F749" s="892"/>
      <c r="G749" s="892"/>
      <c r="H749" s="892"/>
      <c r="I749" s="892"/>
      <c r="L749" s="164"/>
      <c r="N749" s="174"/>
    </row>
    <row r="750" spans="2:14" ht="31.9" customHeight="1">
      <c r="B750" s="167"/>
      <c r="C750" s="168"/>
      <c r="D750" s="892"/>
      <c r="E750" s="892"/>
      <c r="F750" s="892"/>
      <c r="G750" s="892"/>
      <c r="H750" s="892"/>
      <c r="I750" s="892"/>
      <c r="L750" s="164"/>
      <c r="N750" s="174"/>
    </row>
    <row r="751" spans="2:14" ht="31.9" customHeight="1">
      <c r="B751" s="167"/>
      <c r="C751" s="168"/>
      <c r="D751" s="892"/>
      <c r="E751" s="892"/>
      <c r="F751" s="892"/>
      <c r="G751" s="892"/>
      <c r="H751" s="892"/>
      <c r="I751" s="892"/>
      <c r="L751" s="164"/>
      <c r="N751" s="174"/>
    </row>
    <row r="752" spans="2:14" ht="31.9" customHeight="1">
      <c r="B752" s="167"/>
      <c r="C752" s="168"/>
      <c r="D752" s="892"/>
      <c r="E752" s="892"/>
      <c r="F752" s="892"/>
      <c r="G752" s="892"/>
      <c r="H752" s="892"/>
      <c r="I752" s="892"/>
      <c r="L752" s="164"/>
      <c r="N752" s="174"/>
    </row>
    <row r="753" spans="2:14" ht="31.9" customHeight="1">
      <c r="B753" s="167"/>
      <c r="C753" s="168"/>
      <c r="D753" s="892"/>
      <c r="E753" s="892"/>
      <c r="F753" s="892"/>
      <c r="G753" s="892"/>
      <c r="H753" s="892"/>
      <c r="I753" s="892"/>
      <c r="L753" s="164"/>
      <c r="N753" s="174"/>
    </row>
    <row r="754" spans="2:14" ht="31.9" customHeight="1">
      <c r="B754" s="167"/>
      <c r="C754" s="168"/>
      <c r="D754" s="892"/>
      <c r="E754" s="892"/>
      <c r="F754" s="892"/>
      <c r="G754" s="892"/>
      <c r="H754" s="892"/>
      <c r="I754" s="892"/>
      <c r="L754" s="164"/>
      <c r="N754" s="174"/>
    </row>
    <row r="755" spans="2:14" ht="31.9" customHeight="1">
      <c r="B755" s="167"/>
      <c r="C755" s="168"/>
      <c r="D755" s="892"/>
      <c r="E755" s="892"/>
      <c r="F755" s="892"/>
      <c r="G755" s="892"/>
      <c r="H755" s="892"/>
      <c r="I755" s="892"/>
      <c r="L755" s="164"/>
      <c r="N755" s="174"/>
    </row>
    <row r="756" spans="2:14" ht="31.9" customHeight="1">
      <c r="B756" s="167"/>
      <c r="C756" s="168"/>
      <c r="D756" s="892"/>
      <c r="E756" s="892"/>
      <c r="F756" s="892"/>
      <c r="G756" s="892"/>
      <c r="H756" s="892"/>
      <c r="I756" s="892"/>
      <c r="L756" s="164"/>
      <c r="N756" s="174"/>
    </row>
    <row r="757" spans="2:14" ht="31.9" customHeight="1">
      <c r="B757" s="167"/>
      <c r="C757" s="168"/>
      <c r="D757" s="892"/>
      <c r="E757" s="892"/>
      <c r="F757" s="892"/>
      <c r="G757" s="892"/>
      <c r="H757" s="892"/>
      <c r="I757" s="892"/>
      <c r="L757" s="164"/>
      <c r="N757" s="174"/>
    </row>
    <row r="758" spans="2:14" ht="31.9" customHeight="1">
      <c r="B758" s="167"/>
      <c r="C758" s="168"/>
      <c r="D758" s="892"/>
      <c r="E758" s="892"/>
      <c r="F758" s="892"/>
      <c r="G758" s="892"/>
      <c r="H758" s="892"/>
      <c r="I758" s="892"/>
      <c r="L758" s="164"/>
      <c r="N758" s="174"/>
    </row>
    <row r="759" spans="2:14" ht="31.9" customHeight="1">
      <c r="B759" s="167"/>
      <c r="C759" s="168"/>
      <c r="D759" s="892"/>
      <c r="E759" s="892"/>
      <c r="F759" s="892"/>
      <c r="G759" s="892"/>
      <c r="H759" s="892"/>
      <c r="I759" s="892"/>
      <c r="L759" s="164"/>
      <c r="N759" s="174"/>
    </row>
    <row r="760" spans="2:14" ht="31.9" customHeight="1">
      <c r="B760" s="167"/>
      <c r="C760" s="168"/>
      <c r="D760" s="892"/>
      <c r="E760" s="892"/>
      <c r="F760" s="892"/>
      <c r="G760" s="892"/>
      <c r="H760" s="892"/>
      <c r="I760" s="892"/>
      <c r="L760" s="164"/>
      <c r="N760" s="174"/>
    </row>
    <row r="761" spans="2:14" ht="31.9" customHeight="1">
      <c r="B761" s="167"/>
      <c r="C761" s="168"/>
      <c r="D761" s="892"/>
      <c r="E761" s="892"/>
      <c r="F761" s="892"/>
      <c r="G761" s="892"/>
      <c r="H761" s="892"/>
      <c r="I761" s="892"/>
      <c r="L761" s="164"/>
      <c r="N761" s="174"/>
    </row>
    <row r="762" spans="2:14" ht="31.9" customHeight="1">
      <c r="B762" s="167"/>
      <c r="C762" s="168"/>
      <c r="D762" s="892"/>
      <c r="E762" s="892"/>
      <c r="F762" s="892"/>
      <c r="G762" s="892"/>
      <c r="H762" s="892"/>
      <c r="I762" s="892"/>
      <c r="L762" s="164"/>
      <c r="N762" s="174"/>
    </row>
    <row r="763" spans="2:14" ht="31.9" customHeight="1">
      <c r="B763" s="167"/>
      <c r="C763" s="168"/>
      <c r="D763" s="892"/>
      <c r="E763" s="892"/>
      <c r="F763" s="892"/>
      <c r="G763" s="892"/>
      <c r="H763" s="892"/>
      <c r="I763" s="892"/>
      <c r="L763" s="164"/>
      <c r="N763" s="174"/>
    </row>
    <row r="764" spans="2:14" ht="31.9" customHeight="1">
      <c r="B764" s="167"/>
      <c r="C764" s="168"/>
      <c r="D764" s="892"/>
      <c r="E764" s="892"/>
      <c r="F764" s="892"/>
      <c r="G764" s="892"/>
      <c r="H764" s="892"/>
      <c r="I764" s="892"/>
      <c r="L764" s="164"/>
      <c r="N764" s="174"/>
    </row>
    <row r="765" spans="2:14" ht="31.9" customHeight="1">
      <c r="B765" s="167"/>
      <c r="C765" s="168"/>
      <c r="D765" s="892"/>
      <c r="E765" s="892"/>
      <c r="F765" s="892"/>
      <c r="G765" s="892"/>
      <c r="H765" s="892"/>
      <c r="I765" s="892"/>
      <c r="L765" s="164"/>
      <c r="N765" s="174"/>
    </row>
    <row r="766" spans="2:14" ht="31.9" customHeight="1">
      <c r="B766" s="167"/>
      <c r="C766" s="168"/>
      <c r="D766" s="892"/>
      <c r="E766" s="892"/>
      <c r="F766" s="892"/>
      <c r="G766" s="892"/>
      <c r="H766" s="892"/>
      <c r="I766" s="892"/>
      <c r="L766" s="164"/>
      <c r="N766" s="174"/>
    </row>
    <row r="767" spans="2:14" ht="31.9" customHeight="1">
      <c r="B767" s="167"/>
      <c r="C767" s="168"/>
      <c r="D767" s="892"/>
      <c r="E767" s="892"/>
      <c r="F767" s="892"/>
      <c r="G767" s="892"/>
      <c r="H767" s="892"/>
      <c r="I767" s="892"/>
      <c r="L767" s="164"/>
      <c r="N767" s="174"/>
    </row>
    <row r="768" spans="2:14" ht="31.9" customHeight="1">
      <c r="B768" s="167"/>
      <c r="C768" s="168"/>
      <c r="D768" s="892"/>
      <c r="E768" s="892"/>
      <c r="F768" s="892"/>
      <c r="G768" s="892"/>
      <c r="H768" s="892"/>
      <c r="I768" s="892"/>
      <c r="L768" s="164"/>
      <c r="N768" s="174"/>
    </row>
    <row r="769" spans="2:14" ht="31.9" customHeight="1">
      <c r="B769" s="167"/>
      <c r="C769" s="168"/>
      <c r="D769" s="892"/>
      <c r="E769" s="892"/>
      <c r="F769" s="892"/>
      <c r="G769" s="892"/>
      <c r="H769" s="892"/>
      <c r="I769" s="892"/>
      <c r="L769" s="164"/>
      <c r="N769" s="174"/>
    </row>
    <row r="770" spans="2:14" ht="31.9" customHeight="1">
      <c r="B770" s="167"/>
      <c r="C770" s="168"/>
      <c r="D770" s="892"/>
      <c r="E770" s="892"/>
      <c r="F770" s="892"/>
      <c r="G770" s="892"/>
      <c r="H770" s="892"/>
      <c r="I770" s="892"/>
      <c r="L770" s="164"/>
      <c r="N770" s="174"/>
    </row>
    <row r="771" spans="2:14" ht="31.9" customHeight="1">
      <c r="B771" s="167"/>
      <c r="C771" s="168"/>
      <c r="D771" s="892"/>
      <c r="E771" s="892"/>
      <c r="F771" s="892"/>
      <c r="G771" s="892"/>
      <c r="H771" s="892"/>
      <c r="I771" s="892"/>
      <c r="L771" s="164"/>
      <c r="N771" s="174"/>
    </row>
    <row r="772" spans="2:14" ht="31.9" customHeight="1">
      <c r="B772" s="167"/>
      <c r="C772" s="168"/>
      <c r="D772" s="892"/>
      <c r="E772" s="892"/>
      <c r="F772" s="892"/>
      <c r="G772" s="892"/>
      <c r="H772" s="892"/>
      <c r="I772" s="892"/>
      <c r="L772" s="164"/>
      <c r="N772" s="174"/>
    </row>
    <row r="773" spans="2:14" ht="31.9" customHeight="1">
      <c r="B773" s="167"/>
      <c r="C773" s="168"/>
      <c r="D773" s="892"/>
      <c r="E773" s="892"/>
      <c r="F773" s="892"/>
      <c r="G773" s="892"/>
      <c r="H773" s="892"/>
      <c r="I773" s="892"/>
      <c r="L773" s="164"/>
      <c r="N773" s="174"/>
    </row>
    <row r="774" spans="2:14" ht="31.9" customHeight="1">
      <c r="B774" s="167"/>
      <c r="C774" s="168"/>
      <c r="D774" s="892"/>
      <c r="E774" s="892"/>
      <c r="F774" s="892"/>
      <c r="G774" s="892"/>
      <c r="H774" s="892"/>
      <c r="I774" s="892"/>
      <c r="L774" s="164"/>
      <c r="N774" s="174"/>
    </row>
    <row r="775" spans="2:14" ht="31.9" customHeight="1">
      <c r="B775" s="167"/>
      <c r="C775" s="168"/>
      <c r="D775" s="892"/>
      <c r="E775" s="892"/>
      <c r="F775" s="892"/>
      <c r="G775" s="892"/>
      <c r="H775" s="892"/>
      <c r="I775" s="892"/>
      <c r="L775" s="164"/>
      <c r="N775" s="174"/>
    </row>
    <row r="776" spans="2:14" ht="31.9" customHeight="1">
      <c r="B776" s="167"/>
      <c r="C776" s="168"/>
      <c r="D776" s="892"/>
      <c r="E776" s="892"/>
      <c r="F776" s="892"/>
      <c r="G776" s="892"/>
      <c r="H776" s="892"/>
      <c r="I776" s="892"/>
      <c r="L776" s="164"/>
      <c r="N776" s="174"/>
    </row>
    <row r="777" spans="2:14" ht="31.9" customHeight="1">
      <c r="B777" s="167"/>
      <c r="C777" s="168"/>
      <c r="D777" s="892"/>
      <c r="E777" s="892"/>
      <c r="F777" s="892"/>
      <c r="G777" s="892"/>
      <c r="H777" s="892"/>
      <c r="I777" s="892"/>
      <c r="L777" s="164"/>
      <c r="N777" s="174"/>
    </row>
    <row r="778" spans="2:14" ht="31.9" customHeight="1">
      <c r="B778" s="167"/>
      <c r="C778" s="168"/>
      <c r="D778" s="892"/>
      <c r="E778" s="892"/>
      <c r="F778" s="892"/>
      <c r="G778" s="892"/>
      <c r="H778" s="892"/>
      <c r="I778" s="892"/>
      <c r="L778" s="164"/>
      <c r="N778" s="174"/>
    </row>
    <row r="779" spans="2:14" ht="31.9" customHeight="1">
      <c r="B779" s="167"/>
      <c r="C779" s="168"/>
      <c r="D779" s="892"/>
      <c r="E779" s="892"/>
      <c r="F779" s="892"/>
      <c r="G779" s="892"/>
      <c r="H779" s="892"/>
      <c r="I779" s="892"/>
      <c r="L779" s="164"/>
      <c r="N779" s="174"/>
    </row>
    <row r="780" spans="2:14" ht="31.9" customHeight="1">
      <c r="B780" s="167"/>
      <c r="C780" s="168"/>
      <c r="D780" s="892"/>
      <c r="E780" s="892"/>
      <c r="F780" s="892"/>
      <c r="G780" s="892"/>
      <c r="H780" s="892"/>
      <c r="I780" s="892"/>
      <c r="L780" s="164"/>
      <c r="N780" s="174"/>
    </row>
    <row r="781" spans="2:14" ht="31.9" customHeight="1">
      <c r="B781" s="167"/>
      <c r="C781" s="168"/>
      <c r="D781" s="892"/>
      <c r="E781" s="892"/>
      <c r="F781" s="892"/>
      <c r="G781" s="892"/>
      <c r="H781" s="892"/>
      <c r="I781" s="892"/>
      <c r="L781" s="164"/>
      <c r="N781" s="174"/>
    </row>
    <row r="782" spans="2:14" ht="31.9" customHeight="1">
      <c r="B782" s="167"/>
      <c r="C782" s="168"/>
      <c r="D782" s="892"/>
      <c r="E782" s="892"/>
      <c r="F782" s="892"/>
      <c r="G782" s="892"/>
      <c r="H782" s="892"/>
      <c r="I782" s="892"/>
      <c r="L782" s="164"/>
      <c r="N782" s="174"/>
    </row>
    <row r="783" spans="2:14" ht="31.9" customHeight="1">
      <c r="B783" s="167"/>
      <c r="C783" s="168"/>
      <c r="D783" s="892"/>
      <c r="E783" s="892"/>
      <c r="F783" s="892"/>
      <c r="G783" s="892"/>
      <c r="H783" s="892"/>
      <c r="I783" s="892"/>
      <c r="L783" s="164"/>
      <c r="N783" s="174"/>
    </row>
    <row r="784" spans="2:14" ht="31.9" customHeight="1">
      <c r="B784" s="167"/>
      <c r="C784" s="168"/>
      <c r="D784" s="892"/>
      <c r="E784" s="892"/>
      <c r="F784" s="892"/>
      <c r="G784" s="892"/>
      <c r="H784" s="892"/>
      <c r="I784" s="892"/>
      <c r="L784" s="164"/>
      <c r="N784" s="174"/>
    </row>
    <row r="785" spans="2:14" ht="31.9" customHeight="1">
      <c r="B785" s="167"/>
      <c r="C785" s="168"/>
      <c r="D785" s="892"/>
      <c r="E785" s="892"/>
      <c r="F785" s="892"/>
      <c r="G785" s="892"/>
      <c r="H785" s="892"/>
      <c r="I785" s="892"/>
      <c r="L785" s="164"/>
      <c r="N785" s="174"/>
    </row>
    <row r="786" spans="2:14" ht="31.9" customHeight="1">
      <c r="B786" s="167"/>
      <c r="C786" s="168"/>
      <c r="D786" s="892"/>
      <c r="E786" s="892"/>
      <c r="F786" s="892"/>
      <c r="G786" s="892"/>
      <c r="H786" s="892"/>
      <c r="I786" s="892"/>
      <c r="L786" s="164"/>
      <c r="N786" s="174"/>
    </row>
    <row r="787" spans="2:14" ht="31.9" customHeight="1">
      <c r="B787" s="167"/>
      <c r="C787" s="168"/>
      <c r="D787" s="892"/>
      <c r="E787" s="892"/>
      <c r="F787" s="892"/>
      <c r="G787" s="892"/>
      <c r="H787" s="892"/>
      <c r="I787" s="892"/>
      <c r="L787" s="164"/>
      <c r="N787" s="174"/>
    </row>
    <row r="788" spans="2:14" ht="31.9" customHeight="1">
      <c r="B788" s="167"/>
      <c r="C788" s="168"/>
      <c r="D788" s="892"/>
      <c r="E788" s="892"/>
      <c r="F788" s="892"/>
      <c r="G788" s="892"/>
      <c r="H788" s="892"/>
      <c r="I788" s="892"/>
      <c r="L788" s="164"/>
      <c r="N788" s="174"/>
    </row>
    <row r="789" spans="2:14" ht="31.9" customHeight="1">
      <c r="B789" s="167"/>
      <c r="C789" s="168"/>
      <c r="D789" s="892"/>
      <c r="E789" s="892"/>
      <c r="F789" s="892"/>
      <c r="G789" s="892"/>
      <c r="H789" s="892"/>
      <c r="I789" s="892"/>
      <c r="L789" s="164"/>
      <c r="N789" s="174"/>
    </row>
    <row r="790" spans="2:14" ht="31.9" customHeight="1">
      <c r="B790" s="167"/>
      <c r="C790" s="168"/>
      <c r="D790" s="892"/>
      <c r="E790" s="892"/>
      <c r="F790" s="892"/>
      <c r="G790" s="892"/>
      <c r="H790" s="892"/>
      <c r="I790" s="892"/>
      <c r="L790" s="164"/>
      <c r="N790" s="174"/>
    </row>
    <row r="791" spans="2:14" ht="31.9" customHeight="1">
      <c r="B791" s="167"/>
      <c r="C791" s="168"/>
      <c r="D791" s="892"/>
      <c r="E791" s="892"/>
      <c r="F791" s="892"/>
      <c r="G791" s="892"/>
      <c r="H791" s="892"/>
      <c r="I791" s="892"/>
      <c r="L791" s="164"/>
      <c r="N791" s="174"/>
    </row>
    <row r="792" spans="2:14" ht="31.9" customHeight="1">
      <c r="B792" s="167"/>
      <c r="C792" s="168"/>
      <c r="D792" s="892"/>
      <c r="E792" s="892"/>
      <c r="F792" s="892"/>
      <c r="G792" s="892"/>
      <c r="H792" s="892"/>
      <c r="I792" s="892"/>
      <c r="L792" s="164"/>
      <c r="N792" s="174"/>
    </row>
    <row r="793" spans="2:14" ht="31.9" customHeight="1">
      <c r="B793" s="167"/>
      <c r="C793" s="168"/>
      <c r="D793" s="892"/>
      <c r="E793" s="892"/>
      <c r="F793" s="892"/>
      <c r="G793" s="892"/>
      <c r="H793" s="892"/>
      <c r="I793" s="892"/>
      <c r="L793" s="164"/>
      <c r="N793" s="174"/>
    </row>
    <row r="794" spans="2:14" ht="31.9" customHeight="1">
      <c r="B794" s="167"/>
      <c r="C794" s="168"/>
      <c r="D794" s="892"/>
      <c r="E794" s="892"/>
      <c r="F794" s="892"/>
      <c r="G794" s="892"/>
      <c r="H794" s="892"/>
      <c r="I794" s="892"/>
      <c r="L794" s="164"/>
      <c r="N794" s="174"/>
    </row>
    <row r="795" spans="2:14" ht="31.9" customHeight="1">
      <c r="B795" s="167"/>
      <c r="C795" s="168"/>
      <c r="D795" s="892"/>
      <c r="E795" s="892"/>
      <c r="F795" s="892"/>
      <c r="G795" s="892"/>
      <c r="H795" s="892"/>
      <c r="I795" s="892"/>
      <c r="L795" s="164"/>
      <c r="N795" s="174"/>
    </row>
    <row r="796" spans="2:14" ht="31.9" customHeight="1">
      <c r="B796" s="167"/>
      <c r="C796" s="168"/>
      <c r="D796" s="892"/>
      <c r="E796" s="892"/>
      <c r="F796" s="892"/>
      <c r="G796" s="892"/>
      <c r="H796" s="892"/>
      <c r="I796" s="892"/>
      <c r="L796" s="164"/>
      <c r="N796" s="174"/>
    </row>
    <row r="797" spans="2:14" ht="31.9" customHeight="1">
      <c r="B797" s="167"/>
      <c r="C797" s="168"/>
      <c r="D797" s="892"/>
      <c r="E797" s="892"/>
      <c r="F797" s="892"/>
      <c r="G797" s="892"/>
      <c r="H797" s="892"/>
      <c r="I797" s="892"/>
      <c r="L797" s="164"/>
      <c r="N797" s="174"/>
    </row>
    <row r="798" spans="2:14" ht="31.9" customHeight="1">
      <c r="B798" s="167"/>
      <c r="C798" s="168"/>
      <c r="D798" s="892"/>
      <c r="E798" s="892"/>
      <c r="F798" s="892"/>
      <c r="G798" s="892"/>
      <c r="H798" s="892"/>
      <c r="I798" s="892"/>
      <c r="L798" s="164"/>
      <c r="N798" s="174"/>
    </row>
    <row r="799" spans="2:14" ht="31.9" customHeight="1">
      <c r="B799" s="167"/>
      <c r="C799" s="168"/>
      <c r="D799" s="892"/>
      <c r="E799" s="892"/>
      <c r="F799" s="892"/>
      <c r="G799" s="892"/>
      <c r="H799" s="892"/>
      <c r="I799" s="892"/>
      <c r="L799" s="164"/>
      <c r="N799" s="174"/>
    </row>
    <row r="800" spans="2:14" ht="31.9" customHeight="1">
      <c r="B800" s="167"/>
      <c r="C800" s="168"/>
      <c r="D800" s="892"/>
      <c r="E800" s="892"/>
      <c r="F800" s="892"/>
      <c r="G800" s="892"/>
      <c r="H800" s="892"/>
      <c r="I800" s="892"/>
      <c r="L800" s="164"/>
      <c r="N800" s="174"/>
    </row>
    <row r="801" spans="2:14" ht="31.9" customHeight="1">
      <c r="B801" s="167"/>
      <c r="C801" s="168"/>
      <c r="D801" s="892"/>
      <c r="E801" s="892"/>
      <c r="F801" s="892"/>
      <c r="G801" s="892"/>
      <c r="H801" s="892"/>
      <c r="I801" s="892"/>
      <c r="L801" s="164"/>
      <c r="N801" s="174"/>
    </row>
    <row r="802" spans="2:14" ht="31.9" customHeight="1">
      <c r="B802" s="167"/>
      <c r="C802" s="168"/>
      <c r="D802" s="892"/>
      <c r="E802" s="892"/>
      <c r="F802" s="892"/>
      <c r="G802" s="892"/>
      <c r="H802" s="892"/>
      <c r="I802" s="892"/>
      <c r="L802" s="164"/>
      <c r="N802" s="174"/>
    </row>
    <row r="803" spans="2:14" ht="31.9" customHeight="1">
      <c r="B803" s="167"/>
      <c r="C803" s="168"/>
      <c r="D803" s="892"/>
      <c r="E803" s="892"/>
      <c r="F803" s="892"/>
      <c r="G803" s="892"/>
      <c r="H803" s="892"/>
      <c r="I803" s="892"/>
      <c r="L803" s="164"/>
      <c r="N803" s="174"/>
    </row>
    <row r="804" spans="2:14" ht="31.9" customHeight="1">
      <c r="B804" s="167"/>
      <c r="C804" s="168"/>
      <c r="D804" s="892"/>
      <c r="E804" s="892"/>
      <c r="F804" s="892"/>
      <c r="G804" s="892"/>
      <c r="H804" s="892"/>
      <c r="I804" s="892"/>
      <c r="L804" s="164"/>
      <c r="N804" s="174"/>
    </row>
    <row r="805" spans="2:14" ht="31.9" customHeight="1">
      <c r="B805" s="167"/>
      <c r="C805" s="168"/>
      <c r="D805" s="892"/>
      <c r="E805" s="892"/>
      <c r="F805" s="892"/>
      <c r="G805" s="892"/>
      <c r="H805" s="892"/>
      <c r="I805" s="892"/>
      <c r="L805" s="164"/>
      <c r="N805" s="174"/>
    </row>
    <row r="806" spans="2:14" ht="31.9" customHeight="1">
      <c r="B806" s="167"/>
      <c r="C806" s="168"/>
      <c r="D806" s="892"/>
      <c r="E806" s="892"/>
      <c r="F806" s="892"/>
      <c r="G806" s="892"/>
      <c r="H806" s="892"/>
      <c r="I806" s="892"/>
      <c r="L806" s="164"/>
      <c r="N806" s="174"/>
    </row>
    <row r="807" spans="2:14" ht="31.9" customHeight="1">
      <c r="B807" s="167"/>
      <c r="C807" s="168"/>
      <c r="D807" s="892"/>
      <c r="E807" s="892"/>
      <c r="F807" s="892"/>
      <c r="G807" s="892"/>
      <c r="H807" s="892"/>
      <c r="I807" s="892"/>
      <c r="L807" s="164"/>
      <c r="N807" s="174"/>
    </row>
    <row r="808" spans="2:14" ht="31.9" customHeight="1">
      <c r="B808" s="167"/>
      <c r="C808" s="168"/>
      <c r="D808" s="892"/>
      <c r="E808" s="892"/>
      <c r="F808" s="892"/>
      <c r="G808" s="892"/>
      <c r="H808" s="892"/>
      <c r="I808" s="892"/>
      <c r="L808" s="164"/>
      <c r="N808" s="174"/>
    </row>
    <row r="809" spans="2:14" ht="31.9" customHeight="1">
      <c r="B809" s="167"/>
      <c r="C809" s="168"/>
      <c r="D809" s="892"/>
      <c r="E809" s="892"/>
      <c r="F809" s="892"/>
      <c r="G809" s="892"/>
      <c r="H809" s="892"/>
      <c r="I809" s="892"/>
      <c r="L809" s="164"/>
      <c r="N809" s="174"/>
    </row>
    <row r="810" spans="2:14" ht="31.9" customHeight="1">
      <c r="B810" s="167"/>
      <c r="C810" s="168"/>
      <c r="D810" s="892"/>
      <c r="E810" s="892"/>
      <c r="F810" s="892"/>
      <c r="G810" s="892"/>
      <c r="H810" s="892"/>
      <c r="I810" s="892"/>
      <c r="L810" s="164"/>
      <c r="N810" s="174"/>
    </row>
    <row r="811" spans="2:14" ht="31.9" customHeight="1">
      <c r="B811" s="167"/>
      <c r="C811" s="168"/>
      <c r="D811" s="892"/>
      <c r="E811" s="892"/>
      <c r="F811" s="892"/>
      <c r="G811" s="892"/>
      <c r="H811" s="892"/>
      <c r="I811" s="892"/>
      <c r="L811" s="164"/>
      <c r="N811" s="174"/>
    </row>
    <row r="812" spans="2:14" ht="31.9" customHeight="1">
      <c r="B812" s="167"/>
      <c r="C812" s="168"/>
      <c r="D812" s="892"/>
      <c r="E812" s="892"/>
      <c r="F812" s="892"/>
      <c r="G812" s="892"/>
      <c r="H812" s="892"/>
      <c r="I812" s="892"/>
      <c r="L812" s="164"/>
      <c r="N812" s="174"/>
    </row>
    <row r="813" spans="2:14" ht="31.9" customHeight="1">
      <c r="B813" s="167"/>
      <c r="C813" s="168"/>
      <c r="D813" s="892"/>
      <c r="E813" s="892"/>
      <c r="F813" s="892"/>
      <c r="G813" s="892"/>
      <c r="H813" s="892"/>
      <c r="I813" s="892"/>
      <c r="L813" s="164"/>
      <c r="N813" s="174"/>
    </row>
    <row r="814" spans="2:14" ht="31.9" customHeight="1">
      <c r="B814" s="167"/>
      <c r="C814" s="168"/>
      <c r="D814" s="892"/>
      <c r="E814" s="892"/>
      <c r="F814" s="892"/>
      <c r="G814" s="892"/>
      <c r="H814" s="892"/>
      <c r="I814" s="892"/>
      <c r="L814" s="164"/>
      <c r="N814" s="174"/>
    </row>
    <row r="815" spans="2:14" ht="31.9" customHeight="1">
      <c r="B815" s="167"/>
      <c r="C815" s="168"/>
      <c r="D815" s="892"/>
      <c r="E815" s="892"/>
      <c r="F815" s="892"/>
      <c r="G815" s="892"/>
      <c r="H815" s="892"/>
      <c r="I815" s="892"/>
      <c r="L815" s="164"/>
      <c r="N815" s="174"/>
    </row>
    <row r="816" spans="2:14" ht="31.9" customHeight="1">
      <c r="B816" s="167"/>
      <c r="C816" s="168"/>
      <c r="D816" s="892"/>
      <c r="E816" s="892"/>
      <c r="F816" s="892"/>
      <c r="G816" s="892"/>
      <c r="H816" s="892"/>
      <c r="I816" s="892"/>
      <c r="L816" s="164"/>
      <c r="N816" s="174"/>
    </row>
    <row r="817" spans="2:14" ht="31.9" customHeight="1">
      <c r="B817" s="167"/>
      <c r="C817" s="168"/>
      <c r="D817" s="892"/>
      <c r="E817" s="892"/>
      <c r="F817" s="892"/>
      <c r="G817" s="892"/>
      <c r="H817" s="892"/>
      <c r="I817" s="892"/>
      <c r="L817" s="164"/>
      <c r="N817" s="174"/>
    </row>
    <row r="818" spans="2:14" ht="31.9" customHeight="1">
      <c r="B818" s="167"/>
      <c r="C818" s="168"/>
      <c r="D818" s="892"/>
      <c r="E818" s="892"/>
      <c r="F818" s="892"/>
      <c r="G818" s="892"/>
      <c r="H818" s="892"/>
      <c r="I818" s="892"/>
      <c r="L818" s="164"/>
      <c r="N818" s="174"/>
    </row>
    <row r="819" spans="2:14" ht="31.9" customHeight="1">
      <c r="B819" s="167"/>
      <c r="C819" s="168"/>
      <c r="D819" s="892"/>
      <c r="E819" s="892"/>
      <c r="F819" s="892"/>
      <c r="G819" s="892"/>
      <c r="H819" s="892"/>
      <c r="I819" s="892"/>
      <c r="L819" s="164"/>
      <c r="N819" s="174"/>
    </row>
    <row r="820" spans="2:14" ht="31.9" customHeight="1">
      <c r="B820" s="167"/>
      <c r="C820" s="168"/>
      <c r="D820" s="892"/>
      <c r="E820" s="892"/>
      <c r="F820" s="892"/>
      <c r="G820" s="892"/>
      <c r="H820" s="892"/>
      <c r="I820" s="892"/>
      <c r="L820" s="164"/>
      <c r="N820" s="174"/>
    </row>
    <row r="821" spans="2:14" ht="31.9" customHeight="1">
      <c r="B821" s="167"/>
      <c r="C821" s="168"/>
      <c r="D821" s="892"/>
      <c r="E821" s="892"/>
      <c r="F821" s="892"/>
      <c r="G821" s="892"/>
      <c r="H821" s="892"/>
      <c r="I821" s="892"/>
      <c r="L821" s="164"/>
      <c r="N821" s="174"/>
    </row>
    <row r="822" spans="2:14" ht="31.9" customHeight="1">
      <c r="B822" s="167"/>
      <c r="C822" s="168"/>
      <c r="D822" s="892"/>
      <c r="E822" s="892"/>
      <c r="F822" s="892"/>
      <c r="G822" s="892"/>
      <c r="H822" s="892"/>
      <c r="I822" s="892"/>
      <c r="L822" s="164"/>
      <c r="N822" s="174"/>
    </row>
    <row r="823" spans="2:14" ht="31.9" customHeight="1">
      <c r="B823" s="167"/>
      <c r="C823" s="168"/>
      <c r="D823" s="892"/>
      <c r="E823" s="892"/>
      <c r="F823" s="892"/>
      <c r="G823" s="892"/>
      <c r="H823" s="892"/>
      <c r="I823" s="892"/>
      <c r="L823" s="164"/>
      <c r="N823" s="174"/>
    </row>
    <row r="824" spans="2:14" ht="31.9" customHeight="1">
      <c r="B824" s="167"/>
      <c r="C824" s="168"/>
      <c r="D824" s="892"/>
      <c r="E824" s="892"/>
      <c r="F824" s="892"/>
      <c r="G824" s="892"/>
      <c r="H824" s="892"/>
      <c r="I824" s="892"/>
      <c r="L824" s="164"/>
      <c r="N824" s="174"/>
    </row>
    <row r="825" spans="2:14" ht="31.9" customHeight="1">
      <c r="B825" s="167"/>
      <c r="C825" s="168"/>
      <c r="D825" s="892"/>
      <c r="E825" s="892"/>
      <c r="F825" s="892"/>
      <c r="G825" s="892"/>
      <c r="H825" s="892"/>
      <c r="I825" s="892"/>
      <c r="L825" s="164"/>
      <c r="N825" s="174"/>
    </row>
    <row r="826" spans="2:14" ht="31.9" customHeight="1">
      <c r="B826" s="167"/>
      <c r="C826" s="168"/>
      <c r="D826" s="892"/>
      <c r="E826" s="892"/>
      <c r="F826" s="892"/>
      <c r="G826" s="892"/>
      <c r="H826" s="892"/>
      <c r="I826" s="892"/>
      <c r="L826" s="164"/>
      <c r="N826" s="174"/>
    </row>
    <row r="827" spans="2:14" ht="31.9" customHeight="1">
      <c r="B827" s="167"/>
      <c r="C827" s="168"/>
      <c r="D827" s="892"/>
      <c r="E827" s="892"/>
      <c r="F827" s="892"/>
      <c r="G827" s="892"/>
      <c r="H827" s="892"/>
      <c r="I827" s="892"/>
      <c r="L827" s="164"/>
      <c r="N827" s="174"/>
    </row>
    <row r="828" spans="2:14" ht="31.9" customHeight="1">
      <c r="B828" s="167"/>
      <c r="C828" s="168"/>
      <c r="D828" s="892"/>
      <c r="E828" s="892"/>
      <c r="F828" s="892"/>
      <c r="G828" s="892"/>
      <c r="H828" s="892"/>
      <c r="I828" s="892"/>
      <c r="L828" s="164"/>
      <c r="N828" s="174"/>
    </row>
    <row r="829" spans="2:14" ht="31.9" customHeight="1">
      <c r="B829" s="167"/>
      <c r="C829" s="168"/>
      <c r="D829" s="892"/>
      <c r="E829" s="892"/>
      <c r="F829" s="892"/>
      <c r="G829" s="892"/>
      <c r="H829" s="892"/>
      <c r="I829" s="892"/>
      <c r="L829" s="164"/>
      <c r="N829" s="174"/>
    </row>
    <row r="830" spans="2:14" ht="31.9" customHeight="1">
      <c r="B830" s="167"/>
      <c r="C830" s="168"/>
      <c r="D830" s="892"/>
      <c r="E830" s="892"/>
      <c r="F830" s="892"/>
      <c r="G830" s="892"/>
      <c r="H830" s="892"/>
      <c r="I830" s="892"/>
      <c r="L830" s="164"/>
      <c r="N830" s="174"/>
    </row>
    <row r="831" spans="2:14" ht="31.9" customHeight="1">
      <c r="B831" s="167"/>
      <c r="C831" s="168"/>
      <c r="D831" s="892"/>
      <c r="E831" s="892"/>
      <c r="F831" s="892"/>
      <c r="G831" s="892"/>
      <c r="H831" s="892"/>
      <c r="I831" s="892"/>
      <c r="L831" s="164"/>
      <c r="N831" s="174"/>
    </row>
    <row r="832" spans="2:14" ht="31.9" customHeight="1">
      <c r="B832" s="167"/>
      <c r="C832" s="168"/>
      <c r="D832" s="892"/>
      <c r="E832" s="892"/>
      <c r="F832" s="892"/>
      <c r="G832" s="892"/>
      <c r="H832" s="892"/>
      <c r="I832" s="892"/>
      <c r="L832" s="164"/>
      <c r="N832" s="174"/>
    </row>
    <row r="833" spans="2:14" ht="31.9" customHeight="1">
      <c r="B833" s="167"/>
      <c r="C833" s="168"/>
      <c r="D833" s="892"/>
      <c r="E833" s="892"/>
      <c r="F833" s="892"/>
      <c r="G833" s="892"/>
      <c r="H833" s="892"/>
      <c r="I833" s="892"/>
      <c r="L833" s="164"/>
      <c r="N833" s="174"/>
    </row>
    <row r="834" spans="2:14" ht="31.9" customHeight="1">
      <c r="B834" s="167"/>
      <c r="C834" s="168"/>
      <c r="D834" s="892"/>
      <c r="E834" s="892"/>
      <c r="F834" s="892"/>
      <c r="G834" s="892"/>
      <c r="H834" s="892"/>
      <c r="I834" s="892"/>
      <c r="L834" s="164"/>
      <c r="N834" s="174"/>
    </row>
    <row r="835" spans="2:14" ht="31.9" customHeight="1">
      <c r="B835" s="167"/>
      <c r="C835" s="168"/>
      <c r="D835" s="892"/>
      <c r="E835" s="892"/>
      <c r="F835" s="892"/>
      <c r="G835" s="892"/>
      <c r="H835" s="892"/>
      <c r="I835" s="892"/>
      <c r="L835" s="164"/>
      <c r="N835" s="174"/>
    </row>
    <row r="836" spans="2:14" ht="31.9" customHeight="1">
      <c r="B836" s="167"/>
      <c r="C836" s="168"/>
      <c r="D836" s="892"/>
      <c r="E836" s="892"/>
      <c r="F836" s="892"/>
      <c r="G836" s="892"/>
      <c r="H836" s="892"/>
      <c r="I836" s="892"/>
      <c r="L836" s="164"/>
      <c r="N836" s="174"/>
    </row>
    <row r="837" spans="2:14" ht="31.9" customHeight="1">
      <c r="B837" s="167"/>
      <c r="C837" s="168"/>
      <c r="D837" s="892"/>
      <c r="E837" s="892"/>
      <c r="F837" s="892"/>
      <c r="G837" s="892"/>
      <c r="H837" s="892"/>
      <c r="I837" s="892"/>
      <c r="L837" s="164"/>
      <c r="N837" s="174"/>
    </row>
    <row r="838" spans="2:14" ht="31.9" customHeight="1">
      <c r="B838" s="167"/>
      <c r="C838" s="168"/>
      <c r="D838" s="892"/>
      <c r="E838" s="892"/>
      <c r="F838" s="892"/>
      <c r="G838" s="892"/>
      <c r="H838" s="892"/>
      <c r="I838" s="892"/>
      <c r="L838" s="164"/>
      <c r="N838" s="174"/>
    </row>
    <row r="839" spans="2:14" ht="31.9" customHeight="1">
      <c r="B839" s="167"/>
      <c r="C839" s="168"/>
      <c r="D839" s="892"/>
      <c r="E839" s="892"/>
      <c r="F839" s="892"/>
      <c r="G839" s="892"/>
      <c r="H839" s="892"/>
      <c r="I839" s="892"/>
      <c r="L839" s="164"/>
      <c r="N839" s="174"/>
    </row>
    <row r="840" spans="2:14" ht="31.9" customHeight="1">
      <c r="B840" s="167"/>
      <c r="C840" s="168"/>
      <c r="D840" s="892"/>
      <c r="E840" s="892"/>
      <c r="F840" s="892"/>
      <c r="G840" s="892"/>
      <c r="H840" s="892"/>
      <c r="I840" s="892"/>
      <c r="L840" s="164"/>
      <c r="N840" s="174"/>
    </row>
    <row r="841" spans="2:14" ht="31.9" customHeight="1">
      <c r="B841" s="167"/>
      <c r="C841" s="168"/>
      <c r="D841" s="892"/>
      <c r="E841" s="892"/>
      <c r="F841" s="892"/>
      <c r="G841" s="892"/>
      <c r="H841" s="892"/>
      <c r="I841" s="892"/>
      <c r="L841" s="164"/>
      <c r="N841" s="174"/>
    </row>
    <row r="842" spans="2:14" ht="31.9" customHeight="1">
      <c r="B842" s="167"/>
      <c r="C842" s="168"/>
      <c r="D842" s="892"/>
      <c r="E842" s="892"/>
      <c r="F842" s="892"/>
      <c r="G842" s="892"/>
      <c r="H842" s="892"/>
      <c r="I842" s="892"/>
      <c r="L842" s="164"/>
      <c r="N842" s="174"/>
    </row>
    <row r="843" spans="2:14" ht="31.9" customHeight="1">
      <c r="B843" s="167"/>
      <c r="C843" s="168"/>
      <c r="D843" s="892"/>
      <c r="E843" s="892"/>
      <c r="F843" s="892"/>
      <c r="G843" s="892"/>
      <c r="H843" s="892"/>
      <c r="I843" s="892"/>
      <c r="L843" s="164"/>
      <c r="N843" s="174"/>
    </row>
    <row r="844" spans="2:14" ht="31.9" customHeight="1">
      <c r="B844" s="167"/>
      <c r="C844" s="168"/>
      <c r="D844" s="892"/>
      <c r="E844" s="892"/>
      <c r="F844" s="892"/>
      <c r="G844" s="892"/>
      <c r="H844" s="892"/>
      <c r="I844" s="892"/>
      <c r="L844" s="164"/>
      <c r="N844" s="174"/>
    </row>
    <row r="845" spans="2:14" ht="31.9" customHeight="1">
      <c r="B845" s="167"/>
      <c r="C845" s="168"/>
      <c r="D845" s="892"/>
      <c r="E845" s="892"/>
      <c r="F845" s="892"/>
      <c r="G845" s="892"/>
      <c r="H845" s="892"/>
      <c r="I845" s="892"/>
      <c r="L845" s="164"/>
      <c r="N845" s="174"/>
    </row>
    <row r="846" spans="2:14" ht="31.9" customHeight="1">
      <c r="B846" s="167"/>
      <c r="C846" s="168"/>
      <c r="D846" s="892"/>
      <c r="E846" s="892"/>
      <c r="F846" s="892"/>
      <c r="G846" s="892"/>
      <c r="H846" s="892"/>
      <c r="I846" s="892"/>
      <c r="L846" s="164"/>
      <c r="N846" s="174"/>
    </row>
    <row r="847" spans="2:14" ht="31.9" customHeight="1">
      <c r="B847" s="167"/>
      <c r="C847" s="168"/>
      <c r="D847" s="892"/>
      <c r="E847" s="892"/>
      <c r="F847" s="892"/>
      <c r="G847" s="892"/>
      <c r="H847" s="892"/>
      <c r="I847" s="892"/>
      <c r="L847" s="164"/>
      <c r="N847" s="174"/>
    </row>
    <row r="848" spans="2:14" ht="31.9" customHeight="1">
      <c r="B848" s="167"/>
      <c r="C848" s="168"/>
      <c r="D848" s="892"/>
      <c r="E848" s="892"/>
      <c r="F848" s="892"/>
      <c r="G848" s="892"/>
      <c r="H848" s="892"/>
      <c r="I848" s="892"/>
      <c r="L848" s="164"/>
      <c r="N848" s="174"/>
    </row>
    <row r="849" spans="2:14" ht="31.9" customHeight="1">
      <c r="B849" s="167"/>
      <c r="C849" s="168"/>
      <c r="D849" s="892"/>
      <c r="E849" s="892"/>
      <c r="F849" s="892"/>
      <c r="G849" s="892"/>
      <c r="H849" s="892"/>
      <c r="I849" s="892"/>
      <c r="L849" s="164"/>
      <c r="N849" s="174"/>
    </row>
    <row r="850" spans="2:14" ht="31.9" customHeight="1">
      <c r="B850" s="167"/>
      <c r="C850" s="168"/>
      <c r="D850" s="892"/>
      <c r="E850" s="892"/>
      <c r="F850" s="892"/>
      <c r="G850" s="892"/>
      <c r="H850" s="892"/>
      <c r="I850" s="892"/>
      <c r="L850" s="164"/>
      <c r="N850" s="174"/>
    </row>
    <row r="851" spans="2:14" ht="31.9" customHeight="1">
      <c r="B851" s="167"/>
      <c r="C851" s="168"/>
      <c r="D851" s="892"/>
      <c r="E851" s="892"/>
      <c r="F851" s="892"/>
      <c r="G851" s="892"/>
      <c r="H851" s="892"/>
      <c r="I851" s="892"/>
      <c r="L851" s="164"/>
      <c r="N851" s="174"/>
    </row>
    <row r="852" spans="2:14" ht="31.9" customHeight="1">
      <c r="B852" s="167"/>
      <c r="C852" s="168"/>
      <c r="D852" s="892"/>
      <c r="E852" s="892"/>
      <c r="F852" s="892"/>
      <c r="G852" s="892"/>
      <c r="H852" s="892"/>
      <c r="I852" s="892"/>
      <c r="L852" s="164"/>
      <c r="N852" s="174"/>
    </row>
    <row r="853" spans="2:14" ht="31.9" customHeight="1">
      <c r="B853" s="167"/>
      <c r="C853" s="168"/>
      <c r="D853" s="892"/>
      <c r="E853" s="892"/>
      <c r="F853" s="892"/>
      <c r="G853" s="892"/>
      <c r="H853" s="892"/>
      <c r="I853" s="892"/>
      <c r="L853" s="164"/>
      <c r="N853" s="174"/>
    </row>
    <row r="854" spans="2:14" ht="31.9" customHeight="1">
      <c r="B854" s="167"/>
      <c r="C854" s="168"/>
      <c r="D854" s="892"/>
      <c r="E854" s="892"/>
      <c r="F854" s="892"/>
      <c r="G854" s="892"/>
      <c r="H854" s="892"/>
      <c r="I854" s="892"/>
      <c r="L854" s="164"/>
      <c r="N854" s="174"/>
    </row>
    <row r="855" spans="2:14" ht="31.9" customHeight="1">
      <c r="B855" s="167"/>
      <c r="C855" s="168"/>
      <c r="D855" s="892"/>
      <c r="E855" s="892"/>
      <c r="F855" s="892"/>
      <c r="G855" s="892"/>
      <c r="H855" s="892"/>
      <c r="I855" s="892"/>
      <c r="L855" s="164"/>
      <c r="N855" s="174"/>
    </row>
    <row r="856" spans="2:14" ht="31.9" customHeight="1">
      <c r="B856" s="167"/>
      <c r="C856" s="168"/>
      <c r="D856" s="892"/>
      <c r="E856" s="892"/>
      <c r="F856" s="892"/>
      <c r="G856" s="892"/>
      <c r="H856" s="892"/>
      <c r="I856" s="892"/>
      <c r="L856" s="164"/>
      <c r="N856" s="174"/>
    </row>
    <row r="857" spans="2:14" ht="31.9" customHeight="1">
      <c r="B857" s="167"/>
      <c r="C857" s="168"/>
      <c r="D857" s="892"/>
      <c r="E857" s="892"/>
      <c r="F857" s="892"/>
      <c r="G857" s="892"/>
      <c r="H857" s="892"/>
      <c r="I857" s="892"/>
      <c r="L857" s="164"/>
      <c r="N857" s="174"/>
    </row>
    <row r="858" spans="2:14" ht="31.9" customHeight="1">
      <c r="B858" s="167"/>
      <c r="C858" s="168"/>
      <c r="D858" s="892"/>
      <c r="E858" s="892"/>
      <c r="F858" s="892"/>
      <c r="G858" s="892"/>
      <c r="H858" s="892"/>
      <c r="I858" s="892"/>
      <c r="L858" s="164"/>
      <c r="N858" s="174"/>
    </row>
    <row r="859" spans="2:14" ht="31.9" customHeight="1">
      <c r="B859" s="167"/>
      <c r="C859" s="168"/>
      <c r="D859" s="892"/>
      <c r="E859" s="892"/>
      <c r="F859" s="892"/>
      <c r="G859" s="892"/>
      <c r="H859" s="892"/>
      <c r="I859" s="892"/>
      <c r="L859" s="164"/>
      <c r="N859" s="174"/>
    </row>
    <row r="860" spans="2:14" ht="31.9" customHeight="1">
      <c r="B860" s="167"/>
      <c r="C860" s="168"/>
      <c r="D860" s="892"/>
      <c r="E860" s="892"/>
      <c r="F860" s="892"/>
      <c r="G860" s="892"/>
      <c r="H860" s="892"/>
      <c r="I860" s="892"/>
      <c r="L860" s="164"/>
      <c r="N860" s="174"/>
    </row>
    <row r="861" spans="2:14" ht="31.9" customHeight="1">
      <c r="B861" s="167"/>
      <c r="C861" s="168"/>
      <c r="D861" s="892"/>
      <c r="E861" s="892"/>
      <c r="F861" s="892"/>
      <c r="G861" s="892"/>
      <c r="H861" s="892"/>
      <c r="I861" s="892"/>
      <c r="L861" s="164"/>
      <c r="N861" s="174"/>
    </row>
    <row r="862" spans="2:14" ht="31.9" customHeight="1">
      <c r="B862" s="167"/>
      <c r="C862" s="168"/>
      <c r="D862" s="892"/>
      <c r="E862" s="892"/>
      <c r="F862" s="892"/>
      <c r="G862" s="892"/>
      <c r="H862" s="892"/>
      <c r="I862" s="892"/>
      <c r="L862" s="164"/>
      <c r="N862" s="174"/>
    </row>
    <row r="863" spans="2:14" ht="31.9" customHeight="1">
      <c r="B863" s="167"/>
      <c r="C863" s="168"/>
      <c r="D863" s="892"/>
      <c r="E863" s="892"/>
      <c r="F863" s="892"/>
      <c r="G863" s="892"/>
      <c r="H863" s="892"/>
      <c r="I863" s="892"/>
      <c r="L863" s="164"/>
      <c r="N863" s="174"/>
    </row>
    <row r="864" spans="2:14" ht="31.9" customHeight="1">
      <c r="B864" s="167"/>
      <c r="C864" s="168"/>
      <c r="D864" s="892"/>
      <c r="E864" s="892"/>
      <c r="F864" s="892"/>
      <c r="G864" s="892"/>
      <c r="H864" s="892"/>
      <c r="I864" s="892"/>
      <c r="L864" s="164"/>
      <c r="N864" s="174"/>
    </row>
    <row r="865" spans="2:14" ht="31.9" customHeight="1">
      <c r="B865" s="167"/>
      <c r="C865" s="168"/>
      <c r="D865" s="892"/>
      <c r="E865" s="892"/>
      <c r="F865" s="892"/>
      <c r="G865" s="892"/>
      <c r="H865" s="892"/>
      <c r="I865" s="892"/>
      <c r="L865" s="164"/>
      <c r="N865" s="174"/>
    </row>
    <row r="866" spans="2:14" ht="31.9" customHeight="1">
      <c r="B866" s="167"/>
      <c r="C866" s="168"/>
      <c r="D866" s="892"/>
      <c r="E866" s="892"/>
      <c r="F866" s="892"/>
      <c r="G866" s="892"/>
      <c r="H866" s="892"/>
      <c r="I866" s="892"/>
      <c r="L866" s="164"/>
      <c r="N866" s="174"/>
    </row>
    <row r="867" spans="2:14" ht="31.9" customHeight="1">
      <c r="B867" s="167"/>
      <c r="C867" s="168"/>
      <c r="D867" s="892"/>
      <c r="E867" s="892"/>
      <c r="F867" s="892"/>
      <c r="G867" s="892"/>
      <c r="H867" s="892"/>
      <c r="I867" s="892"/>
      <c r="L867" s="164"/>
      <c r="N867" s="174"/>
    </row>
    <row r="868" spans="2:14" ht="31.9" customHeight="1">
      <c r="B868" s="167"/>
      <c r="C868" s="168"/>
      <c r="D868" s="892"/>
      <c r="E868" s="892"/>
      <c r="F868" s="892"/>
      <c r="G868" s="892"/>
      <c r="H868" s="892"/>
      <c r="I868" s="892"/>
      <c r="L868" s="164"/>
      <c r="N868" s="174"/>
    </row>
    <row r="869" spans="2:14" ht="31.9" customHeight="1">
      <c r="B869" s="167"/>
      <c r="C869" s="168"/>
      <c r="D869" s="892"/>
      <c r="E869" s="892"/>
      <c r="F869" s="892"/>
      <c r="G869" s="892"/>
      <c r="H869" s="892"/>
      <c r="I869" s="892"/>
      <c r="L869" s="164"/>
      <c r="N869" s="174"/>
    </row>
    <row r="870" spans="2:14" ht="31.9" customHeight="1">
      <c r="B870" s="167"/>
      <c r="C870" s="168"/>
      <c r="D870" s="892"/>
      <c r="E870" s="892"/>
      <c r="F870" s="892"/>
      <c r="G870" s="892"/>
      <c r="H870" s="892"/>
      <c r="I870" s="892"/>
      <c r="L870" s="164"/>
      <c r="N870" s="174"/>
    </row>
    <row r="871" spans="2:14" ht="31.9" customHeight="1">
      <c r="B871" s="167"/>
      <c r="C871" s="168"/>
      <c r="D871" s="892"/>
      <c r="E871" s="892"/>
      <c r="F871" s="892"/>
      <c r="G871" s="892"/>
      <c r="H871" s="892"/>
      <c r="I871" s="892"/>
      <c r="L871" s="164"/>
      <c r="N871" s="174"/>
    </row>
    <row r="872" spans="2:14" ht="31.9" customHeight="1">
      <c r="B872" s="167"/>
      <c r="C872" s="168"/>
      <c r="D872" s="892"/>
      <c r="E872" s="892"/>
      <c r="F872" s="892"/>
      <c r="G872" s="892"/>
      <c r="H872" s="892"/>
      <c r="I872" s="892"/>
      <c r="L872" s="164"/>
      <c r="N872" s="174"/>
    </row>
    <row r="873" spans="2:14" ht="31.9" customHeight="1">
      <c r="B873" s="167"/>
      <c r="C873" s="168"/>
      <c r="D873" s="892"/>
      <c r="E873" s="892"/>
      <c r="F873" s="892"/>
      <c r="G873" s="892"/>
      <c r="H873" s="892"/>
      <c r="I873" s="892"/>
      <c r="L873" s="164"/>
      <c r="N873" s="174"/>
    </row>
    <row r="874" spans="2:14" ht="31.9" customHeight="1">
      <c r="B874" s="167"/>
      <c r="C874" s="168"/>
      <c r="D874" s="892"/>
      <c r="E874" s="892"/>
      <c r="F874" s="892"/>
      <c r="G874" s="892"/>
      <c r="H874" s="892"/>
      <c r="I874" s="892"/>
      <c r="L874" s="164"/>
      <c r="N874" s="174"/>
    </row>
    <row r="875" spans="2:14" ht="31.9" customHeight="1">
      <c r="B875" s="167"/>
      <c r="C875" s="168"/>
      <c r="D875" s="892"/>
      <c r="E875" s="892"/>
      <c r="F875" s="892"/>
      <c r="G875" s="892"/>
      <c r="H875" s="892"/>
      <c r="I875" s="892"/>
      <c r="L875" s="164"/>
      <c r="N875" s="174"/>
    </row>
    <row r="876" spans="2:14" ht="31.9" customHeight="1">
      <c r="B876" s="167"/>
      <c r="C876" s="168"/>
      <c r="D876" s="892"/>
      <c r="E876" s="892"/>
      <c r="F876" s="892"/>
      <c r="G876" s="892"/>
      <c r="H876" s="892"/>
      <c r="I876" s="892"/>
      <c r="L876" s="164"/>
      <c r="N876" s="174"/>
    </row>
    <row r="877" spans="2:14" ht="31.9" customHeight="1">
      <c r="B877" s="167"/>
      <c r="C877" s="168"/>
      <c r="D877" s="892"/>
      <c r="E877" s="892"/>
      <c r="F877" s="892"/>
      <c r="G877" s="892"/>
      <c r="H877" s="892"/>
      <c r="I877" s="892"/>
      <c r="L877" s="164"/>
      <c r="N877" s="174"/>
    </row>
    <row r="878" spans="2:14" ht="31.9" customHeight="1">
      <c r="B878" s="167"/>
      <c r="C878" s="168"/>
      <c r="D878" s="892"/>
      <c r="E878" s="892"/>
      <c r="F878" s="892"/>
      <c r="G878" s="892"/>
      <c r="H878" s="892"/>
      <c r="I878" s="892"/>
      <c r="L878" s="164"/>
      <c r="N878" s="174"/>
    </row>
    <row r="879" spans="2:14" ht="31.9" customHeight="1">
      <c r="B879" s="167"/>
      <c r="C879" s="168"/>
      <c r="D879" s="892"/>
      <c r="E879" s="892"/>
      <c r="F879" s="892"/>
      <c r="G879" s="892"/>
      <c r="H879" s="892"/>
      <c r="I879" s="892"/>
      <c r="L879" s="164"/>
      <c r="N879" s="174"/>
    </row>
    <row r="880" spans="2:14" ht="31.9" customHeight="1">
      <c r="B880" s="167"/>
      <c r="C880" s="168"/>
      <c r="D880" s="892"/>
      <c r="E880" s="892"/>
      <c r="F880" s="892"/>
      <c r="G880" s="892"/>
      <c r="H880" s="892"/>
      <c r="I880" s="892"/>
      <c r="L880" s="164"/>
      <c r="N880" s="174"/>
    </row>
    <row r="881" spans="2:14" ht="31.9" customHeight="1">
      <c r="B881" s="167"/>
      <c r="C881" s="168"/>
      <c r="D881" s="892"/>
      <c r="E881" s="892"/>
      <c r="F881" s="892"/>
      <c r="G881" s="892"/>
      <c r="H881" s="892"/>
      <c r="I881" s="892"/>
      <c r="L881" s="164"/>
      <c r="N881" s="174"/>
    </row>
    <row r="882" spans="2:14" ht="31.9" customHeight="1">
      <c r="B882" s="167"/>
      <c r="C882" s="168"/>
      <c r="D882" s="892"/>
      <c r="E882" s="892"/>
      <c r="F882" s="892"/>
      <c r="G882" s="892"/>
      <c r="H882" s="892"/>
      <c r="I882" s="892"/>
      <c r="L882" s="164"/>
      <c r="N882" s="174"/>
    </row>
    <row r="883" spans="2:14" ht="31.9" customHeight="1">
      <c r="B883" s="167"/>
      <c r="C883" s="168"/>
      <c r="D883" s="892"/>
      <c r="E883" s="892"/>
      <c r="F883" s="892"/>
      <c r="G883" s="892"/>
      <c r="H883" s="892"/>
      <c r="I883" s="892"/>
      <c r="L883" s="164"/>
      <c r="N883" s="174"/>
    </row>
    <row r="884" spans="2:14" ht="31.9" customHeight="1">
      <c r="B884" s="167"/>
      <c r="C884" s="168"/>
      <c r="D884" s="892"/>
      <c r="E884" s="892"/>
      <c r="F884" s="892"/>
      <c r="G884" s="892"/>
      <c r="H884" s="892"/>
      <c r="I884" s="892"/>
      <c r="L884" s="164"/>
      <c r="N884" s="174"/>
    </row>
    <row r="885" spans="2:14" ht="31.9" customHeight="1">
      <c r="B885" s="167"/>
      <c r="C885" s="168"/>
      <c r="D885" s="892"/>
      <c r="E885" s="892"/>
      <c r="F885" s="892"/>
      <c r="G885" s="892"/>
      <c r="H885" s="892"/>
      <c r="I885" s="892"/>
      <c r="L885" s="164"/>
      <c r="N885" s="174"/>
    </row>
    <row r="886" spans="2:14" ht="31.9" customHeight="1">
      <c r="B886" s="167"/>
      <c r="C886" s="168"/>
      <c r="D886" s="892"/>
      <c r="E886" s="892"/>
      <c r="F886" s="892"/>
      <c r="G886" s="892"/>
      <c r="H886" s="892"/>
      <c r="I886" s="892"/>
      <c r="L886" s="164"/>
      <c r="N886" s="174"/>
    </row>
    <row r="887" spans="2:14" ht="31.9" customHeight="1">
      <c r="B887" s="167"/>
      <c r="C887" s="168"/>
      <c r="D887" s="892"/>
      <c r="E887" s="892"/>
      <c r="F887" s="892"/>
      <c r="G887" s="892"/>
      <c r="H887" s="892"/>
      <c r="I887" s="892"/>
      <c r="L887" s="164"/>
      <c r="N887" s="174"/>
    </row>
    <row r="888" spans="2:14" ht="31.9" customHeight="1">
      <c r="B888" s="167"/>
      <c r="C888" s="168"/>
      <c r="D888" s="892"/>
      <c r="E888" s="892"/>
      <c r="F888" s="892"/>
      <c r="G888" s="892"/>
      <c r="H888" s="892"/>
      <c r="I888" s="892"/>
      <c r="L888" s="164"/>
      <c r="N888" s="174"/>
    </row>
    <row r="889" spans="2:14" ht="31.9" customHeight="1">
      <c r="B889" s="167"/>
      <c r="C889" s="168"/>
      <c r="D889" s="892"/>
      <c r="E889" s="892"/>
      <c r="F889" s="892"/>
      <c r="G889" s="892"/>
      <c r="H889" s="892"/>
      <c r="I889" s="892"/>
      <c r="L889" s="164"/>
      <c r="N889" s="174"/>
    </row>
    <row r="890" spans="2:14" ht="31.9" customHeight="1">
      <c r="B890" s="167"/>
      <c r="C890" s="168"/>
      <c r="D890" s="892"/>
      <c r="E890" s="892"/>
      <c r="F890" s="892"/>
      <c r="G890" s="892"/>
      <c r="H890" s="892"/>
      <c r="I890" s="892"/>
      <c r="L890" s="164"/>
      <c r="N890" s="174"/>
    </row>
    <row r="891" spans="2:14" ht="31.9" customHeight="1">
      <c r="B891" s="167"/>
      <c r="C891" s="168"/>
      <c r="D891" s="892"/>
      <c r="E891" s="892"/>
      <c r="F891" s="892"/>
      <c r="G891" s="892"/>
      <c r="H891" s="892"/>
      <c r="I891" s="892"/>
      <c r="L891" s="164"/>
      <c r="N891" s="174"/>
    </row>
    <row r="892" spans="2:14" ht="31.9" customHeight="1">
      <c r="B892" s="167"/>
      <c r="C892" s="168"/>
      <c r="D892" s="892"/>
      <c r="E892" s="892"/>
      <c r="F892" s="892"/>
      <c r="G892" s="892"/>
      <c r="H892" s="892"/>
      <c r="I892" s="892"/>
      <c r="L892" s="164"/>
      <c r="N892" s="174"/>
    </row>
    <row r="893" spans="2:14" ht="31.9" customHeight="1">
      <c r="B893" s="167"/>
      <c r="C893" s="168"/>
      <c r="D893" s="892"/>
      <c r="E893" s="892"/>
      <c r="F893" s="892"/>
      <c r="G893" s="892"/>
      <c r="H893" s="892"/>
      <c r="I893" s="892"/>
      <c r="L893" s="164"/>
      <c r="N893" s="174"/>
    </row>
  </sheetData>
  <mergeCells count="20">
    <mergeCell ref="C10:C11"/>
    <mergeCell ref="N13:N14"/>
    <mergeCell ref="C13:C14"/>
    <mergeCell ref="N16:N17"/>
    <mergeCell ref="C16:C17"/>
    <mergeCell ref="G1:G11"/>
    <mergeCell ref="G12:G16"/>
    <mergeCell ref="F2:F6"/>
    <mergeCell ref="N21:N23"/>
    <mergeCell ref="N19:N20"/>
    <mergeCell ref="F7:F16"/>
    <mergeCell ref="N2:N5"/>
    <mergeCell ref="C2:C5"/>
    <mergeCell ref="N6:N7"/>
    <mergeCell ref="C6:C7"/>
    <mergeCell ref="N8:N9"/>
    <mergeCell ref="C8:C9"/>
    <mergeCell ref="D3:D5"/>
    <mergeCell ref="C21:C22"/>
    <mergeCell ref="N10:N12"/>
  </mergeCells>
  <printOptions gridLines="1"/>
  <pageMargins left="0.51" right="0.17" top="0.17" bottom="0.17" header="0" footer="0"/>
  <pageSetup orientation="portrait" r:id="rId1"/>
  <headerFooter>
    <oddFooter>&amp;L&amp;A&amp;C&amp;F</oddFooter>
  </headerFooter>
  <colBreaks count="3" manualBreakCount="3">
    <brk id="3" max="21" man="1"/>
    <brk id="7" max="1048575" man="1"/>
    <brk id="11" max="104857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A792C-BD2C-4640-9466-2C3160129C8F}">
  <sheetPr codeName="Sheet12">
    <tabColor rgb="FFFFFF00"/>
  </sheetPr>
  <dimension ref="A1:I417"/>
  <sheetViews>
    <sheetView showGridLines="0" view="pageBreakPreview" zoomScaleNormal="100" zoomScaleSheetLayoutView="100" workbookViewId="0">
      <selection activeCell="B34" sqref="B34"/>
    </sheetView>
  </sheetViews>
  <sheetFormatPr defaultRowHeight="17.649999999999999" customHeight="1"/>
  <cols>
    <col min="1" max="1" width="2.42578125" style="352" customWidth="1"/>
    <col min="2" max="2" width="34.28515625" style="148" customWidth="1"/>
    <col min="3" max="3" width="16.28515625" style="148" customWidth="1"/>
    <col min="4" max="4" width="15.85546875" style="148" customWidth="1"/>
    <col min="5" max="5" width="14.7109375" style="148" customWidth="1"/>
    <col min="6" max="6" width="14.7109375" customWidth="1"/>
    <col min="7" max="8" width="15.7109375" customWidth="1"/>
    <col min="188" max="189" width="35.7109375" customWidth="1"/>
    <col min="190" max="190" width="25.7109375" customWidth="1"/>
    <col min="195" max="195" width="3" customWidth="1"/>
    <col min="196" max="196" width="39.7109375" customWidth="1"/>
    <col min="197" max="197" width="5.7109375" customWidth="1"/>
    <col min="198" max="198" width="35.7109375" customWidth="1"/>
    <col min="202" max="202" width="44.7109375" customWidth="1"/>
    <col min="210" max="210" width="88.7109375" customWidth="1"/>
    <col min="444" max="445" width="35.7109375" customWidth="1"/>
    <col min="446" max="446" width="25.7109375" customWidth="1"/>
    <col min="451" max="451" width="3" customWidth="1"/>
    <col min="452" max="452" width="39.7109375" customWidth="1"/>
    <col min="453" max="453" width="5.7109375" customWidth="1"/>
    <col min="454" max="454" width="35.7109375" customWidth="1"/>
    <col min="458" max="458" width="44.7109375" customWidth="1"/>
    <col min="466" max="466" width="88.7109375" customWidth="1"/>
    <col min="700" max="701" width="35.7109375" customWidth="1"/>
    <col min="702" max="702" width="25.7109375" customWidth="1"/>
    <col min="707" max="707" width="3" customWidth="1"/>
    <col min="708" max="708" width="39.7109375" customWidth="1"/>
    <col min="709" max="709" width="5.7109375" customWidth="1"/>
    <col min="710" max="710" width="35.7109375" customWidth="1"/>
    <col min="714" max="714" width="44.7109375" customWidth="1"/>
    <col min="722" max="722" width="88.7109375" customWidth="1"/>
    <col min="956" max="957" width="35.7109375" customWidth="1"/>
    <col min="958" max="958" width="25.7109375" customWidth="1"/>
    <col min="963" max="963" width="3" customWidth="1"/>
    <col min="964" max="964" width="39.7109375" customWidth="1"/>
    <col min="965" max="965" width="5.7109375" customWidth="1"/>
    <col min="966" max="966" width="35.7109375" customWidth="1"/>
    <col min="970" max="970" width="44.7109375" customWidth="1"/>
    <col min="978" max="978" width="88.7109375" customWidth="1"/>
    <col min="1212" max="1213" width="35.7109375" customWidth="1"/>
    <col min="1214" max="1214" width="25.7109375" customWidth="1"/>
    <col min="1219" max="1219" width="3" customWidth="1"/>
    <col min="1220" max="1220" width="39.7109375" customWidth="1"/>
    <col min="1221" max="1221" width="5.7109375" customWidth="1"/>
    <col min="1222" max="1222" width="35.7109375" customWidth="1"/>
    <col min="1226" max="1226" width="44.7109375" customWidth="1"/>
    <col min="1234" max="1234" width="88.7109375" customWidth="1"/>
    <col min="1468" max="1469" width="35.7109375" customWidth="1"/>
    <col min="1470" max="1470" width="25.7109375" customWidth="1"/>
    <col min="1475" max="1475" width="3" customWidth="1"/>
    <col min="1476" max="1476" width="39.7109375" customWidth="1"/>
    <col min="1477" max="1477" width="5.7109375" customWidth="1"/>
    <col min="1478" max="1478" width="35.7109375" customWidth="1"/>
    <col min="1482" max="1482" width="44.7109375" customWidth="1"/>
    <col min="1490" max="1490" width="88.7109375" customWidth="1"/>
    <col min="1724" max="1725" width="35.7109375" customWidth="1"/>
    <col min="1726" max="1726" width="25.7109375" customWidth="1"/>
    <col min="1731" max="1731" width="3" customWidth="1"/>
    <col min="1732" max="1732" width="39.7109375" customWidth="1"/>
    <col min="1733" max="1733" width="5.7109375" customWidth="1"/>
    <col min="1734" max="1734" width="35.7109375" customWidth="1"/>
    <col min="1738" max="1738" width="44.7109375" customWidth="1"/>
    <col min="1746" max="1746" width="88.7109375" customWidth="1"/>
    <col min="1980" max="1981" width="35.7109375" customWidth="1"/>
    <col min="1982" max="1982" width="25.7109375" customWidth="1"/>
    <col min="1987" max="1987" width="3" customWidth="1"/>
    <col min="1988" max="1988" width="39.7109375" customWidth="1"/>
    <col min="1989" max="1989" width="5.7109375" customWidth="1"/>
    <col min="1990" max="1990" width="35.7109375" customWidth="1"/>
    <col min="1994" max="1994" width="44.7109375" customWidth="1"/>
    <col min="2002" max="2002" width="88.7109375" customWidth="1"/>
    <col min="2236" max="2237" width="35.7109375" customWidth="1"/>
    <col min="2238" max="2238" width="25.7109375" customWidth="1"/>
    <col min="2243" max="2243" width="3" customWidth="1"/>
    <col min="2244" max="2244" width="39.7109375" customWidth="1"/>
    <col min="2245" max="2245" width="5.7109375" customWidth="1"/>
    <col min="2246" max="2246" width="35.7109375" customWidth="1"/>
    <col min="2250" max="2250" width="44.7109375" customWidth="1"/>
    <col min="2258" max="2258" width="88.7109375" customWidth="1"/>
    <col min="2492" max="2493" width="35.7109375" customWidth="1"/>
    <col min="2494" max="2494" width="25.7109375" customWidth="1"/>
    <col min="2499" max="2499" width="3" customWidth="1"/>
    <col min="2500" max="2500" width="39.7109375" customWidth="1"/>
    <col min="2501" max="2501" width="5.7109375" customWidth="1"/>
    <col min="2502" max="2502" width="35.7109375" customWidth="1"/>
    <col min="2506" max="2506" width="44.7109375" customWidth="1"/>
    <col min="2514" max="2514" width="88.7109375" customWidth="1"/>
    <col min="2748" max="2749" width="35.7109375" customWidth="1"/>
    <col min="2750" max="2750" width="25.7109375" customWidth="1"/>
    <col min="2755" max="2755" width="3" customWidth="1"/>
    <col min="2756" max="2756" width="39.7109375" customWidth="1"/>
    <col min="2757" max="2757" width="5.7109375" customWidth="1"/>
    <col min="2758" max="2758" width="35.7109375" customWidth="1"/>
    <col min="2762" max="2762" width="44.7109375" customWidth="1"/>
    <col min="2770" max="2770" width="88.7109375" customWidth="1"/>
    <col min="3004" max="3005" width="35.7109375" customWidth="1"/>
    <col min="3006" max="3006" width="25.7109375" customWidth="1"/>
    <col min="3011" max="3011" width="3" customWidth="1"/>
    <col min="3012" max="3012" width="39.7109375" customWidth="1"/>
    <col min="3013" max="3013" width="5.7109375" customWidth="1"/>
    <col min="3014" max="3014" width="35.7109375" customWidth="1"/>
    <col min="3018" max="3018" width="44.7109375" customWidth="1"/>
    <col min="3026" max="3026" width="88.7109375" customWidth="1"/>
    <col min="3260" max="3261" width="35.7109375" customWidth="1"/>
    <col min="3262" max="3262" width="25.7109375" customWidth="1"/>
    <col min="3267" max="3267" width="3" customWidth="1"/>
    <col min="3268" max="3268" width="39.7109375" customWidth="1"/>
    <col min="3269" max="3269" width="5.7109375" customWidth="1"/>
    <col min="3270" max="3270" width="35.7109375" customWidth="1"/>
    <col min="3274" max="3274" width="44.7109375" customWidth="1"/>
    <col min="3282" max="3282" width="88.7109375" customWidth="1"/>
    <col min="3516" max="3517" width="35.7109375" customWidth="1"/>
    <col min="3518" max="3518" width="25.7109375" customWidth="1"/>
    <col min="3523" max="3523" width="3" customWidth="1"/>
    <col min="3524" max="3524" width="39.7109375" customWidth="1"/>
    <col min="3525" max="3525" width="5.7109375" customWidth="1"/>
    <col min="3526" max="3526" width="35.7109375" customWidth="1"/>
    <col min="3530" max="3530" width="44.7109375" customWidth="1"/>
    <col min="3538" max="3538" width="88.7109375" customWidth="1"/>
    <col min="3772" max="3773" width="35.7109375" customWidth="1"/>
    <col min="3774" max="3774" width="25.7109375" customWidth="1"/>
    <col min="3779" max="3779" width="3" customWidth="1"/>
    <col min="3780" max="3780" width="39.7109375" customWidth="1"/>
    <col min="3781" max="3781" width="5.7109375" customWidth="1"/>
    <col min="3782" max="3782" width="35.7109375" customWidth="1"/>
    <col min="3786" max="3786" width="44.7109375" customWidth="1"/>
    <col min="3794" max="3794" width="88.7109375" customWidth="1"/>
    <col min="4028" max="4029" width="35.7109375" customWidth="1"/>
    <col min="4030" max="4030" width="25.7109375" customWidth="1"/>
    <col min="4035" max="4035" width="3" customWidth="1"/>
    <col min="4036" max="4036" width="39.7109375" customWidth="1"/>
    <col min="4037" max="4037" width="5.7109375" customWidth="1"/>
    <col min="4038" max="4038" width="35.7109375" customWidth="1"/>
    <col min="4042" max="4042" width="44.7109375" customWidth="1"/>
    <col min="4050" max="4050" width="88.7109375" customWidth="1"/>
    <col min="4284" max="4285" width="35.7109375" customWidth="1"/>
    <col min="4286" max="4286" width="25.7109375" customWidth="1"/>
    <col min="4291" max="4291" width="3" customWidth="1"/>
    <col min="4292" max="4292" width="39.7109375" customWidth="1"/>
    <col min="4293" max="4293" width="5.7109375" customWidth="1"/>
    <col min="4294" max="4294" width="35.7109375" customWidth="1"/>
    <col min="4298" max="4298" width="44.7109375" customWidth="1"/>
    <col min="4306" max="4306" width="88.7109375" customWidth="1"/>
    <col min="4540" max="4541" width="35.7109375" customWidth="1"/>
    <col min="4542" max="4542" width="25.7109375" customWidth="1"/>
    <col min="4547" max="4547" width="3" customWidth="1"/>
    <col min="4548" max="4548" width="39.7109375" customWidth="1"/>
    <col min="4549" max="4549" width="5.7109375" customWidth="1"/>
    <col min="4550" max="4550" width="35.7109375" customWidth="1"/>
    <col min="4554" max="4554" width="44.7109375" customWidth="1"/>
    <col min="4562" max="4562" width="88.7109375" customWidth="1"/>
    <col min="4796" max="4797" width="35.7109375" customWidth="1"/>
    <col min="4798" max="4798" width="25.7109375" customWidth="1"/>
    <col min="4803" max="4803" width="3" customWidth="1"/>
    <col min="4804" max="4804" width="39.7109375" customWidth="1"/>
    <col min="4805" max="4805" width="5.7109375" customWidth="1"/>
    <col min="4806" max="4806" width="35.7109375" customWidth="1"/>
    <col min="4810" max="4810" width="44.7109375" customWidth="1"/>
    <col min="4818" max="4818" width="88.7109375" customWidth="1"/>
    <col min="5052" max="5053" width="35.7109375" customWidth="1"/>
    <col min="5054" max="5054" width="25.7109375" customWidth="1"/>
    <col min="5059" max="5059" width="3" customWidth="1"/>
    <col min="5060" max="5060" width="39.7109375" customWidth="1"/>
    <col min="5061" max="5061" width="5.7109375" customWidth="1"/>
    <col min="5062" max="5062" width="35.7109375" customWidth="1"/>
    <col min="5066" max="5066" width="44.7109375" customWidth="1"/>
    <col min="5074" max="5074" width="88.7109375" customWidth="1"/>
    <col min="5308" max="5309" width="35.7109375" customWidth="1"/>
    <col min="5310" max="5310" width="25.7109375" customWidth="1"/>
    <col min="5315" max="5315" width="3" customWidth="1"/>
    <col min="5316" max="5316" width="39.7109375" customWidth="1"/>
    <col min="5317" max="5317" width="5.7109375" customWidth="1"/>
    <col min="5318" max="5318" width="35.7109375" customWidth="1"/>
    <col min="5322" max="5322" width="44.7109375" customWidth="1"/>
    <col min="5330" max="5330" width="88.7109375" customWidth="1"/>
    <col min="5564" max="5565" width="35.7109375" customWidth="1"/>
    <col min="5566" max="5566" width="25.7109375" customWidth="1"/>
    <col min="5571" max="5571" width="3" customWidth="1"/>
    <col min="5572" max="5572" width="39.7109375" customWidth="1"/>
    <col min="5573" max="5573" width="5.7109375" customWidth="1"/>
    <col min="5574" max="5574" width="35.7109375" customWidth="1"/>
    <col min="5578" max="5578" width="44.7109375" customWidth="1"/>
    <col min="5586" max="5586" width="88.7109375" customWidth="1"/>
    <col min="5820" max="5821" width="35.7109375" customWidth="1"/>
    <col min="5822" max="5822" width="25.7109375" customWidth="1"/>
    <col min="5827" max="5827" width="3" customWidth="1"/>
    <col min="5828" max="5828" width="39.7109375" customWidth="1"/>
    <col min="5829" max="5829" width="5.7109375" customWidth="1"/>
    <col min="5830" max="5830" width="35.7109375" customWidth="1"/>
    <col min="5834" max="5834" width="44.7109375" customWidth="1"/>
    <col min="5842" max="5842" width="88.7109375" customWidth="1"/>
    <col min="6076" max="6077" width="35.7109375" customWidth="1"/>
    <col min="6078" max="6078" width="25.7109375" customWidth="1"/>
    <col min="6083" max="6083" width="3" customWidth="1"/>
    <col min="6084" max="6084" width="39.7109375" customWidth="1"/>
    <col min="6085" max="6085" width="5.7109375" customWidth="1"/>
    <col min="6086" max="6086" width="35.7109375" customWidth="1"/>
    <col min="6090" max="6090" width="44.7109375" customWidth="1"/>
    <col min="6098" max="6098" width="88.7109375" customWidth="1"/>
    <col min="6332" max="6333" width="35.7109375" customWidth="1"/>
    <col min="6334" max="6334" width="25.7109375" customWidth="1"/>
    <col min="6339" max="6339" width="3" customWidth="1"/>
    <col min="6340" max="6340" width="39.7109375" customWidth="1"/>
    <col min="6341" max="6341" width="5.7109375" customWidth="1"/>
    <col min="6342" max="6342" width="35.7109375" customWidth="1"/>
    <col min="6346" max="6346" width="44.7109375" customWidth="1"/>
    <col min="6354" max="6354" width="88.7109375" customWidth="1"/>
    <col min="6588" max="6589" width="35.7109375" customWidth="1"/>
    <col min="6590" max="6590" width="25.7109375" customWidth="1"/>
    <col min="6595" max="6595" width="3" customWidth="1"/>
    <col min="6596" max="6596" width="39.7109375" customWidth="1"/>
    <col min="6597" max="6597" width="5.7109375" customWidth="1"/>
    <col min="6598" max="6598" width="35.7109375" customWidth="1"/>
    <col min="6602" max="6602" width="44.7109375" customWidth="1"/>
    <col min="6610" max="6610" width="88.7109375" customWidth="1"/>
    <col min="6844" max="6845" width="35.7109375" customWidth="1"/>
    <col min="6846" max="6846" width="25.7109375" customWidth="1"/>
    <col min="6851" max="6851" width="3" customWidth="1"/>
    <col min="6852" max="6852" width="39.7109375" customWidth="1"/>
    <col min="6853" max="6853" width="5.7109375" customWidth="1"/>
    <col min="6854" max="6854" width="35.7109375" customWidth="1"/>
    <col min="6858" max="6858" width="44.7109375" customWidth="1"/>
    <col min="6866" max="6866" width="88.7109375" customWidth="1"/>
    <col min="7100" max="7101" width="35.7109375" customWidth="1"/>
    <col min="7102" max="7102" width="25.7109375" customWidth="1"/>
    <col min="7107" max="7107" width="3" customWidth="1"/>
    <col min="7108" max="7108" width="39.7109375" customWidth="1"/>
    <col min="7109" max="7109" width="5.7109375" customWidth="1"/>
    <col min="7110" max="7110" width="35.7109375" customWidth="1"/>
    <col min="7114" max="7114" width="44.7109375" customWidth="1"/>
    <col min="7122" max="7122" width="88.7109375" customWidth="1"/>
    <col min="7356" max="7357" width="35.7109375" customWidth="1"/>
    <col min="7358" max="7358" width="25.7109375" customWidth="1"/>
    <col min="7363" max="7363" width="3" customWidth="1"/>
    <col min="7364" max="7364" width="39.7109375" customWidth="1"/>
    <col min="7365" max="7365" width="5.7109375" customWidth="1"/>
    <col min="7366" max="7366" width="35.7109375" customWidth="1"/>
    <col min="7370" max="7370" width="44.7109375" customWidth="1"/>
    <col min="7378" max="7378" width="88.7109375" customWidth="1"/>
    <col min="7612" max="7613" width="35.7109375" customWidth="1"/>
    <col min="7614" max="7614" width="25.7109375" customWidth="1"/>
    <col min="7619" max="7619" width="3" customWidth="1"/>
    <col min="7620" max="7620" width="39.7109375" customWidth="1"/>
    <col min="7621" max="7621" width="5.7109375" customWidth="1"/>
    <col min="7622" max="7622" width="35.7109375" customWidth="1"/>
    <col min="7626" max="7626" width="44.7109375" customWidth="1"/>
    <col min="7634" max="7634" width="88.7109375" customWidth="1"/>
    <col min="7868" max="7869" width="35.7109375" customWidth="1"/>
    <col min="7870" max="7870" width="25.7109375" customWidth="1"/>
    <col min="7875" max="7875" width="3" customWidth="1"/>
    <col min="7876" max="7876" width="39.7109375" customWidth="1"/>
    <col min="7877" max="7877" width="5.7109375" customWidth="1"/>
    <col min="7878" max="7878" width="35.7109375" customWidth="1"/>
    <col min="7882" max="7882" width="44.7109375" customWidth="1"/>
    <col min="7890" max="7890" width="88.7109375" customWidth="1"/>
    <col min="8124" max="8125" width="35.7109375" customWidth="1"/>
    <col min="8126" max="8126" width="25.7109375" customWidth="1"/>
    <col min="8131" max="8131" width="3" customWidth="1"/>
    <col min="8132" max="8132" width="39.7109375" customWidth="1"/>
    <col min="8133" max="8133" width="5.7109375" customWidth="1"/>
    <col min="8134" max="8134" width="35.7109375" customWidth="1"/>
    <col min="8138" max="8138" width="44.7109375" customWidth="1"/>
    <col min="8146" max="8146" width="88.7109375" customWidth="1"/>
    <col min="8380" max="8381" width="35.7109375" customWidth="1"/>
    <col min="8382" max="8382" width="25.7109375" customWidth="1"/>
    <col min="8387" max="8387" width="3" customWidth="1"/>
    <col min="8388" max="8388" width="39.7109375" customWidth="1"/>
    <col min="8389" max="8389" width="5.7109375" customWidth="1"/>
    <col min="8390" max="8390" width="35.7109375" customWidth="1"/>
    <col min="8394" max="8394" width="44.7109375" customWidth="1"/>
    <col min="8402" max="8402" width="88.7109375" customWidth="1"/>
    <col min="8636" max="8637" width="35.7109375" customWidth="1"/>
    <col min="8638" max="8638" width="25.7109375" customWidth="1"/>
    <col min="8643" max="8643" width="3" customWidth="1"/>
    <col min="8644" max="8644" width="39.7109375" customWidth="1"/>
    <col min="8645" max="8645" width="5.7109375" customWidth="1"/>
    <col min="8646" max="8646" width="35.7109375" customWidth="1"/>
    <col min="8650" max="8650" width="44.7109375" customWidth="1"/>
    <col min="8658" max="8658" width="88.7109375" customWidth="1"/>
    <col min="8892" max="8893" width="35.7109375" customWidth="1"/>
    <col min="8894" max="8894" width="25.7109375" customWidth="1"/>
    <col min="8899" max="8899" width="3" customWidth="1"/>
    <col min="8900" max="8900" width="39.7109375" customWidth="1"/>
    <col min="8901" max="8901" width="5.7109375" customWidth="1"/>
    <col min="8902" max="8902" width="35.7109375" customWidth="1"/>
    <col min="8906" max="8906" width="44.7109375" customWidth="1"/>
    <col min="8914" max="8914" width="88.7109375" customWidth="1"/>
    <col min="9148" max="9149" width="35.7109375" customWidth="1"/>
    <col min="9150" max="9150" width="25.7109375" customWidth="1"/>
    <col min="9155" max="9155" width="3" customWidth="1"/>
    <col min="9156" max="9156" width="39.7109375" customWidth="1"/>
    <col min="9157" max="9157" width="5.7109375" customWidth="1"/>
    <col min="9158" max="9158" width="35.7109375" customWidth="1"/>
    <col min="9162" max="9162" width="44.7109375" customWidth="1"/>
    <col min="9170" max="9170" width="88.7109375" customWidth="1"/>
    <col min="9404" max="9405" width="35.7109375" customWidth="1"/>
    <col min="9406" max="9406" width="25.7109375" customWidth="1"/>
    <col min="9411" max="9411" width="3" customWidth="1"/>
    <col min="9412" max="9412" width="39.7109375" customWidth="1"/>
    <col min="9413" max="9413" width="5.7109375" customWidth="1"/>
    <col min="9414" max="9414" width="35.7109375" customWidth="1"/>
    <col min="9418" max="9418" width="44.7109375" customWidth="1"/>
    <col min="9426" max="9426" width="88.7109375" customWidth="1"/>
    <col min="9660" max="9661" width="35.7109375" customWidth="1"/>
    <col min="9662" max="9662" width="25.7109375" customWidth="1"/>
    <col min="9667" max="9667" width="3" customWidth="1"/>
    <col min="9668" max="9668" width="39.7109375" customWidth="1"/>
    <col min="9669" max="9669" width="5.7109375" customWidth="1"/>
    <col min="9670" max="9670" width="35.7109375" customWidth="1"/>
    <col min="9674" max="9674" width="44.7109375" customWidth="1"/>
    <col min="9682" max="9682" width="88.7109375" customWidth="1"/>
    <col min="9916" max="9917" width="35.7109375" customWidth="1"/>
    <col min="9918" max="9918" width="25.7109375" customWidth="1"/>
    <col min="9923" max="9923" width="3" customWidth="1"/>
    <col min="9924" max="9924" width="39.7109375" customWidth="1"/>
    <col min="9925" max="9925" width="5.7109375" customWidth="1"/>
    <col min="9926" max="9926" width="35.7109375" customWidth="1"/>
    <col min="9930" max="9930" width="44.7109375" customWidth="1"/>
    <col min="9938" max="9938" width="88.7109375" customWidth="1"/>
    <col min="10172" max="10173" width="35.7109375" customWidth="1"/>
    <col min="10174" max="10174" width="25.7109375" customWidth="1"/>
    <col min="10179" max="10179" width="3" customWidth="1"/>
    <col min="10180" max="10180" width="39.7109375" customWidth="1"/>
    <col min="10181" max="10181" width="5.7109375" customWidth="1"/>
    <col min="10182" max="10182" width="35.7109375" customWidth="1"/>
    <col min="10186" max="10186" width="44.7109375" customWidth="1"/>
    <col min="10194" max="10194" width="88.7109375" customWidth="1"/>
    <col min="10428" max="10429" width="35.7109375" customWidth="1"/>
    <col min="10430" max="10430" width="25.7109375" customWidth="1"/>
    <col min="10435" max="10435" width="3" customWidth="1"/>
    <col min="10436" max="10436" width="39.7109375" customWidth="1"/>
    <col min="10437" max="10437" width="5.7109375" customWidth="1"/>
    <col min="10438" max="10438" width="35.7109375" customWidth="1"/>
    <col min="10442" max="10442" width="44.7109375" customWidth="1"/>
    <col min="10450" max="10450" width="88.7109375" customWidth="1"/>
    <col min="10684" max="10685" width="35.7109375" customWidth="1"/>
    <col min="10686" max="10686" width="25.7109375" customWidth="1"/>
    <col min="10691" max="10691" width="3" customWidth="1"/>
    <col min="10692" max="10692" width="39.7109375" customWidth="1"/>
    <col min="10693" max="10693" width="5.7109375" customWidth="1"/>
    <col min="10694" max="10694" width="35.7109375" customWidth="1"/>
    <col min="10698" max="10698" width="44.7109375" customWidth="1"/>
    <col min="10706" max="10706" width="88.7109375" customWidth="1"/>
    <col min="10940" max="10941" width="35.7109375" customWidth="1"/>
    <col min="10942" max="10942" width="25.7109375" customWidth="1"/>
    <col min="10947" max="10947" width="3" customWidth="1"/>
    <col min="10948" max="10948" width="39.7109375" customWidth="1"/>
    <col min="10949" max="10949" width="5.7109375" customWidth="1"/>
    <col min="10950" max="10950" width="35.7109375" customWidth="1"/>
    <col min="10954" max="10954" width="44.7109375" customWidth="1"/>
    <col min="10962" max="10962" width="88.7109375" customWidth="1"/>
    <col min="11196" max="11197" width="35.7109375" customWidth="1"/>
    <col min="11198" max="11198" width="25.7109375" customWidth="1"/>
    <col min="11203" max="11203" width="3" customWidth="1"/>
    <col min="11204" max="11204" width="39.7109375" customWidth="1"/>
    <col min="11205" max="11205" width="5.7109375" customWidth="1"/>
    <col min="11206" max="11206" width="35.7109375" customWidth="1"/>
    <col min="11210" max="11210" width="44.7109375" customWidth="1"/>
    <col min="11218" max="11218" width="88.7109375" customWidth="1"/>
    <col min="11452" max="11453" width="35.7109375" customWidth="1"/>
    <col min="11454" max="11454" width="25.7109375" customWidth="1"/>
    <col min="11459" max="11459" width="3" customWidth="1"/>
    <col min="11460" max="11460" width="39.7109375" customWidth="1"/>
    <col min="11461" max="11461" width="5.7109375" customWidth="1"/>
    <col min="11462" max="11462" width="35.7109375" customWidth="1"/>
    <col min="11466" max="11466" width="44.7109375" customWidth="1"/>
    <col min="11474" max="11474" width="88.7109375" customWidth="1"/>
    <col min="11708" max="11709" width="35.7109375" customWidth="1"/>
    <col min="11710" max="11710" width="25.7109375" customWidth="1"/>
    <col min="11715" max="11715" width="3" customWidth="1"/>
    <col min="11716" max="11716" width="39.7109375" customWidth="1"/>
    <col min="11717" max="11717" width="5.7109375" customWidth="1"/>
    <col min="11718" max="11718" width="35.7109375" customWidth="1"/>
    <col min="11722" max="11722" width="44.7109375" customWidth="1"/>
    <col min="11730" max="11730" width="88.7109375" customWidth="1"/>
    <col min="11964" max="11965" width="35.7109375" customWidth="1"/>
    <col min="11966" max="11966" width="25.7109375" customWidth="1"/>
    <col min="11971" max="11971" width="3" customWidth="1"/>
    <col min="11972" max="11972" width="39.7109375" customWidth="1"/>
    <col min="11973" max="11973" width="5.7109375" customWidth="1"/>
    <col min="11974" max="11974" width="35.7109375" customWidth="1"/>
    <col min="11978" max="11978" width="44.7109375" customWidth="1"/>
    <col min="11986" max="11986" width="88.7109375" customWidth="1"/>
    <col min="12220" max="12221" width="35.7109375" customWidth="1"/>
    <col min="12222" max="12222" width="25.7109375" customWidth="1"/>
    <col min="12227" max="12227" width="3" customWidth="1"/>
    <col min="12228" max="12228" width="39.7109375" customWidth="1"/>
    <col min="12229" max="12229" width="5.7109375" customWidth="1"/>
    <col min="12230" max="12230" width="35.7109375" customWidth="1"/>
    <col min="12234" max="12234" width="44.7109375" customWidth="1"/>
    <col min="12242" max="12242" width="88.7109375" customWidth="1"/>
    <col min="12476" max="12477" width="35.7109375" customWidth="1"/>
    <col min="12478" max="12478" width="25.7109375" customWidth="1"/>
    <col min="12483" max="12483" width="3" customWidth="1"/>
    <col min="12484" max="12484" width="39.7109375" customWidth="1"/>
    <col min="12485" max="12485" width="5.7109375" customWidth="1"/>
    <col min="12486" max="12486" width="35.7109375" customWidth="1"/>
    <col min="12490" max="12490" width="44.7109375" customWidth="1"/>
    <col min="12498" max="12498" width="88.7109375" customWidth="1"/>
    <col min="12732" max="12733" width="35.7109375" customWidth="1"/>
    <col min="12734" max="12734" width="25.7109375" customWidth="1"/>
    <col min="12739" max="12739" width="3" customWidth="1"/>
    <col min="12740" max="12740" width="39.7109375" customWidth="1"/>
    <col min="12741" max="12741" width="5.7109375" customWidth="1"/>
    <col min="12742" max="12742" width="35.7109375" customWidth="1"/>
    <col min="12746" max="12746" width="44.7109375" customWidth="1"/>
    <col min="12754" max="12754" width="88.7109375" customWidth="1"/>
    <col min="12988" max="12989" width="35.7109375" customWidth="1"/>
    <col min="12990" max="12990" width="25.7109375" customWidth="1"/>
    <col min="12995" max="12995" width="3" customWidth="1"/>
    <col min="12996" max="12996" width="39.7109375" customWidth="1"/>
    <col min="12997" max="12997" width="5.7109375" customWidth="1"/>
    <col min="12998" max="12998" width="35.7109375" customWidth="1"/>
    <col min="13002" max="13002" width="44.7109375" customWidth="1"/>
    <col min="13010" max="13010" width="88.7109375" customWidth="1"/>
    <col min="13244" max="13245" width="35.7109375" customWidth="1"/>
    <col min="13246" max="13246" width="25.7109375" customWidth="1"/>
    <col min="13251" max="13251" width="3" customWidth="1"/>
    <col min="13252" max="13252" width="39.7109375" customWidth="1"/>
    <col min="13253" max="13253" width="5.7109375" customWidth="1"/>
    <col min="13254" max="13254" width="35.7109375" customWidth="1"/>
    <col min="13258" max="13258" width="44.7109375" customWidth="1"/>
    <col min="13266" max="13266" width="88.7109375" customWidth="1"/>
    <col min="13500" max="13501" width="35.7109375" customWidth="1"/>
    <col min="13502" max="13502" width="25.7109375" customWidth="1"/>
    <col min="13507" max="13507" width="3" customWidth="1"/>
    <col min="13508" max="13508" width="39.7109375" customWidth="1"/>
    <col min="13509" max="13509" width="5.7109375" customWidth="1"/>
    <col min="13510" max="13510" width="35.7109375" customWidth="1"/>
    <col min="13514" max="13514" width="44.7109375" customWidth="1"/>
    <col min="13522" max="13522" width="88.7109375" customWidth="1"/>
    <col min="13756" max="13757" width="35.7109375" customWidth="1"/>
    <col min="13758" max="13758" width="25.7109375" customWidth="1"/>
    <col min="13763" max="13763" width="3" customWidth="1"/>
    <col min="13764" max="13764" width="39.7109375" customWidth="1"/>
    <col min="13765" max="13765" width="5.7109375" customWidth="1"/>
    <col min="13766" max="13766" width="35.7109375" customWidth="1"/>
    <col min="13770" max="13770" width="44.7109375" customWidth="1"/>
    <col min="13778" max="13778" width="88.7109375" customWidth="1"/>
    <col min="14012" max="14013" width="35.7109375" customWidth="1"/>
    <col min="14014" max="14014" width="25.7109375" customWidth="1"/>
    <col min="14019" max="14019" width="3" customWidth="1"/>
    <col min="14020" max="14020" width="39.7109375" customWidth="1"/>
    <col min="14021" max="14021" width="5.7109375" customWidth="1"/>
    <col min="14022" max="14022" width="35.7109375" customWidth="1"/>
    <col min="14026" max="14026" width="44.7109375" customWidth="1"/>
    <col min="14034" max="14034" width="88.7109375" customWidth="1"/>
    <col min="14268" max="14269" width="35.7109375" customWidth="1"/>
    <col min="14270" max="14270" width="25.7109375" customWidth="1"/>
    <col min="14275" max="14275" width="3" customWidth="1"/>
    <col min="14276" max="14276" width="39.7109375" customWidth="1"/>
    <col min="14277" max="14277" width="5.7109375" customWidth="1"/>
    <col min="14278" max="14278" width="35.7109375" customWidth="1"/>
    <col min="14282" max="14282" width="44.7109375" customWidth="1"/>
    <col min="14290" max="14290" width="88.7109375" customWidth="1"/>
    <col min="14524" max="14525" width="35.7109375" customWidth="1"/>
    <col min="14526" max="14526" width="25.7109375" customWidth="1"/>
    <col min="14531" max="14531" width="3" customWidth="1"/>
    <col min="14532" max="14532" width="39.7109375" customWidth="1"/>
    <col min="14533" max="14533" width="5.7109375" customWidth="1"/>
    <col min="14534" max="14534" width="35.7109375" customWidth="1"/>
    <col min="14538" max="14538" width="44.7109375" customWidth="1"/>
    <col min="14546" max="14546" width="88.7109375" customWidth="1"/>
    <col min="14780" max="14781" width="35.7109375" customWidth="1"/>
    <col min="14782" max="14782" width="25.7109375" customWidth="1"/>
    <col min="14787" max="14787" width="3" customWidth="1"/>
    <col min="14788" max="14788" width="39.7109375" customWidth="1"/>
    <col min="14789" max="14789" width="5.7109375" customWidth="1"/>
    <col min="14790" max="14790" width="35.7109375" customWidth="1"/>
    <col min="14794" max="14794" width="44.7109375" customWidth="1"/>
    <col min="14802" max="14802" width="88.7109375" customWidth="1"/>
    <col min="15036" max="15037" width="35.7109375" customWidth="1"/>
    <col min="15038" max="15038" width="25.7109375" customWidth="1"/>
    <col min="15043" max="15043" width="3" customWidth="1"/>
    <col min="15044" max="15044" width="39.7109375" customWidth="1"/>
    <col min="15045" max="15045" width="5.7109375" customWidth="1"/>
    <col min="15046" max="15046" width="35.7109375" customWidth="1"/>
    <col min="15050" max="15050" width="44.7109375" customWidth="1"/>
    <col min="15058" max="15058" width="88.7109375" customWidth="1"/>
    <col min="15292" max="15293" width="35.7109375" customWidth="1"/>
    <col min="15294" max="15294" width="25.7109375" customWidth="1"/>
    <col min="15299" max="15299" width="3" customWidth="1"/>
    <col min="15300" max="15300" width="39.7109375" customWidth="1"/>
    <col min="15301" max="15301" width="5.7109375" customWidth="1"/>
    <col min="15302" max="15302" width="35.7109375" customWidth="1"/>
    <col min="15306" max="15306" width="44.7109375" customWidth="1"/>
    <col min="15314" max="15314" width="88.7109375" customWidth="1"/>
    <col min="15548" max="15549" width="35.7109375" customWidth="1"/>
    <col min="15550" max="15550" width="25.7109375" customWidth="1"/>
    <col min="15555" max="15555" width="3" customWidth="1"/>
    <col min="15556" max="15556" width="39.7109375" customWidth="1"/>
    <col min="15557" max="15557" width="5.7109375" customWidth="1"/>
    <col min="15558" max="15558" width="35.7109375" customWidth="1"/>
    <col min="15562" max="15562" width="44.7109375" customWidth="1"/>
    <col min="15570" max="15570" width="88.7109375" customWidth="1"/>
    <col min="15804" max="15805" width="35.7109375" customWidth="1"/>
    <col min="15806" max="15806" width="25.7109375" customWidth="1"/>
    <col min="15811" max="15811" width="3" customWidth="1"/>
    <col min="15812" max="15812" width="39.7109375" customWidth="1"/>
    <col min="15813" max="15813" width="5.7109375" customWidth="1"/>
    <col min="15814" max="15814" width="35.7109375" customWidth="1"/>
    <col min="15818" max="15818" width="44.7109375" customWidth="1"/>
    <col min="15826" max="15826" width="88.7109375" customWidth="1"/>
    <col min="16060" max="16061" width="35.7109375" customWidth="1"/>
    <col min="16062" max="16062" width="25.7109375" customWidth="1"/>
    <col min="16067" max="16067" width="3" customWidth="1"/>
    <col min="16068" max="16068" width="39.7109375" customWidth="1"/>
    <col min="16069" max="16069" width="5.7109375" customWidth="1"/>
    <col min="16070" max="16070" width="35.7109375" customWidth="1"/>
    <col min="16074" max="16074" width="44.7109375" customWidth="1"/>
    <col min="16082" max="16082" width="88.7109375" customWidth="1"/>
  </cols>
  <sheetData>
    <row r="1" spans="1:9" s="2" customFormat="1" ht="13.9" customHeight="1">
      <c r="A1" s="932"/>
      <c r="B1" s="460" t="s">
        <v>996</v>
      </c>
      <c r="C1" s="826" t="str">
        <f>+'jobinfo(2)'!C1</f>
        <v>Hatten, Nedra</v>
      </c>
      <c r="D1" s="1123" t="str">
        <f>+'jobinfo(2)'!C2</f>
        <v>628 Quilliams Road</v>
      </c>
      <c r="E1" s="1123"/>
      <c r="G1" s="89"/>
    </row>
    <row r="2" spans="1:9" ht="17.649999999999999" customHeight="1">
      <c r="B2" s="468" t="s">
        <v>997</v>
      </c>
      <c r="C2" s="394" t="str">
        <f>+'jobinfo(2)'!C53</f>
        <v xml:space="preserve">  LIVING ROOM  </v>
      </c>
      <c r="D2" s="469" t="str">
        <f>+'jobinfo(2)'!C54</f>
        <v xml:space="preserve">  DINING ROOM  </v>
      </c>
      <c r="E2" s="336" t="str">
        <f>+'jobinfo(2)'!C55</f>
        <v xml:space="preserve">  KITCHEN  </v>
      </c>
      <c r="F2" s="469" t="str">
        <f>+'jobinfo(2)'!C56</f>
        <v xml:space="preserve">  HALL FLR1  </v>
      </c>
      <c r="G2" s="394" t="str">
        <f>+'jobinfo(2)'!C57</f>
        <v xml:space="preserve">  STAIRS UP  </v>
      </c>
      <c r="H2" s="394" t="str">
        <f>+'jobinfo(2)'!C58</f>
        <v xml:space="preserve">  Hallway UP @ BR &amp; BATH  </v>
      </c>
      <c r="I2" s="335"/>
    </row>
    <row r="3" spans="1:9" ht="17.649999999999999" customHeight="1">
      <c r="A3" s="1116" t="s">
        <v>998</v>
      </c>
      <c r="B3" s="467" t="s">
        <v>999</v>
      </c>
      <c r="C3" s="433">
        <f>+'jobinfo(2)'!A53</f>
        <v>1</v>
      </c>
      <c r="D3" s="149">
        <f>1+C3</f>
        <v>2</v>
      </c>
      <c r="E3" s="150">
        <f>1+D3</f>
        <v>3</v>
      </c>
      <c r="F3" s="149">
        <f>1+E3</f>
        <v>4</v>
      </c>
      <c r="G3" s="501">
        <f>+'jobinfo(2)'!A57</f>
        <v>5</v>
      </c>
      <c r="H3" s="502">
        <f>1+G3</f>
        <v>6</v>
      </c>
    </row>
    <row r="4" spans="1:9" ht="17.649999999999999" customHeight="1">
      <c r="A4" s="1116"/>
      <c r="B4" s="484" t="s">
        <v>1000</v>
      </c>
      <c r="C4" s="151"/>
      <c r="D4" s="152"/>
      <c r="E4" s="151"/>
      <c r="F4" s="152"/>
      <c r="G4" s="151"/>
      <c r="H4" s="152"/>
    </row>
    <row r="5" spans="1:9" ht="17.649999999999999" customHeight="1">
      <c r="A5" s="1116"/>
      <c r="B5" s="484" t="s">
        <v>1001</v>
      </c>
      <c r="C5" s="152"/>
      <c r="D5" s="153"/>
      <c r="E5" s="152"/>
      <c r="F5" s="153"/>
      <c r="G5" s="152"/>
      <c r="H5" s="153"/>
    </row>
    <row r="6" spans="1:9" ht="17.649999999999999" customHeight="1">
      <c r="A6" s="1116"/>
      <c r="B6" s="486" t="s">
        <v>1002</v>
      </c>
      <c r="C6" s="825" t="s">
        <v>1003</v>
      </c>
      <c r="D6" s="152"/>
      <c r="E6" s="151"/>
      <c r="F6" s="152"/>
      <c r="G6" s="151"/>
      <c r="H6" s="152"/>
    </row>
    <row r="7" spans="1:9" ht="17.649999999999999" customHeight="1">
      <c r="A7" s="1116"/>
      <c r="B7" s="487" t="s">
        <v>1004</v>
      </c>
      <c r="C7" s="825" t="s">
        <v>1005</v>
      </c>
      <c r="D7" s="157" t="s">
        <v>1006</v>
      </c>
      <c r="E7" s="156" t="s">
        <v>1006</v>
      </c>
      <c r="F7" s="157" t="s">
        <v>1006</v>
      </c>
      <c r="G7" s="462" t="s">
        <v>1006</v>
      </c>
      <c r="H7" s="156" t="s">
        <v>1006</v>
      </c>
    </row>
    <row r="8" spans="1:9" ht="17.649999999999999" customHeight="1">
      <c r="A8" s="1116"/>
      <c r="B8" s="464" t="s">
        <v>1007</v>
      </c>
      <c r="C8" s="152"/>
      <c r="D8" s="153"/>
      <c r="E8" s="152"/>
      <c r="F8" s="153"/>
      <c r="G8" s="156" t="s">
        <v>1006</v>
      </c>
      <c r="H8" s="157" t="s">
        <v>1006</v>
      </c>
    </row>
    <row r="9" spans="1:9" ht="17.649999999999999" customHeight="1">
      <c r="A9" s="1116"/>
      <c r="B9" s="486" t="s">
        <v>1008</v>
      </c>
      <c r="C9" s="156" t="s">
        <v>1006</v>
      </c>
      <c r="D9" s="157" t="s">
        <v>1006</v>
      </c>
      <c r="E9" s="156" t="s">
        <v>1006</v>
      </c>
      <c r="F9" s="157" t="s">
        <v>1006</v>
      </c>
      <c r="G9" s="152"/>
      <c r="H9" s="153"/>
    </row>
    <row r="10" spans="1:9" ht="17.649999999999999" customHeight="1">
      <c r="A10" s="1116"/>
      <c r="B10" s="483" t="s">
        <v>1009</v>
      </c>
      <c r="C10" s="462" t="s">
        <v>1006</v>
      </c>
      <c r="D10" s="156" t="s">
        <v>1006</v>
      </c>
      <c r="E10" s="462" t="s">
        <v>1006</v>
      </c>
      <c r="F10" s="156" t="s">
        <v>1006</v>
      </c>
      <c r="G10" s="156" t="s">
        <v>1006</v>
      </c>
      <c r="H10" s="157" t="s">
        <v>1006</v>
      </c>
    </row>
    <row r="11" spans="1:9" ht="17.649999999999999" customHeight="1">
      <c r="A11" s="1116"/>
      <c r="B11" s="148" t="s">
        <v>1010</v>
      </c>
      <c r="C11" s="158" t="s">
        <v>1006</v>
      </c>
      <c r="D11" s="157" t="s">
        <v>1006</v>
      </c>
      <c r="E11" s="158" t="s">
        <v>1006</v>
      </c>
      <c r="F11" s="157" t="s">
        <v>1006</v>
      </c>
      <c r="G11" s="462" t="s">
        <v>1006</v>
      </c>
      <c r="H11" s="156" t="s">
        <v>1006</v>
      </c>
    </row>
    <row r="12" spans="1:9" ht="17.649999999999999" customHeight="1">
      <c r="A12" s="961"/>
      <c r="B12" s="179" t="s">
        <v>1011</v>
      </c>
      <c r="C12" s="496" t="s">
        <v>1006</v>
      </c>
      <c r="D12" s="162" t="s">
        <v>1006</v>
      </c>
      <c r="E12" s="497" t="s">
        <v>1006</v>
      </c>
      <c r="F12" s="162" t="s">
        <v>1006</v>
      </c>
      <c r="G12" s="158" t="s">
        <v>1006</v>
      </c>
      <c r="H12" s="157" t="s">
        <v>1006</v>
      </c>
    </row>
    <row r="13" spans="1:9" ht="17.649999999999999" customHeight="1">
      <c r="A13" s="471"/>
      <c r="B13" s="470" t="s">
        <v>1012</v>
      </c>
      <c r="C13" s="158"/>
      <c r="D13" s="157"/>
      <c r="E13" s="158"/>
      <c r="F13" s="157"/>
      <c r="G13" s="496" t="s">
        <v>1006</v>
      </c>
      <c r="H13" s="162" t="s">
        <v>1006</v>
      </c>
    </row>
    <row r="14" spans="1:9" ht="17.649999999999999" customHeight="1">
      <c r="A14" s="1117" t="s">
        <v>1013</v>
      </c>
      <c r="B14" s="466" t="s">
        <v>1014</v>
      </c>
      <c r="C14" s="152"/>
      <c r="D14" s="153"/>
      <c r="E14" s="152"/>
      <c r="F14" s="153"/>
      <c r="G14" s="158"/>
      <c r="H14" s="157"/>
    </row>
    <row r="15" spans="1:9" ht="17.649999999999999" customHeight="1">
      <c r="A15" s="1117"/>
      <c r="B15" s="485" t="s">
        <v>1015</v>
      </c>
      <c r="C15" s="151"/>
      <c r="D15" s="152"/>
      <c r="E15" s="151"/>
      <c r="F15" s="152"/>
      <c r="G15" s="152"/>
      <c r="H15" s="153"/>
    </row>
    <row r="16" spans="1:9" ht="17.649999999999999" customHeight="1">
      <c r="A16" s="1117"/>
      <c r="B16" s="265" t="s">
        <v>1002</v>
      </c>
      <c r="C16" s="825" t="s">
        <v>1003</v>
      </c>
      <c r="D16" s="153"/>
      <c r="E16" s="152"/>
      <c r="F16" s="153"/>
      <c r="G16" s="151"/>
      <c r="H16" s="152"/>
    </row>
    <row r="17" spans="1:8" ht="17.649999999999999" customHeight="1">
      <c r="A17" s="1117"/>
      <c r="B17" s="460" t="s">
        <v>1016</v>
      </c>
      <c r="C17" s="154"/>
      <c r="D17" s="155"/>
      <c r="E17" s="154"/>
      <c r="F17" s="155"/>
      <c r="G17" s="152"/>
      <c r="H17" s="153"/>
    </row>
    <row r="18" spans="1:8" ht="17.649999999999999" customHeight="1">
      <c r="A18" s="1117"/>
      <c r="B18" s="483" t="s">
        <v>1017</v>
      </c>
      <c r="C18" s="496" t="s">
        <v>1006</v>
      </c>
      <c r="D18" s="162" t="s">
        <v>1006</v>
      </c>
      <c r="E18" s="497" t="s">
        <v>1006</v>
      </c>
      <c r="F18" s="162" t="s">
        <v>1006</v>
      </c>
      <c r="G18" s="158" t="s">
        <v>1006</v>
      </c>
      <c r="H18" s="157" t="s">
        <v>1006</v>
      </c>
    </row>
    <row r="19" spans="1:8" ht="17.649999999999999" customHeight="1">
      <c r="A19" s="1117"/>
      <c r="B19" s="488" t="s">
        <v>1018</v>
      </c>
      <c r="C19" s="158" t="s">
        <v>1006</v>
      </c>
      <c r="D19" s="157" t="s">
        <v>1006</v>
      </c>
      <c r="E19" s="158" t="s">
        <v>1006</v>
      </c>
      <c r="F19" s="157" t="s">
        <v>1006</v>
      </c>
      <c r="G19" s="154"/>
      <c r="H19" s="155"/>
    </row>
    <row r="20" spans="1:8" ht="17.649999999999999" customHeight="1">
      <c r="A20" s="962"/>
      <c r="B20" s="482" t="s">
        <v>1019</v>
      </c>
      <c r="C20" s="496" t="s">
        <v>1006</v>
      </c>
      <c r="D20" s="162" t="s">
        <v>1006</v>
      </c>
      <c r="E20" s="497" t="s">
        <v>1006</v>
      </c>
      <c r="F20" s="162" t="s">
        <v>1006</v>
      </c>
      <c r="G20" s="158" t="s">
        <v>1006</v>
      </c>
      <c r="H20" s="157" t="s">
        <v>1006</v>
      </c>
    </row>
    <row r="21" spans="1:8" ht="17.649999999999999" customHeight="1">
      <c r="A21" s="471"/>
      <c r="B21" s="179"/>
      <c r="C21" s="158"/>
      <c r="D21" s="157"/>
      <c r="E21" s="158"/>
      <c r="F21" s="157"/>
      <c r="G21" s="496" t="s">
        <v>1006</v>
      </c>
      <c r="H21" s="162" t="s">
        <v>1006</v>
      </c>
    </row>
    <row r="22" spans="1:8" ht="17.649999999999999" customHeight="1">
      <c r="A22" s="1118" t="s">
        <v>13</v>
      </c>
      <c r="B22" s="492" t="s">
        <v>1020</v>
      </c>
      <c r="C22" s="152"/>
      <c r="D22" s="153"/>
      <c r="E22" s="152"/>
      <c r="F22" s="153"/>
      <c r="G22" s="158" t="s">
        <v>1006</v>
      </c>
      <c r="H22" s="157" t="s">
        <v>1006</v>
      </c>
    </row>
    <row r="23" spans="1:8" ht="17.649999999999999" customHeight="1">
      <c r="A23" s="1118"/>
      <c r="B23" s="490" t="s">
        <v>1021</v>
      </c>
      <c r="C23" s="158" t="s">
        <v>1006</v>
      </c>
      <c r="D23" s="157" t="s">
        <v>1006</v>
      </c>
      <c r="E23" s="158" t="s">
        <v>1006</v>
      </c>
      <c r="F23" s="157" t="s">
        <v>1006</v>
      </c>
      <c r="G23" s="496" t="s">
        <v>1006</v>
      </c>
      <c r="H23" s="162" t="s">
        <v>1006</v>
      </c>
    </row>
    <row r="24" spans="1:8" ht="17.649999999999999" customHeight="1">
      <c r="A24" s="1118"/>
      <c r="B24" s="485" t="s">
        <v>1022</v>
      </c>
      <c r="C24" s="496" t="s">
        <v>1006</v>
      </c>
      <c r="D24" s="162" t="s">
        <v>1006</v>
      </c>
      <c r="E24" s="497" t="s">
        <v>1006</v>
      </c>
      <c r="F24" s="162" t="s">
        <v>1006</v>
      </c>
      <c r="G24" s="158"/>
      <c r="H24" s="157"/>
    </row>
    <row r="25" spans="1:8" ht="17.649999999999999" customHeight="1">
      <c r="A25" s="1118"/>
      <c r="B25" s="482" t="s">
        <v>1023</v>
      </c>
      <c r="C25" s="158" t="s">
        <v>1006</v>
      </c>
      <c r="D25" s="157" t="s">
        <v>1006</v>
      </c>
      <c r="E25" s="158" t="s">
        <v>1006</v>
      </c>
      <c r="F25" s="157" t="s">
        <v>1006</v>
      </c>
      <c r="G25" s="152"/>
      <c r="H25" s="153"/>
    </row>
    <row r="26" spans="1:8" ht="17.649999999999999" customHeight="1">
      <c r="A26" s="472"/>
      <c r="B26" s="482"/>
      <c r="C26" s="496"/>
      <c r="D26" s="162"/>
      <c r="E26" s="497"/>
      <c r="F26" s="162"/>
      <c r="G26" s="158" t="s">
        <v>1006</v>
      </c>
      <c r="H26" s="157" t="s">
        <v>1006</v>
      </c>
    </row>
    <row r="27" spans="1:8" ht="17.649999999999999" customHeight="1">
      <c r="A27" s="1119" t="s">
        <v>1024</v>
      </c>
      <c r="B27" s="481" t="s">
        <v>1025</v>
      </c>
      <c r="C27" s="157"/>
      <c r="D27" s="157" t="s">
        <v>1026</v>
      </c>
      <c r="E27" s="498" t="s">
        <v>1026</v>
      </c>
      <c r="F27" s="157" t="s">
        <v>1026</v>
      </c>
      <c r="G27" s="496" t="s">
        <v>1006</v>
      </c>
      <c r="H27" s="162" t="s">
        <v>1006</v>
      </c>
    </row>
    <row r="28" spans="1:8" ht="17.649999999999999" customHeight="1">
      <c r="A28" s="1119"/>
      <c r="B28" s="484" t="s">
        <v>1027</v>
      </c>
      <c r="C28" s="158" t="s">
        <v>1006</v>
      </c>
      <c r="D28" s="157" t="s">
        <v>1006</v>
      </c>
      <c r="E28" s="158" t="s">
        <v>1006</v>
      </c>
      <c r="F28" s="157" t="s">
        <v>1006</v>
      </c>
      <c r="G28" s="158" t="s">
        <v>1006</v>
      </c>
      <c r="H28" s="157" t="s">
        <v>1006</v>
      </c>
    </row>
    <row r="29" spans="1:8" ht="17.649999999999999" customHeight="1">
      <c r="A29" s="1119"/>
      <c r="B29" s="482" t="s">
        <v>1028</v>
      </c>
      <c r="C29" s="496" t="s">
        <v>1006</v>
      </c>
      <c r="D29" s="162" t="s">
        <v>1006</v>
      </c>
      <c r="E29" s="497" t="s">
        <v>1006</v>
      </c>
      <c r="F29" s="162" t="s">
        <v>1006</v>
      </c>
      <c r="G29" s="496"/>
      <c r="H29" s="162"/>
    </row>
    <row r="30" spans="1:8" ht="17.649999999999999" customHeight="1">
      <c r="A30" s="473"/>
      <c r="B30" s="179"/>
      <c r="C30" s="152"/>
      <c r="D30" s="153"/>
      <c r="E30" s="152"/>
      <c r="F30" s="153"/>
      <c r="G30" s="157"/>
      <c r="H30" s="157" t="s">
        <v>1026</v>
      </c>
    </row>
    <row r="31" spans="1:8" ht="17.649999999999999" customHeight="1">
      <c r="A31" s="1120" t="s">
        <v>1029</v>
      </c>
      <c r="B31" s="493" t="s">
        <v>1030</v>
      </c>
      <c r="C31" s="151"/>
      <c r="D31" s="152"/>
      <c r="E31" s="151"/>
      <c r="F31" s="152"/>
      <c r="G31" s="158" t="s">
        <v>1006</v>
      </c>
      <c r="H31" s="157" t="s">
        <v>1006</v>
      </c>
    </row>
    <row r="32" spans="1:8" ht="17.649999999999999" customHeight="1">
      <c r="A32" s="1120"/>
      <c r="B32" s="484" t="s">
        <v>1031</v>
      </c>
      <c r="C32" s="157" t="s">
        <v>1006</v>
      </c>
      <c r="D32" s="156" t="s">
        <v>1006</v>
      </c>
      <c r="E32" s="157" t="s">
        <v>1006</v>
      </c>
      <c r="F32" s="156" t="s">
        <v>1006</v>
      </c>
      <c r="G32" s="496" t="s">
        <v>1006</v>
      </c>
      <c r="H32" s="162" t="s">
        <v>1006</v>
      </c>
    </row>
    <row r="33" spans="1:8" ht="17.649999999999999" customHeight="1">
      <c r="A33" s="1120"/>
      <c r="B33" s="494" t="s">
        <v>1032</v>
      </c>
      <c r="C33" s="159"/>
      <c r="D33" s="160"/>
      <c r="E33" s="161"/>
      <c r="F33" s="160"/>
      <c r="G33" s="152"/>
      <c r="H33" s="153"/>
    </row>
    <row r="34" spans="1:8" ht="17.649999999999999" customHeight="1">
      <c r="A34" s="1120"/>
      <c r="B34" s="484" t="s">
        <v>1031</v>
      </c>
      <c r="C34" s="157" t="s">
        <v>1006</v>
      </c>
      <c r="D34" s="156" t="s">
        <v>1006</v>
      </c>
      <c r="E34" s="157" t="s">
        <v>1006</v>
      </c>
      <c r="F34" s="156" t="s">
        <v>1006</v>
      </c>
      <c r="G34" s="151"/>
      <c r="H34" s="152"/>
    </row>
    <row r="35" spans="1:8" ht="17.649999999999999" customHeight="1">
      <c r="A35" s="474"/>
      <c r="B35" s="463"/>
      <c r="C35" s="156"/>
      <c r="D35" s="157"/>
      <c r="E35" s="156"/>
      <c r="F35" s="157"/>
      <c r="G35" s="157" t="s">
        <v>1006</v>
      </c>
      <c r="H35" s="156" t="s">
        <v>1006</v>
      </c>
    </row>
    <row r="36" spans="1:8" ht="17.649999999999999" customHeight="1">
      <c r="A36" s="1121" t="s">
        <v>10</v>
      </c>
      <c r="B36" s="495" t="s">
        <v>1033</v>
      </c>
      <c r="C36" s="157" t="s">
        <v>1006</v>
      </c>
      <c r="D36" s="156" t="s">
        <v>1006</v>
      </c>
      <c r="E36" s="157" t="s">
        <v>1006</v>
      </c>
      <c r="F36" s="156" t="s">
        <v>1006</v>
      </c>
      <c r="G36" s="159"/>
      <c r="H36" s="160"/>
    </row>
    <row r="37" spans="1:8" ht="17.649999999999999" customHeight="1">
      <c r="A37" s="1121"/>
      <c r="B37" s="489" t="s">
        <v>1031</v>
      </c>
      <c r="C37" s="158" t="s">
        <v>1006</v>
      </c>
      <c r="D37" s="157" t="s">
        <v>1006</v>
      </c>
      <c r="E37" s="158" t="s">
        <v>1006</v>
      </c>
      <c r="F37" s="157" t="s">
        <v>1006</v>
      </c>
      <c r="G37" s="157" t="s">
        <v>1006</v>
      </c>
      <c r="H37" s="156" t="s">
        <v>1006</v>
      </c>
    </row>
    <row r="38" spans="1:8" ht="17.649999999999999" customHeight="1">
      <c r="A38" s="1121"/>
      <c r="B38" s="499" t="s">
        <v>1034</v>
      </c>
      <c r="C38" s="496"/>
      <c r="D38" s="162"/>
      <c r="E38" s="497"/>
      <c r="F38" s="162"/>
      <c r="G38" s="156"/>
      <c r="H38" s="157"/>
    </row>
    <row r="39" spans="1:8" ht="17.649999999999999" customHeight="1">
      <c r="A39" s="461"/>
      <c r="B39" s="500" t="s">
        <v>1012</v>
      </c>
      <c r="C39" s="153"/>
      <c r="D39" s="157"/>
      <c r="E39" s="156"/>
      <c r="F39" s="157"/>
      <c r="G39" s="157" t="s">
        <v>1006</v>
      </c>
      <c r="H39" s="156" t="s">
        <v>1006</v>
      </c>
    </row>
    <row r="40" spans="1:8" ht="17.649999999999999" customHeight="1">
      <c r="B40" s="460" t="str">
        <f>B1</f>
        <v>Interior Inspection Work SCOPE V2</v>
      </c>
      <c r="C40" s="264" t="str">
        <f>+C1</f>
        <v>Hatten, Nedra</v>
      </c>
      <c r="D40" s="1122" t="str">
        <f>+D1</f>
        <v>628 Quilliams Road</v>
      </c>
      <c r="E40" s="1122"/>
      <c r="G40" s="158" t="s">
        <v>1006</v>
      </c>
      <c r="H40" s="157" t="s">
        <v>1006</v>
      </c>
    </row>
    <row r="41" spans="1:8" ht="17.649999999999999" customHeight="1">
      <c r="E41" s="335" t="e">
        <f>+'jobinfo(2)'!#REF!</f>
        <v>#REF!</v>
      </c>
      <c r="F41" s="335" t="str">
        <f>+'jobinfo(2)'!C58</f>
        <v xml:space="preserve">  Hallway UP @ BR &amp; BATH  </v>
      </c>
      <c r="G41" s="496"/>
      <c r="H41" s="162"/>
    </row>
    <row r="42" spans="1:8" ht="17.649999999999999" customHeight="1">
      <c r="A42" s="1116" t="s">
        <v>998</v>
      </c>
      <c r="E42" s="503">
        <f>1+H3</f>
        <v>7</v>
      </c>
      <c r="F42" s="502">
        <f>1+E42</f>
        <v>8</v>
      </c>
      <c r="G42" s="158"/>
      <c r="H42" s="157"/>
    </row>
    <row r="43" spans="1:8" ht="17.649999999999999" customHeight="1">
      <c r="A43" s="1116"/>
      <c r="E43" s="151"/>
      <c r="F43" s="152"/>
      <c r="G43" s="49"/>
    </row>
    <row r="44" spans="1:8" ht="17.649999999999999" customHeight="1">
      <c r="A44" s="1116"/>
      <c r="E44" s="152"/>
      <c r="F44" s="153"/>
      <c r="G44" s="49"/>
    </row>
    <row r="45" spans="1:8" ht="17.649999999999999" customHeight="1">
      <c r="A45" s="1116"/>
      <c r="E45" s="151"/>
      <c r="F45" s="152"/>
      <c r="G45" s="405"/>
    </row>
    <row r="46" spans="1:8" ht="17.649999999999999" customHeight="1">
      <c r="A46" s="1116"/>
      <c r="E46" s="462" t="s">
        <v>1006</v>
      </c>
      <c r="F46" s="156" t="s">
        <v>1006</v>
      </c>
      <c r="G46" s="405"/>
    </row>
    <row r="47" spans="1:8" ht="17.649999999999999" customHeight="1">
      <c r="A47" s="1116"/>
      <c r="E47" s="156" t="s">
        <v>1006</v>
      </c>
      <c r="F47" s="157" t="s">
        <v>1006</v>
      </c>
      <c r="G47" s="49"/>
    </row>
    <row r="48" spans="1:8" ht="17.649999999999999" customHeight="1">
      <c r="A48" s="1116"/>
      <c r="E48" s="152"/>
      <c r="F48" s="153"/>
      <c r="G48" s="89"/>
    </row>
    <row r="49" spans="1:7" ht="17.649999999999999" customHeight="1">
      <c r="A49" s="1116"/>
      <c r="E49" s="156" t="s">
        <v>1006</v>
      </c>
      <c r="F49" s="157" t="s">
        <v>1006</v>
      </c>
      <c r="G49" s="89"/>
    </row>
    <row r="50" spans="1:7" ht="17.649999999999999" customHeight="1">
      <c r="A50" s="1116"/>
      <c r="E50" s="462" t="s">
        <v>1006</v>
      </c>
      <c r="F50" s="156" t="s">
        <v>1006</v>
      </c>
      <c r="G50" s="406"/>
    </row>
    <row r="51" spans="1:7" ht="17.649999999999999" customHeight="1">
      <c r="A51" s="1116"/>
      <c r="E51" s="158" t="s">
        <v>1006</v>
      </c>
      <c r="F51" s="157" t="s">
        <v>1006</v>
      </c>
      <c r="G51" s="406"/>
    </row>
    <row r="52" spans="1:7" ht="17.649999999999999" customHeight="1">
      <c r="A52" s="1117" t="s">
        <v>1013</v>
      </c>
      <c r="E52" s="497" t="s">
        <v>1006</v>
      </c>
      <c r="F52" s="162" t="s">
        <v>1006</v>
      </c>
      <c r="G52" s="406"/>
    </row>
    <row r="53" spans="1:7" ht="17.649999999999999" customHeight="1">
      <c r="A53" s="1117"/>
      <c r="E53" s="158"/>
      <c r="F53" s="157"/>
      <c r="G53" s="406"/>
    </row>
    <row r="54" spans="1:7" ht="17.649999999999999" customHeight="1">
      <c r="A54" s="1117"/>
      <c r="E54" s="152"/>
      <c r="F54" s="153"/>
      <c r="G54" s="406"/>
    </row>
    <row r="55" spans="1:7" ht="17.649999999999999" customHeight="1">
      <c r="A55" s="1117"/>
      <c r="E55" s="151"/>
      <c r="F55" s="152"/>
      <c r="G55" s="406"/>
    </row>
    <row r="56" spans="1:7" ht="17.649999999999999" customHeight="1">
      <c r="A56" s="1117"/>
      <c r="E56" s="152"/>
      <c r="F56" s="153"/>
      <c r="G56" s="406"/>
    </row>
    <row r="57" spans="1:7" ht="17.649999999999999" customHeight="1">
      <c r="A57" s="1117"/>
      <c r="E57" s="158" t="s">
        <v>1006</v>
      </c>
      <c r="F57" s="157" t="s">
        <v>1006</v>
      </c>
      <c r="G57" s="406"/>
    </row>
    <row r="58" spans="1:7" ht="17.649999999999999" customHeight="1">
      <c r="A58" s="1117"/>
      <c r="E58" s="154"/>
      <c r="F58" s="155"/>
      <c r="G58" s="406"/>
    </row>
    <row r="59" spans="1:7" ht="17.649999999999999" customHeight="1">
      <c r="A59" s="1117"/>
      <c r="E59" s="158" t="s">
        <v>1006</v>
      </c>
      <c r="F59" s="157" t="s">
        <v>1006</v>
      </c>
      <c r="G59" s="406"/>
    </row>
    <row r="60" spans="1:7" ht="17.649999999999999" customHeight="1">
      <c r="A60" s="1117"/>
      <c r="E60" s="497" t="s">
        <v>1006</v>
      </c>
      <c r="F60" s="162" t="s">
        <v>1006</v>
      </c>
      <c r="G60" s="406"/>
    </row>
    <row r="61" spans="1:7" ht="17.649999999999999" customHeight="1">
      <c r="A61" s="1117"/>
      <c r="E61" s="158" t="s">
        <v>1006</v>
      </c>
      <c r="F61" s="157" t="s">
        <v>1006</v>
      </c>
      <c r="G61" s="406"/>
    </row>
    <row r="62" spans="1:7" ht="17.649999999999999" customHeight="1">
      <c r="A62" s="1124" t="s">
        <v>1035</v>
      </c>
      <c r="E62" s="497" t="s">
        <v>1006</v>
      </c>
      <c r="F62" s="162" t="s">
        <v>1006</v>
      </c>
      <c r="G62" s="406"/>
    </row>
    <row r="63" spans="1:7" ht="17.649999999999999" customHeight="1">
      <c r="A63" s="1124"/>
      <c r="E63" s="158"/>
      <c r="F63" s="157"/>
      <c r="G63" s="406"/>
    </row>
    <row r="64" spans="1:7" ht="17.649999999999999" customHeight="1">
      <c r="A64" s="1124"/>
      <c r="E64" s="152"/>
      <c r="F64" s="153"/>
      <c r="G64" s="406"/>
    </row>
    <row r="65" spans="1:7" ht="17.649999999999999" customHeight="1">
      <c r="A65" s="1124"/>
      <c r="E65" s="158" t="s">
        <v>1006</v>
      </c>
      <c r="F65" s="157" t="s">
        <v>1006</v>
      </c>
      <c r="G65" s="406"/>
    </row>
    <row r="66" spans="1:7" ht="17.649999999999999" customHeight="1">
      <c r="A66" s="1119" t="s">
        <v>1024</v>
      </c>
      <c r="E66" s="497" t="s">
        <v>1006</v>
      </c>
      <c r="F66" s="162" t="s">
        <v>1006</v>
      </c>
      <c r="G66" s="406"/>
    </row>
    <row r="67" spans="1:7" ht="17.649999999999999" customHeight="1">
      <c r="A67" s="1119"/>
      <c r="E67" s="158" t="s">
        <v>1006</v>
      </c>
      <c r="F67" s="157" t="s">
        <v>1006</v>
      </c>
      <c r="G67" s="406"/>
    </row>
    <row r="68" spans="1:7" ht="17.649999999999999" customHeight="1">
      <c r="A68" s="1120" t="s">
        <v>1029</v>
      </c>
      <c r="E68" s="497"/>
      <c r="F68" s="162"/>
      <c r="G68" s="406"/>
    </row>
    <row r="69" spans="1:7" ht="17.649999999999999" customHeight="1">
      <c r="A69" s="1120"/>
      <c r="E69" s="498" t="s">
        <v>1026</v>
      </c>
      <c r="F69" s="157" t="s">
        <v>1026</v>
      </c>
      <c r="G69" s="406"/>
    </row>
    <row r="70" spans="1:7" ht="17.649999999999999" customHeight="1">
      <c r="A70" s="1120"/>
      <c r="E70" s="158" t="s">
        <v>1006</v>
      </c>
      <c r="F70" s="157" t="s">
        <v>1006</v>
      </c>
      <c r="G70" s="406"/>
    </row>
    <row r="71" spans="1:7" ht="17.649999999999999" customHeight="1">
      <c r="A71" s="1120"/>
      <c r="E71" s="497" t="s">
        <v>1006</v>
      </c>
      <c r="F71" s="162" t="s">
        <v>1006</v>
      </c>
      <c r="G71" s="406"/>
    </row>
    <row r="72" spans="1:7" ht="17.649999999999999" customHeight="1">
      <c r="A72" s="1121" t="s">
        <v>10</v>
      </c>
      <c r="E72" s="152"/>
      <c r="F72" s="153"/>
      <c r="G72" s="406"/>
    </row>
    <row r="73" spans="1:7" ht="17.649999999999999" customHeight="1">
      <c r="A73" s="1121"/>
      <c r="E73" s="151"/>
      <c r="F73" s="152"/>
      <c r="G73" s="406"/>
    </row>
    <row r="74" spans="1:7" ht="17.649999999999999" customHeight="1">
      <c r="A74" s="1121"/>
      <c r="E74" s="157" t="s">
        <v>1006</v>
      </c>
      <c r="F74" s="156" t="s">
        <v>1006</v>
      </c>
      <c r="G74" s="406"/>
    </row>
    <row r="75" spans="1:7" ht="17.649999999999999" customHeight="1">
      <c r="E75" s="161"/>
      <c r="F75" s="160"/>
      <c r="G75" s="406"/>
    </row>
    <row r="76" spans="1:7" ht="17.649999999999999" customHeight="1">
      <c r="E76" s="157" t="s">
        <v>1006</v>
      </c>
      <c r="F76" s="156" t="s">
        <v>1006</v>
      </c>
      <c r="G76" s="406"/>
    </row>
    <row r="77" spans="1:7" ht="17.649999999999999" customHeight="1">
      <c r="A77" s="1111" t="s">
        <v>998</v>
      </c>
      <c r="E77" s="156"/>
      <c r="F77" s="157"/>
      <c r="G77" s="406"/>
    </row>
    <row r="78" spans="1:7" ht="17.649999999999999" customHeight="1">
      <c r="A78" s="1111"/>
      <c r="E78" s="157" t="s">
        <v>1006</v>
      </c>
      <c r="F78" s="156" t="s">
        <v>1006</v>
      </c>
      <c r="G78" s="406"/>
    </row>
    <row r="79" spans="1:7" ht="17.649999999999999" customHeight="1">
      <c r="A79" s="1111"/>
      <c r="E79" s="158" t="s">
        <v>1006</v>
      </c>
      <c r="F79" s="157" t="s">
        <v>1006</v>
      </c>
      <c r="G79" s="406"/>
    </row>
    <row r="80" spans="1:7" ht="17.649999999999999" customHeight="1">
      <c r="A80" s="1111"/>
      <c r="E80" s="497"/>
      <c r="F80" s="162"/>
      <c r="G80" s="406"/>
    </row>
    <row r="81" spans="1:7" ht="17.649999999999999" customHeight="1">
      <c r="A81" s="1111"/>
      <c r="E81" s="158"/>
      <c r="F81" s="157"/>
      <c r="G81" s="406"/>
    </row>
    <row r="82" spans="1:7" ht="17.649999999999999" customHeight="1">
      <c r="A82" s="1111"/>
      <c r="B82" s="460" t="str">
        <f>B40</f>
        <v>Interior Inspection Work SCOPE V2</v>
      </c>
      <c r="C82" s="264" t="str">
        <f>+C40</f>
        <v>Hatten, Nedra</v>
      </c>
      <c r="D82" s="1122" t="str">
        <f>+D40</f>
        <v>628 Quilliams Road</v>
      </c>
      <c r="E82" s="1122"/>
      <c r="G82" s="406"/>
    </row>
    <row r="83" spans="1:7" ht="17.649999999999999" customHeight="1">
      <c r="A83" s="1111"/>
      <c r="B83" s="491" t="s">
        <v>1036</v>
      </c>
      <c r="C83" s="394" t="str">
        <f>+'jobinfo(2)'!C59</f>
        <v xml:space="preserve">  BATHROOM  </v>
      </c>
      <c r="D83" s="335" t="e">
        <f>+'jobinfo(2)'!#REF!</f>
        <v>#REF!</v>
      </c>
      <c r="E83" s="335" t="e">
        <f>+'jobinfo(2)'!#REF!</f>
        <v>#REF!</v>
      </c>
      <c r="F83" s="335" t="str">
        <f>+'jobinfo(2)'!C60</f>
        <v xml:space="preserve">  LINEN  </v>
      </c>
      <c r="G83" s="406"/>
    </row>
    <row r="84" spans="1:7" ht="17.649999999999999" customHeight="1">
      <c r="A84" s="1111"/>
      <c r="B84" s="467" t="s">
        <v>999</v>
      </c>
      <c r="C84" s="501">
        <f>+'jobinfo(2)'!A61</f>
        <v>9</v>
      </c>
      <c r="D84" s="502">
        <f>1+C84</f>
        <v>10</v>
      </c>
      <c r="E84" s="503">
        <f>1+D84</f>
        <v>11</v>
      </c>
      <c r="F84" s="502">
        <f>1+E84</f>
        <v>12</v>
      </c>
      <c r="G84" s="406"/>
    </row>
    <row r="85" spans="1:7" ht="17.649999999999999" customHeight="1">
      <c r="A85" s="1111"/>
      <c r="B85" s="484" t="s">
        <v>1000</v>
      </c>
      <c r="C85" s="151"/>
      <c r="D85" s="152"/>
      <c r="E85" s="151"/>
      <c r="F85" s="152"/>
      <c r="G85" s="49"/>
    </row>
    <row r="86" spans="1:7" ht="17.649999999999999" customHeight="1">
      <c r="A86" s="1111"/>
      <c r="B86" s="484" t="s">
        <v>1001</v>
      </c>
      <c r="C86" s="152"/>
      <c r="D86" s="153"/>
      <c r="E86" s="152"/>
      <c r="F86" s="153"/>
      <c r="G86" s="49"/>
    </row>
    <row r="87" spans="1:7" ht="17.649999999999999" customHeight="1">
      <c r="A87" s="1112" t="s">
        <v>1013</v>
      </c>
      <c r="B87" s="486" t="s">
        <v>1002</v>
      </c>
      <c r="C87" s="151"/>
      <c r="D87" s="152"/>
      <c r="E87" s="151"/>
      <c r="F87" s="152"/>
      <c r="G87" s="49"/>
    </row>
    <row r="88" spans="1:7" ht="17.649999999999999" customHeight="1">
      <c r="A88" s="1112"/>
      <c r="B88" s="484" t="s">
        <v>1037</v>
      </c>
      <c r="C88" s="462" t="s">
        <v>1006</v>
      </c>
      <c r="D88" s="156" t="s">
        <v>1006</v>
      </c>
      <c r="E88" s="462" t="s">
        <v>1006</v>
      </c>
      <c r="F88" s="156" t="s">
        <v>1006</v>
      </c>
      <c r="G88" s="49"/>
    </row>
    <row r="89" spans="1:7" ht="17.649999999999999" customHeight="1">
      <c r="A89" s="1112"/>
      <c r="B89" s="487" t="s">
        <v>1004</v>
      </c>
      <c r="C89" s="156" t="s">
        <v>1006</v>
      </c>
      <c r="D89" s="157" t="s">
        <v>1006</v>
      </c>
      <c r="E89" s="156" t="s">
        <v>1006</v>
      </c>
      <c r="F89" s="157" t="s">
        <v>1006</v>
      </c>
      <c r="G89" s="49"/>
    </row>
    <row r="90" spans="1:7" ht="17.649999999999999" customHeight="1">
      <c r="A90" s="1112"/>
      <c r="B90" s="464" t="s">
        <v>1038</v>
      </c>
      <c r="C90" s="152"/>
      <c r="D90" s="153"/>
      <c r="E90" s="152"/>
      <c r="F90" s="153"/>
      <c r="G90" s="49"/>
    </row>
    <row r="91" spans="1:7" ht="17.649999999999999" customHeight="1">
      <c r="A91" s="1112"/>
      <c r="B91" s="486" t="s">
        <v>1008</v>
      </c>
      <c r="C91" s="156" t="s">
        <v>1006</v>
      </c>
      <c r="D91" s="157" t="s">
        <v>1006</v>
      </c>
      <c r="E91" s="156" t="s">
        <v>1006</v>
      </c>
      <c r="F91" s="157" t="s">
        <v>1006</v>
      </c>
      <c r="G91" s="49"/>
    </row>
    <row r="92" spans="1:7" ht="17.649999999999999" customHeight="1">
      <c r="A92" s="1112"/>
      <c r="B92" s="483" t="s">
        <v>1009</v>
      </c>
      <c r="C92" s="462" t="s">
        <v>1006</v>
      </c>
      <c r="D92" s="156" t="s">
        <v>1006</v>
      </c>
      <c r="E92" s="462" t="s">
        <v>1006</v>
      </c>
      <c r="F92" s="156" t="s">
        <v>1006</v>
      </c>
      <c r="G92" s="49"/>
    </row>
    <row r="93" spans="1:7" ht="17.649999999999999" customHeight="1">
      <c r="A93" s="1112"/>
      <c r="B93" s="148" t="s">
        <v>1010</v>
      </c>
      <c r="C93" s="158" t="s">
        <v>1006</v>
      </c>
      <c r="D93" s="157" t="s">
        <v>1006</v>
      </c>
      <c r="E93" s="158" t="s">
        <v>1006</v>
      </c>
      <c r="F93" s="157" t="s">
        <v>1006</v>
      </c>
      <c r="G93" s="49"/>
    </row>
    <row r="94" spans="1:7" ht="17.649999999999999" customHeight="1">
      <c r="A94" s="1112"/>
      <c r="B94" s="179" t="s">
        <v>1011</v>
      </c>
      <c r="C94" s="496" t="s">
        <v>1006</v>
      </c>
      <c r="D94" s="162" t="s">
        <v>1006</v>
      </c>
      <c r="E94" s="497" t="s">
        <v>1006</v>
      </c>
      <c r="F94" s="162" t="s">
        <v>1006</v>
      </c>
      <c r="G94" s="49"/>
    </row>
    <row r="95" spans="1:7" ht="17.649999999999999" customHeight="1">
      <c r="A95" s="1112"/>
      <c r="B95" s="470"/>
      <c r="C95" s="158"/>
      <c r="D95" s="157"/>
      <c r="E95" s="158"/>
      <c r="F95" s="157"/>
      <c r="G95" s="49"/>
    </row>
    <row r="96" spans="1:7" ht="17.649999999999999" customHeight="1">
      <c r="A96" s="1112"/>
      <c r="B96" s="466" t="s">
        <v>1039</v>
      </c>
      <c r="C96" s="152"/>
      <c r="D96" s="153"/>
      <c r="E96" s="152"/>
      <c r="F96" s="153"/>
      <c r="G96" s="47"/>
    </row>
    <row r="97" spans="1:7" ht="17.649999999999999" customHeight="1">
      <c r="A97" s="1113" t="s">
        <v>1035</v>
      </c>
      <c r="B97" s="485" t="str">
        <f>B15</f>
        <v>DRY / PLA / TEX/ WPR / MIR / PNL / T&amp;G / TIL</v>
      </c>
      <c r="C97" s="151"/>
      <c r="D97" s="152"/>
      <c r="E97" s="151"/>
      <c r="F97" s="152"/>
      <c r="G97" s="190"/>
    </row>
    <row r="98" spans="1:7" ht="17.649999999999999" customHeight="1">
      <c r="A98" s="1113"/>
      <c r="B98" s="265" t="s">
        <v>1002</v>
      </c>
      <c r="C98" s="152"/>
      <c r="D98" s="153"/>
      <c r="E98" s="152"/>
      <c r="F98" s="153"/>
      <c r="G98" s="190"/>
    </row>
    <row r="99" spans="1:7" ht="17.649999999999999" customHeight="1">
      <c r="A99" s="1113"/>
      <c r="B99" s="463" t="s">
        <v>1037</v>
      </c>
      <c r="C99" s="158" t="s">
        <v>1006</v>
      </c>
      <c r="D99" s="157" t="s">
        <v>1006</v>
      </c>
      <c r="E99" s="158" t="s">
        <v>1006</v>
      </c>
      <c r="F99" s="157" t="s">
        <v>1006</v>
      </c>
      <c r="G99" s="190"/>
    </row>
    <row r="100" spans="1:7" ht="17.649999999999999" customHeight="1">
      <c r="A100" s="1113"/>
      <c r="B100" s="460" t="s">
        <v>1016</v>
      </c>
      <c r="C100" s="154"/>
      <c r="D100" s="155"/>
      <c r="E100" s="154"/>
      <c r="F100" s="155"/>
      <c r="G100" s="190"/>
    </row>
    <row r="101" spans="1:7" ht="17.649999999999999" customHeight="1">
      <c r="A101" s="1114" t="s">
        <v>1024</v>
      </c>
      <c r="B101" s="463" t="s">
        <v>1027</v>
      </c>
      <c r="C101" s="158" t="s">
        <v>1006</v>
      </c>
      <c r="D101" s="157" t="s">
        <v>1006</v>
      </c>
      <c r="E101" s="158" t="s">
        <v>1006</v>
      </c>
      <c r="F101" s="157" t="s">
        <v>1006</v>
      </c>
      <c r="G101" s="190"/>
    </row>
    <row r="102" spans="1:7" ht="17.649999999999999" customHeight="1">
      <c r="A102" s="1114"/>
      <c r="B102" s="483" t="s">
        <v>1017</v>
      </c>
      <c r="C102" s="496" t="s">
        <v>1006</v>
      </c>
      <c r="D102" s="162" t="s">
        <v>1006</v>
      </c>
      <c r="E102" s="497" t="s">
        <v>1006</v>
      </c>
      <c r="F102" s="162" t="s">
        <v>1006</v>
      </c>
      <c r="G102" s="190"/>
    </row>
    <row r="103" spans="1:7" ht="17.649999999999999" customHeight="1">
      <c r="A103" s="1109" t="s">
        <v>1029</v>
      </c>
      <c r="B103" s="488" t="s">
        <v>1018</v>
      </c>
      <c r="C103" s="158" t="s">
        <v>1006</v>
      </c>
      <c r="D103" s="157" t="s">
        <v>1006</v>
      </c>
      <c r="E103" s="158" t="s">
        <v>1006</v>
      </c>
      <c r="F103" s="157" t="s">
        <v>1006</v>
      </c>
      <c r="G103" s="190"/>
    </row>
    <row r="104" spans="1:7" ht="17.649999999999999" customHeight="1">
      <c r="A104" s="1109"/>
      <c r="B104" s="482" t="s">
        <v>1019</v>
      </c>
      <c r="C104" s="496" t="s">
        <v>1006</v>
      </c>
      <c r="D104" s="162" t="s">
        <v>1006</v>
      </c>
      <c r="E104" s="497" t="s">
        <v>1006</v>
      </c>
      <c r="F104" s="162" t="s">
        <v>1006</v>
      </c>
      <c r="G104" s="190"/>
    </row>
    <row r="105" spans="1:7" ht="17.649999999999999" customHeight="1">
      <c r="A105" s="1109"/>
      <c r="B105" s="179"/>
      <c r="C105" s="158"/>
      <c r="D105" s="157"/>
      <c r="E105" s="158"/>
      <c r="F105" s="157"/>
      <c r="G105" s="190"/>
    </row>
    <row r="106" spans="1:7" ht="17.649999999999999" customHeight="1">
      <c r="A106" s="1109"/>
      <c r="B106" s="492" t="s">
        <v>1020</v>
      </c>
      <c r="C106" s="152"/>
      <c r="D106" s="153"/>
      <c r="E106" s="152"/>
      <c r="F106" s="153"/>
      <c r="G106" s="190"/>
    </row>
    <row r="107" spans="1:7" ht="17.649999999999999" customHeight="1">
      <c r="A107" s="1110" t="s">
        <v>10</v>
      </c>
      <c r="B107" s="490" t="s">
        <v>1021</v>
      </c>
      <c r="C107" s="158" t="s">
        <v>1006</v>
      </c>
      <c r="D107" s="157" t="s">
        <v>1006</v>
      </c>
      <c r="E107" s="158" t="s">
        <v>1006</v>
      </c>
      <c r="F107" s="157" t="s">
        <v>1006</v>
      </c>
      <c r="G107" s="190"/>
    </row>
    <row r="108" spans="1:7" ht="17.649999999999999" customHeight="1">
      <c r="A108" s="1110"/>
      <c r="B108" s="485" t="s">
        <v>1022</v>
      </c>
      <c r="C108" s="496" t="s">
        <v>1006</v>
      </c>
      <c r="D108" s="162" t="s">
        <v>1006</v>
      </c>
      <c r="E108" s="497" t="s">
        <v>1006</v>
      </c>
      <c r="F108" s="162" t="s">
        <v>1006</v>
      </c>
      <c r="G108" s="190"/>
    </row>
    <row r="109" spans="1:7" ht="17.649999999999999" customHeight="1">
      <c r="A109" s="1110"/>
      <c r="B109" s="482" t="s">
        <v>1023</v>
      </c>
      <c r="C109" s="158" t="s">
        <v>1006</v>
      </c>
      <c r="D109" s="157" t="s">
        <v>1006</v>
      </c>
      <c r="E109" s="158" t="s">
        <v>1006</v>
      </c>
      <c r="F109" s="157" t="s">
        <v>1006</v>
      </c>
      <c r="G109" s="190"/>
    </row>
    <row r="110" spans="1:7" ht="17.649999999999999" customHeight="1">
      <c r="B110" s="482"/>
      <c r="C110" s="496"/>
      <c r="D110" s="162"/>
      <c r="E110" s="497"/>
      <c r="F110" s="162"/>
      <c r="G110" s="529"/>
    </row>
    <row r="111" spans="1:7" ht="17.649999999999999" customHeight="1">
      <c r="B111" s="481" t="s">
        <v>1025</v>
      </c>
      <c r="C111" s="157"/>
      <c r="D111" s="157" t="s">
        <v>1026</v>
      </c>
      <c r="E111" s="498" t="s">
        <v>1026</v>
      </c>
      <c r="F111" s="157" t="s">
        <v>1026</v>
      </c>
      <c r="G111" s="190"/>
    </row>
    <row r="112" spans="1:7" ht="17.649999999999999" customHeight="1">
      <c r="B112" s="484" t="s">
        <v>1027</v>
      </c>
      <c r="C112" s="158" t="s">
        <v>1006</v>
      </c>
      <c r="D112" s="157" t="s">
        <v>1006</v>
      </c>
      <c r="E112" s="158" t="s">
        <v>1006</v>
      </c>
      <c r="F112" s="157" t="s">
        <v>1006</v>
      </c>
      <c r="G112" s="529"/>
    </row>
    <row r="113" spans="1:7" ht="17.649999999999999" customHeight="1">
      <c r="A113" s="1111" t="s">
        <v>998</v>
      </c>
      <c r="B113" s="482" t="s">
        <v>1028</v>
      </c>
      <c r="C113" s="496" t="s">
        <v>1006</v>
      </c>
      <c r="D113" s="162" t="s">
        <v>1006</v>
      </c>
      <c r="E113" s="497" t="s">
        <v>1006</v>
      </c>
      <c r="F113" s="162" t="s">
        <v>1006</v>
      </c>
      <c r="G113" s="190"/>
    </row>
    <row r="114" spans="1:7" ht="17.649999999999999" customHeight="1">
      <c r="A114" s="1111"/>
      <c r="B114" s="179"/>
      <c r="C114" s="152"/>
      <c r="D114" s="153"/>
      <c r="E114" s="152"/>
      <c r="F114" s="153"/>
      <c r="G114" s="190"/>
    </row>
    <row r="115" spans="1:7" ht="17.649999999999999" customHeight="1">
      <c r="A115" s="1111"/>
      <c r="B115" s="493" t="str">
        <f>B31</f>
        <v>FLOOR; FCC/FCW/LAM/FCS/FCV/FCT</v>
      </c>
      <c r="C115" s="151"/>
      <c r="D115" s="152"/>
      <c r="E115" s="151"/>
      <c r="F115" s="152"/>
      <c r="G115" s="144"/>
    </row>
    <row r="116" spans="1:7" ht="17.649999999999999" customHeight="1">
      <c r="A116" s="1111"/>
      <c r="B116" s="484" t="s">
        <v>1031</v>
      </c>
      <c r="C116" s="157" t="s">
        <v>1006</v>
      </c>
      <c r="D116" s="156" t="s">
        <v>1006</v>
      </c>
      <c r="E116" s="157" t="s">
        <v>1006</v>
      </c>
      <c r="F116" s="156" t="s">
        <v>1006</v>
      </c>
      <c r="G116" s="407"/>
    </row>
    <row r="117" spans="1:7" ht="17.649999999999999" customHeight="1">
      <c r="A117" s="1111"/>
      <c r="B117" s="494" t="s">
        <v>1032</v>
      </c>
      <c r="C117" s="159"/>
      <c r="D117" s="160"/>
      <c r="E117" s="161"/>
      <c r="F117" s="160"/>
      <c r="G117" s="50"/>
    </row>
    <row r="118" spans="1:7" ht="17.649999999999999" customHeight="1">
      <c r="A118" s="1111"/>
      <c r="B118" s="484" t="s">
        <v>1031</v>
      </c>
      <c r="C118" s="157" t="s">
        <v>1006</v>
      </c>
      <c r="D118" s="156" t="s">
        <v>1006</v>
      </c>
      <c r="E118" s="157" t="s">
        <v>1006</v>
      </c>
      <c r="F118" s="156" t="s">
        <v>1006</v>
      </c>
      <c r="G118" s="530"/>
    </row>
    <row r="119" spans="1:7" ht="17.649999999999999" customHeight="1">
      <c r="A119" s="1111"/>
      <c r="B119" s="463"/>
      <c r="C119" s="156"/>
      <c r="D119" s="157"/>
      <c r="E119" s="156"/>
      <c r="F119" s="157"/>
      <c r="G119" s="49"/>
    </row>
    <row r="120" spans="1:7" ht="17.649999999999999" customHeight="1">
      <c r="A120" s="1111"/>
      <c r="B120" s="495" t="s">
        <v>1033</v>
      </c>
      <c r="C120" s="157" t="s">
        <v>1006</v>
      </c>
      <c r="D120" s="156" t="s">
        <v>1006</v>
      </c>
      <c r="E120" s="157" t="s">
        <v>1006</v>
      </c>
      <c r="F120" s="156" t="s">
        <v>1006</v>
      </c>
      <c r="G120" s="408"/>
    </row>
    <row r="121" spans="1:7" ht="17.649999999999999" customHeight="1">
      <c r="A121" s="1111"/>
      <c r="B121" s="489" t="s">
        <v>1031</v>
      </c>
      <c r="C121" s="158" t="s">
        <v>1006</v>
      </c>
      <c r="D121" s="157" t="s">
        <v>1006</v>
      </c>
      <c r="E121" s="158" t="s">
        <v>1006</v>
      </c>
      <c r="F121" s="157" t="s">
        <v>1006</v>
      </c>
      <c r="G121" s="408"/>
    </row>
    <row r="122" spans="1:7" ht="17.649999999999999" customHeight="1">
      <c r="A122" s="1111"/>
      <c r="B122" s="499" t="s">
        <v>1034</v>
      </c>
      <c r="C122" s="496"/>
      <c r="D122" s="162"/>
      <c r="E122" s="497"/>
      <c r="F122" s="162"/>
      <c r="G122" s="409"/>
    </row>
    <row r="123" spans="1:7" ht="17.649999999999999" customHeight="1">
      <c r="A123" s="1112" t="s">
        <v>1013</v>
      </c>
      <c r="B123" s="500"/>
      <c r="C123" s="158"/>
      <c r="D123" s="157"/>
      <c r="E123" s="158"/>
      <c r="F123" s="157"/>
      <c r="G123" s="409"/>
    </row>
    <row r="124" spans="1:7" ht="17.649999999999999" customHeight="1">
      <c r="A124" s="1112"/>
      <c r="B124" s="475" t="str">
        <f>B1</f>
        <v>Interior Inspection Work SCOPE V2</v>
      </c>
      <c r="C124" s="475" t="str">
        <f>C1</f>
        <v>Hatten, Nedra</v>
      </c>
      <c r="D124" s="475" t="str">
        <f>D1</f>
        <v>628 Quilliams Road</v>
      </c>
      <c r="E124" s="475"/>
      <c r="F124" s="475"/>
      <c r="G124" s="408"/>
    </row>
    <row r="125" spans="1:7" ht="17.649999999999999" customHeight="1">
      <c r="A125" s="1112"/>
      <c r="B125" s="468" t="str">
        <f>B2</f>
        <v xml:space="preserve">                                    ROOM =</v>
      </c>
      <c r="C125" s="443" t="str">
        <f>+'jobinfo(2)'!C61</f>
        <v xml:space="preserve">  PBR  </v>
      </c>
      <c r="D125" s="432" t="str">
        <f>+'jobinfo(2)'!C62</f>
        <v xml:space="preserve">  PBR CLOSET  </v>
      </c>
      <c r="E125" s="445" t="str">
        <f>+'jobinfo(2)'!C63</f>
        <v xml:space="preserve">  BR2  </v>
      </c>
      <c r="F125" s="445">
        <f>+'jobinfo(2)'!C68</f>
        <v>0</v>
      </c>
      <c r="G125" s="409"/>
    </row>
    <row r="126" spans="1:7" ht="17.649999999999999" customHeight="1">
      <c r="A126" s="1112"/>
      <c r="B126" s="467" t="s">
        <v>999</v>
      </c>
      <c r="C126" s="501">
        <f>+'jobinfo(2)'!A65</f>
        <v>13</v>
      </c>
      <c r="D126" s="502">
        <f>1+C126</f>
        <v>14</v>
      </c>
      <c r="E126" s="503">
        <f>1+D126</f>
        <v>15</v>
      </c>
      <c r="F126" s="502">
        <f>1+E126</f>
        <v>16</v>
      </c>
      <c r="G126" s="408"/>
    </row>
    <row r="127" spans="1:7" ht="17.649999999999999" customHeight="1">
      <c r="A127" s="1112"/>
      <c r="B127" s="484" t="s">
        <v>1000</v>
      </c>
      <c r="C127" s="151"/>
      <c r="D127" s="152"/>
      <c r="E127" s="151"/>
      <c r="F127" s="152"/>
      <c r="G127" s="409"/>
    </row>
    <row r="128" spans="1:7" ht="17.649999999999999" customHeight="1">
      <c r="A128" s="1112"/>
      <c r="B128" s="484" t="s">
        <v>1001</v>
      </c>
      <c r="C128" s="152"/>
      <c r="D128" s="153"/>
      <c r="E128" s="152"/>
      <c r="F128" s="153"/>
      <c r="G128" s="409"/>
    </row>
    <row r="129" spans="1:7" ht="17.649999999999999" customHeight="1">
      <c r="A129" s="1112"/>
      <c r="B129" s="486" t="s">
        <v>1002</v>
      </c>
      <c r="C129" s="151"/>
      <c r="D129" s="152"/>
      <c r="E129" s="151"/>
      <c r="F129" s="152"/>
      <c r="G129" s="408"/>
    </row>
    <row r="130" spans="1:7" ht="17.649999999999999" customHeight="1">
      <c r="A130" s="1112"/>
      <c r="B130" s="484" t="s">
        <v>1037</v>
      </c>
      <c r="C130" s="462" t="s">
        <v>1006</v>
      </c>
      <c r="D130" s="156" t="s">
        <v>1006</v>
      </c>
      <c r="E130" s="462" t="s">
        <v>1006</v>
      </c>
      <c r="F130" s="156" t="s">
        <v>1006</v>
      </c>
      <c r="G130" s="408"/>
    </row>
    <row r="131" spans="1:7" ht="17.649999999999999" customHeight="1">
      <c r="A131" s="1112"/>
      <c r="B131" s="487" t="s">
        <v>1004</v>
      </c>
      <c r="C131" s="156" t="s">
        <v>1006</v>
      </c>
      <c r="D131" s="157" t="s">
        <v>1006</v>
      </c>
      <c r="E131" s="156" t="s">
        <v>1006</v>
      </c>
      <c r="F131" s="157" t="s">
        <v>1006</v>
      </c>
      <c r="G131" s="408"/>
    </row>
    <row r="132" spans="1:7" ht="17.649999999999999" customHeight="1">
      <c r="A132" s="1112"/>
      <c r="B132" s="464" t="s">
        <v>1038</v>
      </c>
      <c r="C132" s="152"/>
      <c r="D132" s="153"/>
      <c r="E132" s="152"/>
      <c r="F132" s="153"/>
      <c r="G132" s="408"/>
    </row>
    <row r="133" spans="1:7" ht="17.649999999999999" customHeight="1">
      <c r="A133" s="1113" t="s">
        <v>1035</v>
      </c>
      <c r="B133" s="486" t="s">
        <v>1008</v>
      </c>
      <c r="C133" s="156" t="s">
        <v>1006</v>
      </c>
      <c r="D133" s="157" t="s">
        <v>1006</v>
      </c>
      <c r="E133" s="156" t="s">
        <v>1006</v>
      </c>
      <c r="F133" s="157" t="s">
        <v>1006</v>
      </c>
      <c r="G133" s="408"/>
    </row>
    <row r="134" spans="1:7" ht="17.649999999999999" customHeight="1">
      <c r="A134" s="1113"/>
      <c r="B134" s="483" t="s">
        <v>1009</v>
      </c>
      <c r="C134" s="462" t="s">
        <v>1006</v>
      </c>
      <c r="D134" s="156" t="s">
        <v>1006</v>
      </c>
      <c r="E134" s="462" t="s">
        <v>1006</v>
      </c>
      <c r="F134" s="156" t="s">
        <v>1006</v>
      </c>
      <c r="G134" s="408"/>
    </row>
    <row r="135" spans="1:7" ht="17.649999999999999" customHeight="1">
      <c r="A135" s="1113"/>
      <c r="B135" s="148" t="s">
        <v>1010</v>
      </c>
      <c r="C135" s="158" t="s">
        <v>1006</v>
      </c>
      <c r="D135" s="157" t="s">
        <v>1006</v>
      </c>
      <c r="E135" s="158" t="s">
        <v>1006</v>
      </c>
      <c r="F135" s="157" t="s">
        <v>1006</v>
      </c>
      <c r="G135" s="408"/>
    </row>
    <row r="136" spans="1:7" ht="17.649999999999999" customHeight="1">
      <c r="A136" s="1113"/>
      <c r="B136" s="179" t="s">
        <v>1011</v>
      </c>
      <c r="C136" s="496" t="s">
        <v>1006</v>
      </c>
      <c r="D136" s="162" t="s">
        <v>1006</v>
      </c>
      <c r="E136" s="497" t="s">
        <v>1006</v>
      </c>
      <c r="F136" s="162" t="s">
        <v>1006</v>
      </c>
      <c r="G136" s="408"/>
    </row>
    <row r="137" spans="1:7" ht="17.649999999999999" customHeight="1">
      <c r="A137" s="1114" t="s">
        <v>1024</v>
      </c>
      <c r="B137" s="470"/>
      <c r="C137" s="158"/>
      <c r="D137" s="157"/>
      <c r="E137" s="158"/>
      <c r="F137" s="157"/>
      <c r="G137" s="408"/>
    </row>
    <row r="138" spans="1:7" ht="17.649999999999999" customHeight="1">
      <c r="A138" s="1114"/>
      <c r="B138" s="466" t="s">
        <v>1039</v>
      </c>
      <c r="C138" s="152"/>
      <c r="D138" s="153"/>
      <c r="E138" s="152"/>
      <c r="F138" s="153"/>
      <c r="G138" s="409"/>
    </row>
    <row r="139" spans="1:7" ht="17.649999999999999" customHeight="1">
      <c r="A139" s="1109" t="s">
        <v>1029</v>
      </c>
      <c r="B139" s="485" t="e">
        <f>#REF!</f>
        <v>#REF!</v>
      </c>
      <c r="C139" s="151"/>
      <c r="D139" s="152"/>
      <c r="E139" s="151"/>
      <c r="F139" s="152"/>
      <c r="G139" s="408"/>
    </row>
    <row r="140" spans="1:7" ht="17.649999999999999" customHeight="1">
      <c r="A140" s="1109"/>
      <c r="B140" s="265" t="s">
        <v>1002</v>
      </c>
      <c r="C140" s="152"/>
      <c r="D140" s="153"/>
      <c r="E140" s="152"/>
      <c r="F140" s="153"/>
      <c r="G140" s="408"/>
    </row>
    <row r="141" spans="1:7" ht="17.649999999999999" customHeight="1">
      <c r="A141" s="1109"/>
      <c r="B141" s="463" t="s">
        <v>1037</v>
      </c>
      <c r="C141" s="158" t="s">
        <v>1006</v>
      </c>
      <c r="D141" s="157" t="s">
        <v>1006</v>
      </c>
      <c r="E141" s="158" t="s">
        <v>1006</v>
      </c>
      <c r="F141" s="157" t="s">
        <v>1006</v>
      </c>
      <c r="G141" s="408"/>
    </row>
    <row r="142" spans="1:7" ht="17.649999999999999" customHeight="1">
      <c r="A142" s="1109"/>
      <c r="B142" s="460" t="s">
        <v>1016</v>
      </c>
      <c r="C142" s="154"/>
      <c r="D142" s="155"/>
      <c r="E142" s="154"/>
      <c r="F142" s="155"/>
      <c r="G142" s="408"/>
    </row>
    <row r="143" spans="1:7" ht="17.649999999999999" customHeight="1">
      <c r="A143" s="1110" t="s">
        <v>10</v>
      </c>
      <c r="B143" s="463" t="s">
        <v>1027</v>
      </c>
      <c r="C143" s="158" t="s">
        <v>1006</v>
      </c>
      <c r="D143" s="157" t="s">
        <v>1006</v>
      </c>
      <c r="E143" s="158" t="s">
        <v>1006</v>
      </c>
      <c r="F143" s="157" t="s">
        <v>1006</v>
      </c>
      <c r="G143" s="408"/>
    </row>
    <row r="144" spans="1:7" ht="17.649999999999999" customHeight="1">
      <c r="A144" s="1110"/>
      <c r="B144" s="483" t="s">
        <v>1017</v>
      </c>
      <c r="C144" s="496" t="s">
        <v>1006</v>
      </c>
      <c r="D144" s="162" t="s">
        <v>1006</v>
      </c>
      <c r="E144" s="497" t="s">
        <v>1006</v>
      </c>
      <c r="F144" s="162" t="s">
        <v>1006</v>
      </c>
      <c r="G144" s="408"/>
    </row>
    <row r="145" spans="1:7" ht="17.649999999999999" customHeight="1">
      <c r="A145" s="1110"/>
      <c r="B145" s="488" t="s">
        <v>1018</v>
      </c>
      <c r="C145" s="158" t="s">
        <v>1006</v>
      </c>
      <c r="D145" s="157" t="s">
        <v>1006</v>
      </c>
      <c r="E145" s="158" t="s">
        <v>1006</v>
      </c>
      <c r="F145" s="157" t="s">
        <v>1006</v>
      </c>
      <c r="G145" s="50"/>
    </row>
    <row r="146" spans="1:7" ht="17.649999999999999" customHeight="1">
      <c r="B146" s="482" t="s">
        <v>1019</v>
      </c>
      <c r="C146" s="496" t="s">
        <v>1006</v>
      </c>
      <c r="D146" s="162" t="s">
        <v>1006</v>
      </c>
      <c r="E146" s="497" t="s">
        <v>1006</v>
      </c>
      <c r="F146" s="162" t="s">
        <v>1006</v>
      </c>
      <c r="G146" s="50"/>
    </row>
    <row r="147" spans="1:7" ht="17.649999999999999" customHeight="1">
      <c r="B147" s="179"/>
      <c r="C147" s="158"/>
      <c r="D147" s="157"/>
      <c r="E147" s="158"/>
      <c r="F147" s="157"/>
      <c r="G147" s="50"/>
    </row>
    <row r="148" spans="1:7" ht="17.649999999999999" customHeight="1">
      <c r="B148" s="492" t="s">
        <v>1020</v>
      </c>
      <c r="C148" s="152"/>
      <c r="D148" s="153"/>
      <c r="E148" s="152"/>
      <c r="F148" s="153"/>
      <c r="G148" s="50"/>
    </row>
    <row r="149" spans="1:7" ht="17.649999999999999" customHeight="1">
      <c r="A149" s="1111" t="s">
        <v>998</v>
      </c>
      <c r="B149" s="490" t="s">
        <v>1021</v>
      </c>
      <c r="C149" s="158" t="s">
        <v>1006</v>
      </c>
      <c r="D149" s="157" t="s">
        <v>1006</v>
      </c>
      <c r="E149" s="158" t="s">
        <v>1006</v>
      </c>
      <c r="F149" s="157" t="s">
        <v>1006</v>
      </c>
      <c r="G149" s="50"/>
    </row>
    <row r="150" spans="1:7" ht="17.649999999999999" customHeight="1">
      <c r="A150" s="1111"/>
      <c r="B150" s="485" t="s">
        <v>1022</v>
      </c>
      <c r="C150" s="496" t="s">
        <v>1006</v>
      </c>
      <c r="D150" s="162" t="s">
        <v>1006</v>
      </c>
      <c r="E150" s="497" t="s">
        <v>1006</v>
      </c>
      <c r="F150" s="162" t="s">
        <v>1006</v>
      </c>
      <c r="G150" s="49"/>
    </row>
    <row r="151" spans="1:7" ht="17.649999999999999" customHeight="1">
      <c r="A151" s="1111"/>
      <c r="B151" s="482" t="s">
        <v>1023</v>
      </c>
      <c r="C151" s="158" t="s">
        <v>1006</v>
      </c>
      <c r="D151" s="157" t="s">
        <v>1006</v>
      </c>
      <c r="E151" s="158" t="s">
        <v>1006</v>
      </c>
      <c r="F151" s="157" t="s">
        <v>1006</v>
      </c>
      <c r="G151" s="49"/>
    </row>
    <row r="152" spans="1:7" ht="17.649999999999999" customHeight="1">
      <c r="A152" s="1111"/>
      <c r="B152" s="482"/>
      <c r="C152" s="496"/>
      <c r="D152" s="162"/>
      <c r="E152" s="497"/>
      <c r="F152" s="162"/>
      <c r="G152" s="49"/>
    </row>
    <row r="153" spans="1:7" ht="17.649999999999999" customHeight="1">
      <c r="A153" s="1111"/>
      <c r="B153" s="481" t="s">
        <v>1025</v>
      </c>
      <c r="C153" s="157"/>
      <c r="D153" s="157" t="s">
        <v>1026</v>
      </c>
      <c r="E153" s="498" t="s">
        <v>1026</v>
      </c>
      <c r="F153" s="157" t="s">
        <v>1026</v>
      </c>
      <c r="G153" s="49"/>
    </row>
    <row r="154" spans="1:7" ht="17.649999999999999" customHeight="1">
      <c r="A154" s="1111"/>
      <c r="B154" s="484" t="s">
        <v>1027</v>
      </c>
      <c r="C154" s="158" t="s">
        <v>1006</v>
      </c>
      <c r="D154" s="157" t="s">
        <v>1006</v>
      </c>
      <c r="E154" s="158" t="s">
        <v>1006</v>
      </c>
      <c r="F154" s="157" t="s">
        <v>1006</v>
      </c>
      <c r="G154" s="89"/>
    </row>
    <row r="155" spans="1:7" ht="17.649999999999999" customHeight="1">
      <c r="A155" s="1111"/>
      <c r="B155" s="482" t="s">
        <v>1028</v>
      </c>
      <c r="C155" s="496" t="s">
        <v>1006</v>
      </c>
      <c r="D155" s="162" t="s">
        <v>1006</v>
      </c>
      <c r="E155" s="497" t="s">
        <v>1006</v>
      </c>
      <c r="F155" s="162" t="s">
        <v>1006</v>
      </c>
      <c r="G155" s="89"/>
    </row>
    <row r="156" spans="1:7" ht="17.649999999999999" customHeight="1">
      <c r="A156" s="1111"/>
      <c r="B156" s="179"/>
      <c r="C156" s="152"/>
      <c r="D156" s="153"/>
      <c r="E156" s="152"/>
      <c r="F156" s="153"/>
      <c r="G156" s="50"/>
    </row>
    <row r="157" spans="1:7" ht="17.649999999999999" customHeight="1">
      <c r="A157" s="1111"/>
      <c r="B157" s="493" t="str">
        <f>B31</f>
        <v>FLOOR; FCC/FCW/LAM/FCS/FCV/FCT</v>
      </c>
      <c r="C157" s="151"/>
      <c r="D157" s="152"/>
      <c r="E157" s="151"/>
      <c r="F157" s="152"/>
      <c r="G157" s="50"/>
    </row>
    <row r="158" spans="1:7" ht="17.649999999999999" customHeight="1">
      <c r="A158" s="1111"/>
      <c r="B158" s="484" t="s">
        <v>1031</v>
      </c>
      <c r="C158" s="157" t="s">
        <v>1006</v>
      </c>
      <c r="D158" s="156" t="s">
        <v>1006</v>
      </c>
      <c r="E158" s="157" t="s">
        <v>1006</v>
      </c>
      <c r="F158" s="156" t="s">
        <v>1006</v>
      </c>
      <c r="G158" s="50"/>
    </row>
    <row r="159" spans="1:7" ht="17.649999999999999" customHeight="1">
      <c r="A159" s="1112" t="s">
        <v>1013</v>
      </c>
      <c r="B159" s="494" t="s">
        <v>1032</v>
      </c>
      <c r="C159" s="159"/>
      <c r="D159" s="160"/>
      <c r="E159" s="161"/>
      <c r="F159" s="160"/>
      <c r="G159" s="50"/>
    </row>
    <row r="160" spans="1:7" ht="17.649999999999999" customHeight="1">
      <c r="A160" s="1112"/>
      <c r="B160" s="484" t="s">
        <v>1031</v>
      </c>
      <c r="C160" s="157" t="s">
        <v>1006</v>
      </c>
      <c r="D160" s="156" t="s">
        <v>1006</v>
      </c>
      <c r="E160" s="157" t="s">
        <v>1006</v>
      </c>
      <c r="F160" s="156" t="s">
        <v>1006</v>
      </c>
      <c r="G160" s="50"/>
    </row>
    <row r="161" spans="1:7" ht="17.649999999999999" customHeight="1">
      <c r="A161" s="1112"/>
      <c r="B161" s="463"/>
      <c r="C161" s="156"/>
      <c r="D161" s="157"/>
      <c r="E161" s="156"/>
      <c r="F161" s="157"/>
      <c r="G161" s="50"/>
    </row>
    <row r="162" spans="1:7" ht="17.649999999999999" customHeight="1">
      <c r="A162" s="1112"/>
      <c r="B162" s="495" t="s">
        <v>1033</v>
      </c>
      <c r="C162" s="157" t="s">
        <v>1006</v>
      </c>
      <c r="D162" s="156" t="s">
        <v>1006</v>
      </c>
      <c r="E162" s="157" t="s">
        <v>1006</v>
      </c>
      <c r="F162" s="156" t="s">
        <v>1006</v>
      </c>
      <c r="G162" s="50"/>
    </row>
    <row r="163" spans="1:7" ht="17.649999999999999" customHeight="1">
      <c r="A163" s="1112"/>
      <c r="B163" s="489" t="s">
        <v>1031</v>
      </c>
      <c r="C163" s="158" t="s">
        <v>1006</v>
      </c>
      <c r="D163" s="157" t="s">
        <v>1006</v>
      </c>
      <c r="E163" s="158" t="s">
        <v>1006</v>
      </c>
      <c r="F163" s="157" t="s">
        <v>1006</v>
      </c>
      <c r="G163" s="50"/>
    </row>
    <row r="164" spans="1:7" ht="17.649999999999999" customHeight="1">
      <c r="A164" s="1112"/>
      <c r="B164" s="499" t="s">
        <v>1034</v>
      </c>
      <c r="C164" s="496"/>
      <c r="D164" s="162"/>
      <c r="E164" s="497"/>
      <c r="F164" s="162"/>
      <c r="G164" s="50"/>
    </row>
    <row r="165" spans="1:7" ht="17.649999999999999" customHeight="1">
      <c r="A165" s="1112"/>
      <c r="B165" s="500"/>
      <c r="C165" s="158"/>
      <c r="D165" s="157"/>
      <c r="E165" s="158"/>
      <c r="F165" s="157"/>
      <c r="G165" s="50"/>
    </row>
    <row r="166" spans="1:7" ht="17.649999999999999" customHeight="1">
      <c r="A166" s="1112"/>
      <c r="B166" s="467" t="str">
        <f>B1</f>
        <v>Interior Inspection Work SCOPE V2</v>
      </c>
      <c r="C166" s="264" t="str">
        <f>+'jobinfo(2)'!$C$1</f>
        <v>Hatten, Nedra</v>
      </c>
      <c r="D166" s="1122" t="str">
        <f>+'jobinfo(2)'!$C$2</f>
        <v>628 Quilliams Road</v>
      </c>
      <c r="E166" s="1122"/>
      <c r="G166" s="50"/>
    </row>
    <row r="167" spans="1:7" ht="17.649999999999999" customHeight="1">
      <c r="A167" s="1112"/>
      <c r="B167" s="484" t="str">
        <f>B2</f>
        <v xml:space="preserve">                                    ROOM =</v>
      </c>
      <c r="C167" s="432">
        <f>+'jobinfo(2)'!C69</f>
        <v>0</v>
      </c>
      <c r="D167" s="443">
        <f>+'jobinfo(2)'!C70</f>
        <v>0</v>
      </c>
      <c r="E167" s="432">
        <f>+'jobinfo(2)'!C71</f>
        <v>0</v>
      </c>
      <c r="F167" s="432">
        <f>+'jobinfo(2)'!C72</f>
        <v>0</v>
      </c>
      <c r="G167" s="50"/>
    </row>
    <row r="168" spans="1:7" ht="17.649999999999999" customHeight="1">
      <c r="A168" s="1112"/>
      <c r="B168" s="507" t="s">
        <v>999</v>
      </c>
      <c r="C168" s="504">
        <f>+'jobinfo(2)'!A69</f>
        <v>17</v>
      </c>
      <c r="D168" s="505">
        <f>1+C168</f>
        <v>18</v>
      </c>
      <c r="E168" s="506">
        <f>1+D168</f>
        <v>19</v>
      </c>
      <c r="F168" s="465">
        <f>1+E168</f>
        <v>20</v>
      </c>
      <c r="G168" s="50"/>
    </row>
    <row r="169" spans="1:7" ht="17.649999999999999" customHeight="1">
      <c r="A169" s="1113" t="s">
        <v>1035</v>
      </c>
      <c r="B169" s="508" t="s">
        <v>1000</v>
      </c>
      <c r="C169" s="151"/>
      <c r="D169" s="152"/>
      <c r="E169" s="151"/>
      <c r="F169" s="152"/>
      <c r="G169" s="50"/>
    </row>
    <row r="170" spans="1:7" ht="17.649999999999999" customHeight="1">
      <c r="A170" s="1113"/>
      <c r="B170" s="508" t="s">
        <v>1001</v>
      </c>
      <c r="C170" s="152"/>
      <c r="D170" s="153"/>
      <c r="E170" s="152"/>
      <c r="F170" s="153"/>
      <c r="G170" s="50"/>
    </row>
    <row r="171" spans="1:7" ht="17.649999999999999" customHeight="1">
      <c r="A171" s="1113"/>
      <c r="B171" s="509" t="s">
        <v>1002</v>
      </c>
      <c r="C171" s="151"/>
      <c r="D171" s="152"/>
      <c r="E171" s="151"/>
      <c r="F171" s="152"/>
      <c r="G171" s="50"/>
    </row>
    <row r="172" spans="1:7" ht="17.649999999999999" customHeight="1">
      <c r="A172" s="1113"/>
      <c r="B172" s="508" t="s">
        <v>1037</v>
      </c>
      <c r="C172" s="462" t="s">
        <v>1006</v>
      </c>
      <c r="D172" s="156" t="s">
        <v>1006</v>
      </c>
      <c r="E172" s="462" t="s">
        <v>1006</v>
      </c>
      <c r="F172" s="156" t="s">
        <v>1006</v>
      </c>
      <c r="G172" s="50"/>
    </row>
    <row r="173" spans="1:7" ht="17.649999999999999" customHeight="1">
      <c r="A173" s="1114" t="s">
        <v>1024</v>
      </c>
      <c r="B173" s="510" t="s">
        <v>1004</v>
      </c>
      <c r="C173" s="156" t="s">
        <v>1006</v>
      </c>
      <c r="D173" s="157" t="s">
        <v>1006</v>
      </c>
      <c r="E173" s="156" t="s">
        <v>1006</v>
      </c>
      <c r="F173" s="157" t="s">
        <v>1006</v>
      </c>
      <c r="G173" s="50"/>
    </row>
    <row r="174" spans="1:7" ht="17.649999999999999" customHeight="1">
      <c r="A174" s="1114"/>
      <c r="B174" s="477" t="s">
        <v>1038</v>
      </c>
      <c r="C174" s="152"/>
      <c r="D174" s="153"/>
      <c r="E174" s="152"/>
      <c r="F174" s="153"/>
      <c r="G174" s="50"/>
    </row>
    <row r="175" spans="1:7" ht="17.649999999999999" customHeight="1">
      <c r="A175" s="1109" t="s">
        <v>1029</v>
      </c>
      <c r="B175" s="509" t="s">
        <v>1008</v>
      </c>
      <c r="C175" s="156" t="s">
        <v>1006</v>
      </c>
      <c r="D175" s="157" t="s">
        <v>1006</v>
      </c>
      <c r="E175" s="156" t="s">
        <v>1006</v>
      </c>
      <c r="F175" s="157" t="s">
        <v>1006</v>
      </c>
      <c r="G175" s="50"/>
    </row>
    <row r="176" spans="1:7" ht="17.649999999999999" customHeight="1">
      <c r="A176" s="1109"/>
      <c r="B176" s="511" t="s">
        <v>1009</v>
      </c>
      <c r="C176" s="462" t="s">
        <v>1006</v>
      </c>
      <c r="D176" s="156" t="s">
        <v>1006</v>
      </c>
      <c r="E176" s="462" t="s">
        <v>1006</v>
      </c>
      <c r="F176" s="156" t="s">
        <v>1006</v>
      </c>
      <c r="G176" s="50"/>
    </row>
    <row r="177" spans="1:7" ht="17.649999999999999" customHeight="1">
      <c r="A177" s="1109"/>
      <c r="B177" s="163" t="s">
        <v>1010</v>
      </c>
      <c r="C177" s="158" t="s">
        <v>1006</v>
      </c>
      <c r="D177" s="157" t="s">
        <v>1006</v>
      </c>
      <c r="E177" s="158" t="s">
        <v>1006</v>
      </c>
      <c r="F177" s="157" t="s">
        <v>1006</v>
      </c>
      <c r="G177" s="50"/>
    </row>
    <row r="178" spans="1:7" ht="17.649999999999999" customHeight="1">
      <c r="A178" s="1109"/>
      <c r="B178" s="180" t="s">
        <v>1011</v>
      </c>
      <c r="C178" s="496" t="s">
        <v>1006</v>
      </c>
      <c r="D178" s="162" t="s">
        <v>1006</v>
      </c>
      <c r="E178" s="497" t="s">
        <v>1006</v>
      </c>
      <c r="F178" s="162" t="s">
        <v>1006</v>
      </c>
      <c r="G178" s="50"/>
    </row>
    <row r="179" spans="1:7" ht="17.649999999999999" customHeight="1">
      <c r="A179" s="1110" t="s">
        <v>10</v>
      </c>
      <c r="B179" s="479"/>
      <c r="C179" s="158"/>
      <c r="D179" s="157"/>
      <c r="E179" s="158"/>
      <c r="F179" s="157"/>
      <c r="G179" s="50"/>
    </row>
    <row r="180" spans="1:7" ht="17.649999999999999" customHeight="1">
      <c r="A180" s="1110"/>
      <c r="B180" s="480" t="s">
        <v>1039</v>
      </c>
      <c r="C180" s="152"/>
      <c r="D180" s="153"/>
      <c r="E180" s="152"/>
      <c r="F180" s="153"/>
      <c r="G180" s="50"/>
    </row>
    <row r="181" spans="1:7" ht="17.649999999999999" customHeight="1">
      <c r="A181" s="1110"/>
      <c r="B181" s="485" t="str">
        <f>B97</f>
        <v>DRY / PLA / TEX/ WPR / MIR / PNL / T&amp;G / TIL</v>
      </c>
      <c r="C181" s="151"/>
      <c r="D181" s="152"/>
      <c r="E181" s="151"/>
      <c r="F181" s="152"/>
      <c r="G181" s="50"/>
    </row>
    <row r="182" spans="1:7" ht="17.649999999999999" customHeight="1">
      <c r="B182" s="267" t="s">
        <v>1002</v>
      </c>
      <c r="C182" s="152"/>
      <c r="D182" s="153"/>
      <c r="E182" s="152"/>
      <c r="F182" s="153"/>
      <c r="G182" s="50"/>
    </row>
    <row r="183" spans="1:7" ht="17.649999999999999" customHeight="1">
      <c r="B183" s="476" t="s">
        <v>1037</v>
      </c>
      <c r="C183" s="158" t="s">
        <v>1006</v>
      </c>
      <c r="D183" s="157" t="s">
        <v>1006</v>
      </c>
      <c r="E183" s="158" t="s">
        <v>1006</v>
      </c>
      <c r="F183" s="157" t="s">
        <v>1006</v>
      </c>
      <c r="G183" s="50"/>
    </row>
    <row r="184" spans="1:7" ht="17.649999999999999" customHeight="1">
      <c r="A184" s="1111" t="s">
        <v>998</v>
      </c>
      <c r="B184" s="478" t="s">
        <v>1016</v>
      </c>
      <c r="C184" s="154"/>
      <c r="D184" s="155"/>
      <c r="E184" s="154"/>
      <c r="F184" s="155"/>
      <c r="G184" s="50"/>
    </row>
    <row r="185" spans="1:7" ht="17.649999999999999" customHeight="1">
      <c r="A185" s="1111"/>
      <c r="B185" s="476" t="s">
        <v>1027</v>
      </c>
      <c r="C185" s="158" t="s">
        <v>1006</v>
      </c>
      <c r="D185" s="157" t="s">
        <v>1006</v>
      </c>
      <c r="E185" s="158" t="s">
        <v>1006</v>
      </c>
      <c r="F185" s="157" t="s">
        <v>1006</v>
      </c>
      <c r="G185" s="50"/>
    </row>
    <row r="186" spans="1:7" ht="17.649999999999999" customHeight="1">
      <c r="A186" s="1111"/>
      <c r="B186" s="511" t="s">
        <v>1017</v>
      </c>
      <c r="C186" s="496" t="s">
        <v>1006</v>
      </c>
      <c r="D186" s="162" t="s">
        <v>1006</v>
      </c>
      <c r="E186" s="497" t="s">
        <v>1006</v>
      </c>
      <c r="F186" s="162" t="s">
        <v>1006</v>
      </c>
      <c r="G186" s="50"/>
    </row>
    <row r="187" spans="1:7" ht="17.649999999999999" customHeight="1">
      <c r="A187" s="1111"/>
      <c r="B187" s="512" t="s">
        <v>1018</v>
      </c>
      <c r="C187" s="158" t="s">
        <v>1006</v>
      </c>
      <c r="D187" s="157" t="s">
        <v>1006</v>
      </c>
      <c r="E187" s="158" t="s">
        <v>1006</v>
      </c>
      <c r="F187" s="157" t="s">
        <v>1006</v>
      </c>
      <c r="G187" s="50"/>
    </row>
    <row r="188" spans="1:7" ht="17.649999999999999" customHeight="1">
      <c r="A188" s="1111"/>
      <c r="B188" s="513" t="s">
        <v>1019</v>
      </c>
      <c r="C188" s="496" t="s">
        <v>1006</v>
      </c>
      <c r="D188" s="162" t="s">
        <v>1006</v>
      </c>
      <c r="E188" s="497" t="s">
        <v>1006</v>
      </c>
      <c r="F188" s="162" t="s">
        <v>1006</v>
      </c>
      <c r="G188" s="50"/>
    </row>
    <row r="189" spans="1:7" ht="17.649999999999999" customHeight="1">
      <c r="A189" s="1111"/>
      <c r="B189" s="266"/>
      <c r="C189" s="158"/>
      <c r="D189" s="157"/>
      <c r="E189" s="158"/>
      <c r="F189" s="157"/>
      <c r="G189" s="50"/>
    </row>
    <row r="190" spans="1:7" ht="17.649999999999999" customHeight="1">
      <c r="A190" s="1111"/>
      <c r="B190" s="514" t="s">
        <v>1020</v>
      </c>
      <c r="C190" s="152"/>
      <c r="D190" s="153"/>
      <c r="E190" s="152"/>
      <c r="F190" s="153"/>
      <c r="G190" s="50"/>
    </row>
    <row r="191" spans="1:7" ht="17.649999999999999" customHeight="1">
      <c r="A191" s="1111"/>
      <c r="B191" s="509" t="s">
        <v>1021</v>
      </c>
      <c r="C191" s="158" t="s">
        <v>1006</v>
      </c>
      <c r="D191" s="157" t="s">
        <v>1006</v>
      </c>
      <c r="E191" s="158" t="s">
        <v>1006</v>
      </c>
      <c r="F191" s="157" t="s">
        <v>1006</v>
      </c>
      <c r="G191" s="50"/>
    </row>
    <row r="192" spans="1:7" ht="17.649999999999999" customHeight="1">
      <c r="A192" s="1111"/>
      <c r="B192" s="510" t="s">
        <v>1022</v>
      </c>
      <c r="C192" s="496" t="s">
        <v>1006</v>
      </c>
      <c r="D192" s="162" t="s">
        <v>1006</v>
      </c>
      <c r="E192" s="497" t="s">
        <v>1006</v>
      </c>
      <c r="F192" s="162" t="s">
        <v>1006</v>
      </c>
      <c r="G192" s="50"/>
    </row>
    <row r="193" spans="1:7" ht="17.649999999999999" customHeight="1">
      <c r="A193" s="1111"/>
      <c r="B193" s="515" t="s">
        <v>1023</v>
      </c>
      <c r="C193" s="158" t="s">
        <v>1006</v>
      </c>
      <c r="D193" s="157" t="s">
        <v>1006</v>
      </c>
      <c r="E193" s="158" t="s">
        <v>1006</v>
      </c>
      <c r="F193" s="157" t="s">
        <v>1006</v>
      </c>
      <c r="G193" s="50"/>
    </row>
    <row r="194" spans="1:7" ht="17.649999999999999" customHeight="1">
      <c r="A194" s="1112" t="s">
        <v>1013</v>
      </c>
      <c r="B194" s="515"/>
      <c r="C194" s="496"/>
      <c r="D194" s="162"/>
      <c r="E194" s="497"/>
      <c r="F194" s="162"/>
      <c r="G194" s="50"/>
    </row>
    <row r="195" spans="1:7" ht="17.649999999999999" customHeight="1">
      <c r="A195" s="1112"/>
      <c r="B195" s="516" t="s">
        <v>1025</v>
      </c>
      <c r="C195" s="157"/>
      <c r="D195" s="157" t="s">
        <v>1026</v>
      </c>
      <c r="E195" s="498" t="s">
        <v>1026</v>
      </c>
      <c r="F195" s="157" t="s">
        <v>1026</v>
      </c>
      <c r="G195" s="50"/>
    </row>
    <row r="196" spans="1:7" ht="17.649999999999999" customHeight="1">
      <c r="A196" s="1112"/>
      <c r="B196" s="508" t="s">
        <v>1027</v>
      </c>
      <c r="C196" s="158" t="s">
        <v>1006</v>
      </c>
      <c r="D196" s="157" t="s">
        <v>1006</v>
      </c>
      <c r="E196" s="158" t="s">
        <v>1006</v>
      </c>
      <c r="F196" s="157" t="s">
        <v>1006</v>
      </c>
      <c r="G196" s="50"/>
    </row>
    <row r="197" spans="1:7" ht="17.649999999999999" customHeight="1">
      <c r="A197" s="1112"/>
      <c r="B197" s="515" t="s">
        <v>1028</v>
      </c>
      <c r="C197" s="496" t="s">
        <v>1006</v>
      </c>
      <c r="D197" s="162" t="s">
        <v>1006</v>
      </c>
      <c r="E197" s="497" t="s">
        <v>1006</v>
      </c>
      <c r="F197" s="162" t="s">
        <v>1006</v>
      </c>
      <c r="G197" s="50"/>
    </row>
    <row r="198" spans="1:7" ht="17.649999999999999" customHeight="1">
      <c r="A198" s="1112"/>
      <c r="B198" s="266"/>
      <c r="C198" s="152"/>
      <c r="D198" s="153"/>
      <c r="E198" s="152"/>
      <c r="F198" s="153"/>
      <c r="G198" s="50"/>
    </row>
    <row r="199" spans="1:7" ht="17.649999999999999" customHeight="1">
      <c r="A199" s="1112"/>
      <c r="B199" s="517" t="str">
        <f>B157</f>
        <v>FLOOR; FCC/FCW/LAM/FCS/FCV/FCT</v>
      </c>
      <c r="C199" s="151"/>
      <c r="D199" s="152"/>
      <c r="E199" s="151"/>
      <c r="F199" s="152"/>
      <c r="G199" s="50"/>
    </row>
    <row r="200" spans="1:7" ht="17.649999999999999" customHeight="1">
      <c r="A200" s="1112"/>
      <c r="B200" s="508" t="s">
        <v>1031</v>
      </c>
      <c r="C200" s="157" t="s">
        <v>1006</v>
      </c>
      <c r="D200" s="156" t="s">
        <v>1006</v>
      </c>
      <c r="E200" s="157" t="s">
        <v>1006</v>
      </c>
      <c r="F200" s="156" t="s">
        <v>1006</v>
      </c>
      <c r="G200" s="50"/>
    </row>
    <row r="201" spans="1:7" ht="17.649999999999999" customHeight="1">
      <c r="A201" s="1112"/>
      <c r="B201" s="518" t="s">
        <v>1032</v>
      </c>
      <c r="C201" s="159"/>
      <c r="D201" s="160"/>
      <c r="E201" s="161"/>
      <c r="F201" s="160"/>
      <c r="G201" s="50"/>
    </row>
    <row r="202" spans="1:7" ht="17.649999999999999" customHeight="1">
      <c r="A202" s="1112"/>
      <c r="B202" s="508" t="s">
        <v>1031</v>
      </c>
      <c r="C202" s="157" t="s">
        <v>1006</v>
      </c>
      <c r="D202" s="156" t="s">
        <v>1006</v>
      </c>
      <c r="E202" s="157" t="s">
        <v>1006</v>
      </c>
      <c r="F202" s="156" t="s">
        <v>1006</v>
      </c>
      <c r="G202" s="50"/>
    </row>
    <row r="203" spans="1:7" ht="17.649999999999999" customHeight="1">
      <c r="A203" s="1112"/>
      <c r="B203" s="476"/>
      <c r="C203" s="156"/>
      <c r="D203" s="157"/>
      <c r="E203" s="156"/>
      <c r="F203" s="157"/>
      <c r="G203" s="50"/>
    </row>
    <row r="204" spans="1:7" ht="17.649999999999999" customHeight="1">
      <c r="A204" s="1113" t="s">
        <v>1035</v>
      </c>
      <c r="B204" s="519" t="s">
        <v>1033</v>
      </c>
      <c r="C204" s="157" t="s">
        <v>1006</v>
      </c>
      <c r="D204" s="156" t="s">
        <v>1006</v>
      </c>
      <c r="E204" s="157" t="s">
        <v>1006</v>
      </c>
      <c r="F204" s="156" t="s">
        <v>1006</v>
      </c>
      <c r="G204" s="50"/>
    </row>
    <row r="205" spans="1:7" ht="17.649999999999999" customHeight="1">
      <c r="A205" s="1113"/>
      <c r="B205" s="508" t="s">
        <v>1031</v>
      </c>
      <c r="C205" s="158" t="s">
        <v>1006</v>
      </c>
      <c r="D205" s="157" t="s">
        <v>1006</v>
      </c>
      <c r="E205" s="158" t="s">
        <v>1006</v>
      </c>
      <c r="F205" s="157" t="s">
        <v>1006</v>
      </c>
      <c r="G205" s="50"/>
    </row>
    <row r="206" spans="1:7" ht="17.649999999999999" customHeight="1">
      <c r="A206" s="1113"/>
      <c r="B206" s="520" t="s">
        <v>1034</v>
      </c>
      <c r="C206" s="496"/>
      <c r="D206" s="162"/>
      <c r="E206" s="497"/>
      <c r="F206" s="162"/>
      <c r="G206" s="50"/>
    </row>
    <row r="207" spans="1:7" ht="17.649999999999999" customHeight="1">
      <c r="A207" s="1113"/>
      <c r="B207" s="479"/>
      <c r="C207" s="158"/>
      <c r="D207" s="157"/>
      <c r="E207" s="158"/>
      <c r="F207" s="157"/>
      <c r="G207" s="50"/>
    </row>
    <row r="208" spans="1:7" ht="17.649999999999999" customHeight="1">
      <c r="A208" s="1114" t="s">
        <v>1024</v>
      </c>
      <c r="B208" s="475" t="str">
        <f>B1</f>
        <v>Interior Inspection Work SCOPE V2</v>
      </c>
      <c r="C208" s="264" t="str">
        <f>+'jobinfo(2)'!$C$1</f>
        <v>Hatten, Nedra</v>
      </c>
      <c r="D208" s="1115" t="str">
        <f>+'jobinfo(2)'!$C$2</f>
        <v>628 Quilliams Road</v>
      </c>
      <c r="E208" s="1115"/>
      <c r="G208" s="50"/>
    </row>
    <row r="209" spans="1:7" ht="17.649999999999999" customHeight="1">
      <c r="A209" s="1114"/>
      <c r="B209" s="475" t="str">
        <f>B2</f>
        <v xml:space="preserve">                                    ROOM =</v>
      </c>
      <c r="C209" s="411">
        <f>+'jobinfo(2)'!C73</f>
        <v>0</v>
      </c>
      <c r="D209" s="391">
        <f>+'jobinfo(2)'!C74</f>
        <v>0</v>
      </c>
      <c r="E209" s="392">
        <f>+'jobinfo(2)'!C75</f>
        <v>0</v>
      </c>
      <c r="F209" s="392">
        <f>+'jobinfo(2)'!C76</f>
        <v>0</v>
      </c>
      <c r="G209" s="50"/>
    </row>
    <row r="210" spans="1:7" ht="17.649999999999999" customHeight="1">
      <c r="A210" s="1109" t="s">
        <v>1029</v>
      </c>
      <c r="B210" s="507" t="s">
        <v>999</v>
      </c>
      <c r="C210" s="521">
        <f>+'jobinfo(2)'!A73</f>
        <v>21</v>
      </c>
      <c r="D210" s="521">
        <f>+'jobinfo(2)'!A74</f>
        <v>22</v>
      </c>
      <c r="E210" s="521">
        <f>+'jobinfo(2)'!A75</f>
        <v>23</v>
      </c>
      <c r="F210" s="521">
        <f>+'jobinfo(2)'!A76</f>
        <v>24</v>
      </c>
      <c r="G210" s="50"/>
    </row>
    <row r="211" spans="1:7" ht="17.649999999999999" customHeight="1">
      <c r="A211" s="1109"/>
      <c r="B211" s="508" t="s">
        <v>1000</v>
      </c>
      <c r="C211" s="159"/>
      <c r="D211" s="160"/>
      <c r="E211" s="161"/>
      <c r="F211" s="160"/>
      <c r="G211" s="50"/>
    </row>
    <row r="212" spans="1:7" ht="17.649999999999999" customHeight="1">
      <c r="A212" s="1109"/>
      <c r="B212" s="508" t="s">
        <v>1001</v>
      </c>
      <c r="C212" s="434"/>
      <c r="D212" s="435"/>
      <c r="E212" s="436"/>
      <c r="F212" s="435"/>
      <c r="G212" s="50"/>
    </row>
    <row r="213" spans="1:7" ht="17.649999999999999" customHeight="1">
      <c r="A213" s="1109"/>
      <c r="B213" s="509" t="s">
        <v>1002</v>
      </c>
      <c r="C213" s="437"/>
      <c r="D213" s="436"/>
      <c r="E213" s="435"/>
      <c r="F213" s="436"/>
      <c r="G213" s="50"/>
    </row>
    <row r="214" spans="1:7" ht="17.649999999999999" customHeight="1">
      <c r="A214" s="1110" t="s">
        <v>10</v>
      </c>
      <c r="B214" s="508" t="s">
        <v>1037</v>
      </c>
      <c r="C214" s="522" t="s">
        <v>1006</v>
      </c>
      <c r="D214" s="439" t="s">
        <v>1006</v>
      </c>
      <c r="E214" s="523" t="s">
        <v>1006</v>
      </c>
      <c r="F214" s="439" t="s">
        <v>1006</v>
      </c>
      <c r="G214" s="50"/>
    </row>
    <row r="215" spans="1:7" ht="17.649999999999999" customHeight="1">
      <c r="A215" s="1110"/>
      <c r="B215" s="510" t="s">
        <v>1004</v>
      </c>
      <c r="C215" s="449" t="s">
        <v>1006</v>
      </c>
      <c r="D215" s="440" t="s">
        <v>1006</v>
      </c>
      <c r="E215" s="439" t="s">
        <v>1006</v>
      </c>
      <c r="F215" s="440" t="s">
        <v>1006</v>
      </c>
      <c r="G215" s="50"/>
    </row>
    <row r="216" spans="1:7" ht="17.649999999999999" customHeight="1">
      <c r="A216" s="1110"/>
      <c r="B216" s="477" t="s">
        <v>1038</v>
      </c>
      <c r="C216" s="434"/>
      <c r="D216" s="435"/>
      <c r="E216" s="436"/>
      <c r="F216" s="435"/>
      <c r="G216" s="50"/>
    </row>
    <row r="217" spans="1:7" ht="17.649999999999999" customHeight="1">
      <c r="B217" s="509" t="s">
        <v>1008</v>
      </c>
      <c r="C217" s="449" t="s">
        <v>1006</v>
      </c>
      <c r="D217" s="440" t="s">
        <v>1006</v>
      </c>
      <c r="E217" s="439" t="s">
        <v>1006</v>
      </c>
      <c r="F217" s="440" t="s">
        <v>1006</v>
      </c>
      <c r="G217" s="50"/>
    </row>
    <row r="218" spans="1:7" ht="17.649999999999999" customHeight="1">
      <c r="B218" s="511" t="s">
        <v>1009</v>
      </c>
      <c r="C218" s="522" t="s">
        <v>1006</v>
      </c>
      <c r="D218" s="439" t="s">
        <v>1006</v>
      </c>
      <c r="E218" s="523" t="s">
        <v>1006</v>
      </c>
      <c r="F218" s="439" t="s">
        <v>1006</v>
      </c>
      <c r="G218" s="50"/>
    </row>
    <row r="219" spans="1:7" ht="17.649999999999999" customHeight="1">
      <c r="A219" s="1111" t="s">
        <v>998</v>
      </c>
      <c r="B219" s="163" t="s">
        <v>1010</v>
      </c>
      <c r="C219" s="441" t="s">
        <v>1006</v>
      </c>
      <c r="D219" s="440" t="s">
        <v>1006</v>
      </c>
      <c r="E219" s="442" t="s">
        <v>1006</v>
      </c>
      <c r="F219" s="440" t="s">
        <v>1006</v>
      </c>
      <c r="G219" s="50"/>
    </row>
    <row r="220" spans="1:7" ht="17.649999999999999" customHeight="1">
      <c r="A220" s="1111"/>
      <c r="B220" s="180" t="s">
        <v>1011</v>
      </c>
      <c r="C220" s="522" t="s">
        <v>1006</v>
      </c>
      <c r="D220" s="439" t="s">
        <v>1006</v>
      </c>
      <c r="E220" s="523" t="s">
        <v>1006</v>
      </c>
      <c r="F220" s="439" t="s">
        <v>1006</v>
      </c>
      <c r="G220" s="50"/>
    </row>
    <row r="221" spans="1:7" ht="17.649999999999999" customHeight="1">
      <c r="A221" s="1111"/>
      <c r="B221" s="479"/>
      <c r="C221" s="441"/>
      <c r="D221" s="440"/>
      <c r="E221" s="442"/>
      <c r="F221" s="440"/>
      <c r="G221" s="50"/>
    </row>
    <row r="222" spans="1:7" ht="17.649999999999999" customHeight="1">
      <c r="A222" s="1111"/>
      <c r="B222" s="480" t="s">
        <v>1039</v>
      </c>
      <c r="C222" s="434"/>
      <c r="D222" s="435"/>
      <c r="E222" s="436"/>
      <c r="F222" s="435"/>
      <c r="G222" s="50"/>
    </row>
    <row r="223" spans="1:7" ht="17.649999999999999" customHeight="1">
      <c r="A223" s="1111"/>
      <c r="B223" s="485" t="e">
        <f>B139</f>
        <v>#REF!</v>
      </c>
      <c r="C223" s="437"/>
      <c r="D223" s="436"/>
      <c r="E223" s="435"/>
      <c r="F223" s="436"/>
      <c r="G223" s="50"/>
    </row>
    <row r="224" spans="1:7" ht="17.649999999999999" customHeight="1">
      <c r="A224" s="1111"/>
      <c r="B224" s="267" t="s">
        <v>1002</v>
      </c>
      <c r="C224" s="434"/>
      <c r="D224" s="435"/>
      <c r="E224" s="436"/>
      <c r="F224" s="435"/>
      <c r="G224" s="50"/>
    </row>
    <row r="225" spans="1:7" ht="17.649999999999999" customHeight="1">
      <c r="A225" s="1111"/>
      <c r="B225" s="476" t="s">
        <v>1037</v>
      </c>
      <c r="C225" s="441" t="s">
        <v>1006</v>
      </c>
      <c r="D225" s="440" t="s">
        <v>1006</v>
      </c>
      <c r="E225" s="442" t="s">
        <v>1006</v>
      </c>
      <c r="F225" s="440" t="s">
        <v>1006</v>
      </c>
      <c r="G225" s="50"/>
    </row>
    <row r="226" spans="1:7" ht="17.649999999999999" customHeight="1">
      <c r="A226" s="1111"/>
      <c r="B226" s="478" t="s">
        <v>1016</v>
      </c>
      <c r="C226" s="446"/>
      <c r="D226" s="447"/>
      <c r="E226" s="448"/>
      <c r="F226" s="447"/>
      <c r="G226" s="50"/>
    </row>
    <row r="227" spans="1:7" ht="17.649999999999999" customHeight="1">
      <c r="A227" s="1111"/>
      <c r="B227" s="476" t="s">
        <v>1027</v>
      </c>
      <c r="C227" s="441" t="s">
        <v>1006</v>
      </c>
      <c r="D227" s="440" t="s">
        <v>1006</v>
      </c>
      <c r="E227" s="442" t="s">
        <v>1006</v>
      </c>
      <c r="F227" s="440" t="s">
        <v>1006</v>
      </c>
      <c r="G227" s="50"/>
    </row>
    <row r="228" spans="1:7" ht="17.649999999999999" customHeight="1">
      <c r="A228" s="1111"/>
      <c r="B228" s="511" t="s">
        <v>1017</v>
      </c>
      <c r="C228" s="522" t="s">
        <v>1006</v>
      </c>
      <c r="D228" s="439" t="s">
        <v>1006</v>
      </c>
      <c r="E228" s="523" t="s">
        <v>1006</v>
      </c>
      <c r="F228" s="439" t="s">
        <v>1006</v>
      </c>
      <c r="G228" s="50"/>
    </row>
    <row r="229" spans="1:7" ht="17.649999999999999" customHeight="1">
      <c r="A229" s="1112" t="s">
        <v>1013</v>
      </c>
      <c r="B229" s="512" t="s">
        <v>1018</v>
      </c>
      <c r="C229" s="441" t="s">
        <v>1006</v>
      </c>
      <c r="D229" s="440" t="s">
        <v>1006</v>
      </c>
      <c r="E229" s="442" t="s">
        <v>1006</v>
      </c>
      <c r="F229" s="440" t="s">
        <v>1006</v>
      </c>
      <c r="G229" s="50"/>
    </row>
    <row r="230" spans="1:7" ht="17.649999999999999" customHeight="1">
      <c r="A230" s="1112"/>
      <c r="B230" s="513" t="s">
        <v>1019</v>
      </c>
      <c r="C230" s="522" t="s">
        <v>1006</v>
      </c>
      <c r="D230" s="439" t="s">
        <v>1006</v>
      </c>
      <c r="E230" s="523" t="s">
        <v>1006</v>
      </c>
      <c r="F230" s="439" t="s">
        <v>1006</v>
      </c>
      <c r="G230" s="50"/>
    </row>
    <row r="231" spans="1:7" ht="17.649999999999999" customHeight="1">
      <c r="A231" s="1112"/>
      <c r="B231" s="266"/>
      <c r="C231" s="441"/>
      <c r="D231" s="440"/>
      <c r="E231" s="442"/>
      <c r="F231" s="440"/>
      <c r="G231" s="50"/>
    </row>
    <row r="232" spans="1:7" ht="17.649999999999999" customHeight="1">
      <c r="A232" s="1112"/>
      <c r="B232" s="514" t="s">
        <v>1020</v>
      </c>
      <c r="C232" s="434"/>
      <c r="D232" s="435"/>
      <c r="E232" s="436"/>
      <c r="F232" s="435"/>
      <c r="G232" s="50"/>
    </row>
    <row r="233" spans="1:7" ht="17.649999999999999" customHeight="1">
      <c r="A233" s="1112"/>
      <c r="B233" s="509" t="s">
        <v>1021</v>
      </c>
      <c r="C233" s="441" t="s">
        <v>1006</v>
      </c>
      <c r="D233" s="440" t="s">
        <v>1006</v>
      </c>
      <c r="E233" s="442" t="s">
        <v>1006</v>
      </c>
      <c r="F233" s="440" t="s">
        <v>1006</v>
      </c>
      <c r="G233" s="50"/>
    </row>
    <row r="234" spans="1:7" ht="17.649999999999999" customHeight="1">
      <c r="A234" s="1112"/>
      <c r="B234" s="510" t="s">
        <v>1022</v>
      </c>
      <c r="C234" s="522" t="s">
        <v>1006</v>
      </c>
      <c r="D234" s="439" t="s">
        <v>1006</v>
      </c>
      <c r="E234" s="523" t="s">
        <v>1006</v>
      </c>
      <c r="F234" s="439" t="s">
        <v>1006</v>
      </c>
    </row>
    <row r="235" spans="1:7" ht="17.649999999999999" customHeight="1">
      <c r="A235" s="1112"/>
      <c r="B235" s="515" t="s">
        <v>1023</v>
      </c>
      <c r="C235" s="441" t="s">
        <v>1006</v>
      </c>
      <c r="D235" s="440" t="s">
        <v>1006</v>
      </c>
      <c r="E235" s="442" t="s">
        <v>1006</v>
      </c>
      <c r="F235" s="440" t="s">
        <v>1006</v>
      </c>
    </row>
    <row r="236" spans="1:7" ht="17.649999999999999" customHeight="1">
      <c r="A236" s="1112"/>
      <c r="B236" s="515"/>
      <c r="C236" s="522"/>
      <c r="D236" s="439"/>
      <c r="E236" s="523"/>
      <c r="F236" s="439"/>
    </row>
    <row r="237" spans="1:7" ht="17.649999999999999" customHeight="1">
      <c r="A237" s="1112"/>
      <c r="B237" s="516" t="s">
        <v>1025</v>
      </c>
      <c r="C237" s="438"/>
      <c r="D237" s="440" t="s">
        <v>1026</v>
      </c>
      <c r="E237" s="524" t="s">
        <v>1026</v>
      </c>
      <c r="F237" s="440" t="s">
        <v>1026</v>
      </c>
    </row>
    <row r="238" spans="1:7" ht="17.649999999999999" customHeight="1">
      <c r="A238" s="1112"/>
      <c r="B238" s="508" t="s">
        <v>1027</v>
      </c>
      <c r="C238" s="441" t="s">
        <v>1006</v>
      </c>
      <c r="D238" s="440" t="s">
        <v>1006</v>
      </c>
      <c r="E238" s="442" t="s">
        <v>1006</v>
      </c>
      <c r="F238" s="440" t="s">
        <v>1006</v>
      </c>
    </row>
    <row r="239" spans="1:7" ht="17.649999999999999" customHeight="1">
      <c r="A239" s="1113" t="s">
        <v>1035</v>
      </c>
      <c r="B239" s="515" t="s">
        <v>1028</v>
      </c>
      <c r="C239" s="522" t="s">
        <v>1006</v>
      </c>
      <c r="D239" s="439" t="s">
        <v>1006</v>
      </c>
      <c r="E239" s="523" t="s">
        <v>1006</v>
      </c>
      <c r="F239" s="439" t="s">
        <v>1006</v>
      </c>
    </row>
    <row r="240" spans="1:7" ht="17.649999999999999" customHeight="1">
      <c r="A240" s="1113"/>
      <c r="B240" s="266"/>
      <c r="C240" s="434"/>
      <c r="D240" s="435"/>
      <c r="E240" s="436"/>
      <c r="F240" s="435"/>
    </row>
    <row r="241" spans="1:6" ht="17.649999999999999" customHeight="1">
      <c r="A241" s="1113"/>
      <c r="B241" s="517" t="str">
        <f>B199</f>
        <v>FLOOR; FCC/FCW/LAM/FCS/FCV/FCT</v>
      </c>
      <c r="C241" s="437"/>
      <c r="D241" s="436"/>
      <c r="E241" s="435"/>
      <c r="F241" s="436"/>
    </row>
    <row r="242" spans="1:6" ht="17.649999999999999" customHeight="1">
      <c r="A242" s="1113"/>
      <c r="B242" s="508" t="s">
        <v>1031</v>
      </c>
      <c r="C242" s="438" t="s">
        <v>1006</v>
      </c>
      <c r="D242" s="439" t="s">
        <v>1006</v>
      </c>
      <c r="E242" s="440" t="s">
        <v>1006</v>
      </c>
      <c r="F242" s="439" t="s">
        <v>1006</v>
      </c>
    </row>
    <row r="243" spans="1:6" ht="17.649999999999999" customHeight="1">
      <c r="A243" s="1114" t="s">
        <v>1024</v>
      </c>
      <c r="B243" s="518" t="s">
        <v>1032</v>
      </c>
      <c r="C243" s="437"/>
      <c r="D243" s="436"/>
      <c r="E243" s="435"/>
      <c r="F243" s="436"/>
    </row>
    <row r="244" spans="1:6" ht="17.649999999999999" customHeight="1">
      <c r="A244" s="1114"/>
      <c r="B244" s="508" t="s">
        <v>1031</v>
      </c>
      <c r="C244" s="438" t="s">
        <v>1006</v>
      </c>
      <c r="D244" s="439" t="s">
        <v>1006</v>
      </c>
      <c r="E244" s="440" t="s">
        <v>1006</v>
      </c>
      <c r="F244" s="439" t="s">
        <v>1006</v>
      </c>
    </row>
    <row r="245" spans="1:6" ht="17.649999999999999" customHeight="1">
      <c r="A245" s="1109" t="s">
        <v>1029</v>
      </c>
      <c r="B245" s="476"/>
      <c r="C245" s="449"/>
      <c r="D245" s="440"/>
      <c r="E245" s="439"/>
      <c r="F245" s="440"/>
    </row>
    <row r="246" spans="1:6" ht="17.649999999999999" customHeight="1">
      <c r="A246" s="1109"/>
      <c r="B246" s="519" t="s">
        <v>1033</v>
      </c>
      <c r="C246" s="438" t="s">
        <v>1006</v>
      </c>
      <c r="D246" s="439" t="s">
        <v>1006</v>
      </c>
      <c r="E246" s="440" t="s">
        <v>1006</v>
      </c>
      <c r="F246" s="439" t="s">
        <v>1006</v>
      </c>
    </row>
    <row r="247" spans="1:6" ht="17.649999999999999" customHeight="1">
      <c r="A247" s="1109"/>
      <c r="B247" s="508" t="s">
        <v>1031</v>
      </c>
      <c r="C247" s="441" t="s">
        <v>1006</v>
      </c>
      <c r="D247" s="440" t="s">
        <v>1006</v>
      </c>
      <c r="E247" s="442" t="s">
        <v>1006</v>
      </c>
      <c r="F247" s="440" t="s">
        <v>1006</v>
      </c>
    </row>
    <row r="248" spans="1:6" ht="17.649999999999999" customHeight="1">
      <c r="A248" s="1109"/>
      <c r="B248" s="520" t="s">
        <v>1034</v>
      </c>
      <c r="C248" s="522"/>
      <c r="D248" s="439"/>
      <c r="E248" s="523"/>
      <c r="F248" s="439"/>
    </row>
    <row r="249" spans="1:6" ht="17.649999999999999" customHeight="1">
      <c r="A249" s="1110" t="s">
        <v>10</v>
      </c>
      <c r="B249" s="479"/>
      <c r="C249" s="441"/>
      <c r="D249" s="440"/>
      <c r="E249" s="442"/>
      <c r="F249" s="440"/>
    </row>
    <row r="250" spans="1:6" ht="17.649999999999999" customHeight="1">
      <c r="A250" s="1110"/>
      <c r="B250" s="475" t="str">
        <f>B1</f>
        <v>Interior Inspection Work SCOPE V2</v>
      </c>
      <c r="C250" s="264" t="str">
        <f>+'jobinfo(2)'!$C$1</f>
        <v>Hatten, Nedra</v>
      </c>
      <c r="D250" s="1115" t="str">
        <f>+'jobinfo(2)'!$C$2</f>
        <v>628 Quilliams Road</v>
      </c>
      <c r="E250" s="1115"/>
    </row>
    <row r="251" spans="1:6" ht="17.649999999999999" customHeight="1">
      <c r="A251" s="1110"/>
      <c r="B251" s="468" t="str">
        <f>B2</f>
        <v xml:space="preserve">                                    ROOM =</v>
      </c>
      <c r="C251" s="411">
        <f>+'jobinfo(2)'!C77</f>
        <v>0</v>
      </c>
      <c r="D251" s="391">
        <f>+'jobinfo(2)'!C78</f>
        <v>0</v>
      </c>
      <c r="E251" s="392">
        <f>+'jobinfo(2)'!C79</f>
        <v>0</v>
      </c>
      <c r="F251" s="392">
        <f>+'jobinfo(2)'!C80</f>
        <v>0</v>
      </c>
    </row>
    <row r="252" spans="1:6" ht="17.649999999999999" customHeight="1">
      <c r="A252" s="253"/>
      <c r="B252" s="507" t="s">
        <v>999</v>
      </c>
      <c r="C252" s="521">
        <f>+'jobinfo(2)'!A77</f>
        <v>25</v>
      </c>
      <c r="D252" s="521">
        <f>+'jobinfo(2)'!A78</f>
        <v>26</v>
      </c>
      <c r="E252" s="521">
        <f>+'jobinfo(2)'!A79</f>
        <v>27</v>
      </c>
      <c r="F252" s="521">
        <f>+'jobinfo(2)'!A80</f>
        <v>28</v>
      </c>
    </row>
    <row r="253" spans="1:6" ht="17.649999999999999" customHeight="1">
      <c r="B253" s="508" t="s">
        <v>1000</v>
      </c>
      <c r="C253" s="159"/>
      <c r="D253" s="160"/>
      <c r="E253" s="161"/>
      <c r="F253" s="160"/>
    </row>
    <row r="254" spans="1:6" ht="17.649999999999999" customHeight="1">
      <c r="B254" s="508" t="s">
        <v>1001</v>
      </c>
      <c r="C254" s="434"/>
      <c r="D254" s="435"/>
      <c r="E254" s="436"/>
      <c r="F254" s="435"/>
    </row>
    <row r="255" spans="1:6" ht="17.649999999999999" customHeight="1">
      <c r="A255" s="1111" t="s">
        <v>998</v>
      </c>
      <c r="B255" s="509" t="s">
        <v>1002</v>
      </c>
      <c r="C255" s="437"/>
      <c r="D255" s="436"/>
      <c r="E255" s="435"/>
      <c r="F255" s="436"/>
    </row>
    <row r="256" spans="1:6" ht="17.649999999999999" customHeight="1">
      <c r="A256" s="1111"/>
      <c r="B256" s="508" t="s">
        <v>1037</v>
      </c>
      <c r="C256" s="522" t="s">
        <v>1006</v>
      </c>
      <c r="D256" s="439" t="s">
        <v>1006</v>
      </c>
      <c r="E256" s="523" t="s">
        <v>1006</v>
      </c>
      <c r="F256" s="439" t="s">
        <v>1006</v>
      </c>
    </row>
    <row r="257" spans="1:6" ht="17.649999999999999" customHeight="1">
      <c r="A257" s="1111"/>
      <c r="B257" s="510" t="s">
        <v>1004</v>
      </c>
      <c r="C257" s="449" t="s">
        <v>1006</v>
      </c>
      <c r="D257" s="440" t="s">
        <v>1006</v>
      </c>
      <c r="E257" s="439" t="s">
        <v>1006</v>
      </c>
      <c r="F257" s="440" t="s">
        <v>1006</v>
      </c>
    </row>
    <row r="258" spans="1:6" ht="17.649999999999999" customHeight="1">
      <c r="A258" s="1111"/>
      <c r="B258" s="477" t="s">
        <v>1038</v>
      </c>
      <c r="C258" s="434"/>
      <c r="D258" s="435"/>
      <c r="E258" s="436"/>
      <c r="F258" s="435"/>
    </row>
    <row r="259" spans="1:6" ht="17.649999999999999" customHeight="1">
      <c r="A259" s="1111"/>
      <c r="B259" s="509" t="s">
        <v>1008</v>
      </c>
      <c r="C259" s="449" t="s">
        <v>1006</v>
      </c>
      <c r="D259" s="440" t="s">
        <v>1006</v>
      </c>
      <c r="E259" s="439" t="s">
        <v>1006</v>
      </c>
      <c r="F259" s="440" t="s">
        <v>1006</v>
      </c>
    </row>
    <row r="260" spans="1:6" ht="17.649999999999999" customHeight="1">
      <c r="A260" s="1111"/>
      <c r="B260" s="511" t="s">
        <v>1009</v>
      </c>
      <c r="C260" s="522" t="s">
        <v>1006</v>
      </c>
      <c r="D260" s="439" t="s">
        <v>1006</v>
      </c>
      <c r="E260" s="523" t="s">
        <v>1006</v>
      </c>
      <c r="F260" s="439" t="s">
        <v>1006</v>
      </c>
    </row>
    <row r="261" spans="1:6" ht="17.649999999999999" customHeight="1">
      <c r="A261" s="1111"/>
      <c r="B261" s="163" t="s">
        <v>1010</v>
      </c>
      <c r="C261" s="441" t="s">
        <v>1006</v>
      </c>
      <c r="D261" s="440" t="s">
        <v>1006</v>
      </c>
      <c r="E261" s="442" t="s">
        <v>1006</v>
      </c>
      <c r="F261" s="440" t="s">
        <v>1006</v>
      </c>
    </row>
    <row r="262" spans="1:6" ht="17.649999999999999" customHeight="1">
      <c r="A262" s="1111"/>
      <c r="B262" s="180" t="s">
        <v>1011</v>
      </c>
      <c r="C262" s="522" t="s">
        <v>1006</v>
      </c>
      <c r="D262" s="439" t="s">
        <v>1006</v>
      </c>
      <c r="E262" s="523" t="s">
        <v>1006</v>
      </c>
      <c r="F262" s="439" t="s">
        <v>1006</v>
      </c>
    </row>
    <row r="263" spans="1:6" ht="17.649999999999999" customHeight="1">
      <c r="A263" s="1111"/>
      <c r="B263" s="479"/>
      <c r="C263" s="441"/>
      <c r="D263" s="440"/>
      <c r="E263" s="442"/>
      <c r="F263" s="440"/>
    </row>
    <row r="264" spans="1:6" ht="17.649999999999999" customHeight="1">
      <c r="A264" s="1111"/>
      <c r="B264" s="480" t="s">
        <v>1039</v>
      </c>
      <c r="C264" s="434"/>
      <c r="D264" s="435"/>
      <c r="E264" s="436"/>
      <c r="F264" s="435"/>
    </row>
    <row r="265" spans="1:6" ht="17.649999999999999" customHeight="1">
      <c r="A265" s="1112" t="s">
        <v>1013</v>
      </c>
      <c r="B265" s="485" t="str">
        <f>B181</f>
        <v>DRY / PLA / TEX/ WPR / MIR / PNL / T&amp;G / TIL</v>
      </c>
      <c r="C265" s="437"/>
      <c r="D265" s="436"/>
      <c r="E265" s="435"/>
      <c r="F265" s="436"/>
    </row>
    <row r="266" spans="1:6" ht="17.649999999999999" customHeight="1">
      <c r="A266" s="1112"/>
      <c r="B266" s="267" t="s">
        <v>1002</v>
      </c>
      <c r="C266" s="434"/>
      <c r="D266" s="435"/>
      <c r="E266" s="436"/>
      <c r="F266" s="435"/>
    </row>
    <row r="267" spans="1:6" ht="17.649999999999999" customHeight="1">
      <c r="A267" s="1112"/>
      <c r="B267" s="476" t="s">
        <v>1037</v>
      </c>
      <c r="C267" s="441" t="s">
        <v>1006</v>
      </c>
      <c r="D267" s="440" t="s">
        <v>1006</v>
      </c>
      <c r="E267" s="442" t="s">
        <v>1006</v>
      </c>
      <c r="F267" s="440" t="s">
        <v>1006</v>
      </c>
    </row>
    <row r="268" spans="1:6" ht="17.649999999999999" customHeight="1">
      <c r="A268" s="1112"/>
      <c r="B268" s="478" t="s">
        <v>1016</v>
      </c>
      <c r="C268" s="446"/>
      <c r="D268" s="447"/>
      <c r="E268" s="448"/>
      <c r="F268" s="447"/>
    </row>
    <row r="269" spans="1:6" ht="17.649999999999999" customHeight="1">
      <c r="A269" s="1112"/>
      <c r="B269" s="476" t="s">
        <v>1027</v>
      </c>
      <c r="C269" s="441" t="s">
        <v>1006</v>
      </c>
      <c r="D269" s="440" t="s">
        <v>1006</v>
      </c>
      <c r="E269" s="442" t="s">
        <v>1006</v>
      </c>
      <c r="F269" s="440" t="s">
        <v>1006</v>
      </c>
    </row>
    <row r="270" spans="1:6" ht="17.649999999999999" customHeight="1">
      <c r="A270" s="1112"/>
      <c r="B270" s="511" t="s">
        <v>1017</v>
      </c>
      <c r="C270" s="522" t="s">
        <v>1006</v>
      </c>
      <c r="D270" s="439" t="s">
        <v>1006</v>
      </c>
      <c r="E270" s="523" t="s">
        <v>1006</v>
      </c>
      <c r="F270" s="439" t="s">
        <v>1006</v>
      </c>
    </row>
    <row r="271" spans="1:6" ht="17.649999999999999" customHeight="1">
      <c r="A271" s="1112"/>
      <c r="B271" s="512" t="s">
        <v>1018</v>
      </c>
      <c r="C271" s="441" t="s">
        <v>1006</v>
      </c>
      <c r="D271" s="440" t="s">
        <v>1006</v>
      </c>
      <c r="E271" s="442" t="s">
        <v>1006</v>
      </c>
      <c r="F271" s="440" t="s">
        <v>1006</v>
      </c>
    </row>
    <row r="272" spans="1:6" ht="17.649999999999999" customHeight="1">
      <c r="A272" s="1112"/>
      <c r="B272" s="513" t="s">
        <v>1019</v>
      </c>
      <c r="C272" s="522" t="s">
        <v>1006</v>
      </c>
      <c r="D272" s="439" t="s">
        <v>1006</v>
      </c>
      <c r="E272" s="523" t="s">
        <v>1006</v>
      </c>
      <c r="F272" s="439" t="s">
        <v>1006</v>
      </c>
    </row>
    <row r="273" spans="1:6" ht="17.649999999999999" customHeight="1">
      <c r="A273" s="1112"/>
      <c r="B273" s="266"/>
      <c r="C273" s="441"/>
      <c r="D273" s="440"/>
      <c r="E273" s="442"/>
      <c r="F273" s="440"/>
    </row>
    <row r="274" spans="1:6" ht="17.649999999999999" customHeight="1">
      <c r="A274" s="1112"/>
      <c r="B274" s="514" t="s">
        <v>1020</v>
      </c>
      <c r="C274" s="434"/>
      <c r="D274" s="435"/>
      <c r="E274" s="436"/>
      <c r="F274" s="435"/>
    </row>
    <row r="275" spans="1:6" ht="17.649999999999999" customHeight="1">
      <c r="A275" s="1113" t="s">
        <v>1035</v>
      </c>
      <c r="B275" s="509" t="s">
        <v>1021</v>
      </c>
      <c r="C275" s="441" t="s">
        <v>1006</v>
      </c>
      <c r="D275" s="440" t="s">
        <v>1006</v>
      </c>
      <c r="E275" s="442" t="s">
        <v>1006</v>
      </c>
      <c r="F275" s="440" t="s">
        <v>1006</v>
      </c>
    </row>
    <row r="276" spans="1:6" ht="17.649999999999999" customHeight="1">
      <c r="A276" s="1113"/>
      <c r="B276" s="510" t="s">
        <v>1022</v>
      </c>
      <c r="C276" s="522" t="s">
        <v>1006</v>
      </c>
      <c r="D276" s="439" t="s">
        <v>1006</v>
      </c>
      <c r="E276" s="523" t="s">
        <v>1006</v>
      </c>
      <c r="F276" s="439" t="s">
        <v>1006</v>
      </c>
    </row>
    <row r="277" spans="1:6" ht="17.649999999999999" customHeight="1">
      <c r="A277" s="1113"/>
      <c r="B277" s="515" t="s">
        <v>1023</v>
      </c>
      <c r="C277" s="441" t="s">
        <v>1006</v>
      </c>
      <c r="D277" s="440" t="s">
        <v>1006</v>
      </c>
      <c r="E277" s="442" t="s">
        <v>1006</v>
      </c>
      <c r="F277" s="440" t="s">
        <v>1006</v>
      </c>
    </row>
    <row r="278" spans="1:6" ht="17.649999999999999" customHeight="1">
      <c r="A278" s="1113"/>
      <c r="B278" s="515"/>
      <c r="C278" s="522"/>
      <c r="D278" s="439"/>
      <c r="E278" s="523"/>
      <c r="F278" s="439"/>
    </row>
    <row r="279" spans="1:6" ht="17.649999999999999" customHeight="1">
      <c r="A279" s="1114" t="s">
        <v>1024</v>
      </c>
      <c r="B279" s="516" t="s">
        <v>1025</v>
      </c>
      <c r="C279" s="438"/>
      <c r="D279" s="440" t="s">
        <v>1026</v>
      </c>
      <c r="E279" s="524" t="s">
        <v>1026</v>
      </c>
      <c r="F279" s="440" t="s">
        <v>1026</v>
      </c>
    </row>
    <row r="280" spans="1:6" ht="17.649999999999999" customHeight="1">
      <c r="A280" s="1114"/>
      <c r="B280" s="508" t="s">
        <v>1027</v>
      </c>
      <c r="C280" s="441" t="s">
        <v>1006</v>
      </c>
      <c r="D280" s="440" t="s">
        <v>1006</v>
      </c>
      <c r="E280" s="442" t="s">
        <v>1006</v>
      </c>
      <c r="F280" s="440" t="s">
        <v>1006</v>
      </c>
    </row>
    <row r="281" spans="1:6" ht="17.649999999999999" customHeight="1">
      <c r="A281" s="1109" t="s">
        <v>1029</v>
      </c>
      <c r="B281" s="515" t="s">
        <v>1028</v>
      </c>
      <c r="C281" s="522" t="s">
        <v>1006</v>
      </c>
      <c r="D281" s="439" t="s">
        <v>1006</v>
      </c>
      <c r="E281" s="523" t="s">
        <v>1006</v>
      </c>
      <c r="F281" s="439" t="s">
        <v>1006</v>
      </c>
    </row>
    <row r="282" spans="1:6" ht="17.649999999999999" customHeight="1">
      <c r="A282" s="1109"/>
      <c r="B282" s="266"/>
      <c r="C282" s="434"/>
      <c r="D282" s="435"/>
      <c r="E282" s="436"/>
      <c r="F282" s="435"/>
    </row>
    <row r="283" spans="1:6" ht="17.649999999999999" customHeight="1">
      <c r="A283" s="1109"/>
      <c r="B283" s="517" t="str">
        <f>B241</f>
        <v>FLOOR; FCC/FCW/LAM/FCS/FCV/FCT</v>
      </c>
      <c r="C283" s="437"/>
      <c r="D283" s="436"/>
      <c r="E283" s="435"/>
      <c r="F283" s="436"/>
    </row>
    <row r="284" spans="1:6" ht="17.649999999999999" customHeight="1">
      <c r="A284" s="1109"/>
      <c r="B284" s="508" t="s">
        <v>1031</v>
      </c>
      <c r="C284" s="438" t="s">
        <v>1006</v>
      </c>
      <c r="D284" s="439" t="s">
        <v>1006</v>
      </c>
      <c r="E284" s="440" t="s">
        <v>1006</v>
      </c>
      <c r="F284" s="439" t="s">
        <v>1006</v>
      </c>
    </row>
    <row r="285" spans="1:6" ht="17.649999999999999" customHeight="1">
      <c r="A285" s="1110" t="s">
        <v>10</v>
      </c>
      <c r="B285" s="518" t="s">
        <v>1032</v>
      </c>
      <c r="C285" s="437"/>
      <c r="D285" s="436"/>
      <c r="E285" s="435"/>
      <c r="F285" s="436"/>
    </row>
    <row r="286" spans="1:6" ht="17.649999999999999" customHeight="1">
      <c r="A286" s="1110"/>
      <c r="B286" s="508" t="s">
        <v>1031</v>
      </c>
      <c r="C286" s="438" t="s">
        <v>1006</v>
      </c>
      <c r="D286" s="439" t="s">
        <v>1006</v>
      </c>
      <c r="E286" s="440" t="s">
        <v>1006</v>
      </c>
      <c r="F286" s="439" t="s">
        <v>1006</v>
      </c>
    </row>
    <row r="287" spans="1:6" ht="17.649999999999999" customHeight="1">
      <c r="A287" s="1110"/>
      <c r="B287" s="476"/>
      <c r="C287" s="449"/>
      <c r="D287" s="440"/>
      <c r="E287" s="439"/>
      <c r="F287" s="440"/>
    </row>
    <row r="288" spans="1:6" ht="17.649999999999999" customHeight="1">
      <c r="B288" s="519" t="s">
        <v>1033</v>
      </c>
      <c r="C288" s="438" t="s">
        <v>1006</v>
      </c>
      <c r="D288" s="439" t="s">
        <v>1006</v>
      </c>
      <c r="E288" s="440" t="s">
        <v>1006</v>
      </c>
      <c r="F288" s="439" t="s">
        <v>1006</v>
      </c>
    </row>
    <row r="289" spans="1:6" ht="17.649999999999999" customHeight="1">
      <c r="B289" s="508" t="s">
        <v>1031</v>
      </c>
      <c r="C289" s="441" t="s">
        <v>1006</v>
      </c>
      <c r="D289" s="440" t="s">
        <v>1006</v>
      </c>
      <c r="E289" s="442" t="s">
        <v>1006</v>
      </c>
      <c r="F289" s="440" t="s">
        <v>1006</v>
      </c>
    </row>
    <row r="290" spans="1:6" ht="17.649999999999999" customHeight="1">
      <c r="A290" s="1111" t="s">
        <v>998</v>
      </c>
      <c r="B290" s="520" t="s">
        <v>1034</v>
      </c>
      <c r="C290" s="522"/>
      <c r="D290" s="439"/>
      <c r="E290" s="523"/>
      <c r="F290" s="439"/>
    </row>
    <row r="291" spans="1:6" ht="17.649999999999999" customHeight="1">
      <c r="A291" s="1111"/>
      <c r="B291" s="479"/>
      <c r="C291" s="441"/>
      <c r="D291" s="440"/>
      <c r="E291" s="442"/>
      <c r="F291" s="440"/>
    </row>
    <row r="292" spans="1:6" ht="17.649999999999999" customHeight="1">
      <c r="A292" s="1111"/>
      <c r="B292" s="475" t="str">
        <f>B40</f>
        <v>Interior Inspection Work SCOPE V2</v>
      </c>
      <c r="C292" s="264" t="str">
        <f>+'jobinfo(2)'!$C$1</f>
        <v>Hatten, Nedra</v>
      </c>
      <c r="D292" s="1115" t="str">
        <f>+'jobinfo(2)'!$C$2</f>
        <v>628 Quilliams Road</v>
      </c>
      <c r="E292" s="1115"/>
    </row>
    <row r="293" spans="1:6" ht="17.649999999999999" customHeight="1">
      <c r="A293" s="1111"/>
      <c r="B293" s="468" t="e">
        <f>#REF!</f>
        <v>#REF!</v>
      </c>
      <c r="C293" s="411">
        <f>+'jobinfo(2)'!C82</f>
        <v>0</v>
      </c>
      <c r="D293" s="391">
        <f>+'jobinfo(2)'!C83</f>
        <v>0</v>
      </c>
      <c r="E293" s="525">
        <f>+'jobinfo(2)'!C84</f>
        <v>0</v>
      </c>
      <c r="F293" s="392">
        <f>+'jobinfo(2)'!C85</f>
        <v>0</v>
      </c>
    </row>
    <row r="294" spans="1:6" ht="17.649999999999999" customHeight="1">
      <c r="A294" s="1111"/>
      <c r="B294" s="507" t="s">
        <v>999</v>
      </c>
      <c r="C294" s="521">
        <f>+'jobinfo(2)'!A82</f>
        <v>29</v>
      </c>
      <c r="D294" s="521">
        <f>+'jobinfo(2)'!A83</f>
        <v>30</v>
      </c>
      <c r="E294" s="521">
        <f>+'jobinfo(2)'!A84</f>
        <v>31</v>
      </c>
      <c r="F294" s="521">
        <f>+'jobinfo(2)'!A85</f>
        <v>32</v>
      </c>
    </row>
    <row r="295" spans="1:6" ht="17.649999999999999" customHeight="1">
      <c r="A295" s="1111"/>
      <c r="B295" s="508" t="s">
        <v>1000</v>
      </c>
      <c r="C295" s="159"/>
      <c r="D295" s="160"/>
      <c r="E295" s="161"/>
      <c r="F295" s="160"/>
    </row>
    <row r="296" spans="1:6" ht="17.649999999999999" customHeight="1">
      <c r="A296" s="1111"/>
      <c r="B296" s="508" t="s">
        <v>1001</v>
      </c>
      <c r="C296" s="434"/>
      <c r="D296" s="435"/>
      <c r="E296" s="436"/>
      <c r="F296" s="435"/>
    </row>
    <row r="297" spans="1:6" ht="17.649999999999999" customHeight="1">
      <c r="A297" s="1111"/>
      <c r="B297" s="509" t="s">
        <v>1002</v>
      </c>
      <c r="C297" s="437"/>
      <c r="D297" s="436"/>
      <c r="E297" s="435"/>
      <c r="F297" s="436"/>
    </row>
    <row r="298" spans="1:6" ht="17.649999999999999" customHeight="1">
      <c r="A298" s="1111"/>
      <c r="B298" s="508" t="s">
        <v>1037</v>
      </c>
      <c r="C298" s="522" t="s">
        <v>1006</v>
      </c>
      <c r="D298" s="439" t="s">
        <v>1006</v>
      </c>
      <c r="E298" s="523" t="s">
        <v>1006</v>
      </c>
      <c r="F298" s="439" t="s">
        <v>1006</v>
      </c>
    </row>
    <row r="299" spans="1:6" ht="17.649999999999999" customHeight="1">
      <c r="A299" s="1111"/>
      <c r="B299" s="510" t="s">
        <v>1004</v>
      </c>
      <c r="C299" s="449" t="s">
        <v>1006</v>
      </c>
      <c r="D299" s="440" t="s">
        <v>1006</v>
      </c>
      <c r="E299" s="439" t="s">
        <v>1006</v>
      </c>
      <c r="F299" s="440" t="s">
        <v>1006</v>
      </c>
    </row>
    <row r="300" spans="1:6" ht="17.649999999999999" customHeight="1">
      <c r="A300" s="1112" t="s">
        <v>1013</v>
      </c>
      <c r="B300" s="477" t="s">
        <v>1038</v>
      </c>
      <c r="C300" s="434"/>
      <c r="D300" s="435"/>
      <c r="E300" s="436"/>
      <c r="F300" s="435"/>
    </row>
    <row r="301" spans="1:6" ht="17.649999999999999" customHeight="1">
      <c r="A301" s="1112"/>
      <c r="B301" s="509" t="s">
        <v>1008</v>
      </c>
      <c r="C301" s="449" t="s">
        <v>1006</v>
      </c>
      <c r="D301" s="440" t="s">
        <v>1006</v>
      </c>
      <c r="E301" s="439" t="s">
        <v>1006</v>
      </c>
      <c r="F301" s="440" t="s">
        <v>1006</v>
      </c>
    </row>
    <row r="302" spans="1:6" ht="17.649999999999999" customHeight="1">
      <c r="A302" s="1112"/>
      <c r="B302" s="511" t="s">
        <v>1009</v>
      </c>
      <c r="C302" s="522" t="s">
        <v>1006</v>
      </c>
      <c r="D302" s="439" t="s">
        <v>1006</v>
      </c>
      <c r="E302" s="523" t="s">
        <v>1006</v>
      </c>
      <c r="F302" s="439" t="s">
        <v>1006</v>
      </c>
    </row>
    <row r="303" spans="1:6" ht="17.649999999999999" customHeight="1">
      <c r="A303" s="1112"/>
      <c r="B303" s="163" t="s">
        <v>1010</v>
      </c>
      <c r="C303" s="441" t="s">
        <v>1006</v>
      </c>
      <c r="D303" s="440" t="s">
        <v>1006</v>
      </c>
      <c r="E303" s="442" t="s">
        <v>1006</v>
      </c>
      <c r="F303" s="440" t="s">
        <v>1006</v>
      </c>
    </row>
    <row r="304" spans="1:6" ht="17.649999999999999" customHeight="1">
      <c r="A304" s="1112"/>
      <c r="B304" s="180" t="s">
        <v>1011</v>
      </c>
      <c r="C304" s="522" t="s">
        <v>1006</v>
      </c>
      <c r="D304" s="439" t="s">
        <v>1006</v>
      </c>
      <c r="E304" s="523" t="s">
        <v>1006</v>
      </c>
      <c r="F304" s="439" t="s">
        <v>1006</v>
      </c>
    </row>
    <row r="305" spans="1:6" ht="17.649999999999999" customHeight="1">
      <c r="A305" s="1112"/>
      <c r="B305" s="479"/>
      <c r="C305" s="441"/>
      <c r="D305" s="440"/>
      <c r="E305" s="442"/>
      <c r="F305" s="440"/>
    </row>
    <row r="306" spans="1:6" ht="17.649999999999999" customHeight="1">
      <c r="A306" s="1112"/>
      <c r="B306" s="480" t="s">
        <v>1039</v>
      </c>
      <c r="C306" s="434"/>
      <c r="D306" s="435"/>
      <c r="E306" s="436"/>
      <c r="F306" s="435"/>
    </row>
    <row r="307" spans="1:6" ht="17.649999999999999" customHeight="1">
      <c r="A307" s="1112"/>
      <c r="B307" s="485" t="e">
        <f>B223</f>
        <v>#REF!</v>
      </c>
      <c r="C307" s="437"/>
      <c r="D307" s="436"/>
      <c r="E307" s="435"/>
      <c r="F307" s="436"/>
    </row>
    <row r="308" spans="1:6" ht="17.649999999999999" customHeight="1">
      <c r="A308" s="1112"/>
      <c r="B308" s="267" t="s">
        <v>1002</v>
      </c>
      <c r="C308" s="434"/>
      <c r="D308" s="435"/>
      <c r="E308" s="436"/>
      <c r="F308" s="435"/>
    </row>
    <row r="309" spans="1:6" ht="17.649999999999999" customHeight="1">
      <c r="A309" s="1112"/>
      <c r="B309" s="476" t="s">
        <v>1037</v>
      </c>
      <c r="C309" s="441" t="s">
        <v>1006</v>
      </c>
      <c r="D309" s="440" t="s">
        <v>1006</v>
      </c>
      <c r="E309" s="442" t="s">
        <v>1006</v>
      </c>
      <c r="F309" s="440" t="s">
        <v>1006</v>
      </c>
    </row>
    <row r="310" spans="1:6" ht="17.649999999999999" customHeight="1">
      <c r="A310" s="1113" t="s">
        <v>1035</v>
      </c>
      <c r="B310" s="478" t="s">
        <v>1016</v>
      </c>
      <c r="C310" s="446"/>
      <c r="D310" s="447"/>
      <c r="E310" s="448"/>
      <c r="F310" s="447"/>
    </row>
    <row r="311" spans="1:6" ht="17.649999999999999" customHeight="1">
      <c r="A311" s="1113"/>
      <c r="B311" s="476" t="s">
        <v>1027</v>
      </c>
      <c r="C311" s="441" t="s">
        <v>1006</v>
      </c>
      <c r="D311" s="440" t="s">
        <v>1006</v>
      </c>
      <c r="E311" s="442" t="s">
        <v>1006</v>
      </c>
      <c r="F311" s="440" t="s">
        <v>1006</v>
      </c>
    </row>
    <row r="312" spans="1:6" ht="17.649999999999999" customHeight="1">
      <c r="A312" s="1113"/>
      <c r="B312" s="511" t="s">
        <v>1017</v>
      </c>
      <c r="C312" s="522" t="s">
        <v>1006</v>
      </c>
      <c r="D312" s="439" t="s">
        <v>1006</v>
      </c>
      <c r="E312" s="523" t="s">
        <v>1006</v>
      </c>
      <c r="F312" s="439" t="s">
        <v>1006</v>
      </c>
    </row>
    <row r="313" spans="1:6" ht="17.649999999999999" customHeight="1">
      <c r="A313" s="1113"/>
      <c r="B313" s="512" t="s">
        <v>1018</v>
      </c>
      <c r="C313" s="441" t="s">
        <v>1006</v>
      </c>
      <c r="D313" s="440" t="s">
        <v>1006</v>
      </c>
      <c r="E313" s="442" t="s">
        <v>1006</v>
      </c>
      <c r="F313" s="440" t="s">
        <v>1006</v>
      </c>
    </row>
    <row r="314" spans="1:6" ht="17.649999999999999" customHeight="1">
      <c r="A314" s="1114" t="s">
        <v>1024</v>
      </c>
      <c r="B314" s="513" t="s">
        <v>1019</v>
      </c>
      <c r="C314" s="522" t="s">
        <v>1006</v>
      </c>
      <c r="D314" s="439" t="s">
        <v>1006</v>
      </c>
      <c r="E314" s="523" t="s">
        <v>1006</v>
      </c>
      <c r="F314" s="439" t="s">
        <v>1006</v>
      </c>
    </row>
    <row r="315" spans="1:6" ht="17.649999999999999" customHeight="1">
      <c r="A315" s="1114"/>
      <c r="B315" s="266"/>
      <c r="C315" s="441"/>
      <c r="D315" s="440"/>
      <c r="E315" s="442"/>
      <c r="F315" s="440"/>
    </row>
    <row r="316" spans="1:6" ht="17.649999999999999" customHeight="1">
      <c r="A316" s="1109" t="s">
        <v>1029</v>
      </c>
      <c r="B316" s="514" t="s">
        <v>1020</v>
      </c>
      <c r="C316" s="434"/>
      <c r="D316" s="435"/>
      <c r="E316" s="436"/>
      <c r="F316" s="435"/>
    </row>
    <row r="317" spans="1:6" ht="17.649999999999999" customHeight="1">
      <c r="A317" s="1109"/>
      <c r="B317" s="509" t="s">
        <v>1021</v>
      </c>
      <c r="C317" s="441" t="s">
        <v>1006</v>
      </c>
      <c r="D317" s="440" t="s">
        <v>1006</v>
      </c>
      <c r="E317" s="442" t="s">
        <v>1006</v>
      </c>
      <c r="F317" s="440" t="s">
        <v>1006</v>
      </c>
    </row>
    <row r="318" spans="1:6" ht="17.649999999999999" customHeight="1">
      <c r="A318" s="1109"/>
      <c r="B318" s="510" t="s">
        <v>1022</v>
      </c>
      <c r="C318" s="522" t="s">
        <v>1006</v>
      </c>
      <c r="D318" s="439" t="s">
        <v>1006</v>
      </c>
      <c r="E318" s="523" t="s">
        <v>1006</v>
      </c>
      <c r="F318" s="439" t="s">
        <v>1006</v>
      </c>
    </row>
    <row r="319" spans="1:6" ht="17.649999999999999" customHeight="1">
      <c r="A319" s="1109"/>
      <c r="B319" s="515" t="s">
        <v>1023</v>
      </c>
      <c r="C319" s="441" t="s">
        <v>1006</v>
      </c>
      <c r="D319" s="440" t="s">
        <v>1006</v>
      </c>
      <c r="E319" s="442" t="s">
        <v>1006</v>
      </c>
      <c r="F319" s="440" t="s">
        <v>1006</v>
      </c>
    </row>
    <row r="320" spans="1:6" ht="17.649999999999999" customHeight="1">
      <c r="A320" s="1110" t="s">
        <v>10</v>
      </c>
      <c r="B320" s="515"/>
      <c r="C320" s="522"/>
      <c r="D320" s="439"/>
      <c r="E320" s="523"/>
      <c r="F320" s="439"/>
    </row>
    <row r="321" spans="1:6" ht="17.649999999999999" customHeight="1">
      <c r="A321" s="1110"/>
      <c r="B321" s="516" t="s">
        <v>1025</v>
      </c>
      <c r="C321" s="438"/>
      <c r="D321" s="440" t="s">
        <v>1026</v>
      </c>
      <c r="E321" s="524" t="s">
        <v>1026</v>
      </c>
      <c r="F321" s="440" t="s">
        <v>1026</v>
      </c>
    </row>
    <row r="322" spans="1:6" ht="17.649999999999999" customHeight="1">
      <c r="A322" s="1110"/>
      <c r="B322" s="508" t="s">
        <v>1027</v>
      </c>
      <c r="C322" s="441" t="s">
        <v>1006</v>
      </c>
      <c r="D322" s="440" t="s">
        <v>1006</v>
      </c>
      <c r="E322" s="442" t="s">
        <v>1006</v>
      </c>
      <c r="F322" s="440" t="s">
        <v>1006</v>
      </c>
    </row>
    <row r="323" spans="1:6" ht="17.649999999999999" customHeight="1">
      <c r="B323" s="515" t="s">
        <v>1028</v>
      </c>
      <c r="C323" s="522" t="s">
        <v>1006</v>
      </c>
      <c r="D323" s="439" t="s">
        <v>1006</v>
      </c>
      <c r="E323" s="523" t="s">
        <v>1006</v>
      </c>
      <c r="F323" s="439" t="s">
        <v>1006</v>
      </c>
    </row>
    <row r="324" spans="1:6" ht="17.649999999999999" customHeight="1">
      <c r="B324" s="266"/>
      <c r="C324" s="434"/>
      <c r="D324" s="435"/>
      <c r="E324" s="436"/>
      <c r="F324" s="435"/>
    </row>
    <row r="325" spans="1:6" ht="17.649999999999999" customHeight="1">
      <c r="A325" s="1111" t="s">
        <v>998</v>
      </c>
      <c r="B325" s="517" t="str">
        <f>B283</f>
        <v>FLOOR; FCC/FCW/LAM/FCS/FCV/FCT</v>
      </c>
      <c r="C325" s="437"/>
      <c r="D325" s="436"/>
      <c r="E325" s="435"/>
      <c r="F325" s="436"/>
    </row>
    <row r="326" spans="1:6" ht="17.649999999999999" customHeight="1">
      <c r="A326" s="1111"/>
      <c r="B326" s="508" t="s">
        <v>1031</v>
      </c>
      <c r="C326" s="438" t="s">
        <v>1006</v>
      </c>
      <c r="D326" s="439" t="s">
        <v>1006</v>
      </c>
      <c r="E326" s="440" t="s">
        <v>1006</v>
      </c>
      <c r="F326" s="439" t="s">
        <v>1006</v>
      </c>
    </row>
    <row r="327" spans="1:6" ht="17.649999999999999" customHeight="1">
      <c r="A327" s="1111"/>
      <c r="B327" s="518" t="s">
        <v>1032</v>
      </c>
      <c r="C327" s="437"/>
      <c r="D327" s="436"/>
      <c r="E327" s="435"/>
      <c r="F327" s="436"/>
    </row>
    <row r="328" spans="1:6" ht="17.649999999999999" customHeight="1">
      <c r="A328" s="1111"/>
      <c r="B328" s="508" t="s">
        <v>1031</v>
      </c>
      <c r="C328" s="438" t="s">
        <v>1006</v>
      </c>
      <c r="D328" s="439" t="s">
        <v>1006</v>
      </c>
      <c r="E328" s="440" t="s">
        <v>1006</v>
      </c>
      <c r="F328" s="439" t="s">
        <v>1006</v>
      </c>
    </row>
    <row r="329" spans="1:6" ht="17.649999999999999" customHeight="1">
      <c r="A329" s="1111"/>
      <c r="B329" s="476"/>
      <c r="C329" s="449"/>
      <c r="D329" s="440"/>
      <c r="E329" s="439"/>
      <c r="F329" s="440"/>
    </row>
    <row r="330" spans="1:6" ht="17.649999999999999" customHeight="1">
      <c r="A330" s="1111"/>
      <c r="B330" s="519" t="s">
        <v>1033</v>
      </c>
      <c r="C330" s="438" t="s">
        <v>1006</v>
      </c>
      <c r="D330" s="439" t="s">
        <v>1006</v>
      </c>
      <c r="E330" s="440" t="s">
        <v>1006</v>
      </c>
      <c r="F330" s="439" t="s">
        <v>1006</v>
      </c>
    </row>
    <row r="331" spans="1:6" ht="17.649999999999999" customHeight="1">
      <c r="A331" s="1111"/>
      <c r="B331" s="508" t="s">
        <v>1031</v>
      </c>
      <c r="C331" s="441" t="s">
        <v>1006</v>
      </c>
      <c r="D331" s="440" t="s">
        <v>1006</v>
      </c>
      <c r="E331" s="442" t="s">
        <v>1006</v>
      </c>
      <c r="F331" s="440" t="s">
        <v>1006</v>
      </c>
    </row>
    <row r="332" spans="1:6" ht="17.649999999999999" customHeight="1">
      <c r="A332" s="1111"/>
      <c r="B332" s="520" t="s">
        <v>1034</v>
      </c>
      <c r="C332" s="522"/>
      <c r="D332" s="439"/>
      <c r="E332" s="523"/>
      <c r="F332" s="439"/>
    </row>
    <row r="333" spans="1:6" ht="17.649999999999999" customHeight="1">
      <c r="A333" s="1111"/>
      <c r="B333" s="479"/>
      <c r="C333" s="441"/>
      <c r="D333" s="440"/>
      <c r="E333" s="442"/>
      <c r="F333" s="440"/>
    </row>
    <row r="334" spans="1:6" ht="17.649999999999999" customHeight="1">
      <c r="A334" s="1111"/>
      <c r="B334" s="475" t="str">
        <f>B82</f>
        <v>Interior Inspection Work SCOPE V2</v>
      </c>
      <c r="C334" s="264" t="str">
        <f>+'jobinfo(2)'!$C$1</f>
        <v>Hatten, Nedra</v>
      </c>
      <c r="D334" s="1122" t="str">
        <f>+'jobinfo(2)'!$C$2</f>
        <v>628 Quilliams Road</v>
      </c>
      <c r="E334" s="1122"/>
    </row>
    <row r="335" spans="1:6" ht="17.649999999999999" customHeight="1">
      <c r="A335" s="1112" t="s">
        <v>1013</v>
      </c>
      <c r="B335" s="468" t="str">
        <f>B83</f>
        <v xml:space="preserve">                             ROOM =</v>
      </c>
      <c r="C335" s="411">
        <f>+'jobinfo(2)'!C86</f>
        <v>0</v>
      </c>
      <c r="D335" s="391">
        <f>+'jobinfo(2)'!C87</f>
        <v>0</v>
      </c>
      <c r="E335" s="525">
        <f>+'jobinfo(2)'!C88</f>
        <v>0</v>
      </c>
      <c r="F335" s="392">
        <f>+'jobinfo(2)'!C90</f>
        <v>0</v>
      </c>
    </row>
    <row r="336" spans="1:6" ht="17.649999999999999" customHeight="1">
      <c r="A336" s="1112"/>
      <c r="B336" s="507" t="s">
        <v>999</v>
      </c>
      <c r="C336" s="521">
        <f>+'jobinfo(2)'!A86</f>
        <v>33</v>
      </c>
      <c r="D336" s="521">
        <f>+'jobinfo(2)'!A87</f>
        <v>34</v>
      </c>
      <c r="E336" s="521">
        <f>+'jobinfo(2)'!A88</f>
        <v>35</v>
      </c>
      <c r="F336" s="521">
        <f>+'jobinfo(2)'!A90</f>
        <v>36</v>
      </c>
    </row>
    <row r="337" spans="1:6" ht="17.649999999999999" customHeight="1">
      <c r="A337" s="1112"/>
      <c r="B337" s="508" t="s">
        <v>1000</v>
      </c>
      <c r="C337" s="159"/>
      <c r="D337" s="160"/>
      <c r="E337" s="161"/>
      <c r="F337" s="160"/>
    </row>
    <row r="338" spans="1:6" ht="17.649999999999999" customHeight="1">
      <c r="A338" s="1112"/>
      <c r="B338" s="508" t="s">
        <v>1001</v>
      </c>
      <c r="C338" s="434"/>
      <c r="D338" s="435"/>
      <c r="E338" s="436"/>
      <c r="F338" s="435"/>
    </row>
    <row r="339" spans="1:6" ht="17.649999999999999" customHeight="1">
      <c r="A339" s="1112"/>
      <c r="B339" s="509" t="s">
        <v>1002</v>
      </c>
      <c r="C339" s="437"/>
      <c r="D339" s="436"/>
      <c r="E339" s="435"/>
      <c r="F339" s="436"/>
    </row>
    <row r="340" spans="1:6" ht="17.649999999999999" customHeight="1">
      <c r="A340" s="1112"/>
      <c r="B340" s="508" t="s">
        <v>1037</v>
      </c>
      <c r="C340" s="522" t="s">
        <v>1006</v>
      </c>
      <c r="D340" s="439" t="s">
        <v>1006</v>
      </c>
      <c r="E340" s="523" t="s">
        <v>1006</v>
      </c>
      <c r="F340" s="439" t="s">
        <v>1006</v>
      </c>
    </row>
    <row r="341" spans="1:6" ht="17.649999999999999" customHeight="1">
      <c r="A341" s="1112"/>
      <c r="B341" s="510" t="s">
        <v>1004</v>
      </c>
      <c r="C341" s="449" t="s">
        <v>1006</v>
      </c>
      <c r="D341" s="440" t="s">
        <v>1006</v>
      </c>
      <c r="E341" s="439" t="s">
        <v>1006</v>
      </c>
      <c r="F341" s="440" t="s">
        <v>1006</v>
      </c>
    </row>
    <row r="342" spans="1:6" ht="17.649999999999999" customHeight="1">
      <c r="A342" s="1112"/>
      <c r="B342" s="477" t="s">
        <v>1038</v>
      </c>
      <c r="C342" s="434"/>
      <c r="D342" s="435"/>
      <c r="E342" s="436"/>
      <c r="F342" s="435"/>
    </row>
    <row r="343" spans="1:6" ht="17.649999999999999" customHeight="1">
      <c r="A343" s="1112"/>
      <c r="B343" s="509" t="s">
        <v>1008</v>
      </c>
      <c r="C343" s="449" t="s">
        <v>1006</v>
      </c>
      <c r="D343" s="440" t="s">
        <v>1006</v>
      </c>
      <c r="E343" s="439" t="s">
        <v>1006</v>
      </c>
      <c r="F343" s="440" t="s">
        <v>1006</v>
      </c>
    </row>
    <row r="344" spans="1:6" ht="17.649999999999999" customHeight="1">
      <c r="A344" s="1112"/>
      <c r="B344" s="511" t="s">
        <v>1009</v>
      </c>
      <c r="C344" s="522" t="s">
        <v>1006</v>
      </c>
      <c r="D344" s="439" t="s">
        <v>1006</v>
      </c>
      <c r="E344" s="523" t="s">
        <v>1006</v>
      </c>
      <c r="F344" s="439" t="s">
        <v>1006</v>
      </c>
    </row>
    <row r="345" spans="1:6" ht="17.649999999999999" customHeight="1">
      <c r="A345" s="1113" t="s">
        <v>1035</v>
      </c>
      <c r="B345" s="163" t="s">
        <v>1010</v>
      </c>
      <c r="C345" s="441" t="s">
        <v>1006</v>
      </c>
      <c r="D345" s="440" t="s">
        <v>1006</v>
      </c>
      <c r="E345" s="442" t="s">
        <v>1006</v>
      </c>
      <c r="F345" s="440" t="s">
        <v>1006</v>
      </c>
    </row>
    <row r="346" spans="1:6" ht="17.649999999999999" customHeight="1">
      <c r="A346" s="1113"/>
      <c r="B346" s="180" t="s">
        <v>1011</v>
      </c>
      <c r="C346" s="522" t="s">
        <v>1006</v>
      </c>
      <c r="D346" s="439" t="s">
        <v>1006</v>
      </c>
      <c r="E346" s="523" t="s">
        <v>1006</v>
      </c>
      <c r="F346" s="439" t="s">
        <v>1006</v>
      </c>
    </row>
    <row r="347" spans="1:6" ht="17.649999999999999" customHeight="1">
      <c r="A347" s="1113"/>
      <c r="B347" s="479"/>
      <c r="C347" s="441"/>
      <c r="D347" s="440"/>
      <c r="E347" s="442"/>
      <c r="F347" s="440"/>
    </row>
    <row r="348" spans="1:6" ht="17.649999999999999" customHeight="1">
      <c r="A348" s="1113"/>
      <c r="B348" s="480" t="s">
        <v>1039</v>
      </c>
      <c r="C348" s="434"/>
      <c r="D348" s="435"/>
      <c r="E348" s="436"/>
      <c r="F348" s="435"/>
    </row>
    <row r="349" spans="1:6" ht="17.649999999999999" customHeight="1">
      <c r="A349" s="1114" t="s">
        <v>1024</v>
      </c>
      <c r="B349" s="485" t="str">
        <f>B265</f>
        <v>DRY / PLA / TEX/ WPR / MIR / PNL / T&amp;G / TIL</v>
      </c>
      <c r="C349" s="437"/>
      <c r="D349" s="436"/>
      <c r="E349" s="435"/>
      <c r="F349" s="436"/>
    </row>
    <row r="350" spans="1:6" ht="17.649999999999999" customHeight="1">
      <c r="A350" s="1114"/>
      <c r="B350" s="267" t="s">
        <v>1002</v>
      </c>
      <c r="C350" s="434"/>
      <c r="D350" s="435"/>
      <c r="E350" s="436"/>
      <c r="F350" s="435"/>
    </row>
    <row r="351" spans="1:6" ht="17.649999999999999" customHeight="1">
      <c r="A351" s="1109" t="s">
        <v>1029</v>
      </c>
      <c r="B351" s="476" t="s">
        <v>1037</v>
      </c>
      <c r="C351" s="441" t="s">
        <v>1006</v>
      </c>
      <c r="D351" s="440" t="s">
        <v>1006</v>
      </c>
      <c r="E351" s="442" t="s">
        <v>1006</v>
      </c>
      <c r="F351" s="440" t="s">
        <v>1006</v>
      </c>
    </row>
    <row r="352" spans="1:6" ht="17.649999999999999" customHeight="1">
      <c r="A352" s="1109"/>
      <c r="B352" s="478" t="s">
        <v>1016</v>
      </c>
      <c r="C352" s="446"/>
      <c r="D352" s="447"/>
      <c r="E352" s="448"/>
      <c r="F352" s="447"/>
    </row>
    <row r="353" spans="1:6" ht="17.649999999999999" customHeight="1">
      <c r="A353" s="1109"/>
      <c r="B353" s="476" t="s">
        <v>1027</v>
      </c>
      <c r="C353" s="441" t="s">
        <v>1006</v>
      </c>
      <c r="D353" s="440" t="s">
        <v>1006</v>
      </c>
      <c r="E353" s="442" t="s">
        <v>1006</v>
      </c>
      <c r="F353" s="440" t="s">
        <v>1006</v>
      </c>
    </row>
    <row r="354" spans="1:6" ht="17.649999999999999" customHeight="1">
      <c r="A354" s="1109"/>
      <c r="B354" s="511" t="s">
        <v>1017</v>
      </c>
      <c r="C354" s="522" t="s">
        <v>1006</v>
      </c>
      <c r="D354" s="439" t="s">
        <v>1006</v>
      </c>
      <c r="E354" s="523" t="s">
        <v>1006</v>
      </c>
      <c r="F354" s="439" t="s">
        <v>1006</v>
      </c>
    </row>
    <row r="355" spans="1:6" ht="17.649999999999999" customHeight="1">
      <c r="A355" s="1110" t="s">
        <v>10</v>
      </c>
      <c r="B355" s="512" t="s">
        <v>1018</v>
      </c>
      <c r="C355" s="441" t="s">
        <v>1006</v>
      </c>
      <c r="D355" s="440" t="s">
        <v>1006</v>
      </c>
      <c r="E355" s="442" t="s">
        <v>1006</v>
      </c>
      <c r="F355" s="440" t="s">
        <v>1006</v>
      </c>
    </row>
    <row r="356" spans="1:6" ht="17.649999999999999" customHeight="1">
      <c r="A356" s="1110"/>
      <c r="B356" s="513" t="s">
        <v>1019</v>
      </c>
      <c r="C356" s="522" t="s">
        <v>1006</v>
      </c>
      <c r="D356" s="439" t="s">
        <v>1006</v>
      </c>
      <c r="E356" s="523" t="s">
        <v>1006</v>
      </c>
      <c r="F356" s="439" t="s">
        <v>1006</v>
      </c>
    </row>
    <row r="357" spans="1:6" ht="17.649999999999999" customHeight="1">
      <c r="A357" s="1110"/>
      <c r="B357" s="266"/>
      <c r="C357" s="441"/>
      <c r="D357" s="440"/>
      <c r="E357" s="442"/>
      <c r="F357" s="440"/>
    </row>
    <row r="358" spans="1:6" ht="17.649999999999999" customHeight="1">
      <c r="B358" s="514" t="s">
        <v>1020</v>
      </c>
      <c r="C358" s="434"/>
      <c r="D358" s="435"/>
      <c r="E358" s="436"/>
      <c r="F358" s="435"/>
    </row>
    <row r="359" spans="1:6" ht="17.649999999999999" customHeight="1">
      <c r="B359" s="509" t="s">
        <v>1021</v>
      </c>
      <c r="C359" s="441" t="s">
        <v>1006</v>
      </c>
      <c r="D359" s="440" t="s">
        <v>1006</v>
      </c>
      <c r="E359" s="442" t="s">
        <v>1006</v>
      </c>
      <c r="F359" s="440" t="s">
        <v>1006</v>
      </c>
    </row>
    <row r="360" spans="1:6" ht="17.649999999999999" customHeight="1">
      <c r="A360" s="1111" t="s">
        <v>998</v>
      </c>
      <c r="B360" s="510" t="s">
        <v>1022</v>
      </c>
      <c r="C360" s="522" t="s">
        <v>1006</v>
      </c>
      <c r="D360" s="439" t="s">
        <v>1006</v>
      </c>
      <c r="E360" s="523" t="s">
        <v>1006</v>
      </c>
      <c r="F360" s="439" t="s">
        <v>1006</v>
      </c>
    </row>
    <row r="361" spans="1:6" ht="17.649999999999999" customHeight="1">
      <c r="A361" s="1111"/>
      <c r="B361" s="515" t="s">
        <v>1023</v>
      </c>
      <c r="C361" s="441" t="s">
        <v>1006</v>
      </c>
      <c r="D361" s="440" t="s">
        <v>1006</v>
      </c>
      <c r="E361" s="442" t="s">
        <v>1006</v>
      </c>
      <c r="F361" s="440" t="s">
        <v>1006</v>
      </c>
    </row>
    <row r="362" spans="1:6" ht="17.649999999999999" customHeight="1">
      <c r="A362" s="1111"/>
      <c r="B362" s="515"/>
      <c r="C362" s="522"/>
      <c r="D362" s="439"/>
      <c r="E362" s="523"/>
      <c r="F362" s="439"/>
    </row>
    <row r="363" spans="1:6" ht="17.649999999999999" customHeight="1">
      <c r="A363" s="1111"/>
      <c r="B363" s="516" t="s">
        <v>1025</v>
      </c>
      <c r="C363" s="438"/>
      <c r="D363" s="440" t="s">
        <v>1026</v>
      </c>
      <c r="E363" s="524" t="s">
        <v>1026</v>
      </c>
      <c r="F363" s="440" t="s">
        <v>1026</v>
      </c>
    </row>
    <row r="364" spans="1:6" ht="17.649999999999999" customHeight="1">
      <c r="A364" s="1111"/>
      <c r="B364" s="508" t="s">
        <v>1027</v>
      </c>
      <c r="C364" s="441" t="s">
        <v>1006</v>
      </c>
      <c r="D364" s="440" t="s">
        <v>1006</v>
      </c>
      <c r="E364" s="442" t="s">
        <v>1006</v>
      </c>
      <c r="F364" s="440" t="s">
        <v>1006</v>
      </c>
    </row>
    <row r="365" spans="1:6" ht="17.649999999999999" customHeight="1">
      <c r="A365" s="1111"/>
      <c r="B365" s="515" t="s">
        <v>1028</v>
      </c>
      <c r="C365" s="522" t="s">
        <v>1006</v>
      </c>
      <c r="D365" s="439" t="s">
        <v>1006</v>
      </c>
      <c r="E365" s="523" t="s">
        <v>1006</v>
      </c>
      <c r="F365" s="439" t="s">
        <v>1006</v>
      </c>
    </row>
    <row r="366" spans="1:6" ht="17.649999999999999" customHeight="1">
      <c r="A366" s="1111"/>
      <c r="B366" s="266"/>
      <c r="C366" s="434"/>
      <c r="D366" s="435"/>
      <c r="E366" s="436"/>
      <c r="F366" s="435"/>
    </row>
    <row r="367" spans="1:6" ht="17.649999999999999" customHeight="1">
      <c r="A367" s="1111"/>
      <c r="B367" s="517" t="str">
        <f>B325</f>
        <v>FLOOR; FCC/FCW/LAM/FCS/FCV/FCT</v>
      </c>
      <c r="C367" s="437"/>
      <c r="D367" s="436"/>
      <c r="E367" s="435"/>
      <c r="F367" s="436"/>
    </row>
    <row r="368" spans="1:6" ht="17.649999999999999" customHeight="1">
      <c r="A368" s="1111"/>
      <c r="B368" s="508" t="s">
        <v>1031</v>
      </c>
      <c r="C368" s="438" t="s">
        <v>1006</v>
      </c>
      <c r="D368" s="439" t="s">
        <v>1006</v>
      </c>
      <c r="E368" s="440" t="s">
        <v>1006</v>
      </c>
      <c r="F368" s="439" t="s">
        <v>1006</v>
      </c>
    </row>
    <row r="369" spans="1:6" ht="17.649999999999999" customHeight="1">
      <c r="A369" s="1111"/>
      <c r="B369" s="518" t="s">
        <v>1032</v>
      </c>
      <c r="C369" s="437"/>
      <c r="D369" s="436"/>
      <c r="E369" s="435"/>
      <c r="F369" s="436"/>
    </row>
    <row r="370" spans="1:6" ht="17.649999999999999" customHeight="1">
      <c r="A370" s="1112" t="s">
        <v>1013</v>
      </c>
      <c r="B370" s="508" t="s">
        <v>1031</v>
      </c>
      <c r="C370" s="438" t="s">
        <v>1006</v>
      </c>
      <c r="D370" s="439" t="s">
        <v>1006</v>
      </c>
      <c r="E370" s="440" t="s">
        <v>1006</v>
      </c>
      <c r="F370" s="439" t="s">
        <v>1006</v>
      </c>
    </row>
    <row r="371" spans="1:6" ht="17.649999999999999" customHeight="1">
      <c r="A371" s="1112"/>
      <c r="B371" s="476"/>
      <c r="C371" s="449"/>
      <c r="D371" s="440"/>
      <c r="E371" s="439"/>
      <c r="F371" s="440"/>
    </row>
    <row r="372" spans="1:6" ht="17.649999999999999" customHeight="1">
      <c r="A372" s="1112"/>
      <c r="B372" s="519" t="s">
        <v>1033</v>
      </c>
      <c r="C372" s="438" t="s">
        <v>1006</v>
      </c>
      <c r="D372" s="439" t="s">
        <v>1006</v>
      </c>
      <c r="E372" s="440" t="s">
        <v>1006</v>
      </c>
      <c r="F372" s="439" t="s">
        <v>1006</v>
      </c>
    </row>
    <row r="373" spans="1:6" ht="17.649999999999999" customHeight="1">
      <c r="A373" s="1112"/>
      <c r="B373" s="508" t="s">
        <v>1031</v>
      </c>
      <c r="C373" s="441" t="s">
        <v>1006</v>
      </c>
      <c r="D373" s="440" t="s">
        <v>1006</v>
      </c>
      <c r="E373" s="442" t="s">
        <v>1006</v>
      </c>
      <c r="F373" s="440" t="s">
        <v>1006</v>
      </c>
    </row>
    <row r="374" spans="1:6" ht="17.649999999999999" customHeight="1">
      <c r="A374" s="1112"/>
      <c r="B374" s="520" t="s">
        <v>1034</v>
      </c>
      <c r="C374" s="522"/>
      <c r="D374" s="439"/>
      <c r="E374" s="523"/>
      <c r="F374" s="439"/>
    </row>
    <row r="375" spans="1:6" ht="17.649999999999999" customHeight="1">
      <c r="A375" s="1112"/>
      <c r="B375" s="479"/>
      <c r="C375" s="441"/>
      <c r="D375" s="440"/>
      <c r="E375" s="442"/>
      <c r="F375" s="440"/>
    </row>
    <row r="376" spans="1:6" ht="17.649999999999999" customHeight="1">
      <c r="A376" s="1112"/>
      <c r="B376" s="475" t="str">
        <f>B124</f>
        <v>Interior Inspection Work SCOPE V2</v>
      </c>
      <c r="C376" s="264" t="str">
        <f>+'jobinfo(2)'!$C$1</f>
        <v>Hatten, Nedra</v>
      </c>
      <c r="D376" s="1115" t="str">
        <f>+'jobinfo(2)'!$C$2</f>
        <v>628 Quilliams Road</v>
      </c>
      <c r="E376" s="1115"/>
    </row>
    <row r="377" spans="1:6" ht="17.649999999999999" customHeight="1">
      <c r="A377" s="1112"/>
      <c r="B377" s="468" t="str">
        <f>B125</f>
        <v xml:space="preserve">                                    ROOM =</v>
      </c>
      <c r="C377" s="411">
        <f>+'jobinfo(2)'!C91</f>
        <v>0</v>
      </c>
      <c r="D377" s="391">
        <f>+'jobinfo(2)'!C92</f>
        <v>0</v>
      </c>
      <c r="E377" s="525">
        <f>+'jobinfo(2)'!C93</f>
        <v>0</v>
      </c>
      <c r="F377" s="392">
        <f>+'jobinfo(2)'!C94</f>
        <v>0</v>
      </c>
    </row>
    <row r="378" spans="1:6" ht="17.649999999999999" customHeight="1">
      <c r="A378" s="1112"/>
      <c r="B378" s="507" t="s">
        <v>999</v>
      </c>
      <c r="C378" s="521">
        <f>+'jobinfo(2)'!A91</f>
        <v>37</v>
      </c>
      <c r="D378" s="521">
        <f>+'jobinfo(2)'!A92</f>
        <v>38</v>
      </c>
      <c r="E378" s="521">
        <f>+'jobinfo(2)'!A93</f>
        <v>39</v>
      </c>
      <c r="F378" s="521">
        <f>+'jobinfo(2)'!A94</f>
        <v>40</v>
      </c>
    </row>
    <row r="379" spans="1:6" ht="17.649999999999999" customHeight="1">
      <c r="A379" s="1112"/>
      <c r="B379" s="508" t="s">
        <v>1000</v>
      </c>
      <c r="C379" s="159"/>
      <c r="D379" s="160"/>
      <c r="E379" s="161"/>
      <c r="F379" s="160"/>
    </row>
    <row r="380" spans="1:6" ht="17.649999999999999" customHeight="1">
      <c r="A380" s="1113" t="s">
        <v>1035</v>
      </c>
      <c r="B380" s="508" t="s">
        <v>1001</v>
      </c>
      <c r="C380" s="434"/>
      <c r="D380" s="435"/>
      <c r="E380" s="436"/>
      <c r="F380" s="435"/>
    </row>
    <row r="381" spans="1:6" ht="17.649999999999999" customHeight="1">
      <c r="A381" s="1113"/>
      <c r="B381" s="509" t="s">
        <v>1002</v>
      </c>
      <c r="C381" s="437"/>
      <c r="D381" s="436"/>
      <c r="E381" s="435"/>
      <c r="F381" s="436"/>
    </row>
    <row r="382" spans="1:6" ht="17.649999999999999" customHeight="1">
      <c r="A382" s="1113"/>
      <c r="B382" s="508" t="s">
        <v>1037</v>
      </c>
      <c r="C382" s="522" t="s">
        <v>1006</v>
      </c>
      <c r="D382" s="439" t="s">
        <v>1006</v>
      </c>
      <c r="E382" s="523" t="s">
        <v>1006</v>
      </c>
      <c r="F382" s="439" t="s">
        <v>1006</v>
      </c>
    </row>
    <row r="383" spans="1:6" ht="17.649999999999999" customHeight="1">
      <c r="A383" s="1113"/>
      <c r="B383" s="510" t="s">
        <v>1004</v>
      </c>
      <c r="C383" s="449" t="s">
        <v>1006</v>
      </c>
      <c r="D383" s="440" t="s">
        <v>1006</v>
      </c>
      <c r="E383" s="439" t="s">
        <v>1006</v>
      </c>
      <c r="F383" s="440" t="s">
        <v>1006</v>
      </c>
    </row>
    <row r="384" spans="1:6" ht="17.649999999999999" customHeight="1">
      <c r="A384" s="1114" t="s">
        <v>1024</v>
      </c>
      <c r="B384" s="477" t="s">
        <v>1038</v>
      </c>
      <c r="C384" s="434"/>
      <c r="D384" s="435"/>
      <c r="E384" s="436"/>
      <c r="F384" s="435"/>
    </row>
    <row r="385" spans="1:6" ht="17.649999999999999" customHeight="1">
      <c r="A385" s="1114"/>
      <c r="B385" s="509" t="s">
        <v>1008</v>
      </c>
      <c r="C385" s="449" t="s">
        <v>1006</v>
      </c>
      <c r="D385" s="440" t="s">
        <v>1006</v>
      </c>
      <c r="E385" s="439" t="s">
        <v>1006</v>
      </c>
      <c r="F385" s="440" t="s">
        <v>1006</v>
      </c>
    </row>
    <row r="386" spans="1:6" ht="17.649999999999999" customHeight="1">
      <c r="A386" s="1109" t="s">
        <v>1029</v>
      </c>
      <c r="B386" s="511" t="s">
        <v>1009</v>
      </c>
      <c r="C386" s="522" t="s">
        <v>1006</v>
      </c>
      <c r="D386" s="439" t="s">
        <v>1006</v>
      </c>
      <c r="E386" s="523" t="s">
        <v>1006</v>
      </c>
      <c r="F386" s="439" t="s">
        <v>1006</v>
      </c>
    </row>
    <row r="387" spans="1:6" ht="17.649999999999999" customHeight="1">
      <c r="A387" s="1109"/>
      <c r="B387" s="485" t="str">
        <f>B303</f>
        <v>Smoke/Alarm/Chime;MSK/CLN/D&amp;R/R&amp;R</v>
      </c>
      <c r="C387" s="441" t="s">
        <v>1006</v>
      </c>
      <c r="D387" s="440" t="s">
        <v>1006</v>
      </c>
      <c r="E387" s="442" t="s">
        <v>1006</v>
      </c>
      <c r="F387" s="440" t="s">
        <v>1006</v>
      </c>
    </row>
    <row r="388" spans="1:6" ht="17.649999999999999" customHeight="1">
      <c r="A388" s="1109"/>
      <c r="B388" s="180" t="s">
        <v>1011</v>
      </c>
      <c r="C388" s="522" t="s">
        <v>1006</v>
      </c>
      <c r="D388" s="439" t="s">
        <v>1006</v>
      </c>
      <c r="E388" s="523" t="s">
        <v>1006</v>
      </c>
      <c r="F388" s="439" t="s">
        <v>1006</v>
      </c>
    </row>
    <row r="389" spans="1:6" ht="17.649999999999999" customHeight="1">
      <c r="A389" s="1109"/>
      <c r="B389" s="479"/>
      <c r="C389" s="441"/>
      <c r="D389" s="440"/>
      <c r="E389" s="442"/>
      <c r="F389" s="440"/>
    </row>
    <row r="390" spans="1:6" ht="17.649999999999999" customHeight="1">
      <c r="A390" s="1110" t="s">
        <v>10</v>
      </c>
      <c r="B390" s="480" t="s">
        <v>1039</v>
      </c>
      <c r="C390" s="434"/>
      <c r="D390" s="435"/>
      <c r="E390" s="436"/>
      <c r="F390" s="435"/>
    </row>
    <row r="391" spans="1:6" ht="17.649999999999999" customHeight="1">
      <c r="A391" s="1110"/>
      <c r="B391" s="485" t="e">
        <f>B307</f>
        <v>#REF!</v>
      </c>
      <c r="C391" s="437"/>
      <c r="D391" s="436"/>
      <c r="E391" s="435"/>
      <c r="F391" s="436"/>
    </row>
    <row r="392" spans="1:6" ht="17.649999999999999" customHeight="1">
      <c r="A392" s="1110"/>
      <c r="B392" s="267" t="s">
        <v>1002</v>
      </c>
      <c r="C392" s="434"/>
      <c r="D392" s="435"/>
      <c r="E392" s="436"/>
      <c r="F392" s="435"/>
    </row>
    <row r="393" spans="1:6" ht="17.649999999999999" customHeight="1">
      <c r="B393" s="476" t="s">
        <v>1037</v>
      </c>
      <c r="C393" s="441" t="s">
        <v>1006</v>
      </c>
      <c r="D393" s="440" t="s">
        <v>1006</v>
      </c>
      <c r="E393" s="442" t="s">
        <v>1006</v>
      </c>
      <c r="F393" s="440" t="s">
        <v>1006</v>
      </c>
    </row>
    <row r="394" spans="1:6" ht="17.649999999999999" customHeight="1">
      <c r="B394" s="478" t="s">
        <v>1016</v>
      </c>
      <c r="C394" s="446"/>
      <c r="D394" s="447"/>
      <c r="E394" s="448"/>
      <c r="F394" s="447"/>
    </row>
    <row r="395" spans="1:6" ht="17.649999999999999" customHeight="1">
      <c r="B395" s="476" t="s">
        <v>1027</v>
      </c>
      <c r="C395" s="441" t="s">
        <v>1006</v>
      </c>
      <c r="D395" s="440" t="s">
        <v>1006</v>
      </c>
      <c r="E395" s="442" t="s">
        <v>1006</v>
      </c>
      <c r="F395" s="440" t="s">
        <v>1006</v>
      </c>
    </row>
    <row r="396" spans="1:6" ht="17.649999999999999" customHeight="1">
      <c r="B396" s="511" t="s">
        <v>1017</v>
      </c>
      <c r="C396" s="522" t="s">
        <v>1006</v>
      </c>
      <c r="D396" s="439" t="s">
        <v>1006</v>
      </c>
      <c r="E396" s="523" t="s">
        <v>1006</v>
      </c>
      <c r="F396" s="439" t="s">
        <v>1006</v>
      </c>
    </row>
    <row r="397" spans="1:6" ht="17.649999999999999" customHeight="1">
      <c r="B397" s="512" t="s">
        <v>1018</v>
      </c>
      <c r="C397" s="441" t="s">
        <v>1006</v>
      </c>
      <c r="D397" s="440" t="s">
        <v>1006</v>
      </c>
      <c r="E397" s="442" t="s">
        <v>1006</v>
      </c>
      <c r="F397" s="440" t="s">
        <v>1006</v>
      </c>
    </row>
    <row r="398" spans="1:6" ht="17.649999999999999" customHeight="1">
      <c r="B398" s="513" t="s">
        <v>1019</v>
      </c>
      <c r="C398" s="522" t="s">
        <v>1006</v>
      </c>
      <c r="D398" s="439" t="s">
        <v>1006</v>
      </c>
      <c r="E398" s="523" t="s">
        <v>1006</v>
      </c>
      <c r="F398" s="439" t="s">
        <v>1006</v>
      </c>
    </row>
    <row r="399" spans="1:6" ht="17.649999999999999" customHeight="1">
      <c r="B399" s="266"/>
      <c r="C399" s="441"/>
      <c r="D399" s="440"/>
      <c r="E399" s="442"/>
      <c r="F399" s="440"/>
    </row>
    <row r="400" spans="1:6" ht="17.649999999999999" customHeight="1">
      <c r="B400" s="514" t="s">
        <v>1020</v>
      </c>
      <c r="C400" s="434"/>
      <c r="D400" s="435"/>
      <c r="E400" s="436"/>
      <c r="F400" s="435"/>
    </row>
    <row r="401" spans="2:6" ht="17.649999999999999" customHeight="1">
      <c r="B401" s="509" t="s">
        <v>1021</v>
      </c>
      <c r="C401" s="441" t="s">
        <v>1006</v>
      </c>
      <c r="D401" s="440" t="s">
        <v>1006</v>
      </c>
      <c r="E401" s="442" t="s">
        <v>1006</v>
      </c>
      <c r="F401" s="440" t="s">
        <v>1006</v>
      </c>
    </row>
    <row r="402" spans="2:6" ht="17.649999999999999" customHeight="1">
      <c r="B402" s="510" t="s">
        <v>1022</v>
      </c>
      <c r="C402" s="522" t="s">
        <v>1006</v>
      </c>
      <c r="D402" s="439" t="s">
        <v>1006</v>
      </c>
      <c r="E402" s="523" t="s">
        <v>1006</v>
      </c>
      <c r="F402" s="439" t="s">
        <v>1006</v>
      </c>
    </row>
    <row r="403" spans="2:6" ht="17.649999999999999" customHeight="1">
      <c r="B403" s="515" t="s">
        <v>1023</v>
      </c>
      <c r="C403" s="441" t="s">
        <v>1006</v>
      </c>
      <c r="D403" s="440" t="s">
        <v>1006</v>
      </c>
      <c r="E403" s="442" t="s">
        <v>1006</v>
      </c>
      <c r="F403" s="440" t="s">
        <v>1006</v>
      </c>
    </row>
    <row r="404" spans="2:6" ht="17.649999999999999" customHeight="1">
      <c r="B404" s="515"/>
      <c r="C404" s="522"/>
      <c r="D404" s="439"/>
      <c r="E404" s="523"/>
      <c r="F404" s="439"/>
    </row>
    <row r="405" spans="2:6" ht="17.649999999999999" customHeight="1">
      <c r="B405" s="516" t="s">
        <v>1025</v>
      </c>
      <c r="C405" s="438"/>
      <c r="D405" s="440" t="s">
        <v>1026</v>
      </c>
      <c r="E405" s="524" t="s">
        <v>1026</v>
      </c>
      <c r="F405" s="440" t="s">
        <v>1026</v>
      </c>
    </row>
    <row r="406" spans="2:6" ht="17.649999999999999" customHeight="1">
      <c r="B406" s="508" t="s">
        <v>1027</v>
      </c>
      <c r="C406" s="441" t="s">
        <v>1006</v>
      </c>
      <c r="D406" s="440" t="s">
        <v>1006</v>
      </c>
      <c r="E406" s="442" t="s">
        <v>1006</v>
      </c>
      <c r="F406" s="440" t="s">
        <v>1006</v>
      </c>
    </row>
    <row r="407" spans="2:6" ht="17.649999999999999" customHeight="1">
      <c r="B407" s="515" t="s">
        <v>1028</v>
      </c>
      <c r="C407" s="522" t="s">
        <v>1006</v>
      </c>
      <c r="D407" s="439" t="s">
        <v>1006</v>
      </c>
      <c r="E407" s="523" t="s">
        <v>1006</v>
      </c>
      <c r="F407" s="439" t="s">
        <v>1006</v>
      </c>
    </row>
    <row r="408" spans="2:6" ht="17.649999999999999" customHeight="1">
      <c r="B408" s="266"/>
      <c r="C408" s="434"/>
      <c r="D408" s="435"/>
      <c r="E408" s="436"/>
      <c r="F408" s="435"/>
    </row>
    <row r="409" spans="2:6" ht="17.649999999999999" customHeight="1">
      <c r="B409" s="517" t="str">
        <f>B367</f>
        <v>FLOOR; FCC/FCW/LAM/FCS/FCV/FCT</v>
      </c>
      <c r="C409" s="437"/>
      <c r="D409" s="436"/>
      <c r="E409" s="435"/>
      <c r="F409" s="436"/>
    </row>
    <row r="410" spans="2:6" ht="17.649999999999999" customHeight="1">
      <c r="B410" s="508" t="s">
        <v>1031</v>
      </c>
      <c r="C410" s="438" t="s">
        <v>1006</v>
      </c>
      <c r="D410" s="439" t="s">
        <v>1006</v>
      </c>
      <c r="E410" s="440" t="s">
        <v>1006</v>
      </c>
      <c r="F410" s="439" t="s">
        <v>1006</v>
      </c>
    </row>
    <row r="411" spans="2:6" ht="17.649999999999999" customHeight="1">
      <c r="B411" s="518" t="s">
        <v>1032</v>
      </c>
      <c r="C411" s="437"/>
      <c r="D411" s="436"/>
      <c r="E411" s="435"/>
      <c r="F411" s="436"/>
    </row>
    <row r="412" spans="2:6" ht="17.649999999999999" customHeight="1">
      <c r="B412" s="508" t="s">
        <v>1031</v>
      </c>
      <c r="C412" s="438" t="s">
        <v>1006</v>
      </c>
      <c r="D412" s="439" t="s">
        <v>1006</v>
      </c>
      <c r="E412" s="440" t="s">
        <v>1006</v>
      </c>
      <c r="F412" s="439" t="s">
        <v>1006</v>
      </c>
    </row>
    <row r="413" spans="2:6" ht="17.649999999999999" customHeight="1">
      <c r="B413" s="476"/>
      <c r="C413" s="449"/>
      <c r="D413" s="440"/>
      <c r="E413" s="439"/>
      <c r="F413" s="440"/>
    </row>
    <row r="414" spans="2:6" ht="17.649999999999999" customHeight="1">
      <c r="B414" s="519" t="s">
        <v>1033</v>
      </c>
      <c r="C414" s="438" t="s">
        <v>1006</v>
      </c>
      <c r="D414" s="439" t="s">
        <v>1006</v>
      </c>
      <c r="E414" s="440" t="s">
        <v>1006</v>
      </c>
      <c r="F414" s="439" t="s">
        <v>1006</v>
      </c>
    </row>
    <row r="415" spans="2:6" ht="17.649999999999999" customHeight="1">
      <c r="B415" s="508" t="s">
        <v>1031</v>
      </c>
      <c r="C415" s="441" t="s">
        <v>1006</v>
      </c>
      <c r="D415" s="440" t="s">
        <v>1006</v>
      </c>
      <c r="E415" s="442" t="s">
        <v>1006</v>
      </c>
      <c r="F415" s="440" t="s">
        <v>1006</v>
      </c>
    </row>
    <row r="416" spans="2:6" ht="17.649999999999999" customHeight="1">
      <c r="B416" s="520" t="s">
        <v>1034</v>
      </c>
      <c r="C416" s="522"/>
      <c r="D416" s="439"/>
      <c r="E416" s="523"/>
      <c r="F416" s="439"/>
    </row>
    <row r="417" spans="2:6" ht="17.649999999999999" customHeight="1">
      <c r="B417" s="479"/>
      <c r="C417" s="441"/>
      <c r="D417" s="440"/>
      <c r="E417" s="442"/>
      <c r="F417" s="440"/>
    </row>
  </sheetData>
  <mergeCells count="75">
    <mergeCell ref="D82:E82"/>
    <mergeCell ref="D292:E292"/>
    <mergeCell ref="D376:E376"/>
    <mergeCell ref="D334:E334"/>
    <mergeCell ref="A243:A244"/>
    <mergeCell ref="A245:A248"/>
    <mergeCell ref="A249:A251"/>
    <mergeCell ref="A210:A213"/>
    <mergeCell ref="A214:A216"/>
    <mergeCell ref="A219:A228"/>
    <mergeCell ref="A229:A238"/>
    <mergeCell ref="A239:A242"/>
    <mergeCell ref="A179:A181"/>
    <mergeCell ref="A184:A193"/>
    <mergeCell ref="A194:A203"/>
    <mergeCell ref="A204:A207"/>
    <mergeCell ref="A139:A142"/>
    <mergeCell ref="A143:A145"/>
    <mergeCell ref="A208:A209"/>
    <mergeCell ref="A149:A158"/>
    <mergeCell ref="A159:A168"/>
    <mergeCell ref="A169:A172"/>
    <mergeCell ref="A173:A174"/>
    <mergeCell ref="A175:A178"/>
    <mergeCell ref="A107:A109"/>
    <mergeCell ref="A113:A122"/>
    <mergeCell ref="A123:A132"/>
    <mergeCell ref="A133:A136"/>
    <mergeCell ref="A137:A138"/>
    <mergeCell ref="D1:E1"/>
    <mergeCell ref="A42:A51"/>
    <mergeCell ref="A52:A61"/>
    <mergeCell ref="A62:A65"/>
    <mergeCell ref="A66:A67"/>
    <mergeCell ref="D208:E208"/>
    <mergeCell ref="A3:A11"/>
    <mergeCell ref="A14:A19"/>
    <mergeCell ref="A22:A25"/>
    <mergeCell ref="A27:A29"/>
    <mergeCell ref="A31:A34"/>
    <mergeCell ref="A36:A38"/>
    <mergeCell ref="D40:E40"/>
    <mergeCell ref="D166:E166"/>
    <mergeCell ref="A68:A71"/>
    <mergeCell ref="A72:A74"/>
    <mergeCell ref="A77:A86"/>
    <mergeCell ref="A87:A96"/>
    <mergeCell ref="A97:A100"/>
    <mergeCell ref="A101:A102"/>
    <mergeCell ref="A103:A106"/>
    <mergeCell ref="A281:A284"/>
    <mergeCell ref="A285:A287"/>
    <mergeCell ref="D250:E250"/>
    <mergeCell ref="A255:A264"/>
    <mergeCell ref="A265:A274"/>
    <mergeCell ref="A275:A278"/>
    <mergeCell ref="A279:A280"/>
    <mergeCell ref="A290:A299"/>
    <mergeCell ref="A300:A309"/>
    <mergeCell ref="A310:A313"/>
    <mergeCell ref="A314:A315"/>
    <mergeCell ref="A316:A319"/>
    <mergeCell ref="A320:A322"/>
    <mergeCell ref="A325:A334"/>
    <mergeCell ref="A335:A344"/>
    <mergeCell ref="A345:A348"/>
    <mergeCell ref="A349:A350"/>
    <mergeCell ref="A351:A354"/>
    <mergeCell ref="A355:A357"/>
    <mergeCell ref="A390:A392"/>
    <mergeCell ref="A360:A369"/>
    <mergeCell ref="A370:A379"/>
    <mergeCell ref="A380:A383"/>
    <mergeCell ref="A384:A385"/>
    <mergeCell ref="A386:A389"/>
  </mergeCells>
  <printOptions horizontalCentered="1" verticalCentered="1"/>
  <pageMargins left="0.08" right="0.13" top="0.17" bottom="0.32" header="0.17" footer="0.17"/>
  <pageSetup orientation="landscape" r:id="rId1"/>
  <headerFooter>
    <oddFooter>&amp;L&amp;A&amp;C
&amp;R
Page  #  &amp;P         &amp;F</oddFooter>
  </headerFooter>
  <rowBreaks count="1" manualBreakCount="1">
    <brk id="39" max="8"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8D973-0234-4592-9DC0-8AF25DDFB125}">
  <sheetPr codeName="Sheet5">
    <tabColor rgb="FFFFFF00"/>
  </sheetPr>
  <dimension ref="A1:G487"/>
  <sheetViews>
    <sheetView showGridLines="0" view="pageBreakPreview" zoomScaleNormal="100" zoomScaleSheetLayoutView="100" workbookViewId="0">
      <selection activeCell="B1" sqref="B1"/>
    </sheetView>
  </sheetViews>
  <sheetFormatPr defaultRowHeight="18.399999999999999" customHeight="1"/>
  <cols>
    <col min="1" max="1" width="4.7109375" style="352" customWidth="1"/>
    <col min="2" max="2" width="34.7109375" style="413" customWidth="1"/>
    <col min="3" max="3" width="16.28515625" style="553" customWidth="1"/>
    <col min="4" max="4" width="15.85546875" style="553" customWidth="1"/>
    <col min="5" max="6" width="14.7109375" style="553" customWidth="1"/>
    <col min="190" max="191" width="35.7109375" customWidth="1"/>
    <col min="192" max="192" width="25.7109375" customWidth="1"/>
    <col min="197" max="197" width="3" customWidth="1"/>
    <col min="198" max="198" width="39.7109375" customWidth="1"/>
    <col min="199" max="199" width="5.7109375" customWidth="1"/>
    <col min="200" max="200" width="35.7109375" customWidth="1"/>
    <col min="204" max="204" width="44.7109375" customWidth="1"/>
    <col min="212" max="212" width="88.7109375" customWidth="1"/>
    <col min="446" max="447" width="35.7109375" customWidth="1"/>
    <col min="448" max="448" width="25.7109375" customWidth="1"/>
    <col min="453" max="453" width="3" customWidth="1"/>
    <col min="454" max="454" width="39.7109375" customWidth="1"/>
    <col min="455" max="455" width="5.7109375" customWidth="1"/>
    <col min="456" max="456" width="35.7109375" customWidth="1"/>
    <col min="460" max="460" width="44.7109375" customWidth="1"/>
    <col min="468" max="468" width="88.7109375" customWidth="1"/>
    <col min="702" max="703" width="35.7109375" customWidth="1"/>
    <col min="704" max="704" width="25.7109375" customWidth="1"/>
    <col min="709" max="709" width="3" customWidth="1"/>
    <col min="710" max="710" width="39.7109375" customWidth="1"/>
    <col min="711" max="711" width="5.7109375" customWidth="1"/>
    <col min="712" max="712" width="35.7109375" customWidth="1"/>
    <col min="716" max="716" width="44.7109375" customWidth="1"/>
    <col min="724" max="724" width="88.7109375" customWidth="1"/>
    <col min="958" max="959" width="35.7109375" customWidth="1"/>
    <col min="960" max="960" width="25.7109375" customWidth="1"/>
    <col min="965" max="965" width="3" customWidth="1"/>
    <col min="966" max="966" width="39.7109375" customWidth="1"/>
    <col min="967" max="967" width="5.7109375" customWidth="1"/>
    <col min="968" max="968" width="35.7109375" customWidth="1"/>
    <col min="972" max="972" width="44.7109375" customWidth="1"/>
    <col min="980" max="980" width="88.7109375" customWidth="1"/>
    <col min="1214" max="1215" width="35.7109375" customWidth="1"/>
    <col min="1216" max="1216" width="25.7109375" customWidth="1"/>
    <col min="1221" max="1221" width="3" customWidth="1"/>
    <col min="1222" max="1222" width="39.7109375" customWidth="1"/>
    <col min="1223" max="1223" width="5.7109375" customWidth="1"/>
    <col min="1224" max="1224" width="35.7109375" customWidth="1"/>
    <col min="1228" max="1228" width="44.7109375" customWidth="1"/>
    <col min="1236" max="1236" width="88.7109375" customWidth="1"/>
    <col min="1470" max="1471" width="35.7109375" customWidth="1"/>
    <col min="1472" max="1472" width="25.7109375" customWidth="1"/>
    <col min="1477" max="1477" width="3" customWidth="1"/>
    <col min="1478" max="1478" width="39.7109375" customWidth="1"/>
    <col min="1479" max="1479" width="5.7109375" customWidth="1"/>
    <col min="1480" max="1480" width="35.7109375" customWidth="1"/>
    <col min="1484" max="1484" width="44.7109375" customWidth="1"/>
    <col min="1492" max="1492" width="88.7109375" customWidth="1"/>
    <col min="1726" max="1727" width="35.7109375" customWidth="1"/>
    <col min="1728" max="1728" width="25.7109375" customWidth="1"/>
    <col min="1733" max="1733" width="3" customWidth="1"/>
    <col min="1734" max="1734" width="39.7109375" customWidth="1"/>
    <col min="1735" max="1735" width="5.7109375" customWidth="1"/>
    <col min="1736" max="1736" width="35.7109375" customWidth="1"/>
    <col min="1740" max="1740" width="44.7109375" customWidth="1"/>
    <col min="1748" max="1748" width="88.7109375" customWidth="1"/>
    <col min="1982" max="1983" width="35.7109375" customWidth="1"/>
    <col min="1984" max="1984" width="25.7109375" customWidth="1"/>
    <col min="1989" max="1989" width="3" customWidth="1"/>
    <col min="1990" max="1990" width="39.7109375" customWidth="1"/>
    <col min="1991" max="1991" width="5.7109375" customWidth="1"/>
    <col min="1992" max="1992" width="35.7109375" customWidth="1"/>
    <col min="1996" max="1996" width="44.7109375" customWidth="1"/>
    <col min="2004" max="2004" width="88.7109375" customWidth="1"/>
    <col min="2238" max="2239" width="35.7109375" customWidth="1"/>
    <col min="2240" max="2240" width="25.7109375" customWidth="1"/>
    <col min="2245" max="2245" width="3" customWidth="1"/>
    <col min="2246" max="2246" width="39.7109375" customWidth="1"/>
    <col min="2247" max="2247" width="5.7109375" customWidth="1"/>
    <col min="2248" max="2248" width="35.7109375" customWidth="1"/>
    <col min="2252" max="2252" width="44.7109375" customWidth="1"/>
    <col min="2260" max="2260" width="88.7109375" customWidth="1"/>
    <col min="2494" max="2495" width="35.7109375" customWidth="1"/>
    <col min="2496" max="2496" width="25.7109375" customWidth="1"/>
    <col min="2501" max="2501" width="3" customWidth="1"/>
    <col min="2502" max="2502" width="39.7109375" customWidth="1"/>
    <col min="2503" max="2503" width="5.7109375" customWidth="1"/>
    <col min="2504" max="2504" width="35.7109375" customWidth="1"/>
    <col min="2508" max="2508" width="44.7109375" customWidth="1"/>
    <col min="2516" max="2516" width="88.7109375" customWidth="1"/>
    <col min="2750" max="2751" width="35.7109375" customWidth="1"/>
    <col min="2752" max="2752" width="25.7109375" customWidth="1"/>
    <col min="2757" max="2757" width="3" customWidth="1"/>
    <col min="2758" max="2758" width="39.7109375" customWidth="1"/>
    <col min="2759" max="2759" width="5.7109375" customWidth="1"/>
    <col min="2760" max="2760" width="35.7109375" customWidth="1"/>
    <col min="2764" max="2764" width="44.7109375" customWidth="1"/>
    <col min="2772" max="2772" width="88.7109375" customWidth="1"/>
    <col min="3006" max="3007" width="35.7109375" customWidth="1"/>
    <col min="3008" max="3008" width="25.7109375" customWidth="1"/>
    <col min="3013" max="3013" width="3" customWidth="1"/>
    <col min="3014" max="3014" width="39.7109375" customWidth="1"/>
    <col min="3015" max="3015" width="5.7109375" customWidth="1"/>
    <col min="3016" max="3016" width="35.7109375" customWidth="1"/>
    <col min="3020" max="3020" width="44.7109375" customWidth="1"/>
    <col min="3028" max="3028" width="88.7109375" customWidth="1"/>
    <col min="3262" max="3263" width="35.7109375" customWidth="1"/>
    <col min="3264" max="3264" width="25.7109375" customWidth="1"/>
    <col min="3269" max="3269" width="3" customWidth="1"/>
    <col min="3270" max="3270" width="39.7109375" customWidth="1"/>
    <col min="3271" max="3271" width="5.7109375" customWidth="1"/>
    <col min="3272" max="3272" width="35.7109375" customWidth="1"/>
    <col min="3276" max="3276" width="44.7109375" customWidth="1"/>
    <col min="3284" max="3284" width="88.7109375" customWidth="1"/>
    <col min="3518" max="3519" width="35.7109375" customWidth="1"/>
    <col min="3520" max="3520" width="25.7109375" customWidth="1"/>
    <col min="3525" max="3525" width="3" customWidth="1"/>
    <col min="3526" max="3526" width="39.7109375" customWidth="1"/>
    <col min="3527" max="3527" width="5.7109375" customWidth="1"/>
    <col min="3528" max="3528" width="35.7109375" customWidth="1"/>
    <col min="3532" max="3532" width="44.7109375" customWidth="1"/>
    <col min="3540" max="3540" width="88.7109375" customWidth="1"/>
    <col min="3774" max="3775" width="35.7109375" customWidth="1"/>
    <col min="3776" max="3776" width="25.7109375" customWidth="1"/>
    <col min="3781" max="3781" width="3" customWidth="1"/>
    <col min="3782" max="3782" width="39.7109375" customWidth="1"/>
    <col min="3783" max="3783" width="5.7109375" customWidth="1"/>
    <col min="3784" max="3784" width="35.7109375" customWidth="1"/>
    <col min="3788" max="3788" width="44.7109375" customWidth="1"/>
    <col min="3796" max="3796" width="88.7109375" customWidth="1"/>
    <col min="4030" max="4031" width="35.7109375" customWidth="1"/>
    <col min="4032" max="4032" width="25.7109375" customWidth="1"/>
    <col min="4037" max="4037" width="3" customWidth="1"/>
    <col min="4038" max="4038" width="39.7109375" customWidth="1"/>
    <col min="4039" max="4039" width="5.7109375" customWidth="1"/>
    <col min="4040" max="4040" width="35.7109375" customWidth="1"/>
    <col min="4044" max="4044" width="44.7109375" customWidth="1"/>
    <col min="4052" max="4052" width="88.7109375" customWidth="1"/>
    <col min="4286" max="4287" width="35.7109375" customWidth="1"/>
    <col min="4288" max="4288" width="25.7109375" customWidth="1"/>
    <col min="4293" max="4293" width="3" customWidth="1"/>
    <col min="4294" max="4294" width="39.7109375" customWidth="1"/>
    <col min="4295" max="4295" width="5.7109375" customWidth="1"/>
    <col min="4296" max="4296" width="35.7109375" customWidth="1"/>
    <col min="4300" max="4300" width="44.7109375" customWidth="1"/>
    <col min="4308" max="4308" width="88.7109375" customWidth="1"/>
    <col min="4542" max="4543" width="35.7109375" customWidth="1"/>
    <col min="4544" max="4544" width="25.7109375" customWidth="1"/>
    <col min="4549" max="4549" width="3" customWidth="1"/>
    <col min="4550" max="4550" width="39.7109375" customWidth="1"/>
    <col min="4551" max="4551" width="5.7109375" customWidth="1"/>
    <col min="4552" max="4552" width="35.7109375" customWidth="1"/>
    <col min="4556" max="4556" width="44.7109375" customWidth="1"/>
    <col min="4564" max="4564" width="88.7109375" customWidth="1"/>
    <col min="4798" max="4799" width="35.7109375" customWidth="1"/>
    <col min="4800" max="4800" width="25.7109375" customWidth="1"/>
    <col min="4805" max="4805" width="3" customWidth="1"/>
    <col min="4806" max="4806" width="39.7109375" customWidth="1"/>
    <col min="4807" max="4807" width="5.7109375" customWidth="1"/>
    <col min="4808" max="4808" width="35.7109375" customWidth="1"/>
    <col min="4812" max="4812" width="44.7109375" customWidth="1"/>
    <col min="4820" max="4820" width="88.7109375" customWidth="1"/>
    <col min="5054" max="5055" width="35.7109375" customWidth="1"/>
    <col min="5056" max="5056" width="25.7109375" customWidth="1"/>
    <col min="5061" max="5061" width="3" customWidth="1"/>
    <col min="5062" max="5062" width="39.7109375" customWidth="1"/>
    <col min="5063" max="5063" width="5.7109375" customWidth="1"/>
    <col min="5064" max="5064" width="35.7109375" customWidth="1"/>
    <col min="5068" max="5068" width="44.7109375" customWidth="1"/>
    <col min="5076" max="5076" width="88.7109375" customWidth="1"/>
    <col min="5310" max="5311" width="35.7109375" customWidth="1"/>
    <col min="5312" max="5312" width="25.7109375" customWidth="1"/>
    <col min="5317" max="5317" width="3" customWidth="1"/>
    <col min="5318" max="5318" width="39.7109375" customWidth="1"/>
    <col min="5319" max="5319" width="5.7109375" customWidth="1"/>
    <col min="5320" max="5320" width="35.7109375" customWidth="1"/>
    <col min="5324" max="5324" width="44.7109375" customWidth="1"/>
    <col min="5332" max="5332" width="88.7109375" customWidth="1"/>
    <col min="5566" max="5567" width="35.7109375" customWidth="1"/>
    <col min="5568" max="5568" width="25.7109375" customWidth="1"/>
    <col min="5573" max="5573" width="3" customWidth="1"/>
    <col min="5574" max="5574" width="39.7109375" customWidth="1"/>
    <col min="5575" max="5575" width="5.7109375" customWidth="1"/>
    <col min="5576" max="5576" width="35.7109375" customWidth="1"/>
    <col min="5580" max="5580" width="44.7109375" customWidth="1"/>
    <col min="5588" max="5588" width="88.7109375" customWidth="1"/>
    <col min="5822" max="5823" width="35.7109375" customWidth="1"/>
    <col min="5824" max="5824" width="25.7109375" customWidth="1"/>
    <col min="5829" max="5829" width="3" customWidth="1"/>
    <col min="5830" max="5830" width="39.7109375" customWidth="1"/>
    <col min="5831" max="5831" width="5.7109375" customWidth="1"/>
    <col min="5832" max="5832" width="35.7109375" customWidth="1"/>
    <col min="5836" max="5836" width="44.7109375" customWidth="1"/>
    <col min="5844" max="5844" width="88.7109375" customWidth="1"/>
    <col min="6078" max="6079" width="35.7109375" customWidth="1"/>
    <col min="6080" max="6080" width="25.7109375" customWidth="1"/>
    <col min="6085" max="6085" width="3" customWidth="1"/>
    <col min="6086" max="6086" width="39.7109375" customWidth="1"/>
    <col min="6087" max="6087" width="5.7109375" customWidth="1"/>
    <col min="6088" max="6088" width="35.7109375" customWidth="1"/>
    <col min="6092" max="6092" width="44.7109375" customWidth="1"/>
    <col min="6100" max="6100" width="88.7109375" customWidth="1"/>
    <col min="6334" max="6335" width="35.7109375" customWidth="1"/>
    <col min="6336" max="6336" width="25.7109375" customWidth="1"/>
    <col min="6341" max="6341" width="3" customWidth="1"/>
    <col min="6342" max="6342" width="39.7109375" customWidth="1"/>
    <col min="6343" max="6343" width="5.7109375" customWidth="1"/>
    <col min="6344" max="6344" width="35.7109375" customWidth="1"/>
    <col min="6348" max="6348" width="44.7109375" customWidth="1"/>
    <col min="6356" max="6356" width="88.7109375" customWidth="1"/>
    <col min="6590" max="6591" width="35.7109375" customWidth="1"/>
    <col min="6592" max="6592" width="25.7109375" customWidth="1"/>
    <col min="6597" max="6597" width="3" customWidth="1"/>
    <col min="6598" max="6598" width="39.7109375" customWidth="1"/>
    <col min="6599" max="6599" width="5.7109375" customWidth="1"/>
    <col min="6600" max="6600" width="35.7109375" customWidth="1"/>
    <col min="6604" max="6604" width="44.7109375" customWidth="1"/>
    <col min="6612" max="6612" width="88.7109375" customWidth="1"/>
    <col min="6846" max="6847" width="35.7109375" customWidth="1"/>
    <col min="6848" max="6848" width="25.7109375" customWidth="1"/>
    <col min="6853" max="6853" width="3" customWidth="1"/>
    <col min="6854" max="6854" width="39.7109375" customWidth="1"/>
    <col min="6855" max="6855" width="5.7109375" customWidth="1"/>
    <col min="6856" max="6856" width="35.7109375" customWidth="1"/>
    <col min="6860" max="6860" width="44.7109375" customWidth="1"/>
    <col min="6868" max="6868" width="88.7109375" customWidth="1"/>
    <col min="7102" max="7103" width="35.7109375" customWidth="1"/>
    <col min="7104" max="7104" width="25.7109375" customWidth="1"/>
    <col min="7109" max="7109" width="3" customWidth="1"/>
    <col min="7110" max="7110" width="39.7109375" customWidth="1"/>
    <col min="7111" max="7111" width="5.7109375" customWidth="1"/>
    <col min="7112" max="7112" width="35.7109375" customWidth="1"/>
    <col min="7116" max="7116" width="44.7109375" customWidth="1"/>
    <col min="7124" max="7124" width="88.7109375" customWidth="1"/>
    <col min="7358" max="7359" width="35.7109375" customWidth="1"/>
    <col min="7360" max="7360" width="25.7109375" customWidth="1"/>
    <col min="7365" max="7365" width="3" customWidth="1"/>
    <col min="7366" max="7366" width="39.7109375" customWidth="1"/>
    <col min="7367" max="7367" width="5.7109375" customWidth="1"/>
    <col min="7368" max="7368" width="35.7109375" customWidth="1"/>
    <col min="7372" max="7372" width="44.7109375" customWidth="1"/>
    <col min="7380" max="7380" width="88.7109375" customWidth="1"/>
    <col min="7614" max="7615" width="35.7109375" customWidth="1"/>
    <col min="7616" max="7616" width="25.7109375" customWidth="1"/>
    <col min="7621" max="7621" width="3" customWidth="1"/>
    <col min="7622" max="7622" width="39.7109375" customWidth="1"/>
    <col min="7623" max="7623" width="5.7109375" customWidth="1"/>
    <col min="7624" max="7624" width="35.7109375" customWidth="1"/>
    <col min="7628" max="7628" width="44.7109375" customWidth="1"/>
    <col min="7636" max="7636" width="88.7109375" customWidth="1"/>
    <col min="7870" max="7871" width="35.7109375" customWidth="1"/>
    <col min="7872" max="7872" width="25.7109375" customWidth="1"/>
    <col min="7877" max="7877" width="3" customWidth="1"/>
    <col min="7878" max="7878" width="39.7109375" customWidth="1"/>
    <col min="7879" max="7879" width="5.7109375" customWidth="1"/>
    <col min="7880" max="7880" width="35.7109375" customWidth="1"/>
    <col min="7884" max="7884" width="44.7109375" customWidth="1"/>
    <col min="7892" max="7892" width="88.7109375" customWidth="1"/>
    <col min="8126" max="8127" width="35.7109375" customWidth="1"/>
    <col min="8128" max="8128" width="25.7109375" customWidth="1"/>
    <col min="8133" max="8133" width="3" customWidth="1"/>
    <col min="8134" max="8134" width="39.7109375" customWidth="1"/>
    <col min="8135" max="8135" width="5.7109375" customWidth="1"/>
    <col min="8136" max="8136" width="35.7109375" customWidth="1"/>
    <col min="8140" max="8140" width="44.7109375" customWidth="1"/>
    <col min="8148" max="8148" width="88.7109375" customWidth="1"/>
    <col min="8382" max="8383" width="35.7109375" customWidth="1"/>
    <col min="8384" max="8384" width="25.7109375" customWidth="1"/>
    <col min="8389" max="8389" width="3" customWidth="1"/>
    <col min="8390" max="8390" width="39.7109375" customWidth="1"/>
    <col min="8391" max="8391" width="5.7109375" customWidth="1"/>
    <col min="8392" max="8392" width="35.7109375" customWidth="1"/>
    <col min="8396" max="8396" width="44.7109375" customWidth="1"/>
    <col min="8404" max="8404" width="88.7109375" customWidth="1"/>
    <col min="8638" max="8639" width="35.7109375" customWidth="1"/>
    <col min="8640" max="8640" width="25.7109375" customWidth="1"/>
    <col min="8645" max="8645" width="3" customWidth="1"/>
    <col min="8646" max="8646" width="39.7109375" customWidth="1"/>
    <col min="8647" max="8647" width="5.7109375" customWidth="1"/>
    <col min="8648" max="8648" width="35.7109375" customWidth="1"/>
    <col min="8652" max="8652" width="44.7109375" customWidth="1"/>
    <col min="8660" max="8660" width="88.7109375" customWidth="1"/>
    <col min="8894" max="8895" width="35.7109375" customWidth="1"/>
    <col min="8896" max="8896" width="25.7109375" customWidth="1"/>
    <col min="8901" max="8901" width="3" customWidth="1"/>
    <col min="8902" max="8902" width="39.7109375" customWidth="1"/>
    <col min="8903" max="8903" width="5.7109375" customWidth="1"/>
    <col min="8904" max="8904" width="35.7109375" customWidth="1"/>
    <col min="8908" max="8908" width="44.7109375" customWidth="1"/>
    <col min="8916" max="8916" width="88.7109375" customWidth="1"/>
    <col min="9150" max="9151" width="35.7109375" customWidth="1"/>
    <col min="9152" max="9152" width="25.7109375" customWidth="1"/>
    <col min="9157" max="9157" width="3" customWidth="1"/>
    <col min="9158" max="9158" width="39.7109375" customWidth="1"/>
    <col min="9159" max="9159" width="5.7109375" customWidth="1"/>
    <col min="9160" max="9160" width="35.7109375" customWidth="1"/>
    <col min="9164" max="9164" width="44.7109375" customWidth="1"/>
    <col min="9172" max="9172" width="88.7109375" customWidth="1"/>
    <col min="9406" max="9407" width="35.7109375" customWidth="1"/>
    <col min="9408" max="9408" width="25.7109375" customWidth="1"/>
    <col min="9413" max="9413" width="3" customWidth="1"/>
    <col min="9414" max="9414" width="39.7109375" customWidth="1"/>
    <col min="9415" max="9415" width="5.7109375" customWidth="1"/>
    <col min="9416" max="9416" width="35.7109375" customWidth="1"/>
    <col min="9420" max="9420" width="44.7109375" customWidth="1"/>
    <col min="9428" max="9428" width="88.7109375" customWidth="1"/>
    <col min="9662" max="9663" width="35.7109375" customWidth="1"/>
    <col min="9664" max="9664" width="25.7109375" customWidth="1"/>
    <col min="9669" max="9669" width="3" customWidth="1"/>
    <col min="9670" max="9670" width="39.7109375" customWidth="1"/>
    <col min="9671" max="9671" width="5.7109375" customWidth="1"/>
    <col min="9672" max="9672" width="35.7109375" customWidth="1"/>
    <col min="9676" max="9676" width="44.7109375" customWidth="1"/>
    <col min="9684" max="9684" width="88.7109375" customWidth="1"/>
    <col min="9918" max="9919" width="35.7109375" customWidth="1"/>
    <col min="9920" max="9920" width="25.7109375" customWidth="1"/>
    <col min="9925" max="9925" width="3" customWidth="1"/>
    <col min="9926" max="9926" width="39.7109375" customWidth="1"/>
    <col min="9927" max="9927" width="5.7109375" customWidth="1"/>
    <col min="9928" max="9928" width="35.7109375" customWidth="1"/>
    <col min="9932" max="9932" width="44.7109375" customWidth="1"/>
    <col min="9940" max="9940" width="88.7109375" customWidth="1"/>
    <col min="10174" max="10175" width="35.7109375" customWidth="1"/>
    <col min="10176" max="10176" width="25.7109375" customWidth="1"/>
    <col min="10181" max="10181" width="3" customWidth="1"/>
    <col min="10182" max="10182" width="39.7109375" customWidth="1"/>
    <col min="10183" max="10183" width="5.7109375" customWidth="1"/>
    <col min="10184" max="10184" width="35.7109375" customWidth="1"/>
    <col min="10188" max="10188" width="44.7109375" customWidth="1"/>
    <col min="10196" max="10196" width="88.7109375" customWidth="1"/>
    <col min="10430" max="10431" width="35.7109375" customWidth="1"/>
    <col min="10432" max="10432" width="25.7109375" customWidth="1"/>
    <col min="10437" max="10437" width="3" customWidth="1"/>
    <col min="10438" max="10438" width="39.7109375" customWidth="1"/>
    <col min="10439" max="10439" width="5.7109375" customWidth="1"/>
    <col min="10440" max="10440" width="35.7109375" customWidth="1"/>
    <col min="10444" max="10444" width="44.7109375" customWidth="1"/>
    <col min="10452" max="10452" width="88.7109375" customWidth="1"/>
    <col min="10686" max="10687" width="35.7109375" customWidth="1"/>
    <col min="10688" max="10688" width="25.7109375" customWidth="1"/>
    <col min="10693" max="10693" width="3" customWidth="1"/>
    <col min="10694" max="10694" width="39.7109375" customWidth="1"/>
    <col min="10695" max="10695" width="5.7109375" customWidth="1"/>
    <col min="10696" max="10696" width="35.7109375" customWidth="1"/>
    <col min="10700" max="10700" width="44.7109375" customWidth="1"/>
    <col min="10708" max="10708" width="88.7109375" customWidth="1"/>
    <col min="10942" max="10943" width="35.7109375" customWidth="1"/>
    <col min="10944" max="10944" width="25.7109375" customWidth="1"/>
    <col min="10949" max="10949" width="3" customWidth="1"/>
    <col min="10950" max="10950" width="39.7109375" customWidth="1"/>
    <col min="10951" max="10951" width="5.7109375" customWidth="1"/>
    <col min="10952" max="10952" width="35.7109375" customWidth="1"/>
    <col min="10956" max="10956" width="44.7109375" customWidth="1"/>
    <col min="10964" max="10964" width="88.7109375" customWidth="1"/>
    <col min="11198" max="11199" width="35.7109375" customWidth="1"/>
    <col min="11200" max="11200" width="25.7109375" customWidth="1"/>
    <col min="11205" max="11205" width="3" customWidth="1"/>
    <col min="11206" max="11206" width="39.7109375" customWidth="1"/>
    <col min="11207" max="11207" width="5.7109375" customWidth="1"/>
    <col min="11208" max="11208" width="35.7109375" customWidth="1"/>
    <col min="11212" max="11212" width="44.7109375" customWidth="1"/>
    <col min="11220" max="11220" width="88.7109375" customWidth="1"/>
    <col min="11454" max="11455" width="35.7109375" customWidth="1"/>
    <col min="11456" max="11456" width="25.7109375" customWidth="1"/>
    <col min="11461" max="11461" width="3" customWidth="1"/>
    <col min="11462" max="11462" width="39.7109375" customWidth="1"/>
    <col min="11463" max="11463" width="5.7109375" customWidth="1"/>
    <col min="11464" max="11464" width="35.7109375" customWidth="1"/>
    <col min="11468" max="11468" width="44.7109375" customWidth="1"/>
    <col min="11476" max="11476" width="88.7109375" customWidth="1"/>
    <col min="11710" max="11711" width="35.7109375" customWidth="1"/>
    <col min="11712" max="11712" width="25.7109375" customWidth="1"/>
    <col min="11717" max="11717" width="3" customWidth="1"/>
    <col min="11718" max="11718" width="39.7109375" customWidth="1"/>
    <col min="11719" max="11719" width="5.7109375" customWidth="1"/>
    <col min="11720" max="11720" width="35.7109375" customWidth="1"/>
    <col min="11724" max="11724" width="44.7109375" customWidth="1"/>
    <col min="11732" max="11732" width="88.7109375" customWidth="1"/>
    <col min="11966" max="11967" width="35.7109375" customWidth="1"/>
    <col min="11968" max="11968" width="25.7109375" customWidth="1"/>
    <col min="11973" max="11973" width="3" customWidth="1"/>
    <col min="11974" max="11974" width="39.7109375" customWidth="1"/>
    <col min="11975" max="11975" width="5.7109375" customWidth="1"/>
    <col min="11976" max="11976" width="35.7109375" customWidth="1"/>
    <col min="11980" max="11980" width="44.7109375" customWidth="1"/>
    <col min="11988" max="11988" width="88.7109375" customWidth="1"/>
    <col min="12222" max="12223" width="35.7109375" customWidth="1"/>
    <col min="12224" max="12224" width="25.7109375" customWidth="1"/>
    <col min="12229" max="12229" width="3" customWidth="1"/>
    <col min="12230" max="12230" width="39.7109375" customWidth="1"/>
    <col min="12231" max="12231" width="5.7109375" customWidth="1"/>
    <col min="12232" max="12232" width="35.7109375" customWidth="1"/>
    <col min="12236" max="12236" width="44.7109375" customWidth="1"/>
    <col min="12244" max="12244" width="88.7109375" customWidth="1"/>
    <col min="12478" max="12479" width="35.7109375" customWidth="1"/>
    <col min="12480" max="12480" width="25.7109375" customWidth="1"/>
    <col min="12485" max="12485" width="3" customWidth="1"/>
    <col min="12486" max="12486" width="39.7109375" customWidth="1"/>
    <col min="12487" max="12487" width="5.7109375" customWidth="1"/>
    <col min="12488" max="12488" width="35.7109375" customWidth="1"/>
    <col min="12492" max="12492" width="44.7109375" customWidth="1"/>
    <col min="12500" max="12500" width="88.7109375" customWidth="1"/>
    <col min="12734" max="12735" width="35.7109375" customWidth="1"/>
    <col min="12736" max="12736" width="25.7109375" customWidth="1"/>
    <col min="12741" max="12741" width="3" customWidth="1"/>
    <col min="12742" max="12742" width="39.7109375" customWidth="1"/>
    <col min="12743" max="12743" width="5.7109375" customWidth="1"/>
    <col min="12744" max="12744" width="35.7109375" customWidth="1"/>
    <col min="12748" max="12748" width="44.7109375" customWidth="1"/>
    <col min="12756" max="12756" width="88.7109375" customWidth="1"/>
    <col min="12990" max="12991" width="35.7109375" customWidth="1"/>
    <col min="12992" max="12992" width="25.7109375" customWidth="1"/>
    <col min="12997" max="12997" width="3" customWidth="1"/>
    <col min="12998" max="12998" width="39.7109375" customWidth="1"/>
    <col min="12999" max="12999" width="5.7109375" customWidth="1"/>
    <col min="13000" max="13000" width="35.7109375" customWidth="1"/>
    <col min="13004" max="13004" width="44.7109375" customWidth="1"/>
    <col min="13012" max="13012" width="88.7109375" customWidth="1"/>
    <col min="13246" max="13247" width="35.7109375" customWidth="1"/>
    <col min="13248" max="13248" width="25.7109375" customWidth="1"/>
    <col min="13253" max="13253" width="3" customWidth="1"/>
    <col min="13254" max="13254" width="39.7109375" customWidth="1"/>
    <col min="13255" max="13255" width="5.7109375" customWidth="1"/>
    <col min="13256" max="13256" width="35.7109375" customWidth="1"/>
    <col min="13260" max="13260" width="44.7109375" customWidth="1"/>
    <col min="13268" max="13268" width="88.7109375" customWidth="1"/>
    <col min="13502" max="13503" width="35.7109375" customWidth="1"/>
    <col min="13504" max="13504" width="25.7109375" customWidth="1"/>
    <col min="13509" max="13509" width="3" customWidth="1"/>
    <col min="13510" max="13510" width="39.7109375" customWidth="1"/>
    <col min="13511" max="13511" width="5.7109375" customWidth="1"/>
    <col min="13512" max="13512" width="35.7109375" customWidth="1"/>
    <col min="13516" max="13516" width="44.7109375" customWidth="1"/>
    <col min="13524" max="13524" width="88.7109375" customWidth="1"/>
    <col min="13758" max="13759" width="35.7109375" customWidth="1"/>
    <col min="13760" max="13760" width="25.7109375" customWidth="1"/>
    <col min="13765" max="13765" width="3" customWidth="1"/>
    <col min="13766" max="13766" width="39.7109375" customWidth="1"/>
    <col min="13767" max="13767" width="5.7109375" customWidth="1"/>
    <col min="13768" max="13768" width="35.7109375" customWidth="1"/>
    <col min="13772" max="13772" width="44.7109375" customWidth="1"/>
    <col min="13780" max="13780" width="88.7109375" customWidth="1"/>
    <col min="14014" max="14015" width="35.7109375" customWidth="1"/>
    <col min="14016" max="14016" width="25.7109375" customWidth="1"/>
    <col min="14021" max="14021" width="3" customWidth="1"/>
    <col min="14022" max="14022" width="39.7109375" customWidth="1"/>
    <col min="14023" max="14023" width="5.7109375" customWidth="1"/>
    <col min="14024" max="14024" width="35.7109375" customWidth="1"/>
    <col min="14028" max="14028" width="44.7109375" customWidth="1"/>
    <col min="14036" max="14036" width="88.7109375" customWidth="1"/>
    <col min="14270" max="14271" width="35.7109375" customWidth="1"/>
    <col min="14272" max="14272" width="25.7109375" customWidth="1"/>
    <col min="14277" max="14277" width="3" customWidth="1"/>
    <col min="14278" max="14278" width="39.7109375" customWidth="1"/>
    <col min="14279" max="14279" width="5.7109375" customWidth="1"/>
    <col min="14280" max="14280" width="35.7109375" customWidth="1"/>
    <col min="14284" max="14284" width="44.7109375" customWidth="1"/>
    <col min="14292" max="14292" width="88.7109375" customWidth="1"/>
    <col min="14526" max="14527" width="35.7109375" customWidth="1"/>
    <col min="14528" max="14528" width="25.7109375" customWidth="1"/>
    <col min="14533" max="14533" width="3" customWidth="1"/>
    <col min="14534" max="14534" width="39.7109375" customWidth="1"/>
    <col min="14535" max="14535" width="5.7109375" customWidth="1"/>
    <col min="14536" max="14536" width="35.7109375" customWidth="1"/>
    <col min="14540" max="14540" width="44.7109375" customWidth="1"/>
    <col min="14548" max="14548" width="88.7109375" customWidth="1"/>
    <col min="14782" max="14783" width="35.7109375" customWidth="1"/>
    <col min="14784" max="14784" width="25.7109375" customWidth="1"/>
    <col min="14789" max="14789" width="3" customWidth="1"/>
    <col min="14790" max="14790" width="39.7109375" customWidth="1"/>
    <col min="14791" max="14791" width="5.7109375" customWidth="1"/>
    <col min="14792" max="14792" width="35.7109375" customWidth="1"/>
    <col min="14796" max="14796" width="44.7109375" customWidth="1"/>
    <col min="14804" max="14804" width="88.7109375" customWidth="1"/>
    <col min="15038" max="15039" width="35.7109375" customWidth="1"/>
    <col min="15040" max="15040" width="25.7109375" customWidth="1"/>
    <col min="15045" max="15045" width="3" customWidth="1"/>
    <col min="15046" max="15046" width="39.7109375" customWidth="1"/>
    <col min="15047" max="15047" width="5.7109375" customWidth="1"/>
    <col min="15048" max="15048" width="35.7109375" customWidth="1"/>
    <col min="15052" max="15052" width="44.7109375" customWidth="1"/>
    <col min="15060" max="15060" width="88.7109375" customWidth="1"/>
    <col min="15294" max="15295" width="35.7109375" customWidth="1"/>
    <col min="15296" max="15296" width="25.7109375" customWidth="1"/>
    <col min="15301" max="15301" width="3" customWidth="1"/>
    <col min="15302" max="15302" width="39.7109375" customWidth="1"/>
    <col min="15303" max="15303" width="5.7109375" customWidth="1"/>
    <col min="15304" max="15304" width="35.7109375" customWidth="1"/>
    <col min="15308" max="15308" width="44.7109375" customWidth="1"/>
    <col min="15316" max="15316" width="88.7109375" customWidth="1"/>
    <col min="15550" max="15551" width="35.7109375" customWidth="1"/>
    <col min="15552" max="15552" width="25.7109375" customWidth="1"/>
    <col min="15557" max="15557" width="3" customWidth="1"/>
    <col min="15558" max="15558" width="39.7109375" customWidth="1"/>
    <col min="15559" max="15559" width="5.7109375" customWidth="1"/>
    <col min="15560" max="15560" width="35.7109375" customWidth="1"/>
    <col min="15564" max="15564" width="44.7109375" customWidth="1"/>
    <col min="15572" max="15572" width="88.7109375" customWidth="1"/>
    <col min="15806" max="15807" width="35.7109375" customWidth="1"/>
    <col min="15808" max="15808" width="25.7109375" customWidth="1"/>
    <col min="15813" max="15813" width="3" customWidth="1"/>
    <col min="15814" max="15814" width="39.7109375" customWidth="1"/>
    <col min="15815" max="15815" width="5.7109375" customWidth="1"/>
    <col min="15816" max="15816" width="35.7109375" customWidth="1"/>
    <col min="15820" max="15820" width="44.7109375" customWidth="1"/>
    <col min="15828" max="15828" width="88.7109375" customWidth="1"/>
    <col min="16062" max="16063" width="35.7109375" customWidth="1"/>
    <col min="16064" max="16064" width="25.7109375" customWidth="1"/>
    <col min="16069" max="16069" width="3" customWidth="1"/>
    <col min="16070" max="16070" width="39.7109375" customWidth="1"/>
    <col min="16071" max="16071" width="5.7109375" customWidth="1"/>
    <col min="16072" max="16072" width="35.7109375" customWidth="1"/>
    <col min="16076" max="16076" width="44.7109375" customWidth="1"/>
    <col min="16084" max="16084" width="88.7109375" customWidth="1"/>
  </cols>
  <sheetData>
    <row r="1" spans="1:6" ht="18.399999999999999" customHeight="1">
      <c r="A1" s="410" t="s">
        <v>1040</v>
      </c>
      <c r="C1" s="553" t="str">
        <f>+'jobinfo(2)'!C1</f>
        <v>Hatten, Nedra</v>
      </c>
      <c r="D1" s="1125" t="str">
        <f>+'jobinfo(2)'!C2</f>
        <v>628 Quilliams Road</v>
      </c>
      <c r="E1" s="1125"/>
      <c r="F1" s="554"/>
    </row>
    <row r="2" spans="1:6" ht="18.399999999999999" customHeight="1">
      <c r="B2" s="418" t="s">
        <v>1041</v>
      </c>
      <c r="C2" s="555" t="str">
        <f>+'jobinfo(2)'!C53</f>
        <v xml:space="preserve">  LIVING ROOM  </v>
      </c>
      <c r="D2" s="556" t="str">
        <f>+'jobinfo(2)'!C54</f>
        <v xml:space="preserve">  DINING ROOM  </v>
      </c>
      <c r="E2" s="557" t="str">
        <f>+'jobinfo(2)'!C55</f>
        <v xml:space="preserve">  KITCHEN  </v>
      </c>
      <c r="F2" s="556" t="str">
        <f>+'jobinfo(2)'!C56</f>
        <v xml:space="preserve">  HALL FLR1  </v>
      </c>
    </row>
    <row r="3" spans="1:6" ht="18.399999999999999" customHeight="1">
      <c r="A3" s="1131" t="s">
        <v>998</v>
      </c>
      <c r="B3" s="538" t="s">
        <v>1042</v>
      </c>
      <c r="C3" s="558">
        <f>+'jobinfo(2)'!A53</f>
        <v>1</v>
      </c>
      <c r="D3" s="558">
        <f>+'jobinfo(2)'!A54</f>
        <v>2</v>
      </c>
      <c r="E3" s="558">
        <f>+'jobinfo(2)'!A55</f>
        <v>3</v>
      </c>
      <c r="F3" s="558">
        <f>+'jobinfo(2)'!$A$56</f>
        <v>4</v>
      </c>
    </row>
    <row r="4" spans="1:6" ht="18.399999999999999" customHeight="1">
      <c r="A4" s="1131"/>
      <c r="B4" s="420" t="s">
        <v>1000</v>
      </c>
      <c r="C4" s="559"/>
      <c r="D4" s="560"/>
      <c r="E4" s="559"/>
      <c r="F4" s="560"/>
    </row>
    <row r="5" spans="1:6" ht="18.399999999999999" customHeight="1">
      <c r="A5" s="1131"/>
      <c r="B5" s="420" t="s">
        <v>1043</v>
      </c>
      <c r="C5" s="560"/>
      <c r="D5" s="561"/>
      <c r="E5" s="560"/>
      <c r="F5" s="561"/>
    </row>
    <row r="6" spans="1:6" ht="18.399999999999999" customHeight="1">
      <c r="A6" s="1131"/>
      <c r="B6" s="421" t="s">
        <v>1044</v>
      </c>
      <c r="C6" s="559"/>
      <c r="D6" s="560"/>
      <c r="E6" s="559"/>
      <c r="F6" s="560"/>
    </row>
    <row r="7" spans="1:6" ht="18.399999999999999" customHeight="1">
      <c r="A7" s="1131"/>
      <c r="B7" s="422" t="s">
        <v>1045</v>
      </c>
      <c r="C7" s="562" t="s">
        <v>713</v>
      </c>
      <c r="D7" s="563" t="s">
        <v>713</v>
      </c>
      <c r="E7" s="562" t="s">
        <v>713</v>
      </c>
      <c r="F7" s="563" t="s">
        <v>713</v>
      </c>
    </row>
    <row r="8" spans="1:6" ht="18.399999999999999" customHeight="1">
      <c r="A8" s="1131"/>
      <c r="B8" s="420" t="s">
        <v>1046</v>
      </c>
      <c r="C8" s="564" t="s">
        <v>1006</v>
      </c>
      <c r="D8" s="565" t="s">
        <v>1006</v>
      </c>
      <c r="E8" s="564" t="s">
        <v>1006</v>
      </c>
      <c r="F8" s="565" t="s">
        <v>1006</v>
      </c>
    </row>
    <row r="9" spans="1:6" ht="18.399999999999999" customHeight="1">
      <c r="A9" s="1131"/>
      <c r="B9" s="423" t="s">
        <v>1047</v>
      </c>
      <c r="C9" s="560"/>
      <c r="D9" s="561"/>
      <c r="E9" s="560"/>
      <c r="F9" s="561"/>
    </row>
    <row r="10" spans="1:6" ht="18.399999999999999" customHeight="1">
      <c r="A10" s="1131"/>
      <c r="B10" s="421" t="s">
        <v>1048</v>
      </c>
      <c r="C10" s="559"/>
      <c r="D10" s="560"/>
      <c r="E10" s="559"/>
      <c r="F10" s="560"/>
    </row>
    <row r="11" spans="1:6" ht="18.399999999999999" customHeight="1">
      <c r="A11" s="1131"/>
      <c r="B11" s="423" t="s">
        <v>1049</v>
      </c>
      <c r="C11" s="562" t="s">
        <v>713</v>
      </c>
      <c r="D11" s="563" t="s">
        <v>713</v>
      </c>
      <c r="E11" s="562" t="s">
        <v>713</v>
      </c>
      <c r="F11" s="563" t="s">
        <v>713</v>
      </c>
    </row>
    <row r="12" spans="1:6" ht="18.399999999999999" customHeight="1">
      <c r="A12" s="1131"/>
      <c r="B12" s="424" t="s">
        <v>1050</v>
      </c>
      <c r="C12" s="566" t="s">
        <v>1006</v>
      </c>
      <c r="D12" s="565" t="s">
        <v>1006</v>
      </c>
      <c r="E12" s="566" t="s">
        <v>1006</v>
      </c>
      <c r="F12" s="565" t="s">
        <v>1006</v>
      </c>
    </row>
    <row r="13" spans="1:6" ht="18.399999999999999" customHeight="1">
      <c r="A13" s="961"/>
      <c r="B13" s="424" t="s">
        <v>1051</v>
      </c>
      <c r="C13" s="566"/>
      <c r="D13" s="565"/>
      <c r="E13" s="566"/>
      <c r="F13" s="565"/>
    </row>
    <row r="14" spans="1:6" ht="18.399999999999999" customHeight="1">
      <c r="B14" s="425" t="s">
        <v>1052</v>
      </c>
      <c r="C14" s="567" t="s">
        <v>1053</v>
      </c>
      <c r="D14" s="568" t="s">
        <v>1053</v>
      </c>
      <c r="E14" s="567" t="s">
        <v>1053</v>
      </c>
      <c r="F14" s="568" t="s">
        <v>1053</v>
      </c>
    </row>
    <row r="15" spans="1:6" ht="18.399999999999999" customHeight="1">
      <c r="A15" s="1133" t="s">
        <v>5</v>
      </c>
      <c r="B15" s="420" t="s">
        <v>1054</v>
      </c>
      <c r="C15" s="559"/>
      <c r="D15" s="560"/>
      <c r="E15" s="559"/>
      <c r="F15" s="560"/>
    </row>
    <row r="16" spans="1:6" ht="18.399999999999999" customHeight="1">
      <c r="A16" s="1133"/>
      <c r="B16" s="420" t="s">
        <v>1055</v>
      </c>
      <c r="C16" s="560"/>
      <c r="D16" s="561"/>
      <c r="E16" s="560"/>
      <c r="F16" s="561"/>
    </row>
    <row r="17" spans="1:6" ht="18.399999999999999" customHeight="1">
      <c r="A17" s="1133"/>
      <c r="B17" s="421" t="s">
        <v>1044</v>
      </c>
      <c r="C17" s="559"/>
      <c r="D17" s="560"/>
      <c r="E17" s="559"/>
      <c r="F17" s="560"/>
    </row>
    <row r="18" spans="1:6" s="148" customFormat="1" ht="18.399999999999999" customHeight="1">
      <c r="A18" s="1133"/>
      <c r="B18" s="422" t="s">
        <v>1045</v>
      </c>
      <c r="C18" s="562" t="s">
        <v>713</v>
      </c>
      <c r="D18" s="563" t="s">
        <v>713</v>
      </c>
      <c r="E18" s="562" t="s">
        <v>713</v>
      </c>
      <c r="F18" s="563" t="s">
        <v>713</v>
      </c>
    </row>
    <row r="19" spans="1:6" s="148" customFormat="1" ht="18.399999999999999" customHeight="1">
      <c r="A19" s="1133"/>
      <c r="B19" s="420" t="s">
        <v>1056</v>
      </c>
      <c r="C19" s="566" t="s">
        <v>1006</v>
      </c>
      <c r="D19" s="565" t="s">
        <v>1006</v>
      </c>
      <c r="E19" s="566" t="s">
        <v>1006</v>
      </c>
      <c r="F19" s="565" t="s">
        <v>1006</v>
      </c>
    </row>
    <row r="20" spans="1:6" s="148" customFormat="1" ht="18.399999999999999" customHeight="1">
      <c r="A20" s="1133"/>
      <c r="B20" s="423" t="s">
        <v>1057</v>
      </c>
      <c r="C20" s="560"/>
      <c r="D20" s="561"/>
      <c r="E20" s="560"/>
      <c r="F20" s="561"/>
    </row>
    <row r="21" spans="1:6" s="148" customFormat="1" ht="18.399999999999999" customHeight="1">
      <c r="A21" s="1133"/>
      <c r="B21" s="426" t="s">
        <v>1058</v>
      </c>
      <c r="C21" s="559"/>
      <c r="D21" s="560"/>
      <c r="E21" s="559"/>
      <c r="F21" s="560"/>
    </row>
    <row r="22" spans="1:6" s="148" customFormat="1" ht="18.399999999999999" customHeight="1">
      <c r="A22" s="1133"/>
      <c r="B22" s="423" t="s">
        <v>1059</v>
      </c>
      <c r="C22" s="562" t="s">
        <v>713</v>
      </c>
      <c r="D22" s="563" t="s">
        <v>713</v>
      </c>
      <c r="E22" s="562" t="s">
        <v>713</v>
      </c>
      <c r="F22" s="563" t="s">
        <v>713</v>
      </c>
    </row>
    <row r="23" spans="1:6" s="148" customFormat="1" ht="18.399999999999999" customHeight="1">
      <c r="A23" s="1133"/>
      <c r="B23" s="421" t="s">
        <v>1060</v>
      </c>
      <c r="C23" s="564" t="s">
        <v>1006</v>
      </c>
      <c r="D23" s="565" t="s">
        <v>1006</v>
      </c>
      <c r="E23" s="564" t="s">
        <v>1006</v>
      </c>
      <c r="F23" s="565" t="s">
        <v>1006</v>
      </c>
    </row>
    <row r="24" spans="1:6" s="148" customFormat="1" ht="18.399999999999999" customHeight="1">
      <c r="A24" s="1132" t="s">
        <v>13</v>
      </c>
      <c r="B24" s="425" t="s">
        <v>1061</v>
      </c>
      <c r="C24" s="560"/>
      <c r="D24" s="561"/>
      <c r="E24" s="560"/>
      <c r="F24" s="561"/>
    </row>
    <row r="25" spans="1:6" s="148" customFormat="1" ht="18.399999999999999" customHeight="1">
      <c r="A25" s="1132"/>
      <c r="B25" s="427" t="s">
        <v>1062</v>
      </c>
      <c r="C25" s="559"/>
      <c r="D25" s="560"/>
      <c r="E25" s="559"/>
      <c r="F25" s="560"/>
    </row>
    <row r="26" spans="1:6" s="148" customFormat="1" ht="18.399999999999999" customHeight="1">
      <c r="A26" s="1132"/>
      <c r="B26" s="420" t="s">
        <v>1063</v>
      </c>
      <c r="C26" s="562" t="s">
        <v>713</v>
      </c>
      <c r="D26" s="563" t="s">
        <v>713</v>
      </c>
      <c r="E26" s="562" t="s">
        <v>713</v>
      </c>
      <c r="F26" s="563" t="s">
        <v>713</v>
      </c>
    </row>
    <row r="27" spans="1:6" s="148" customFormat="1" ht="18.399999999999999" customHeight="1">
      <c r="A27" s="1132"/>
      <c r="B27" s="421" t="s">
        <v>1064</v>
      </c>
      <c r="C27" s="566" t="s">
        <v>1006</v>
      </c>
      <c r="D27" s="565" t="s">
        <v>1006</v>
      </c>
      <c r="E27" s="566" t="s">
        <v>1006</v>
      </c>
      <c r="F27" s="565" t="s">
        <v>1006</v>
      </c>
    </row>
    <row r="28" spans="1:6" s="148" customFormat="1" ht="18.399999999999999" customHeight="1">
      <c r="A28" s="1128" t="s">
        <v>1065</v>
      </c>
      <c r="B28" s="535" t="s">
        <v>1066</v>
      </c>
      <c r="C28" s="566"/>
      <c r="D28" s="565"/>
      <c r="E28" s="566"/>
      <c r="F28" s="565"/>
    </row>
    <row r="29" spans="1:6" s="148" customFormat="1" ht="18.399999999999999" customHeight="1">
      <c r="A29" s="1128"/>
      <c r="B29" s="421" t="s">
        <v>1067</v>
      </c>
      <c r="C29" s="567" t="s">
        <v>1053</v>
      </c>
      <c r="D29" s="568" t="s">
        <v>1053</v>
      </c>
      <c r="E29" s="567" t="s">
        <v>1053</v>
      </c>
      <c r="F29" s="568" t="s">
        <v>1053</v>
      </c>
    </row>
    <row r="30" spans="1:6" s="148" customFormat="1" ht="18.399999999999999" customHeight="1">
      <c r="A30" s="1128"/>
      <c r="B30" s="421" t="s">
        <v>1068</v>
      </c>
      <c r="C30" s="559"/>
      <c r="D30" s="560"/>
      <c r="E30" s="559"/>
      <c r="F30" s="560"/>
    </row>
    <row r="31" spans="1:6" s="148" customFormat="1" ht="18.399999999999999" customHeight="1">
      <c r="A31" s="1128"/>
      <c r="B31" s="421" t="s">
        <v>1069</v>
      </c>
      <c r="C31" s="560"/>
      <c r="D31" s="561"/>
      <c r="E31" s="560"/>
      <c r="F31" s="561"/>
    </row>
    <row r="32" spans="1:6" s="148" customFormat="1" ht="18.399999999999999" customHeight="1">
      <c r="A32" s="1129" t="s">
        <v>1029</v>
      </c>
      <c r="B32" s="428" t="s">
        <v>1070</v>
      </c>
      <c r="C32" s="559"/>
      <c r="D32" s="560"/>
      <c r="E32" s="559"/>
      <c r="F32" s="560"/>
    </row>
    <row r="33" spans="1:7" s="148" customFormat="1" ht="18.399999999999999" customHeight="1">
      <c r="A33" s="1129"/>
      <c r="B33" s="429" t="s">
        <v>1071</v>
      </c>
      <c r="C33" s="562" t="s">
        <v>713</v>
      </c>
      <c r="D33" s="563" t="s">
        <v>713</v>
      </c>
      <c r="E33" s="562" t="s">
        <v>713</v>
      </c>
      <c r="F33" s="563" t="s">
        <v>713</v>
      </c>
    </row>
    <row r="34" spans="1:7" s="148" customFormat="1" ht="18.399999999999999" customHeight="1">
      <c r="A34" s="1129"/>
      <c r="B34" s="423" t="s">
        <v>1072</v>
      </c>
      <c r="C34" s="566" t="s">
        <v>1006</v>
      </c>
      <c r="D34" s="565" t="s">
        <v>1006</v>
      </c>
      <c r="E34" s="566" t="s">
        <v>1006</v>
      </c>
      <c r="F34" s="565" t="s">
        <v>1006</v>
      </c>
    </row>
    <row r="35" spans="1:7" s="148" customFormat="1" ht="18.399999999999999" customHeight="1">
      <c r="A35" s="1129"/>
      <c r="B35" s="421" t="s">
        <v>1067</v>
      </c>
      <c r="C35" s="565"/>
      <c r="D35" s="564"/>
      <c r="E35" s="565"/>
      <c r="F35" s="564"/>
    </row>
    <row r="36" spans="1:7" s="148" customFormat="1" ht="18.399999999999999" customHeight="1">
      <c r="A36" s="1129"/>
      <c r="B36" s="426" t="s">
        <v>1073</v>
      </c>
      <c r="C36" s="566" t="s">
        <v>1006</v>
      </c>
      <c r="D36" s="565" t="s">
        <v>1006</v>
      </c>
      <c r="E36" s="566" t="s">
        <v>1006</v>
      </c>
      <c r="F36" s="565" t="s">
        <v>1006</v>
      </c>
    </row>
    <row r="37" spans="1:7" ht="18.399999999999999" customHeight="1">
      <c r="A37" s="1130" t="s">
        <v>10</v>
      </c>
      <c r="B37" s="452" t="s">
        <v>1074</v>
      </c>
      <c r="C37" s="569" t="s">
        <v>1006</v>
      </c>
      <c r="D37" s="570" t="s">
        <v>1006</v>
      </c>
      <c r="E37" s="569" t="s">
        <v>1006</v>
      </c>
      <c r="F37" s="570" t="s">
        <v>1006</v>
      </c>
      <c r="G37" s="431">
        <f>C3</f>
        <v>1</v>
      </c>
    </row>
    <row r="38" spans="1:7" ht="18.399999999999999" customHeight="1">
      <c r="A38" s="1130"/>
      <c r="B38" s="421" t="s">
        <v>1067</v>
      </c>
      <c r="C38" s="566"/>
      <c r="D38" s="565"/>
      <c r="E38" s="566"/>
      <c r="F38" s="565"/>
    </row>
    <row r="39" spans="1:7" ht="18.399999999999999" customHeight="1">
      <c r="A39" s="1130"/>
      <c r="B39" s="430" t="s">
        <v>1075</v>
      </c>
      <c r="C39" s="565"/>
      <c r="D39" s="564"/>
      <c r="E39" s="565"/>
      <c r="F39" s="564"/>
    </row>
    <row r="40" spans="1:7" ht="18.399999999999999" customHeight="1">
      <c r="A40" s="1130"/>
      <c r="B40" s="457"/>
      <c r="C40" s="564"/>
      <c r="D40" s="565"/>
      <c r="E40" s="564"/>
      <c r="F40" s="565"/>
    </row>
    <row r="41" spans="1:7" ht="18.399999999999999" customHeight="1">
      <c r="A41" s="531" t="str">
        <f>A1</f>
        <v>Interior Work SCOPE(Quick Version)</v>
      </c>
      <c r="B41" s="410"/>
      <c r="C41" s="553" t="str">
        <f>+C1</f>
        <v>Hatten, Nedra</v>
      </c>
      <c r="D41" s="1125" t="str">
        <f>+D1</f>
        <v>628 Quilliams Road</v>
      </c>
      <c r="E41" s="1125"/>
    </row>
    <row r="42" spans="1:7" ht="18.399999999999999" customHeight="1">
      <c r="B42" s="414" t="s">
        <v>1041</v>
      </c>
      <c r="C42" s="546" t="str">
        <f>+'jobinfo(2)'!C57</f>
        <v xml:space="preserve">  STAIRS UP  </v>
      </c>
      <c r="D42" s="547" t="e">
        <f>+'jobinfo(2)'!#REF!</f>
        <v>#REF!</v>
      </c>
      <c r="E42" s="548" t="e">
        <f>+'jobinfo(2)'!#REF!</f>
        <v>#REF!</v>
      </c>
      <c r="F42" s="549" t="str">
        <f>+'jobinfo(2)'!C58</f>
        <v xml:space="preserve">  Hallway UP @ BR &amp; BATH  </v>
      </c>
    </row>
    <row r="43" spans="1:7" ht="18.399999999999999" customHeight="1">
      <c r="A43" s="1131" t="s">
        <v>998</v>
      </c>
      <c r="B43" s="416" t="str">
        <f>B3</f>
        <v>CEILING FLT/VLT/PK/CTH/Tray/Open</v>
      </c>
      <c r="C43" s="558">
        <f>+'jobinfo(2)'!$A$57</f>
        <v>5</v>
      </c>
      <c r="D43" s="558">
        <f>+'jobinfo(2)'!$A$58</f>
        <v>6</v>
      </c>
      <c r="E43" s="558">
        <f>+'jobinfo(2)'!$A$59</f>
        <v>7</v>
      </c>
      <c r="F43" s="558">
        <f>+'jobinfo(2)'!$A$60</f>
        <v>8</v>
      </c>
    </row>
    <row r="44" spans="1:7" ht="18.399999999999999" customHeight="1">
      <c r="A44" s="1131"/>
      <c r="B44" s="536" t="str">
        <f t="shared" ref="B44:B80" si="0">B4</f>
        <v>DRY / PLA / ACT / PNL / T&amp;G / Other</v>
      </c>
      <c r="C44" s="559"/>
      <c r="D44" s="560"/>
      <c r="E44" s="559"/>
      <c r="F44" s="560"/>
    </row>
    <row r="45" spans="1:7" ht="18.399999999999999" customHeight="1">
      <c r="A45" s="1131"/>
      <c r="B45" s="536" t="str">
        <f t="shared" si="0"/>
        <v>Smooth / Texture/ Heavy</v>
      </c>
      <c r="C45" s="560"/>
      <c r="D45" s="561"/>
      <c r="E45" s="560"/>
      <c r="F45" s="561"/>
    </row>
    <row r="46" spans="1:7" ht="18.399999999999999" customHeight="1">
      <c r="A46" s="1131"/>
      <c r="B46" s="536" t="str">
        <f t="shared" si="0"/>
        <v>Repair MIN / Al l / Sf / Other</v>
      </c>
      <c r="C46" s="559"/>
      <c r="D46" s="560"/>
      <c r="E46" s="559"/>
      <c r="F46" s="560"/>
    </row>
    <row r="47" spans="1:7" ht="18.399999999999999" customHeight="1">
      <c r="A47" s="1131"/>
      <c r="B47" s="536" t="str">
        <f t="shared" si="0"/>
        <v>CLN /S++/PNT</v>
      </c>
      <c r="C47" s="562" t="s">
        <v>713</v>
      </c>
      <c r="D47" s="563" t="s">
        <v>713</v>
      </c>
      <c r="E47" s="562" t="s">
        <v>713</v>
      </c>
      <c r="F47" s="563" t="s">
        <v>713</v>
      </c>
    </row>
    <row r="48" spans="1:7" ht="18.399999999999999" customHeight="1">
      <c r="A48" s="1131"/>
      <c r="B48" s="536" t="str">
        <f t="shared" si="0"/>
        <v>INS SF= R= / Batt / Loose</v>
      </c>
      <c r="C48" s="564" t="s">
        <v>1006</v>
      </c>
      <c r="D48" s="565" t="s">
        <v>1006</v>
      </c>
      <c r="E48" s="564" t="s">
        <v>1006</v>
      </c>
      <c r="F48" s="565" t="s">
        <v>1006</v>
      </c>
    </row>
    <row r="49" spans="1:6" ht="18.399999999999999" customHeight="1">
      <c r="A49" s="1131"/>
      <c r="B49" s="536" t="str">
        <f t="shared" si="0"/>
        <v>MOLDINGS/Casing/Crown_Other</v>
      </c>
      <c r="C49" s="560"/>
      <c r="D49" s="561"/>
      <c r="E49" s="560"/>
      <c r="F49" s="561"/>
    </row>
    <row r="50" spans="1:6" ht="18.399999999999999" customHeight="1">
      <c r="A50" s="1131"/>
      <c r="B50" s="536" t="str">
        <f t="shared" si="0"/>
        <v>R&amp;R/D&amp;R/MSK/CLN/PNT</v>
      </c>
      <c r="C50" s="559"/>
      <c r="D50" s="560"/>
      <c r="E50" s="559"/>
      <c r="F50" s="560"/>
    </row>
    <row r="51" spans="1:6" ht="18.399999999999999" customHeight="1">
      <c r="A51" s="1131"/>
      <c r="B51" s="536" t="str">
        <f t="shared" si="0"/>
        <v>ELE;LIT/Fan/Chndlr//R&amp;R/D&amp;R/MSK</v>
      </c>
      <c r="C51" s="562" t="s">
        <v>713</v>
      </c>
      <c r="D51" s="563" t="s">
        <v>713</v>
      </c>
      <c r="E51" s="562" t="s">
        <v>713</v>
      </c>
      <c r="F51" s="563" t="s">
        <v>713</v>
      </c>
    </row>
    <row r="52" spans="1:6" ht="18.399999999999999" customHeight="1">
      <c r="A52" s="1131"/>
      <c r="B52" s="536" t="str">
        <f t="shared" si="0"/>
        <v>HVAC/Vent/DuCT/R&amp;R/D&amp;R/MSK</v>
      </c>
      <c r="C52" s="566" t="s">
        <v>1006</v>
      </c>
      <c r="D52" s="565" t="s">
        <v>1006</v>
      </c>
      <c r="E52" s="566" t="s">
        <v>1006</v>
      </c>
      <c r="F52" s="565" t="s">
        <v>1006</v>
      </c>
    </row>
    <row r="53" spans="1:6" ht="18.399999999999999" customHeight="1">
      <c r="A53" s="961"/>
      <c r="B53" s="536" t="str">
        <f t="shared" si="0"/>
        <v>Smoke/Alarm/Chime//R&amp;R/D&amp;R/MSK</v>
      </c>
      <c r="C53" s="566"/>
      <c r="D53" s="565"/>
      <c r="E53" s="566"/>
      <c r="F53" s="565"/>
    </row>
    <row r="54" spans="1:6" s="148" customFormat="1" ht="18.399999999999999" customHeight="1">
      <c r="A54" s="352"/>
      <c r="B54" s="416" t="str">
        <f t="shared" si="0"/>
        <v>WALLS  Damage N_S_E_W / WALL#</v>
      </c>
      <c r="C54" s="567" t="s">
        <v>1053</v>
      </c>
      <c r="D54" s="568" t="s">
        <v>1053</v>
      </c>
      <c r="E54" s="567" t="s">
        <v>1053</v>
      </c>
      <c r="F54" s="568" t="s">
        <v>1053</v>
      </c>
    </row>
    <row r="55" spans="1:6" s="148" customFormat="1" ht="18.399999999999999" customHeight="1">
      <c r="A55" s="1133" t="s">
        <v>5</v>
      </c>
      <c r="B55" s="537" t="str">
        <f t="shared" si="0"/>
        <v>DRY/PLA/MIR/PNL/T&amp;G/WPR</v>
      </c>
      <c r="C55" s="559"/>
      <c r="D55" s="560"/>
      <c r="E55" s="559"/>
      <c r="F55" s="560"/>
    </row>
    <row r="56" spans="1:6" s="148" customFormat="1" ht="18.399999999999999" customHeight="1">
      <c r="A56" s="1133"/>
      <c r="B56" s="537" t="str">
        <f t="shared" si="0"/>
        <v>Smooth/Texture/Heavy</v>
      </c>
      <c r="C56" s="560"/>
      <c r="D56" s="561"/>
      <c r="E56" s="560"/>
      <c r="F56" s="561"/>
    </row>
    <row r="57" spans="1:6" s="148" customFormat="1" ht="18.399999999999999" customHeight="1">
      <c r="A57" s="1133"/>
      <c r="B57" s="537" t="str">
        <f t="shared" si="0"/>
        <v>Repair MIN / Al l / Sf / Other</v>
      </c>
      <c r="C57" s="559"/>
      <c r="D57" s="560"/>
      <c r="E57" s="559"/>
      <c r="F57" s="560"/>
    </row>
    <row r="58" spans="1:6" s="148" customFormat="1" ht="18.399999999999999" customHeight="1">
      <c r="A58" s="1133"/>
      <c r="B58" s="537" t="str">
        <f t="shared" si="0"/>
        <v>CLN /S++/PNT</v>
      </c>
      <c r="C58" s="562" t="s">
        <v>713</v>
      </c>
      <c r="D58" s="563" t="s">
        <v>713</v>
      </c>
      <c r="E58" s="562" t="s">
        <v>713</v>
      </c>
      <c r="F58" s="563" t="s">
        <v>713</v>
      </c>
    </row>
    <row r="59" spans="1:6" s="148" customFormat="1" ht="18.399999999999999" customHeight="1">
      <c r="A59" s="1133"/>
      <c r="B59" s="537" t="str">
        <f t="shared" si="0"/>
        <v>INS SF= R=__ / Batt / Loose</v>
      </c>
      <c r="C59" s="566" t="s">
        <v>1006</v>
      </c>
      <c r="D59" s="565" t="s">
        <v>1006</v>
      </c>
      <c r="E59" s="566" t="s">
        <v>1006</v>
      </c>
      <c r="F59" s="565" t="s">
        <v>1006</v>
      </c>
    </row>
    <row r="60" spans="1:6" s="148" customFormat="1" ht="18.399999999999999" customHeight="1">
      <c r="A60" s="1133"/>
      <c r="B60" s="537" t="str">
        <f t="shared" si="0"/>
        <v>MOLDINGS Type/CHAIRRAIL / Other</v>
      </c>
      <c r="C60" s="560"/>
      <c r="D60" s="561"/>
      <c r="E60" s="560"/>
      <c r="F60" s="561"/>
    </row>
    <row r="61" spans="1:6" s="148" customFormat="1" ht="18.399999999999999" customHeight="1">
      <c r="A61" s="1133"/>
      <c r="B61" s="537" t="str">
        <f t="shared" si="0"/>
        <v xml:space="preserve">   R&amp;R/D&amp;R/MSK/CLN /S++/PNT</v>
      </c>
      <c r="C61" s="559"/>
      <c r="D61" s="560"/>
      <c r="E61" s="559"/>
      <c r="F61" s="560"/>
    </row>
    <row r="62" spans="1:6" s="148" customFormat="1" ht="18.399999999999999" customHeight="1">
      <c r="A62" s="1133"/>
      <c r="B62" s="537" t="str">
        <f t="shared" si="0"/>
        <v>ELE LlT/OS/SW--/R&amp;R/D&amp;R/MSK/CLN</v>
      </c>
      <c r="C62" s="562" t="s">
        <v>713</v>
      </c>
      <c r="D62" s="563" t="s">
        <v>713</v>
      </c>
      <c r="E62" s="562" t="s">
        <v>713</v>
      </c>
      <c r="F62" s="563" t="s">
        <v>713</v>
      </c>
    </row>
    <row r="63" spans="1:6" s="148" customFormat="1" ht="18.399999999999999" customHeight="1">
      <c r="A63" s="1133"/>
      <c r="B63" s="537" t="str">
        <f t="shared" si="0"/>
        <v>HVAC/Vent/Duct/Smoke/Alarm/Chime</v>
      </c>
      <c r="C63" s="564" t="s">
        <v>1006</v>
      </c>
      <c r="D63" s="565" t="s">
        <v>1006</v>
      </c>
      <c r="E63" s="564" t="s">
        <v>1006</v>
      </c>
      <c r="F63" s="565" t="s">
        <v>1006</v>
      </c>
    </row>
    <row r="64" spans="1:6" s="148" customFormat="1" ht="18.399999999999999" customHeight="1">
      <c r="A64" s="1132" t="s">
        <v>13</v>
      </c>
      <c r="B64" s="416" t="str">
        <f t="shared" si="0"/>
        <v xml:space="preserve"> Window WDW/WDV/WDA/    QTY</v>
      </c>
      <c r="C64" s="560"/>
      <c r="D64" s="561"/>
      <c r="E64" s="560"/>
      <c r="F64" s="561"/>
    </row>
    <row r="65" spans="1:7" s="148" customFormat="1" ht="18.399999999999999" customHeight="1">
      <c r="A65" s="1132"/>
      <c r="B65" s="537" t="str">
        <f t="shared" si="0"/>
        <v>R&amp;R/D&amp;R/MSK/CLN/PNT/S++</v>
      </c>
      <c r="C65" s="559"/>
      <c r="D65" s="560"/>
      <c r="E65" s="559"/>
      <c r="F65" s="560"/>
    </row>
    <row r="66" spans="1:7" s="148" customFormat="1" ht="18.399999999999999" customHeight="1">
      <c r="A66" s="1132"/>
      <c r="B66" s="537" t="str">
        <f t="shared" si="0"/>
        <v>Window treatments Type=_CLN/D&amp;R</v>
      </c>
      <c r="C66" s="562" t="s">
        <v>713</v>
      </c>
      <c r="D66" s="563" t="s">
        <v>713</v>
      </c>
      <c r="E66" s="562" t="s">
        <v>713</v>
      </c>
      <c r="F66" s="563" t="s">
        <v>713</v>
      </c>
    </row>
    <row r="67" spans="1:7" s="148" customFormat="1" ht="18.399999999999999" customHeight="1">
      <c r="A67" s="1132"/>
      <c r="B67" s="537" t="str">
        <f t="shared" si="0"/>
        <v>Hardware;R&amp;R/D&amp;R/MSK/CLN</v>
      </c>
      <c r="C67" s="566" t="s">
        <v>1006</v>
      </c>
      <c r="D67" s="565" t="s">
        <v>1006</v>
      </c>
      <c r="E67" s="566" t="s">
        <v>1006</v>
      </c>
      <c r="F67" s="565" t="s">
        <v>1006</v>
      </c>
    </row>
    <row r="68" spans="1:7" s="148" customFormat="1" ht="18.399999999999999" customHeight="1">
      <c r="A68" s="1128" t="s">
        <v>1065</v>
      </c>
      <c r="B68" s="537" t="str">
        <f t="shared" si="0"/>
        <v>DOORS QTY / STD/Bifold/MIR/BYPASS</v>
      </c>
      <c r="C68" s="566"/>
      <c r="D68" s="565"/>
      <c r="E68" s="566"/>
      <c r="F68" s="565"/>
    </row>
    <row r="69" spans="1:7" s="148" customFormat="1" ht="18.399999999999999" customHeight="1">
      <c r="A69" s="1128"/>
      <c r="B69" s="537" t="str">
        <f t="shared" si="0"/>
        <v>R&amp;R/D&amp;R/MSK/CLN/S++/PNT</v>
      </c>
      <c r="C69" s="567" t="s">
        <v>1053</v>
      </c>
      <c r="D69" s="568" t="s">
        <v>1053</v>
      </c>
      <c r="E69" s="567" t="s">
        <v>1053</v>
      </c>
      <c r="F69" s="568" t="s">
        <v>1053</v>
      </c>
    </row>
    <row r="70" spans="1:7" s="148" customFormat="1" ht="18.399999999999999" customHeight="1">
      <c r="A70" s="1128"/>
      <c r="B70" s="537" t="str">
        <f t="shared" si="0"/>
        <v>CASINGS R&amp;R/D&amp;R/MSK/CLN/S++/PNT</v>
      </c>
      <c r="C70" s="559"/>
      <c r="D70" s="560"/>
      <c r="E70" s="559"/>
      <c r="F70" s="560"/>
    </row>
    <row r="71" spans="1:7" s="148" customFormat="1" ht="18.399999999999999" customHeight="1">
      <c r="A71" s="1128"/>
      <c r="B71" s="537" t="str">
        <f t="shared" si="0"/>
        <v>HDWE R&amp;R/D&amp;R/MSK/CLN</v>
      </c>
      <c r="C71" s="560"/>
      <c r="D71" s="561"/>
      <c r="E71" s="560"/>
      <c r="F71" s="561"/>
    </row>
    <row r="72" spans="1:7" s="148" customFormat="1" ht="18.399999999999999" customHeight="1">
      <c r="A72" s="1129" t="s">
        <v>1029</v>
      </c>
      <c r="B72" s="416" t="str">
        <f t="shared" si="0"/>
        <v>FLOOR FCC/FCW/LAM/FCS/FCT</v>
      </c>
      <c r="C72" s="559"/>
      <c r="D72" s="560"/>
      <c r="E72" s="559"/>
      <c r="F72" s="560"/>
    </row>
    <row r="73" spans="1:7" s="148" customFormat="1" ht="18.399999999999999" customHeight="1">
      <c r="A73" s="1129"/>
      <c r="B73" s="537" t="str">
        <f t="shared" si="0"/>
        <v>R&amp;R / MSK /CLN / SAND</v>
      </c>
      <c r="C73" s="562" t="s">
        <v>713</v>
      </c>
      <c r="D73" s="563" t="s">
        <v>713</v>
      </c>
      <c r="E73" s="562" t="s">
        <v>713</v>
      </c>
      <c r="F73" s="563" t="s">
        <v>713</v>
      </c>
    </row>
    <row r="74" spans="1:7" s="148" customFormat="1" ht="18.399999999999999" customHeight="1">
      <c r="A74" s="1129"/>
      <c r="B74" s="537" t="str">
        <f t="shared" si="0"/>
        <v>BASEBOARD  HT - MULTI   .</v>
      </c>
      <c r="C74" s="566" t="s">
        <v>1006</v>
      </c>
      <c r="D74" s="565" t="s">
        <v>1006</v>
      </c>
      <c r="E74" s="566" t="s">
        <v>1006</v>
      </c>
      <c r="F74" s="565" t="s">
        <v>1006</v>
      </c>
    </row>
    <row r="75" spans="1:7" s="148" customFormat="1" ht="18.399999999999999" customHeight="1">
      <c r="A75" s="1129"/>
      <c r="B75" s="537" t="str">
        <f t="shared" si="0"/>
        <v>R&amp;R/D&amp;R/MSK/CLN/S++/PNT</v>
      </c>
      <c r="C75" s="565"/>
      <c r="D75" s="564"/>
      <c r="E75" s="565"/>
      <c r="F75" s="564"/>
    </row>
    <row r="76" spans="1:7" s="148" customFormat="1" ht="18.399999999999999" customHeight="1">
      <c r="A76" s="1129"/>
      <c r="B76" s="537" t="str">
        <f t="shared" si="0"/>
        <v>QTR RND BASE/R&amp;R/S++/PNT</v>
      </c>
      <c r="C76" s="566" t="s">
        <v>1006</v>
      </c>
      <c r="D76" s="565" t="s">
        <v>1006</v>
      </c>
      <c r="E76" s="566" t="s">
        <v>1006</v>
      </c>
      <c r="F76" s="565" t="s">
        <v>1006</v>
      </c>
    </row>
    <row r="77" spans="1:7" s="148" customFormat="1" ht="18.399999999999999" customHeight="1">
      <c r="A77" s="1130" t="s">
        <v>10</v>
      </c>
      <c r="B77" s="416" t="str">
        <f t="shared" si="0"/>
        <v>Closet;SHELF/ROD LF= WOOD/WIRE</v>
      </c>
      <c r="C77" s="569" t="s">
        <v>1006</v>
      </c>
      <c r="D77" s="570" t="s">
        <v>1006</v>
      </c>
      <c r="E77" s="569" t="s">
        <v>1006</v>
      </c>
      <c r="F77" s="570" t="s">
        <v>1006</v>
      </c>
    </row>
    <row r="78" spans="1:7" s="148" customFormat="1" ht="18.399999999999999" customHeight="1">
      <c r="A78" s="1130"/>
      <c r="B78" s="537" t="str">
        <f t="shared" si="0"/>
        <v>R&amp;R/D&amp;R/MSK/CLN/S++/PNT</v>
      </c>
      <c r="C78" s="566"/>
      <c r="D78" s="565"/>
      <c r="E78" s="566"/>
      <c r="F78" s="565"/>
      <c r="G78" s="148" t="e">
        <f>#REF!</f>
        <v>#REF!</v>
      </c>
    </row>
    <row r="79" spans="1:7" s="148" customFormat="1" ht="18.399999999999999" customHeight="1">
      <c r="A79" s="1130"/>
      <c r="B79" s="537" t="str">
        <f t="shared" si="0"/>
        <v>Work Notes:________________________________________________________________________________</v>
      </c>
      <c r="C79" s="565"/>
      <c r="D79" s="564"/>
      <c r="E79" s="565"/>
      <c r="F79" s="564"/>
    </row>
    <row r="80" spans="1:7" s="148" customFormat="1" ht="18.399999999999999" customHeight="1">
      <c r="A80" s="1130"/>
      <c r="B80" s="537">
        <f t="shared" si="0"/>
        <v>0</v>
      </c>
      <c r="C80" s="566"/>
      <c r="D80" s="565"/>
      <c r="E80" s="566"/>
      <c r="F80" s="565"/>
      <c r="G80" s="453" t="e">
        <f>G78+#REF!</f>
        <v>#REF!</v>
      </c>
    </row>
    <row r="81" spans="1:7" s="148" customFormat="1" ht="18.399999999999999" customHeight="1">
      <c r="A81" s="532" t="str">
        <f>A1</f>
        <v>Interior Work SCOPE(Quick Version)</v>
      </c>
      <c r="C81" s="553" t="str">
        <f>+C41</f>
        <v>Hatten, Nedra</v>
      </c>
      <c r="D81" s="1127" t="str">
        <f>+D41</f>
        <v>628 Quilliams Road</v>
      </c>
      <c r="E81" s="1127"/>
      <c r="F81" s="553"/>
      <c r="G81" t="e">
        <f>1+#REF!</f>
        <v>#REF!</v>
      </c>
    </row>
    <row r="82" spans="1:7" s="148" customFormat="1" ht="18.399999999999999" customHeight="1">
      <c r="A82" s="352"/>
      <c r="B82" s="418" t="s">
        <v>1041</v>
      </c>
      <c r="C82" s="550" t="str">
        <f>+'jobinfo(2)'!C59</f>
        <v xml:space="preserve">  BATHROOM  </v>
      </c>
      <c r="D82" s="550" t="e">
        <f>+'jobinfo(2)'!#REF!</f>
        <v>#REF!</v>
      </c>
      <c r="E82" s="551" t="e">
        <f>+'jobinfo(2)'!#REF!</f>
        <v>#REF!</v>
      </c>
      <c r="F82" s="550" t="str">
        <f>+'jobinfo(2)'!C60</f>
        <v xml:space="preserve">  LINEN  </v>
      </c>
    </row>
    <row r="83" spans="1:7" s="148" customFormat="1" ht="18.399999999999999" customHeight="1">
      <c r="A83" s="1111" t="s">
        <v>998</v>
      </c>
      <c r="B83" s="419" t="s">
        <v>1042</v>
      </c>
      <c r="C83" s="571">
        <f>1+F43</f>
        <v>9</v>
      </c>
      <c r="D83" s="572">
        <f>1+C83</f>
        <v>10</v>
      </c>
      <c r="E83" s="573">
        <f>1+D83</f>
        <v>11</v>
      </c>
      <c r="F83" s="571">
        <f>1+E83</f>
        <v>12</v>
      </c>
    </row>
    <row r="84" spans="1:7" s="148" customFormat="1" ht="18.399999999999999" customHeight="1">
      <c r="A84" s="1111"/>
      <c r="B84" s="420" t="s">
        <v>1000</v>
      </c>
      <c r="C84" s="574"/>
      <c r="D84" s="575"/>
      <c r="E84" s="576"/>
      <c r="F84" s="575"/>
    </row>
    <row r="85" spans="1:7" s="148" customFormat="1" ht="18.399999999999999" customHeight="1">
      <c r="A85" s="1111"/>
      <c r="B85" s="420" t="s">
        <v>1043</v>
      </c>
      <c r="C85" s="577"/>
      <c r="D85" s="578"/>
      <c r="E85" s="579"/>
      <c r="F85" s="578"/>
    </row>
    <row r="86" spans="1:7" s="148" customFormat="1" ht="18.399999999999999" customHeight="1">
      <c r="A86" s="1111"/>
      <c r="B86" s="421" t="s">
        <v>1044</v>
      </c>
      <c r="C86" s="580"/>
      <c r="D86" s="579"/>
      <c r="E86" s="578"/>
      <c r="F86" s="579"/>
    </row>
    <row r="87" spans="1:7" s="148" customFormat="1" ht="18.399999999999999" customHeight="1">
      <c r="A87" s="1111"/>
      <c r="B87" s="422" t="s">
        <v>1045</v>
      </c>
      <c r="C87" s="581" t="s">
        <v>713</v>
      </c>
      <c r="D87" s="582" t="s">
        <v>713</v>
      </c>
      <c r="E87" s="583" t="s">
        <v>713</v>
      </c>
      <c r="F87" s="582" t="s">
        <v>713</v>
      </c>
    </row>
    <row r="88" spans="1:7" s="148" customFormat="1" ht="18.399999999999999" customHeight="1">
      <c r="A88" s="1111"/>
      <c r="B88" s="420" t="s">
        <v>1046</v>
      </c>
      <c r="C88" s="584" t="s">
        <v>1006</v>
      </c>
      <c r="D88" s="585" t="s">
        <v>1006</v>
      </c>
      <c r="E88" s="586" t="s">
        <v>1006</v>
      </c>
      <c r="F88" s="585" t="s">
        <v>1006</v>
      </c>
    </row>
    <row r="89" spans="1:7" s="148" customFormat="1" ht="18.399999999999999" customHeight="1">
      <c r="A89" s="1111"/>
      <c r="B89" s="423" t="s">
        <v>1047</v>
      </c>
      <c r="C89" s="577"/>
      <c r="D89" s="578"/>
      <c r="E89" s="579"/>
      <c r="F89" s="578"/>
    </row>
    <row r="90" spans="1:7" s="148" customFormat="1" ht="18.399999999999999" customHeight="1">
      <c r="A90" s="1111"/>
      <c r="B90" s="421" t="s">
        <v>1048</v>
      </c>
      <c r="C90" s="580"/>
      <c r="D90" s="579"/>
      <c r="E90" s="578"/>
      <c r="F90" s="579"/>
    </row>
    <row r="91" spans="1:7" s="148" customFormat="1" ht="18.399999999999999" customHeight="1">
      <c r="A91" s="1111"/>
      <c r="B91" s="423" t="s">
        <v>1049</v>
      </c>
      <c r="C91" s="581" t="s">
        <v>713</v>
      </c>
      <c r="D91" s="582" t="s">
        <v>713</v>
      </c>
      <c r="E91" s="583" t="s">
        <v>713</v>
      </c>
      <c r="F91" s="582" t="s">
        <v>713</v>
      </c>
    </row>
    <row r="92" spans="1:7" s="148" customFormat="1" ht="18.399999999999999" customHeight="1">
      <c r="A92" s="1111"/>
      <c r="B92" s="424" t="s">
        <v>1050</v>
      </c>
      <c r="C92" s="587" t="s">
        <v>1006</v>
      </c>
      <c r="D92" s="585" t="s">
        <v>1006</v>
      </c>
      <c r="E92" s="588" t="s">
        <v>1006</v>
      </c>
      <c r="F92" s="585" t="s">
        <v>1006</v>
      </c>
    </row>
    <row r="93" spans="1:7" s="148" customFormat="1" ht="18.399999999999999" customHeight="1">
      <c r="A93" s="1112" t="s">
        <v>1013</v>
      </c>
      <c r="B93" s="424" t="s">
        <v>1051</v>
      </c>
      <c r="C93" s="587"/>
      <c r="D93" s="585"/>
      <c r="E93" s="588"/>
      <c r="F93" s="585"/>
    </row>
    <row r="94" spans="1:7" s="148" customFormat="1" ht="18.399999999999999" customHeight="1">
      <c r="A94" s="1112"/>
      <c r="B94" s="425" t="s">
        <v>1052</v>
      </c>
      <c r="C94" s="581" t="s">
        <v>1053</v>
      </c>
      <c r="D94" s="582" t="s">
        <v>1053</v>
      </c>
      <c r="E94" s="583" t="s">
        <v>1053</v>
      </c>
      <c r="F94" s="582" t="s">
        <v>1053</v>
      </c>
    </row>
    <row r="95" spans="1:7" s="148" customFormat="1" ht="18.399999999999999" customHeight="1">
      <c r="A95" s="1112"/>
      <c r="B95" s="420" t="s">
        <v>1054</v>
      </c>
      <c r="C95" s="580"/>
      <c r="D95" s="579"/>
      <c r="E95" s="578"/>
      <c r="F95" s="579"/>
    </row>
    <row r="96" spans="1:7" s="148" customFormat="1" ht="18.399999999999999" customHeight="1">
      <c r="A96" s="1112"/>
      <c r="B96" s="420" t="s">
        <v>1055</v>
      </c>
      <c r="C96" s="577"/>
      <c r="D96" s="578"/>
      <c r="E96" s="579"/>
      <c r="F96" s="578"/>
    </row>
    <row r="97" spans="1:6" s="148" customFormat="1" ht="18.399999999999999" customHeight="1">
      <c r="A97" s="1112"/>
      <c r="B97" s="421" t="s">
        <v>1044</v>
      </c>
      <c r="C97" s="580"/>
      <c r="D97" s="579"/>
      <c r="E97" s="578"/>
      <c r="F97" s="579"/>
    </row>
    <row r="98" spans="1:6" s="148" customFormat="1" ht="18.399999999999999" customHeight="1">
      <c r="A98" s="1112"/>
      <c r="B98" s="422" t="s">
        <v>1045</v>
      </c>
      <c r="C98" s="581" t="s">
        <v>713</v>
      </c>
      <c r="D98" s="582" t="s">
        <v>713</v>
      </c>
      <c r="E98" s="583" t="s">
        <v>713</v>
      </c>
      <c r="F98" s="582" t="s">
        <v>713</v>
      </c>
    </row>
    <row r="99" spans="1:6" s="148" customFormat="1" ht="18.399999999999999" customHeight="1">
      <c r="A99" s="1112"/>
      <c r="B99" s="420" t="s">
        <v>1056</v>
      </c>
      <c r="C99" s="587" t="s">
        <v>1006</v>
      </c>
      <c r="D99" s="585" t="s">
        <v>1006</v>
      </c>
      <c r="E99" s="588" t="s">
        <v>1006</v>
      </c>
      <c r="F99" s="585" t="s">
        <v>1006</v>
      </c>
    </row>
    <row r="100" spans="1:6" s="148" customFormat="1" ht="18.399999999999999" customHeight="1">
      <c r="A100" s="1112"/>
      <c r="B100" s="423" t="s">
        <v>1057</v>
      </c>
      <c r="C100" s="577"/>
      <c r="D100" s="578"/>
      <c r="E100" s="579"/>
      <c r="F100" s="578"/>
    </row>
    <row r="101" spans="1:6" s="148" customFormat="1" ht="18.399999999999999" customHeight="1">
      <c r="A101" s="1112"/>
      <c r="B101" s="426" t="s">
        <v>1058</v>
      </c>
      <c r="C101" s="580"/>
      <c r="D101" s="579"/>
      <c r="E101" s="578"/>
      <c r="F101" s="579"/>
    </row>
    <row r="102" spans="1:6" s="148" customFormat="1" ht="18.399999999999999" customHeight="1">
      <c r="A102" s="1112"/>
      <c r="B102" s="423" t="s">
        <v>1059</v>
      </c>
      <c r="C102" s="581" t="s">
        <v>713</v>
      </c>
      <c r="D102" s="582" t="s">
        <v>713</v>
      </c>
      <c r="E102" s="583" t="s">
        <v>713</v>
      </c>
      <c r="F102" s="582" t="s">
        <v>713</v>
      </c>
    </row>
    <row r="103" spans="1:6" s="148" customFormat="1" ht="18.399999999999999" customHeight="1">
      <c r="A103" s="1113" t="s">
        <v>1035</v>
      </c>
      <c r="B103" s="421" t="s">
        <v>1060</v>
      </c>
      <c r="C103" s="584" t="s">
        <v>1006</v>
      </c>
      <c r="D103" s="585" t="s">
        <v>1006</v>
      </c>
      <c r="E103" s="586" t="s">
        <v>1006</v>
      </c>
      <c r="F103" s="585" t="s">
        <v>1006</v>
      </c>
    </row>
    <row r="104" spans="1:6" s="148" customFormat="1" ht="18.399999999999999" customHeight="1">
      <c r="A104" s="1113"/>
      <c r="B104" s="425" t="s">
        <v>1076</v>
      </c>
      <c r="C104" s="577"/>
      <c r="D104" s="578"/>
      <c r="E104" s="579"/>
      <c r="F104" s="578"/>
    </row>
    <row r="105" spans="1:6" s="148" customFormat="1" ht="18.399999999999999" customHeight="1">
      <c r="A105" s="1113"/>
      <c r="B105" s="427" t="s">
        <v>1062</v>
      </c>
      <c r="C105" s="580"/>
      <c r="D105" s="579"/>
      <c r="E105" s="578"/>
      <c r="F105" s="579"/>
    </row>
    <row r="106" spans="1:6" s="148" customFormat="1" ht="18.399999999999999" customHeight="1">
      <c r="A106" s="1113"/>
      <c r="B106" s="420" t="s">
        <v>1077</v>
      </c>
      <c r="C106" s="581" t="s">
        <v>713</v>
      </c>
      <c r="D106" s="582" t="s">
        <v>713</v>
      </c>
      <c r="E106" s="583" t="s">
        <v>713</v>
      </c>
      <c r="F106" s="582" t="s">
        <v>713</v>
      </c>
    </row>
    <row r="107" spans="1:6" s="148" customFormat="1" ht="18.399999999999999" customHeight="1">
      <c r="A107" s="1114" t="s">
        <v>1024</v>
      </c>
      <c r="B107" s="421" t="s">
        <v>1064</v>
      </c>
      <c r="C107" s="587" t="s">
        <v>1006</v>
      </c>
      <c r="D107" s="585" t="s">
        <v>1006</v>
      </c>
      <c r="E107" s="588" t="s">
        <v>1006</v>
      </c>
      <c r="F107" s="585" t="s">
        <v>1006</v>
      </c>
    </row>
    <row r="108" spans="1:6" s="148" customFormat="1" ht="18.399999999999999" customHeight="1">
      <c r="A108" s="1114"/>
      <c r="B108" s="533" t="s">
        <v>1066</v>
      </c>
      <c r="C108" s="587"/>
      <c r="D108" s="585"/>
      <c r="E108" s="588"/>
      <c r="F108" s="585"/>
    </row>
    <row r="109" spans="1:6" s="148" customFormat="1" ht="18.399999999999999" customHeight="1">
      <c r="A109" s="1109" t="s">
        <v>1029</v>
      </c>
      <c r="B109" s="421" t="s">
        <v>1067</v>
      </c>
      <c r="C109" s="581" t="s">
        <v>1053</v>
      </c>
      <c r="D109" s="582" t="s">
        <v>1053</v>
      </c>
      <c r="E109" s="583" t="s">
        <v>1053</v>
      </c>
      <c r="F109" s="582" t="s">
        <v>1053</v>
      </c>
    </row>
    <row r="110" spans="1:6" s="148" customFormat="1" ht="18.399999999999999" customHeight="1">
      <c r="A110" s="1109"/>
      <c r="B110" s="421" t="s">
        <v>1068</v>
      </c>
      <c r="C110" s="580"/>
      <c r="D110" s="579"/>
      <c r="E110" s="578"/>
      <c r="F110" s="579"/>
    </row>
    <row r="111" spans="1:6" s="148" customFormat="1" ht="18.399999999999999" customHeight="1">
      <c r="A111" s="1109"/>
      <c r="B111" s="421" t="s">
        <v>1069</v>
      </c>
      <c r="C111" s="577"/>
      <c r="D111" s="578"/>
      <c r="E111" s="579"/>
      <c r="F111" s="578"/>
    </row>
    <row r="112" spans="1:6" s="148" customFormat="1" ht="18.399999999999999" customHeight="1">
      <c r="A112" s="1109"/>
      <c r="B112" s="451" t="s">
        <v>1078</v>
      </c>
      <c r="C112" s="580"/>
      <c r="D112" s="579"/>
      <c r="E112" s="578"/>
      <c r="F112" s="579"/>
    </row>
    <row r="113" spans="1:7" s="148" customFormat="1" ht="18.399999999999999" customHeight="1">
      <c r="A113" s="1110" t="s">
        <v>10</v>
      </c>
      <c r="B113" s="429" t="s">
        <v>1071</v>
      </c>
      <c r="C113" s="581" t="s">
        <v>713</v>
      </c>
      <c r="D113" s="582" t="s">
        <v>713</v>
      </c>
      <c r="E113" s="583" t="s">
        <v>713</v>
      </c>
      <c r="F113" s="582" t="s">
        <v>713</v>
      </c>
    </row>
    <row r="114" spans="1:7" s="148" customFormat="1" ht="18.399999999999999" customHeight="1">
      <c r="A114" s="1110"/>
      <c r="B114" s="423" t="s">
        <v>1072</v>
      </c>
      <c r="C114" s="587" t="s">
        <v>1006</v>
      </c>
      <c r="D114" s="585" t="s">
        <v>1006</v>
      </c>
      <c r="E114" s="588" t="s">
        <v>1006</v>
      </c>
      <c r="F114" s="585" t="s">
        <v>1006</v>
      </c>
    </row>
    <row r="115" spans="1:7" s="148" customFormat="1" ht="18.399999999999999" customHeight="1">
      <c r="A115" s="1110"/>
      <c r="B115" s="421" t="s">
        <v>1067</v>
      </c>
      <c r="C115" s="589"/>
      <c r="D115" s="586"/>
      <c r="E115" s="585"/>
      <c r="F115" s="586"/>
    </row>
    <row r="116" spans="1:7" s="148" customFormat="1" ht="18.399999999999999" customHeight="1">
      <c r="A116" s="253"/>
      <c r="B116" s="426" t="s">
        <v>1073</v>
      </c>
      <c r="C116" s="587" t="s">
        <v>1006</v>
      </c>
      <c r="D116" s="585" t="s">
        <v>1006</v>
      </c>
      <c r="E116" s="588" t="s">
        <v>1006</v>
      </c>
      <c r="F116" s="585" t="s">
        <v>1006</v>
      </c>
    </row>
    <row r="117" spans="1:7" s="148" customFormat="1" ht="18.399999999999999" customHeight="1">
      <c r="A117" s="253"/>
      <c r="B117" s="452" t="s">
        <v>1074</v>
      </c>
      <c r="C117" s="585" t="s">
        <v>1006</v>
      </c>
      <c r="D117" s="586" t="s">
        <v>1006</v>
      </c>
      <c r="E117" s="585" t="s">
        <v>1006</v>
      </c>
      <c r="F117" s="586" t="s">
        <v>1006</v>
      </c>
      <c r="G117" s="148" t="e">
        <f>G80</f>
        <v>#REF!</v>
      </c>
    </row>
    <row r="118" spans="1:7" s="148" customFormat="1" ht="18.399999999999999" customHeight="1">
      <c r="A118" s="253"/>
      <c r="B118" s="421" t="s">
        <v>1067</v>
      </c>
      <c r="C118" s="587"/>
      <c r="D118" s="585"/>
      <c r="E118" s="588"/>
      <c r="F118" s="585"/>
    </row>
    <row r="119" spans="1:7" s="148" customFormat="1" ht="18.399999999999999" customHeight="1">
      <c r="A119" s="253"/>
      <c r="B119" s="430" t="s">
        <v>1075</v>
      </c>
      <c r="C119" s="589"/>
      <c r="D119" s="586"/>
      <c r="E119" s="585"/>
      <c r="F119" s="586"/>
      <c r="G119" s="453" t="e">
        <f>G117+G120</f>
        <v>#REF!</v>
      </c>
    </row>
    <row r="120" spans="1:7" s="148" customFormat="1" ht="18.399999999999999" customHeight="1">
      <c r="A120" s="253"/>
      <c r="B120" s="430"/>
      <c r="C120" s="589"/>
      <c r="D120" s="586"/>
      <c r="E120" s="585"/>
      <c r="F120" s="586"/>
      <c r="G120" s="453" t="e">
        <f>G117*D42</f>
        <v>#REF!</v>
      </c>
    </row>
    <row r="121" spans="1:7" s="148" customFormat="1" ht="18.399999999999999" customHeight="1">
      <c r="A121" s="531" t="str">
        <f>A1</f>
        <v>Interior Work SCOPE(Quick Version)</v>
      </c>
      <c r="B121" s="417"/>
      <c r="C121" s="553" t="str">
        <f>+$C$1</f>
        <v>Hatten, Nedra</v>
      </c>
      <c r="D121" s="1127" t="str">
        <f>+$D$1</f>
        <v>628 Quilliams Road</v>
      </c>
      <c r="E121" s="1127"/>
      <c r="F121" s="553"/>
    </row>
    <row r="122" spans="1:7" s="148" customFormat="1" ht="18.399999999999999" customHeight="1">
      <c r="A122" s="352"/>
      <c r="B122" s="418" t="s">
        <v>1041</v>
      </c>
      <c r="C122" s="590" t="str">
        <f>+'jobinfo(2)'!C61</f>
        <v xml:space="preserve">  PBR  </v>
      </c>
      <c r="D122" s="549" t="str">
        <f>+'jobinfo(2)'!C62</f>
        <v xml:space="preserve">  PBR CLOSET  </v>
      </c>
      <c r="E122" s="590" t="str">
        <f>+'jobinfo(2)'!C63</f>
        <v xml:space="preserve">  BR2  </v>
      </c>
      <c r="F122" s="590">
        <f>+'jobinfo(2)'!C68</f>
        <v>0</v>
      </c>
    </row>
    <row r="123" spans="1:7" s="148" customFormat="1" ht="18.399999999999999" customHeight="1">
      <c r="A123" s="1111" t="s">
        <v>998</v>
      </c>
      <c r="B123" s="538" t="s">
        <v>1042</v>
      </c>
      <c r="C123" s="572">
        <f>+F83+1</f>
        <v>13</v>
      </c>
      <c r="D123" s="573">
        <f>1+C123</f>
        <v>14</v>
      </c>
      <c r="E123" s="571">
        <f>1+D123</f>
        <v>15</v>
      </c>
      <c r="F123" s="571">
        <f>1+E123</f>
        <v>16</v>
      </c>
    </row>
    <row r="124" spans="1:7" s="148" customFormat="1" ht="18.399999999999999" customHeight="1">
      <c r="A124" s="1111"/>
      <c r="B124" s="420" t="s">
        <v>1000</v>
      </c>
      <c r="C124" s="574"/>
      <c r="D124" s="575"/>
      <c r="E124" s="576"/>
      <c r="F124" s="575"/>
    </row>
    <row r="125" spans="1:7" s="148" customFormat="1" ht="18.399999999999999" customHeight="1">
      <c r="A125" s="1111"/>
      <c r="B125" s="420" t="s">
        <v>1043</v>
      </c>
      <c r="C125" s="577"/>
      <c r="D125" s="578"/>
      <c r="E125" s="579"/>
      <c r="F125" s="578"/>
    </row>
    <row r="126" spans="1:7" s="148" customFormat="1" ht="18.399999999999999" customHeight="1">
      <c r="A126" s="1111"/>
      <c r="B126" s="421" t="s">
        <v>1044</v>
      </c>
      <c r="C126" s="580"/>
      <c r="D126" s="579"/>
      <c r="E126" s="578"/>
      <c r="F126" s="579"/>
    </row>
    <row r="127" spans="1:7" s="148" customFormat="1" ht="18.399999999999999" customHeight="1">
      <c r="A127" s="1111"/>
      <c r="B127" s="422" t="s">
        <v>1045</v>
      </c>
      <c r="C127" s="581" t="s">
        <v>713</v>
      </c>
      <c r="D127" s="582" t="s">
        <v>713</v>
      </c>
      <c r="E127" s="583" t="s">
        <v>713</v>
      </c>
      <c r="F127" s="582" t="s">
        <v>713</v>
      </c>
    </row>
    <row r="128" spans="1:7" s="148" customFormat="1" ht="18.399999999999999" customHeight="1">
      <c r="A128" s="1111"/>
      <c r="B128" s="420" t="s">
        <v>1046</v>
      </c>
      <c r="C128" s="584" t="s">
        <v>1006</v>
      </c>
      <c r="D128" s="585" t="s">
        <v>1006</v>
      </c>
      <c r="E128" s="586" t="s">
        <v>1006</v>
      </c>
      <c r="F128" s="585" t="s">
        <v>1006</v>
      </c>
    </row>
    <row r="129" spans="1:6" s="148" customFormat="1" ht="18.399999999999999" customHeight="1">
      <c r="A129" s="1111"/>
      <c r="B129" s="423" t="s">
        <v>1047</v>
      </c>
      <c r="C129" s="577"/>
      <c r="D129" s="578"/>
      <c r="E129" s="579"/>
      <c r="F129" s="578"/>
    </row>
    <row r="130" spans="1:6" s="148" customFormat="1" ht="18.399999999999999" customHeight="1">
      <c r="A130" s="1111"/>
      <c r="B130" s="421" t="s">
        <v>1048</v>
      </c>
      <c r="C130" s="580"/>
      <c r="D130" s="579"/>
      <c r="E130" s="578"/>
      <c r="F130" s="579"/>
    </row>
    <row r="131" spans="1:6" s="148" customFormat="1" ht="18.399999999999999" customHeight="1">
      <c r="A131" s="1111"/>
      <c r="B131" s="423" t="s">
        <v>1049</v>
      </c>
      <c r="C131" s="581" t="s">
        <v>713</v>
      </c>
      <c r="D131" s="582" t="s">
        <v>713</v>
      </c>
      <c r="E131" s="583" t="s">
        <v>713</v>
      </c>
      <c r="F131" s="582" t="s">
        <v>713</v>
      </c>
    </row>
    <row r="132" spans="1:6" s="148" customFormat="1" ht="18.399999999999999" customHeight="1">
      <c r="A132" s="1111"/>
      <c r="B132" s="424" t="s">
        <v>1050</v>
      </c>
      <c r="C132" s="587" t="s">
        <v>1006</v>
      </c>
      <c r="D132" s="585" t="s">
        <v>1006</v>
      </c>
      <c r="E132" s="588" t="s">
        <v>1006</v>
      </c>
      <c r="F132" s="585" t="s">
        <v>1006</v>
      </c>
    </row>
    <row r="133" spans="1:6" s="148" customFormat="1" ht="18.399999999999999" customHeight="1">
      <c r="A133" s="1112" t="s">
        <v>1013</v>
      </c>
      <c r="B133" s="424" t="s">
        <v>1051</v>
      </c>
      <c r="C133" s="587"/>
      <c r="D133" s="585"/>
      <c r="E133" s="588"/>
      <c r="F133" s="585"/>
    </row>
    <row r="134" spans="1:6" s="148" customFormat="1" ht="18.399999999999999" customHeight="1">
      <c r="A134" s="1112"/>
      <c r="B134" s="425" t="s">
        <v>1052</v>
      </c>
      <c r="C134" s="581" t="s">
        <v>1053</v>
      </c>
      <c r="D134" s="582" t="s">
        <v>1053</v>
      </c>
      <c r="E134" s="583" t="s">
        <v>1053</v>
      </c>
      <c r="F134" s="582" t="s">
        <v>1053</v>
      </c>
    </row>
    <row r="135" spans="1:6" s="148" customFormat="1" ht="18.399999999999999" customHeight="1">
      <c r="A135" s="1112"/>
      <c r="B135" s="420" t="s">
        <v>1054</v>
      </c>
      <c r="C135" s="580"/>
      <c r="D135" s="579"/>
      <c r="E135" s="578"/>
      <c r="F135" s="579"/>
    </row>
    <row r="136" spans="1:6" s="148" customFormat="1" ht="18.399999999999999" customHeight="1">
      <c r="A136" s="1112"/>
      <c r="B136" s="420" t="s">
        <v>1055</v>
      </c>
      <c r="C136" s="577"/>
      <c r="D136" s="578"/>
      <c r="E136" s="579"/>
      <c r="F136" s="578"/>
    </row>
    <row r="137" spans="1:6" s="148" customFormat="1" ht="18.399999999999999" customHeight="1">
      <c r="A137" s="1112"/>
      <c r="B137" s="421" t="s">
        <v>1044</v>
      </c>
      <c r="C137" s="580"/>
      <c r="D137" s="579"/>
      <c r="E137" s="578"/>
      <c r="F137" s="579"/>
    </row>
    <row r="138" spans="1:6" s="148" customFormat="1" ht="18.399999999999999" customHeight="1">
      <c r="A138" s="1112"/>
      <c r="B138" s="422" t="s">
        <v>1045</v>
      </c>
      <c r="C138" s="581" t="s">
        <v>713</v>
      </c>
      <c r="D138" s="582" t="s">
        <v>713</v>
      </c>
      <c r="E138" s="583" t="s">
        <v>713</v>
      </c>
      <c r="F138" s="582" t="s">
        <v>713</v>
      </c>
    </row>
    <row r="139" spans="1:6" s="148" customFormat="1" ht="18.399999999999999" customHeight="1">
      <c r="A139" s="1112"/>
      <c r="B139" s="420" t="s">
        <v>1056</v>
      </c>
      <c r="C139" s="587" t="s">
        <v>1006</v>
      </c>
      <c r="D139" s="585" t="s">
        <v>1006</v>
      </c>
      <c r="E139" s="588" t="s">
        <v>1006</v>
      </c>
      <c r="F139" s="585" t="s">
        <v>1006</v>
      </c>
    </row>
    <row r="140" spans="1:6" s="148" customFormat="1" ht="18.399999999999999" customHeight="1">
      <c r="A140" s="1112"/>
      <c r="B140" s="423" t="s">
        <v>1057</v>
      </c>
      <c r="C140" s="577"/>
      <c r="D140" s="578"/>
      <c r="E140" s="579"/>
      <c r="F140" s="578"/>
    </row>
    <row r="141" spans="1:6" s="148" customFormat="1" ht="18.399999999999999" customHeight="1">
      <c r="A141" s="1112"/>
      <c r="B141" s="426" t="s">
        <v>1058</v>
      </c>
      <c r="C141" s="580"/>
      <c r="D141" s="579"/>
      <c r="E141" s="578"/>
      <c r="F141" s="579"/>
    </row>
    <row r="142" spans="1:6" s="148" customFormat="1" ht="18.399999999999999" customHeight="1">
      <c r="A142" s="1112"/>
      <c r="B142" s="423" t="s">
        <v>1059</v>
      </c>
      <c r="C142" s="581" t="s">
        <v>713</v>
      </c>
      <c r="D142" s="582" t="s">
        <v>713</v>
      </c>
      <c r="E142" s="583" t="s">
        <v>713</v>
      </c>
      <c r="F142" s="582" t="s">
        <v>713</v>
      </c>
    </row>
    <row r="143" spans="1:6" s="148" customFormat="1" ht="18.399999999999999" customHeight="1">
      <c r="A143" s="1112"/>
      <c r="B143" s="421" t="s">
        <v>1060</v>
      </c>
      <c r="C143" s="584" t="s">
        <v>1006</v>
      </c>
      <c r="D143" s="585" t="s">
        <v>1006</v>
      </c>
      <c r="E143" s="586" t="s">
        <v>1006</v>
      </c>
      <c r="F143" s="585" t="s">
        <v>1006</v>
      </c>
    </row>
    <row r="144" spans="1:6" s="148" customFormat="1" ht="18.399999999999999" customHeight="1">
      <c r="A144" s="1112"/>
      <c r="B144" s="425" t="s">
        <v>1076</v>
      </c>
      <c r="C144" s="577"/>
      <c r="D144" s="578"/>
      <c r="E144" s="579"/>
      <c r="F144" s="578"/>
    </row>
    <row r="145" spans="1:7" ht="18.399999999999999" customHeight="1">
      <c r="A145" s="1113" t="s">
        <v>1035</v>
      </c>
      <c r="B145" s="427" t="s">
        <v>1062</v>
      </c>
      <c r="C145" s="580"/>
      <c r="D145" s="579"/>
      <c r="E145" s="578"/>
      <c r="F145" s="579"/>
    </row>
    <row r="146" spans="1:7" ht="18.399999999999999" customHeight="1">
      <c r="A146" s="1113"/>
      <c r="B146" s="420" t="s">
        <v>1077</v>
      </c>
      <c r="C146" s="581" t="s">
        <v>713</v>
      </c>
      <c r="D146" s="582" t="s">
        <v>713</v>
      </c>
      <c r="E146" s="583" t="s">
        <v>713</v>
      </c>
      <c r="F146" s="582" t="s">
        <v>713</v>
      </c>
    </row>
    <row r="147" spans="1:7" ht="18.399999999999999" customHeight="1">
      <c r="A147" s="1113"/>
      <c r="B147" s="421" t="s">
        <v>1064</v>
      </c>
      <c r="C147" s="587" t="s">
        <v>1006</v>
      </c>
      <c r="D147" s="585" t="s">
        <v>1006</v>
      </c>
      <c r="E147" s="588" t="s">
        <v>1006</v>
      </c>
      <c r="F147" s="585" t="s">
        <v>1006</v>
      </c>
    </row>
    <row r="148" spans="1:7" ht="18.399999999999999" customHeight="1">
      <c r="A148" s="1113"/>
      <c r="B148" s="535" t="s">
        <v>1066</v>
      </c>
      <c r="C148" s="587"/>
      <c r="D148" s="585"/>
      <c r="E148" s="588"/>
      <c r="F148" s="585"/>
    </row>
    <row r="149" spans="1:7" ht="18.399999999999999" customHeight="1">
      <c r="A149" s="1114" t="s">
        <v>1024</v>
      </c>
      <c r="B149" s="421" t="s">
        <v>1067</v>
      </c>
      <c r="C149" s="581" t="s">
        <v>1053</v>
      </c>
      <c r="D149" s="582" t="s">
        <v>1053</v>
      </c>
      <c r="E149" s="583" t="s">
        <v>1053</v>
      </c>
      <c r="F149" s="582" t="s">
        <v>1053</v>
      </c>
    </row>
    <row r="150" spans="1:7" ht="18.399999999999999" customHeight="1">
      <c r="A150" s="1114"/>
      <c r="B150" s="421" t="s">
        <v>1068</v>
      </c>
      <c r="C150" s="580"/>
      <c r="D150" s="579"/>
      <c r="E150" s="578"/>
      <c r="F150" s="579"/>
    </row>
    <row r="151" spans="1:7" ht="18.399999999999999" customHeight="1">
      <c r="A151" s="1109" t="s">
        <v>1029</v>
      </c>
      <c r="B151" s="421" t="s">
        <v>1069</v>
      </c>
      <c r="C151" s="577"/>
      <c r="D151" s="578"/>
      <c r="E151" s="579"/>
      <c r="F151" s="578"/>
    </row>
    <row r="152" spans="1:7" ht="18.399999999999999" customHeight="1">
      <c r="A152" s="1109"/>
      <c r="B152" s="451" t="s">
        <v>1078</v>
      </c>
      <c r="C152" s="580"/>
      <c r="D152" s="579"/>
      <c r="E152" s="578"/>
      <c r="F152" s="579"/>
    </row>
    <row r="153" spans="1:7" ht="18.399999999999999" customHeight="1">
      <c r="A153" s="1109"/>
      <c r="B153" s="429" t="s">
        <v>1071</v>
      </c>
      <c r="C153" s="581" t="s">
        <v>713</v>
      </c>
      <c r="D153" s="582" t="s">
        <v>713</v>
      </c>
      <c r="E153" s="583" t="s">
        <v>713</v>
      </c>
      <c r="F153" s="582" t="s">
        <v>713</v>
      </c>
    </row>
    <row r="154" spans="1:7" ht="18.399999999999999" customHeight="1">
      <c r="A154" s="1109"/>
      <c r="B154" s="423" t="s">
        <v>1072</v>
      </c>
      <c r="C154" s="587" t="s">
        <v>1006</v>
      </c>
      <c r="D154" s="585" t="s">
        <v>1006</v>
      </c>
      <c r="E154" s="588" t="s">
        <v>1006</v>
      </c>
      <c r="F154" s="585" t="s">
        <v>1006</v>
      </c>
    </row>
    <row r="155" spans="1:7" ht="18.399999999999999" customHeight="1">
      <c r="A155" s="444" t="s">
        <v>10</v>
      </c>
      <c r="B155" s="421" t="s">
        <v>1067</v>
      </c>
      <c r="C155" s="589"/>
      <c r="D155" s="586"/>
      <c r="E155" s="585"/>
      <c r="F155" s="586"/>
    </row>
    <row r="156" spans="1:7" ht="18.399999999999999" customHeight="1">
      <c r="A156" s="444"/>
      <c r="B156" s="426" t="s">
        <v>1073</v>
      </c>
      <c r="C156" s="587" t="s">
        <v>1006</v>
      </c>
      <c r="D156" s="585" t="s">
        <v>1006</v>
      </c>
      <c r="E156" s="588" t="s">
        <v>1006</v>
      </c>
      <c r="F156" s="585" t="s">
        <v>1006</v>
      </c>
    </row>
    <row r="157" spans="1:7" ht="18.399999999999999" customHeight="1">
      <c r="A157" s="444"/>
      <c r="B157" s="425" t="s">
        <v>1074</v>
      </c>
      <c r="C157" s="585" t="s">
        <v>1006</v>
      </c>
      <c r="D157" s="586" t="s">
        <v>1006</v>
      </c>
      <c r="E157" s="585" t="s">
        <v>1006</v>
      </c>
      <c r="F157" s="586" t="s">
        <v>1006</v>
      </c>
      <c r="G157" s="148" t="e">
        <f>#REF!</f>
        <v>#REF!</v>
      </c>
    </row>
    <row r="158" spans="1:7" ht="18.399999999999999" customHeight="1">
      <c r="A158" s="444"/>
      <c r="B158" s="421" t="s">
        <v>1067</v>
      </c>
      <c r="C158" s="587"/>
      <c r="D158" s="585"/>
      <c r="E158" s="588"/>
      <c r="F158" s="585"/>
      <c r="G158" s="148" t="e">
        <f>#REF!</f>
        <v>#REF!</v>
      </c>
    </row>
    <row r="159" spans="1:7" ht="18.399999999999999" customHeight="1">
      <c r="A159" s="444"/>
      <c r="B159" s="430" t="s">
        <v>1075</v>
      </c>
      <c r="C159" s="589"/>
      <c r="D159" s="586"/>
      <c r="E159" s="585"/>
      <c r="F159" s="586"/>
      <c r="G159" s="148" t="e">
        <f>#REF!+G158</f>
        <v>#REF!</v>
      </c>
    </row>
    <row r="160" spans="1:7" ht="18.399999999999999" customHeight="1">
      <c r="A160" s="444"/>
      <c r="B160" s="421"/>
      <c r="C160" s="587"/>
      <c r="D160" s="585"/>
      <c r="E160" s="588"/>
      <c r="F160" s="585"/>
    </row>
    <row r="161" spans="1:6" ht="18.399999999999999" customHeight="1">
      <c r="A161" s="534" t="str">
        <f>A1</f>
        <v>Interior Work SCOPE(Quick Version)</v>
      </c>
      <c r="C161" s="553" t="str">
        <f>C1</f>
        <v>Hatten, Nedra</v>
      </c>
      <c r="D161" s="1125" t="str">
        <f>D1</f>
        <v>628 Quilliams Road</v>
      </c>
      <c r="E161" s="1125"/>
    </row>
    <row r="162" spans="1:6" ht="18.399999999999999" customHeight="1">
      <c r="B162" s="418" t="s">
        <v>1041</v>
      </c>
      <c r="C162" s="591">
        <f>+'jobinfo(2)'!C69</f>
        <v>0</v>
      </c>
      <c r="D162" s="592">
        <f>+'jobinfo(2)'!C70</f>
        <v>0</v>
      </c>
      <c r="E162" s="591">
        <f>+'jobinfo(2)'!C71</f>
        <v>0</v>
      </c>
      <c r="F162" s="591">
        <f>+'jobinfo(2)'!C72</f>
        <v>0</v>
      </c>
    </row>
    <row r="163" spans="1:6" ht="18.399999999999999" customHeight="1">
      <c r="B163" s="419" t="s">
        <v>1042</v>
      </c>
      <c r="C163" s="593">
        <f>+'jobinfo(2)'!A69</f>
        <v>17</v>
      </c>
      <c r="D163" s="593">
        <f>+'jobinfo(2)'!A70</f>
        <v>18</v>
      </c>
      <c r="E163" s="558">
        <f>+'jobinfo(2)'!A71</f>
        <v>19</v>
      </c>
      <c r="F163" s="558">
        <f>+'jobinfo(2)'!A72</f>
        <v>20</v>
      </c>
    </row>
    <row r="164" spans="1:6" ht="18.399999999999999" customHeight="1">
      <c r="A164" s="1111" t="s">
        <v>998</v>
      </c>
      <c r="B164" s="420" t="s">
        <v>1000</v>
      </c>
      <c r="C164" s="574"/>
      <c r="D164" s="575"/>
      <c r="E164" s="576"/>
      <c r="F164" s="575"/>
    </row>
    <row r="165" spans="1:6" ht="18.399999999999999" customHeight="1">
      <c r="A165" s="1111"/>
      <c r="B165" s="420" t="s">
        <v>1043</v>
      </c>
      <c r="C165" s="577"/>
      <c r="D165" s="578"/>
      <c r="E165" s="579"/>
      <c r="F165" s="578"/>
    </row>
    <row r="166" spans="1:6" ht="18.399999999999999" customHeight="1">
      <c r="A166" s="1111"/>
      <c r="B166" s="421" t="s">
        <v>1044</v>
      </c>
      <c r="C166" s="580"/>
      <c r="D166" s="579"/>
      <c r="E166" s="578"/>
      <c r="F166" s="579"/>
    </row>
    <row r="167" spans="1:6" ht="18.399999999999999" customHeight="1">
      <c r="A167" s="1111"/>
      <c r="B167" s="422" t="s">
        <v>1045</v>
      </c>
      <c r="C167" s="581" t="s">
        <v>713</v>
      </c>
      <c r="D167" s="582" t="s">
        <v>713</v>
      </c>
      <c r="E167" s="583" t="s">
        <v>713</v>
      </c>
      <c r="F167" s="582" t="s">
        <v>713</v>
      </c>
    </row>
    <row r="168" spans="1:6" ht="18.399999999999999" customHeight="1">
      <c r="A168" s="1111"/>
      <c r="B168" s="420" t="s">
        <v>1046</v>
      </c>
      <c r="C168" s="584" t="s">
        <v>1006</v>
      </c>
      <c r="D168" s="585" t="s">
        <v>1006</v>
      </c>
      <c r="E168" s="586" t="s">
        <v>1006</v>
      </c>
      <c r="F168" s="585" t="s">
        <v>1006</v>
      </c>
    </row>
    <row r="169" spans="1:6" ht="18.399999999999999" customHeight="1">
      <c r="A169" s="1111"/>
      <c r="B169" s="423" t="s">
        <v>1047</v>
      </c>
      <c r="C169" s="577"/>
      <c r="D169" s="578"/>
      <c r="E169" s="579"/>
      <c r="F169" s="578"/>
    </row>
    <row r="170" spans="1:6" ht="18.399999999999999" customHeight="1">
      <c r="A170" s="1111"/>
      <c r="B170" s="421" t="s">
        <v>1048</v>
      </c>
      <c r="C170" s="580"/>
      <c r="D170" s="579"/>
      <c r="E170" s="578"/>
      <c r="F170" s="579"/>
    </row>
    <row r="171" spans="1:6" ht="18.399999999999999" customHeight="1">
      <c r="A171" s="1111"/>
      <c r="B171" s="423" t="s">
        <v>1049</v>
      </c>
      <c r="C171" s="581" t="s">
        <v>713</v>
      </c>
      <c r="D171" s="582" t="s">
        <v>713</v>
      </c>
      <c r="E171" s="583" t="s">
        <v>713</v>
      </c>
      <c r="F171" s="582" t="s">
        <v>713</v>
      </c>
    </row>
    <row r="172" spans="1:6" ht="18.399999999999999" customHeight="1">
      <c r="A172" s="1111"/>
      <c r="B172" s="424" t="s">
        <v>1050</v>
      </c>
      <c r="C172" s="587" t="s">
        <v>1006</v>
      </c>
      <c r="D172" s="585" t="s">
        <v>1006</v>
      </c>
      <c r="E172" s="588" t="s">
        <v>1006</v>
      </c>
      <c r="F172" s="585" t="s">
        <v>1006</v>
      </c>
    </row>
    <row r="173" spans="1:6" ht="18.399999999999999" customHeight="1">
      <c r="A173" s="1111"/>
      <c r="B173" s="424" t="s">
        <v>1051</v>
      </c>
      <c r="C173" s="587"/>
      <c r="D173" s="585"/>
      <c r="E173" s="588"/>
      <c r="F173" s="585"/>
    </row>
    <row r="174" spans="1:6" ht="18.399999999999999" customHeight="1">
      <c r="A174" s="1112" t="s">
        <v>1013</v>
      </c>
      <c r="B174" s="425" t="s">
        <v>1052</v>
      </c>
      <c r="C174" s="581" t="s">
        <v>1053</v>
      </c>
      <c r="D174" s="582" t="s">
        <v>1053</v>
      </c>
      <c r="E174" s="583" t="s">
        <v>1053</v>
      </c>
      <c r="F174" s="582" t="s">
        <v>1053</v>
      </c>
    </row>
    <row r="175" spans="1:6" ht="18.399999999999999" customHeight="1">
      <c r="A175" s="1112"/>
      <c r="B175" s="420" t="s">
        <v>1054</v>
      </c>
      <c r="C175" s="580"/>
      <c r="D175" s="579"/>
      <c r="E175" s="578"/>
      <c r="F175" s="579"/>
    </row>
    <row r="176" spans="1:6" ht="18.399999999999999" customHeight="1">
      <c r="A176" s="1112"/>
      <c r="B176" s="420" t="s">
        <v>1055</v>
      </c>
      <c r="C176" s="577"/>
      <c r="D176" s="578"/>
      <c r="E176" s="579"/>
      <c r="F176" s="578"/>
    </row>
    <row r="177" spans="1:6" ht="18.399999999999999" customHeight="1">
      <c r="A177" s="1112"/>
      <c r="B177" s="421" t="s">
        <v>1044</v>
      </c>
      <c r="C177" s="580"/>
      <c r="D177" s="579"/>
      <c r="E177" s="578"/>
      <c r="F177" s="579"/>
    </row>
    <row r="178" spans="1:6" ht="18.399999999999999" customHeight="1">
      <c r="A178" s="1112"/>
      <c r="B178" s="422" t="s">
        <v>1045</v>
      </c>
      <c r="C178" s="581" t="s">
        <v>713</v>
      </c>
      <c r="D178" s="582" t="s">
        <v>713</v>
      </c>
      <c r="E178" s="583" t="s">
        <v>713</v>
      </c>
      <c r="F178" s="582" t="s">
        <v>713</v>
      </c>
    </row>
    <row r="179" spans="1:6" ht="18.399999999999999" customHeight="1">
      <c r="A179" s="1112"/>
      <c r="B179" s="420" t="s">
        <v>1056</v>
      </c>
      <c r="C179" s="587" t="s">
        <v>1006</v>
      </c>
      <c r="D179" s="585" t="s">
        <v>1006</v>
      </c>
      <c r="E179" s="588" t="s">
        <v>1006</v>
      </c>
      <c r="F179" s="585" t="s">
        <v>1006</v>
      </c>
    </row>
    <row r="180" spans="1:6" ht="18.399999999999999" customHeight="1">
      <c r="A180" s="1112"/>
      <c r="B180" s="423" t="s">
        <v>1057</v>
      </c>
      <c r="C180" s="577"/>
      <c r="D180" s="578"/>
      <c r="E180" s="579"/>
      <c r="F180" s="578"/>
    </row>
    <row r="181" spans="1:6" ht="18.399999999999999" customHeight="1">
      <c r="A181" s="1112"/>
      <c r="B181" s="426" t="s">
        <v>1058</v>
      </c>
      <c r="C181" s="580"/>
      <c r="D181" s="579"/>
      <c r="E181" s="578"/>
      <c r="F181" s="579"/>
    </row>
    <row r="182" spans="1:6" ht="18.399999999999999" customHeight="1">
      <c r="A182" s="1112"/>
      <c r="B182" s="423" t="s">
        <v>1059</v>
      </c>
      <c r="C182" s="581" t="s">
        <v>713</v>
      </c>
      <c r="D182" s="582" t="s">
        <v>713</v>
      </c>
      <c r="E182" s="583" t="s">
        <v>713</v>
      </c>
      <c r="F182" s="582" t="s">
        <v>713</v>
      </c>
    </row>
    <row r="183" spans="1:6" ht="18.399999999999999" customHeight="1">
      <c r="A183" s="1112"/>
      <c r="B183" s="421" t="s">
        <v>1060</v>
      </c>
      <c r="C183" s="584" t="s">
        <v>1006</v>
      </c>
      <c r="D183" s="585" t="s">
        <v>1006</v>
      </c>
      <c r="E183" s="586" t="s">
        <v>1006</v>
      </c>
      <c r="F183" s="585" t="s">
        <v>1006</v>
      </c>
    </row>
    <row r="184" spans="1:6" ht="18.399999999999999" customHeight="1">
      <c r="A184" s="1113" t="s">
        <v>1035</v>
      </c>
      <c r="B184" s="425" t="s">
        <v>1076</v>
      </c>
      <c r="C184" s="577"/>
      <c r="D184" s="578"/>
      <c r="E184" s="579"/>
      <c r="F184" s="578"/>
    </row>
    <row r="185" spans="1:6" ht="18.399999999999999" customHeight="1">
      <c r="A185" s="1113"/>
      <c r="B185" s="427" t="s">
        <v>1062</v>
      </c>
      <c r="C185" s="580"/>
      <c r="D185" s="579"/>
      <c r="E185" s="578"/>
      <c r="F185" s="579"/>
    </row>
    <row r="186" spans="1:6" ht="18.399999999999999" customHeight="1">
      <c r="A186" s="1113"/>
      <c r="B186" s="420" t="s">
        <v>1077</v>
      </c>
      <c r="C186" s="581" t="s">
        <v>713</v>
      </c>
      <c r="D186" s="582" t="s">
        <v>713</v>
      </c>
      <c r="E186" s="583" t="s">
        <v>713</v>
      </c>
      <c r="F186" s="582" t="s">
        <v>713</v>
      </c>
    </row>
    <row r="187" spans="1:6" ht="18.399999999999999" customHeight="1">
      <c r="A187" s="1113"/>
      <c r="B187" s="421" t="s">
        <v>1064</v>
      </c>
      <c r="C187" s="587" t="s">
        <v>1006</v>
      </c>
      <c r="D187" s="585" t="s">
        <v>1006</v>
      </c>
      <c r="E187" s="588" t="s">
        <v>1006</v>
      </c>
      <c r="F187" s="585" t="s">
        <v>1006</v>
      </c>
    </row>
    <row r="188" spans="1:6" ht="18.399999999999999" customHeight="1">
      <c r="A188" s="1114" t="s">
        <v>1024</v>
      </c>
      <c r="B188" s="539" t="s">
        <v>1066</v>
      </c>
      <c r="C188" s="587"/>
      <c r="D188" s="585"/>
      <c r="E188" s="588"/>
      <c r="F188" s="585"/>
    </row>
    <row r="189" spans="1:6" ht="18.399999999999999" customHeight="1">
      <c r="A189" s="1114"/>
      <c r="B189" s="421" t="s">
        <v>1067</v>
      </c>
      <c r="C189" s="581" t="s">
        <v>1053</v>
      </c>
      <c r="D189" s="582" t="s">
        <v>1053</v>
      </c>
      <c r="E189" s="583" t="s">
        <v>1053</v>
      </c>
      <c r="F189" s="582" t="s">
        <v>1053</v>
      </c>
    </row>
    <row r="190" spans="1:6" ht="18.399999999999999" customHeight="1">
      <c r="A190" s="1109" t="s">
        <v>1029</v>
      </c>
      <c r="B190" s="421" t="s">
        <v>1068</v>
      </c>
      <c r="C190" s="580"/>
      <c r="D190" s="579"/>
      <c r="E190" s="578"/>
      <c r="F190" s="579"/>
    </row>
    <row r="191" spans="1:6" ht="18.399999999999999" customHeight="1">
      <c r="A191" s="1109"/>
      <c r="B191" s="421" t="s">
        <v>1069</v>
      </c>
      <c r="C191" s="577"/>
      <c r="D191" s="578"/>
      <c r="E191" s="579"/>
      <c r="F191" s="578"/>
    </row>
    <row r="192" spans="1:6" ht="18.399999999999999" customHeight="1">
      <c r="A192" s="1109"/>
      <c r="B192" s="451" t="s">
        <v>1078</v>
      </c>
      <c r="C192" s="580"/>
      <c r="D192" s="579"/>
      <c r="E192" s="578"/>
      <c r="F192" s="579"/>
    </row>
    <row r="193" spans="1:7" ht="18.399999999999999" customHeight="1">
      <c r="A193" s="1109"/>
      <c r="B193" s="429" t="s">
        <v>1071</v>
      </c>
      <c r="C193" s="581" t="s">
        <v>713</v>
      </c>
      <c r="D193" s="582" t="s">
        <v>713</v>
      </c>
      <c r="E193" s="583" t="s">
        <v>713</v>
      </c>
      <c r="F193" s="582" t="s">
        <v>713</v>
      </c>
    </row>
    <row r="194" spans="1:7" ht="18.399999999999999" customHeight="1">
      <c r="A194" s="1110" t="s">
        <v>10</v>
      </c>
      <c r="B194" s="423" t="s">
        <v>1072</v>
      </c>
      <c r="C194" s="587" t="s">
        <v>1006</v>
      </c>
      <c r="D194" s="585" t="s">
        <v>1006</v>
      </c>
      <c r="E194" s="588" t="s">
        <v>1006</v>
      </c>
      <c r="F194" s="585" t="s">
        <v>1006</v>
      </c>
    </row>
    <row r="195" spans="1:7" ht="18.399999999999999" customHeight="1">
      <c r="A195" s="1110"/>
      <c r="B195" s="421" t="s">
        <v>1067</v>
      </c>
      <c r="C195" s="589"/>
      <c r="D195" s="586"/>
      <c r="E195" s="585"/>
      <c r="F195" s="586"/>
    </row>
    <row r="196" spans="1:7" s="148" customFormat="1" ht="18.399999999999999" customHeight="1">
      <c r="A196" s="1110"/>
      <c r="B196" s="426" t="s">
        <v>1073</v>
      </c>
      <c r="C196" s="587" t="s">
        <v>1006</v>
      </c>
      <c r="D196" s="585" t="s">
        <v>1006</v>
      </c>
      <c r="E196" s="588" t="s">
        <v>1006</v>
      </c>
      <c r="F196" s="585" t="s">
        <v>1006</v>
      </c>
    </row>
    <row r="197" spans="1:7" s="148" customFormat="1" ht="18.399999999999999" customHeight="1">
      <c r="A197" s="352"/>
      <c r="B197" s="452" t="s">
        <v>1074</v>
      </c>
      <c r="C197" s="585" t="s">
        <v>1006</v>
      </c>
      <c r="D197" s="586" t="s">
        <v>1006</v>
      </c>
      <c r="E197" s="585" t="s">
        <v>1006</v>
      </c>
      <c r="F197" s="586" t="s">
        <v>1006</v>
      </c>
      <c r="G197" s="148">
        <f>G160</f>
        <v>0</v>
      </c>
    </row>
    <row r="198" spans="1:7" s="148" customFormat="1" ht="18.399999999999999" customHeight="1">
      <c r="A198" s="352"/>
      <c r="B198" s="421" t="s">
        <v>1067</v>
      </c>
      <c r="C198" s="587"/>
      <c r="D198" s="585"/>
      <c r="E198" s="588"/>
      <c r="F198" s="585"/>
      <c r="G198" s="148" t="e">
        <f>G80</f>
        <v>#REF!</v>
      </c>
    </row>
    <row r="199" spans="1:7" s="148" customFormat="1" ht="18.399999999999999" customHeight="1">
      <c r="B199" s="430" t="s">
        <v>1075</v>
      </c>
      <c r="C199" s="589"/>
      <c r="D199" s="586"/>
      <c r="E199" s="585"/>
      <c r="F199" s="586"/>
      <c r="G199" s="148" t="e">
        <f>G160+G198</f>
        <v>#REF!</v>
      </c>
    </row>
    <row r="200" spans="1:7" s="148" customFormat="1" ht="18.399999999999999" customHeight="1">
      <c r="A200" s="455"/>
      <c r="B200" s="421"/>
      <c r="C200" s="589"/>
      <c r="D200" s="586"/>
      <c r="E200" s="585"/>
      <c r="F200" s="586"/>
    </row>
    <row r="201" spans="1:7" s="148" customFormat="1" ht="18.399999999999999" customHeight="1">
      <c r="A201" s="450" t="e">
        <f>#REF!</f>
        <v>#REF!</v>
      </c>
      <c r="B201" s="454" t="str">
        <f>A1</f>
        <v>Interior Work SCOPE(Quick Version)</v>
      </c>
      <c r="C201" s="594" t="str">
        <f>$C$1</f>
        <v>Hatten, Nedra</v>
      </c>
      <c r="D201" s="594" t="str">
        <f>$D$1</f>
        <v>628 Quilliams Road</v>
      </c>
      <c r="E201" s="585"/>
      <c r="F201" s="595"/>
    </row>
    <row r="202" spans="1:7" s="148" customFormat="1" ht="18.399999999999999" customHeight="1">
      <c r="A202" s="455"/>
      <c r="B202" s="456" t="str">
        <f>B2</f>
        <v>ROOM =</v>
      </c>
      <c r="C202" s="591">
        <f>+'jobinfo(2)'!C73</f>
        <v>0</v>
      </c>
      <c r="D202" s="596">
        <f>+'jobinfo(2)'!C74</f>
        <v>0</v>
      </c>
      <c r="E202" s="597">
        <f>+'jobinfo(2)'!C75</f>
        <v>0</v>
      </c>
      <c r="F202" s="597">
        <f>+'jobinfo(2)'!C76</f>
        <v>0</v>
      </c>
    </row>
    <row r="203" spans="1:7" s="148" customFormat="1" ht="18.399999999999999" customHeight="1">
      <c r="A203" s="455"/>
      <c r="B203" s="458" t="s">
        <v>1042</v>
      </c>
      <c r="C203" s="573">
        <f>1+F163</f>
        <v>21</v>
      </c>
      <c r="D203" s="572">
        <f>1+C203</f>
        <v>22</v>
      </c>
      <c r="E203" s="573">
        <f>1+D203</f>
        <v>23</v>
      </c>
      <c r="F203" s="573">
        <f>1+E203</f>
        <v>24</v>
      </c>
    </row>
    <row r="204" spans="1:7" s="148" customFormat="1" ht="18.399999999999999" customHeight="1">
      <c r="A204" s="1111" t="s">
        <v>998</v>
      </c>
      <c r="B204" s="420" t="s">
        <v>1000</v>
      </c>
      <c r="C204" s="562" t="s">
        <v>713</v>
      </c>
      <c r="D204" s="563" t="s">
        <v>713</v>
      </c>
      <c r="E204" s="562" t="s">
        <v>713</v>
      </c>
      <c r="F204" s="562" t="s">
        <v>713</v>
      </c>
    </row>
    <row r="205" spans="1:7" s="148" customFormat="1" ht="18.399999999999999" customHeight="1">
      <c r="A205" s="1111"/>
      <c r="B205" s="420" t="s">
        <v>1043</v>
      </c>
      <c r="C205" s="564" t="s">
        <v>1006</v>
      </c>
      <c r="D205" s="565" t="s">
        <v>1006</v>
      </c>
      <c r="E205" s="564" t="s">
        <v>1006</v>
      </c>
      <c r="F205" s="564" t="s">
        <v>1006</v>
      </c>
    </row>
    <row r="206" spans="1:7" s="148" customFormat="1" ht="18.399999999999999" customHeight="1">
      <c r="A206" s="1111"/>
      <c r="B206" s="421" t="s">
        <v>1044</v>
      </c>
      <c r="C206" s="560"/>
      <c r="D206" s="561"/>
      <c r="E206" s="560"/>
      <c r="F206" s="560"/>
    </row>
    <row r="207" spans="1:7" s="148" customFormat="1" ht="18.399999999999999" customHeight="1">
      <c r="A207" s="1111"/>
      <c r="B207" s="422" t="s">
        <v>1045</v>
      </c>
      <c r="C207" s="559"/>
      <c r="D207" s="560"/>
      <c r="E207" s="559"/>
      <c r="F207" s="559"/>
    </row>
    <row r="208" spans="1:7" s="148" customFormat="1" ht="18.399999999999999" customHeight="1">
      <c r="A208" s="1111"/>
      <c r="B208" s="420" t="s">
        <v>1046</v>
      </c>
      <c r="C208" s="562" t="s">
        <v>713</v>
      </c>
      <c r="D208" s="563" t="s">
        <v>713</v>
      </c>
      <c r="E208" s="562" t="s">
        <v>713</v>
      </c>
      <c r="F208" s="562" t="s">
        <v>713</v>
      </c>
    </row>
    <row r="209" spans="1:6" s="148" customFormat="1" ht="18.399999999999999" customHeight="1">
      <c r="A209" s="1111"/>
      <c r="B209" s="423" t="s">
        <v>1047</v>
      </c>
      <c r="C209" s="566" t="s">
        <v>1006</v>
      </c>
      <c r="D209" s="565" t="s">
        <v>1006</v>
      </c>
      <c r="E209" s="566" t="s">
        <v>1006</v>
      </c>
      <c r="F209" s="566" t="s">
        <v>1006</v>
      </c>
    </row>
    <row r="210" spans="1:6" s="148" customFormat="1" ht="18.399999999999999" customHeight="1">
      <c r="A210" s="1112" t="s">
        <v>1013</v>
      </c>
      <c r="B210" s="421" t="s">
        <v>1048</v>
      </c>
      <c r="C210" s="567" t="s">
        <v>1053</v>
      </c>
      <c r="D210" s="568" t="s">
        <v>1053</v>
      </c>
      <c r="E210" s="567" t="s">
        <v>1053</v>
      </c>
      <c r="F210" s="567" t="s">
        <v>1053</v>
      </c>
    </row>
    <row r="211" spans="1:6" s="148" customFormat="1" ht="18.399999999999999" customHeight="1">
      <c r="A211" s="1112"/>
      <c r="B211" s="423" t="s">
        <v>1049</v>
      </c>
      <c r="C211" s="559"/>
      <c r="D211" s="560"/>
      <c r="E211" s="559"/>
      <c r="F211" s="559"/>
    </row>
    <row r="212" spans="1:6" s="148" customFormat="1" ht="18.399999999999999" customHeight="1">
      <c r="A212" s="1112"/>
      <c r="B212" s="424" t="s">
        <v>1050</v>
      </c>
      <c r="C212" s="560"/>
      <c r="D212" s="561"/>
      <c r="E212" s="560"/>
      <c r="F212" s="560"/>
    </row>
    <row r="213" spans="1:6" s="148" customFormat="1" ht="18.399999999999999" customHeight="1">
      <c r="A213" s="1112"/>
      <c r="B213" s="424" t="s">
        <v>1051</v>
      </c>
      <c r="C213" s="559"/>
      <c r="D213" s="560"/>
      <c r="E213" s="559"/>
      <c r="F213" s="559"/>
    </row>
    <row r="214" spans="1:6" s="148" customFormat="1" ht="18.399999999999999" customHeight="1">
      <c r="A214" s="1112"/>
      <c r="B214" s="425" t="s">
        <v>1052</v>
      </c>
      <c r="C214" s="562" t="s">
        <v>713</v>
      </c>
      <c r="D214" s="563" t="s">
        <v>713</v>
      </c>
      <c r="E214" s="562" t="s">
        <v>713</v>
      </c>
      <c r="F214" s="562" t="s">
        <v>713</v>
      </c>
    </row>
    <row r="215" spans="1:6" s="148" customFormat="1" ht="18.399999999999999" customHeight="1">
      <c r="A215" s="1112"/>
      <c r="B215" s="420" t="s">
        <v>1054</v>
      </c>
      <c r="C215" s="566" t="s">
        <v>1006</v>
      </c>
      <c r="D215" s="565" t="s">
        <v>1006</v>
      </c>
      <c r="E215" s="566" t="s">
        <v>1006</v>
      </c>
      <c r="F215" s="566" t="s">
        <v>1006</v>
      </c>
    </row>
    <row r="216" spans="1:6" s="148" customFormat="1" ht="18.399999999999999" customHeight="1">
      <c r="A216" s="1112"/>
      <c r="B216" s="420" t="s">
        <v>1055</v>
      </c>
      <c r="C216" s="560"/>
      <c r="D216" s="561"/>
      <c r="E216" s="560"/>
      <c r="F216" s="560"/>
    </row>
    <row r="217" spans="1:6" s="148" customFormat="1" ht="18.399999999999999" customHeight="1">
      <c r="A217" s="1112"/>
      <c r="B217" s="421" t="s">
        <v>1044</v>
      </c>
      <c r="C217" s="559"/>
      <c r="D217" s="560"/>
      <c r="E217" s="559"/>
      <c r="F217" s="559"/>
    </row>
    <row r="218" spans="1:6" s="148" customFormat="1" ht="18.399999999999999" customHeight="1">
      <c r="A218" s="1112"/>
      <c r="B218" s="422" t="s">
        <v>1045</v>
      </c>
      <c r="C218" s="562" t="s">
        <v>713</v>
      </c>
      <c r="D218" s="563" t="s">
        <v>713</v>
      </c>
      <c r="E218" s="562" t="s">
        <v>713</v>
      </c>
      <c r="F218" s="562" t="s">
        <v>713</v>
      </c>
    </row>
    <row r="219" spans="1:6" s="148" customFormat="1" ht="18.399999999999999" customHeight="1">
      <c r="A219" s="1112"/>
      <c r="B219" s="420" t="s">
        <v>1056</v>
      </c>
      <c r="C219" s="566" t="s">
        <v>1006</v>
      </c>
      <c r="D219" s="565" t="s">
        <v>1006</v>
      </c>
      <c r="E219" s="566" t="s">
        <v>1006</v>
      </c>
      <c r="F219" s="566" t="s">
        <v>1006</v>
      </c>
    </row>
    <row r="220" spans="1:6" s="148" customFormat="1" ht="18.399999999999999" customHeight="1">
      <c r="A220" s="1113" t="s">
        <v>1035</v>
      </c>
      <c r="B220" s="423" t="s">
        <v>1057</v>
      </c>
      <c r="C220" s="560"/>
      <c r="D220" s="561"/>
      <c r="E220" s="560"/>
      <c r="F220" s="560"/>
    </row>
    <row r="221" spans="1:6" s="148" customFormat="1" ht="18.399999999999999" customHeight="1">
      <c r="A221" s="1113"/>
      <c r="B221" s="426" t="s">
        <v>1058</v>
      </c>
      <c r="C221" s="566" t="s">
        <v>1006</v>
      </c>
      <c r="D221" s="565" t="s">
        <v>1006</v>
      </c>
      <c r="E221" s="566" t="s">
        <v>1006</v>
      </c>
      <c r="F221" s="566" t="s">
        <v>1006</v>
      </c>
    </row>
    <row r="222" spans="1:6" s="148" customFormat="1" ht="18.399999999999999" customHeight="1">
      <c r="A222" s="1113"/>
      <c r="B222" s="423" t="s">
        <v>1059</v>
      </c>
      <c r="C222" s="562" t="s">
        <v>713</v>
      </c>
      <c r="D222" s="562" t="s">
        <v>713</v>
      </c>
      <c r="E222" s="562" t="s">
        <v>713</v>
      </c>
      <c r="F222" s="562" t="s">
        <v>713</v>
      </c>
    </row>
    <row r="223" spans="1:6" s="148" customFormat="1" ht="18.399999999999999" customHeight="1">
      <c r="A223" s="1113"/>
      <c r="B223" s="421" t="s">
        <v>1060</v>
      </c>
      <c r="C223" s="559"/>
      <c r="D223" s="560"/>
      <c r="E223" s="559"/>
      <c r="F223" s="559"/>
    </row>
    <row r="224" spans="1:6" s="148" customFormat="1" ht="18.399999999999999" customHeight="1">
      <c r="A224" s="1114" t="s">
        <v>1024</v>
      </c>
      <c r="B224" s="425" t="s">
        <v>1076</v>
      </c>
      <c r="C224" s="564" t="s">
        <v>1079</v>
      </c>
      <c r="D224" s="565" t="s">
        <v>1079</v>
      </c>
      <c r="E224" s="564" t="s">
        <v>1079</v>
      </c>
      <c r="F224" s="564" t="s">
        <v>1079</v>
      </c>
    </row>
    <row r="225" spans="1:6" s="148" customFormat="1" ht="18.399999999999999" customHeight="1">
      <c r="A225" s="1114"/>
      <c r="B225" s="427" t="s">
        <v>1062</v>
      </c>
      <c r="C225" s="565" t="s">
        <v>1006</v>
      </c>
      <c r="D225" s="564" t="s">
        <v>1006</v>
      </c>
      <c r="E225" s="566" t="s">
        <v>1006</v>
      </c>
      <c r="F225" s="566" t="s">
        <v>1006</v>
      </c>
    </row>
    <row r="226" spans="1:6" s="148" customFormat="1" ht="18.399999999999999" customHeight="1">
      <c r="A226" s="1109" t="s">
        <v>1029</v>
      </c>
      <c r="B226" s="420" t="s">
        <v>1077</v>
      </c>
      <c r="C226" s="559"/>
      <c r="D226" s="560"/>
      <c r="E226" s="559"/>
      <c r="F226" s="559"/>
    </row>
    <row r="227" spans="1:6" s="148" customFormat="1" ht="18.399999999999999" customHeight="1">
      <c r="A227" s="1109"/>
      <c r="B227" s="421" t="s">
        <v>1064</v>
      </c>
      <c r="C227" s="560"/>
      <c r="D227" s="561"/>
      <c r="E227" s="560"/>
      <c r="F227" s="560"/>
    </row>
    <row r="228" spans="1:6" s="148" customFormat="1" ht="18.399999999999999" customHeight="1">
      <c r="A228" s="1109"/>
      <c r="B228" s="424" t="s">
        <v>1066</v>
      </c>
      <c r="C228" s="574"/>
      <c r="D228" s="575"/>
      <c r="E228" s="576"/>
      <c r="F228" s="576"/>
    </row>
    <row r="229" spans="1:6" s="148" customFormat="1" ht="18.399999999999999" customHeight="1">
      <c r="A229" s="1109"/>
      <c r="B229" s="421" t="s">
        <v>1067</v>
      </c>
      <c r="C229" s="565" t="s">
        <v>1006</v>
      </c>
      <c r="D229" s="564" t="s">
        <v>1006</v>
      </c>
      <c r="E229" s="565" t="s">
        <v>1006</v>
      </c>
      <c r="F229" s="565" t="s">
        <v>1006</v>
      </c>
    </row>
    <row r="230" spans="1:6" s="148" customFormat="1" ht="18.399999999999999" customHeight="1">
      <c r="A230" s="1110" t="s">
        <v>10</v>
      </c>
      <c r="B230" s="421" t="s">
        <v>1068</v>
      </c>
      <c r="C230" s="566" t="s">
        <v>1006</v>
      </c>
      <c r="D230" s="565" t="s">
        <v>1006</v>
      </c>
      <c r="E230" s="566" t="s">
        <v>1006</v>
      </c>
      <c r="F230" s="566" t="s">
        <v>1006</v>
      </c>
    </row>
    <row r="231" spans="1:6" s="148" customFormat="1" ht="18.399999999999999" customHeight="1">
      <c r="A231" s="1110"/>
      <c r="B231" s="421" t="s">
        <v>1069</v>
      </c>
      <c r="C231" s="565" t="s">
        <v>1006</v>
      </c>
      <c r="D231" s="564" t="s">
        <v>1006</v>
      </c>
      <c r="E231" s="565" t="s">
        <v>1006</v>
      </c>
      <c r="F231" s="565" t="s">
        <v>1006</v>
      </c>
    </row>
    <row r="232" spans="1:6" s="148" customFormat="1" ht="18.399999999999999" customHeight="1">
      <c r="A232" s="1110"/>
      <c r="B232" s="428" t="s">
        <v>1070</v>
      </c>
      <c r="C232" s="559"/>
      <c r="D232" s="560"/>
      <c r="E232" s="559"/>
      <c r="F232" s="559"/>
    </row>
    <row r="233" spans="1:6" s="148" customFormat="1" ht="18.399999999999999" customHeight="1">
      <c r="A233" s="352"/>
      <c r="B233" s="429" t="s">
        <v>1071</v>
      </c>
      <c r="C233" s="553"/>
      <c r="D233" s="553"/>
      <c r="E233" s="553"/>
      <c r="F233" s="553"/>
    </row>
    <row r="234" spans="1:6" s="148" customFormat="1" ht="18.399999999999999" customHeight="1">
      <c r="A234" s="352"/>
      <c r="B234" s="423" t="s">
        <v>1072</v>
      </c>
      <c r="C234" s="553"/>
      <c r="D234" s="963"/>
      <c r="E234" s="963"/>
      <c r="F234" s="553"/>
    </row>
    <row r="235" spans="1:6" s="148" customFormat="1" ht="18.399999999999999" customHeight="1">
      <c r="A235" s="352"/>
      <c r="B235" s="421" t="s">
        <v>1067</v>
      </c>
      <c r="C235" s="553" t="str">
        <f>+'jobinfo(2)'!$C$1</f>
        <v>Hatten, Nedra</v>
      </c>
      <c r="D235" s="1125" t="str">
        <f>+'jobinfo(2)'!$C$2</f>
        <v>628 Quilliams Road</v>
      </c>
      <c r="E235" s="1125"/>
      <c r="F235" s="553"/>
    </row>
    <row r="236" spans="1:6" s="148" customFormat="1" ht="18.399999999999999" customHeight="1">
      <c r="A236" s="352"/>
      <c r="B236" s="426" t="s">
        <v>1073</v>
      </c>
      <c r="C236" s="553"/>
      <c r="D236" s="553"/>
      <c r="E236" s="553"/>
      <c r="F236" s="553"/>
    </row>
    <row r="237" spans="1:6" s="148" customFormat="1" ht="18.399999999999999" customHeight="1">
      <c r="A237" s="1111" t="s">
        <v>998</v>
      </c>
      <c r="B237" s="430" t="s">
        <v>1074</v>
      </c>
      <c r="C237" s="553"/>
      <c r="D237" s="553"/>
      <c r="E237" s="553"/>
      <c r="F237" s="553"/>
    </row>
    <row r="238" spans="1:6" s="148" customFormat="1" ht="18.399999999999999" customHeight="1">
      <c r="A238" s="1111"/>
      <c r="B238" s="421" t="s">
        <v>1067</v>
      </c>
      <c r="C238" s="559"/>
      <c r="D238" s="560"/>
      <c r="E238" s="559"/>
      <c r="F238" s="553"/>
    </row>
    <row r="239" spans="1:6" s="148" customFormat="1" ht="18.399999999999999" customHeight="1">
      <c r="A239" s="1111"/>
      <c r="B239" s="430" t="s">
        <v>1075</v>
      </c>
      <c r="C239" s="560"/>
      <c r="D239" s="561"/>
      <c r="E239" s="560"/>
      <c r="F239" s="553"/>
    </row>
    <row r="240" spans="1:6" s="148" customFormat="1" ht="18.399999999999999" customHeight="1">
      <c r="A240" s="1111"/>
      <c r="C240" s="559"/>
      <c r="D240" s="560"/>
      <c r="E240" s="559"/>
      <c r="F240" s="553"/>
    </row>
    <row r="241" spans="1:6" s="148" customFormat="1" ht="18.399999999999999" customHeight="1">
      <c r="A241" s="1111"/>
      <c r="B241" s="417" t="str">
        <f>A1</f>
        <v>Interior Work SCOPE(Quick Version)</v>
      </c>
      <c r="C241" s="553" t="str">
        <f>+'jobinfo(2)'!$C$1</f>
        <v>Hatten, Nedra</v>
      </c>
      <c r="D241" s="1125" t="str">
        <f>+'jobinfo(2)'!$C$2</f>
        <v>628 Quilliams Road</v>
      </c>
      <c r="E241" s="1125"/>
      <c r="F241" s="553"/>
    </row>
    <row r="242" spans="1:6" s="148" customFormat="1" ht="18.399999999999999" customHeight="1">
      <c r="A242" s="1111"/>
      <c r="B242" s="418" t="s">
        <v>1041</v>
      </c>
      <c r="C242" s="552">
        <f>+'jobinfo(2)'!C77</f>
        <v>0</v>
      </c>
      <c r="D242" s="549">
        <f>+'jobinfo(2)'!C78</f>
        <v>0</v>
      </c>
      <c r="E242" s="549">
        <f>+'jobinfo(2)'!C79</f>
        <v>0</v>
      </c>
      <c r="F242" s="596">
        <f>+'jobinfo(2)'!C80</f>
        <v>0</v>
      </c>
    </row>
    <row r="243" spans="1:6" s="148" customFormat="1" ht="18.399999999999999" customHeight="1">
      <c r="A243" s="1111"/>
      <c r="B243" s="419" t="s">
        <v>1042</v>
      </c>
      <c r="C243" s="572">
        <f>1+F203</f>
        <v>25</v>
      </c>
      <c r="D243" s="573">
        <f>1+C243</f>
        <v>26</v>
      </c>
      <c r="E243" s="573">
        <f>1+D243</f>
        <v>27</v>
      </c>
      <c r="F243" s="573">
        <f>1+E243</f>
        <v>28</v>
      </c>
    </row>
    <row r="244" spans="1:6" s="148" customFormat="1" ht="18.399999999999999" customHeight="1">
      <c r="A244" s="1111"/>
      <c r="B244" s="420" t="s">
        <v>1000</v>
      </c>
      <c r="C244" s="559"/>
      <c r="D244" s="560"/>
      <c r="E244" s="559"/>
      <c r="F244" s="567" t="s">
        <v>713</v>
      </c>
    </row>
    <row r="245" spans="1:6" s="148" customFormat="1" ht="18.399999999999999" customHeight="1">
      <c r="A245" s="1111"/>
      <c r="B245" s="420" t="s">
        <v>1043</v>
      </c>
      <c r="C245" s="562" t="s">
        <v>713</v>
      </c>
      <c r="D245" s="563" t="s">
        <v>713</v>
      </c>
      <c r="E245" s="562" t="s">
        <v>713</v>
      </c>
      <c r="F245" s="584" t="s">
        <v>1006</v>
      </c>
    </row>
    <row r="246" spans="1:6" s="148" customFormat="1" ht="18.399999999999999" customHeight="1">
      <c r="A246" s="1111"/>
      <c r="B246" s="421" t="s">
        <v>1044</v>
      </c>
      <c r="C246" s="566" t="s">
        <v>1006</v>
      </c>
      <c r="D246" s="565" t="s">
        <v>1006</v>
      </c>
      <c r="E246" s="566" t="s">
        <v>1006</v>
      </c>
      <c r="F246" s="577"/>
    </row>
    <row r="247" spans="1:6" s="148" customFormat="1" ht="18.399999999999999" customHeight="1">
      <c r="A247" s="1112" t="s">
        <v>1013</v>
      </c>
      <c r="B247" s="422" t="s">
        <v>1045</v>
      </c>
      <c r="C247" s="567" t="s">
        <v>1053</v>
      </c>
      <c r="D247" s="568" t="s">
        <v>1053</v>
      </c>
      <c r="E247" s="567" t="s">
        <v>1053</v>
      </c>
      <c r="F247" s="580"/>
    </row>
    <row r="248" spans="1:6" s="148" customFormat="1" ht="18.399999999999999" customHeight="1">
      <c r="A248" s="1112"/>
      <c r="B248" s="420" t="s">
        <v>1046</v>
      </c>
      <c r="C248" s="559"/>
      <c r="D248" s="560"/>
      <c r="E248" s="559"/>
      <c r="F248" s="581" t="s">
        <v>713</v>
      </c>
    </row>
    <row r="249" spans="1:6" s="148" customFormat="1" ht="18.399999999999999" customHeight="1">
      <c r="A249" s="1112"/>
      <c r="B249" s="423" t="s">
        <v>1047</v>
      </c>
      <c r="C249" s="560"/>
      <c r="D249" s="561"/>
      <c r="E249" s="560"/>
      <c r="F249" s="587" t="s">
        <v>1006</v>
      </c>
    </row>
    <row r="250" spans="1:6" s="148" customFormat="1" ht="18.399999999999999" customHeight="1">
      <c r="A250" s="1112"/>
      <c r="B250" s="421" t="s">
        <v>1048</v>
      </c>
      <c r="C250" s="559"/>
      <c r="D250" s="560"/>
      <c r="E250" s="559"/>
      <c r="F250" s="581" t="s">
        <v>1053</v>
      </c>
    </row>
    <row r="251" spans="1:6" s="148" customFormat="1" ht="18.399999999999999" customHeight="1">
      <c r="A251" s="1112"/>
      <c r="B251" s="423" t="s">
        <v>1049</v>
      </c>
      <c r="C251" s="562" t="s">
        <v>713</v>
      </c>
      <c r="D251" s="563" t="s">
        <v>713</v>
      </c>
      <c r="E251" s="562" t="s">
        <v>713</v>
      </c>
      <c r="F251" s="580"/>
    </row>
    <row r="252" spans="1:6" s="148" customFormat="1" ht="18.399999999999999" customHeight="1">
      <c r="A252" s="1112"/>
      <c r="B252" s="424" t="s">
        <v>1050</v>
      </c>
      <c r="C252" s="566" t="s">
        <v>1006</v>
      </c>
      <c r="D252" s="565" t="s">
        <v>1006</v>
      </c>
      <c r="E252" s="566" t="s">
        <v>1006</v>
      </c>
      <c r="F252" s="577"/>
    </row>
    <row r="253" spans="1:6" s="148" customFormat="1" ht="18.399999999999999" customHeight="1">
      <c r="A253" s="1112"/>
      <c r="B253" s="424" t="s">
        <v>1051</v>
      </c>
      <c r="C253" s="560"/>
      <c r="D253" s="561"/>
      <c r="E253" s="560"/>
      <c r="F253" s="580"/>
    </row>
    <row r="254" spans="1:6" s="148" customFormat="1" ht="18.399999999999999" customHeight="1">
      <c r="A254" s="1112"/>
      <c r="B254" s="425" t="s">
        <v>1052</v>
      </c>
      <c r="C254" s="559"/>
      <c r="D254" s="560"/>
      <c r="E254" s="559"/>
      <c r="F254" s="581" t="s">
        <v>713</v>
      </c>
    </row>
    <row r="255" spans="1:6" s="148" customFormat="1" ht="18.399999999999999" customHeight="1">
      <c r="A255" s="1112"/>
      <c r="B255" s="420" t="s">
        <v>1054</v>
      </c>
      <c r="C255" s="562" t="s">
        <v>713</v>
      </c>
      <c r="D255" s="563" t="s">
        <v>713</v>
      </c>
      <c r="E255" s="562" t="s">
        <v>713</v>
      </c>
      <c r="F255" s="587" t="s">
        <v>1006</v>
      </c>
    </row>
    <row r="256" spans="1:6" s="148" customFormat="1" ht="18.399999999999999" customHeight="1">
      <c r="A256" s="1112"/>
      <c r="B256" s="420" t="s">
        <v>1055</v>
      </c>
      <c r="C256" s="566" t="s">
        <v>1006</v>
      </c>
      <c r="D256" s="565" t="s">
        <v>1006</v>
      </c>
      <c r="E256" s="566" t="s">
        <v>1006</v>
      </c>
      <c r="F256" s="577"/>
    </row>
    <row r="257" spans="1:6" s="148" customFormat="1" ht="18.399999999999999" customHeight="1">
      <c r="A257" s="1113" t="s">
        <v>1035</v>
      </c>
      <c r="B257" s="421" t="s">
        <v>1044</v>
      </c>
      <c r="C257" s="560"/>
      <c r="D257" s="561"/>
      <c r="E257" s="560"/>
      <c r="F257" s="580"/>
    </row>
    <row r="258" spans="1:6" s="148" customFormat="1" ht="18.399999999999999" customHeight="1">
      <c r="A258" s="1113"/>
      <c r="B258" s="422" t="s">
        <v>1045</v>
      </c>
      <c r="C258" s="566" t="s">
        <v>1006</v>
      </c>
      <c r="D258" s="565" t="s">
        <v>1006</v>
      </c>
      <c r="E258" s="566" t="s">
        <v>1006</v>
      </c>
      <c r="F258" s="581" t="s">
        <v>713</v>
      </c>
    </row>
    <row r="259" spans="1:6" s="148" customFormat="1" ht="18.399999999999999" customHeight="1">
      <c r="A259" s="1113"/>
      <c r="B259" s="420" t="s">
        <v>1056</v>
      </c>
      <c r="C259" s="562" t="s">
        <v>713</v>
      </c>
      <c r="D259" s="562" t="s">
        <v>713</v>
      </c>
      <c r="E259" s="562" t="s">
        <v>713</v>
      </c>
      <c r="F259" s="587" t="s">
        <v>1006</v>
      </c>
    </row>
    <row r="260" spans="1:6" s="148" customFormat="1" ht="18.399999999999999" customHeight="1">
      <c r="A260" s="1113"/>
      <c r="B260" s="423" t="s">
        <v>1057</v>
      </c>
      <c r="C260" s="559"/>
      <c r="D260" s="560"/>
      <c r="E260" s="559"/>
      <c r="F260" s="577"/>
    </row>
    <row r="261" spans="1:6" s="148" customFormat="1" ht="18.399999999999999" customHeight="1">
      <c r="A261" s="1114" t="s">
        <v>1024</v>
      </c>
      <c r="B261" s="426" t="s">
        <v>1058</v>
      </c>
      <c r="C261" s="564" t="s">
        <v>1079</v>
      </c>
      <c r="D261" s="565" t="s">
        <v>1079</v>
      </c>
      <c r="E261" s="564" t="s">
        <v>1079</v>
      </c>
      <c r="F261" s="587" t="s">
        <v>1006</v>
      </c>
    </row>
    <row r="262" spans="1:6" s="148" customFormat="1" ht="18.399999999999999" customHeight="1">
      <c r="A262" s="1114"/>
      <c r="B262" s="423" t="s">
        <v>1059</v>
      </c>
      <c r="C262" s="565" t="s">
        <v>1006</v>
      </c>
      <c r="D262" s="564" t="s">
        <v>1006</v>
      </c>
      <c r="E262" s="566" t="s">
        <v>1006</v>
      </c>
      <c r="F262" s="581" t="s">
        <v>713</v>
      </c>
    </row>
    <row r="263" spans="1:6" ht="18.399999999999999" customHeight="1">
      <c r="A263" s="1109" t="s">
        <v>1029</v>
      </c>
      <c r="B263" s="421" t="s">
        <v>1060</v>
      </c>
      <c r="C263" s="559"/>
      <c r="D263" s="560"/>
      <c r="E263" s="559"/>
      <c r="F263" s="580"/>
    </row>
    <row r="264" spans="1:6" ht="18.399999999999999" customHeight="1">
      <c r="A264" s="1109"/>
      <c r="B264" s="425" t="s">
        <v>1076</v>
      </c>
      <c r="C264" s="560"/>
      <c r="D264" s="561"/>
      <c r="E264" s="560"/>
      <c r="F264" s="584" t="s">
        <v>1079</v>
      </c>
    </row>
    <row r="265" spans="1:6" ht="18.399999999999999" customHeight="1">
      <c r="A265" s="1109"/>
      <c r="B265" s="427" t="s">
        <v>1062</v>
      </c>
      <c r="C265" s="574"/>
      <c r="D265" s="575"/>
      <c r="E265" s="576"/>
      <c r="F265" s="587" t="s">
        <v>1006</v>
      </c>
    </row>
    <row r="266" spans="1:6" ht="18.399999999999999" customHeight="1">
      <c r="A266" s="1109"/>
      <c r="B266" s="420" t="s">
        <v>1077</v>
      </c>
      <c r="C266" s="565" t="s">
        <v>1006</v>
      </c>
      <c r="D266" s="564" t="s">
        <v>1006</v>
      </c>
      <c r="E266" s="565" t="s">
        <v>1006</v>
      </c>
      <c r="F266" s="580"/>
    </row>
    <row r="267" spans="1:6" ht="18.399999999999999" customHeight="1">
      <c r="A267" s="1110" t="s">
        <v>10</v>
      </c>
      <c r="B267" s="421" t="s">
        <v>1064</v>
      </c>
      <c r="C267" s="566" t="s">
        <v>1006</v>
      </c>
      <c r="D267" s="565" t="s">
        <v>1006</v>
      </c>
      <c r="E267" s="566" t="s">
        <v>1006</v>
      </c>
      <c r="F267" s="577"/>
    </row>
    <row r="268" spans="1:6" ht="18.399999999999999" customHeight="1">
      <c r="A268" s="1110"/>
      <c r="B268" s="424" t="s">
        <v>1066</v>
      </c>
      <c r="C268" s="565" t="s">
        <v>1006</v>
      </c>
      <c r="D268" s="564" t="s">
        <v>1006</v>
      </c>
      <c r="E268" s="565" t="s">
        <v>1006</v>
      </c>
      <c r="F268" s="578"/>
    </row>
    <row r="269" spans="1:6" ht="18.399999999999999" customHeight="1">
      <c r="A269" s="1110"/>
      <c r="B269" s="421" t="s">
        <v>1067</v>
      </c>
      <c r="C269" s="560"/>
      <c r="D269" s="561"/>
      <c r="E269" s="560"/>
      <c r="F269" s="589" t="s">
        <v>1006</v>
      </c>
    </row>
    <row r="270" spans="1:6" ht="18.399999999999999" customHeight="1">
      <c r="A270" s="253"/>
      <c r="B270" s="421" t="s">
        <v>1068</v>
      </c>
      <c r="C270" s="560"/>
      <c r="D270" s="561"/>
      <c r="E270" s="560"/>
      <c r="F270" s="587" t="s">
        <v>1006</v>
      </c>
    </row>
    <row r="271" spans="1:6" ht="18.399999999999999" customHeight="1">
      <c r="B271" s="421" t="s">
        <v>1069</v>
      </c>
      <c r="F271" s="589" t="s">
        <v>1006</v>
      </c>
    </row>
    <row r="272" spans="1:6" ht="18.399999999999999" customHeight="1">
      <c r="B272" s="428" t="s">
        <v>1078</v>
      </c>
      <c r="F272" s="580"/>
    </row>
    <row r="273" spans="1:6" ht="18.399999999999999" customHeight="1">
      <c r="A273" s="1111" t="s">
        <v>998</v>
      </c>
      <c r="B273" s="429" t="s">
        <v>1071</v>
      </c>
      <c r="F273" s="598"/>
    </row>
    <row r="274" spans="1:6" ht="18.399999999999999" customHeight="1">
      <c r="A274" s="1111"/>
      <c r="B274" s="423" t="s">
        <v>1072</v>
      </c>
      <c r="C274" s="559"/>
      <c r="D274" s="560"/>
      <c r="E274" s="559"/>
    </row>
    <row r="275" spans="1:6" ht="18.399999999999999" customHeight="1">
      <c r="A275" s="1111"/>
      <c r="B275" s="421" t="s">
        <v>1067</v>
      </c>
      <c r="C275" s="560"/>
      <c r="D275" s="561"/>
      <c r="E275" s="560"/>
    </row>
    <row r="276" spans="1:6" ht="18.399999999999999" customHeight="1">
      <c r="A276" s="1111"/>
      <c r="B276" s="426" t="s">
        <v>1073</v>
      </c>
      <c r="C276" s="559"/>
      <c r="D276" s="560"/>
      <c r="E276" s="559"/>
    </row>
    <row r="277" spans="1:6" ht="18.399999999999999" customHeight="1">
      <c r="A277" s="1111"/>
      <c r="B277" s="430" t="s">
        <v>1074</v>
      </c>
      <c r="C277" s="562" t="s">
        <v>713</v>
      </c>
      <c r="D277" s="563" t="s">
        <v>713</v>
      </c>
      <c r="E277" s="562" t="s">
        <v>713</v>
      </c>
    </row>
    <row r="278" spans="1:6" ht="18.399999999999999" customHeight="1">
      <c r="A278" s="1111"/>
      <c r="B278" s="421" t="s">
        <v>1067</v>
      </c>
      <c r="C278" s="564" t="s">
        <v>1006</v>
      </c>
      <c r="D278" s="565" t="s">
        <v>1006</v>
      </c>
      <c r="E278" s="564" t="s">
        <v>1006</v>
      </c>
    </row>
    <row r="279" spans="1:6" s="148" customFormat="1" ht="18.399999999999999" customHeight="1">
      <c r="A279" s="1111"/>
      <c r="B279" s="430" t="s">
        <v>1075</v>
      </c>
      <c r="C279" s="560"/>
      <c r="D279" s="561"/>
      <c r="E279" s="560"/>
      <c r="F279" s="553"/>
    </row>
    <row r="280" spans="1:6" s="148" customFormat="1" ht="18.399999999999999" customHeight="1">
      <c r="A280" s="1111"/>
      <c r="C280" s="559"/>
      <c r="D280" s="560"/>
      <c r="E280" s="559"/>
      <c r="F280" s="553"/>
    </row>
    <row r="281" spans="1:6" s="148" customFormat="1" ht="18.399999999999999" customHeight="1">
      <c r="A281" s="1111"/>
      <c r="B281" s="415" t="str">
        <f t="shared" ref="B281:B319" si="1">B241</f>
        <v>Interior Work SCOPE(Quick Version)</v>
      </c>
      <c r="C281" s="553" t="str">
        <f>+'jobinfo(2)'!$C$1</f>
        <v>Hatten, Nedra</v>
      </c>
      <c r="D281" s="1125" t="str">
        <f>+'jobinfo(2)'!$C$2</f>
        <v>628 Quilliams Road</v>
      </c>
      <c r="E281" s="1125"/>
      <c r="F281" s="553"/>
    </row>
    <row r="282" spans="1:6" s="148" customFormat="1" ht="18.399999999999999" customHeight="1">
      <c r="A282" s="1111"/>
      <c r="B282" s="459" t="str">
        <f t="shared" si="1"/>
        <v>ROOM =</v>
      </c>
      <c r="C282" s="597">
        <f>+'jobinfo(2)'!C82</f>
        <v>0</v>
      </c>
      <c r="D282" s="597">
        <f>+'jobinfo(2)'!C83</f>
        <v>0</v>
      </c>
      <c r="E282" s="549">
        <f>+'jobinfo(2)'!C84</f>
        <v>0</v>
      </c>
      <c r="F282" s="549">
        <f>+'jobinfo(2)'!C85</f>
        <v>0</v>
      </c>
    </row>
    <row r="283" spans="1:6" s="148" customFormat="1" ht="18.399999999999999" customHeight="1">
      <c r="A283" s="1112" t="s">
        <v>1013</v>
      </c>
      <c r="B283" s="415" t="str">
        <f t="shared" si="1"/>
        <v>CEILING FLT/VLT/PK/CTH/Tray/Open</v>
      </c>
      <c r="C283" s="597">
        <f>+'jobinfo(2)'!A82</f>
        <v>29</v>
      </c>
      <c r="D283" s="597">
        <f>1+C283</f>
        <v>30</v>
      </c>
      <c r="E283" s="597">
        <f>1+D283</f>
        <v>31</v>
      </c>
      <c r="F283" s="597">
        <f>1+E283</f>
        <v>32</v>
      </c>
    </row>
    <row r="284" spans="1:6" s="148" customFormat="1" ht="18.399999999999999" customHeight="1">
      <c r="A284" s="1112"/>
      <c r="B284" s="415" t="str">
        <f t="shared" si="1"/>
        <v>DRY / PLA / ACT / PNL / T&amp;G / Other</v>
      </c>
      <c r="C284" s="559"/>
      <c r="D284" s="560"/>
      <c r="E284" s="559"/>
      <c r="F284" s="567" t="s">
        <v>713</v>
      </c>
    </row>
    <row r="285" spans="1:6" s="148" customFormat="1" ht="18.399999999999999" customHeight="1">
      <c r="A285" s="1112"/>
      <c r="B285" s="415" t="str">
        <f t="shared" si="1"/>
        <v>Smooth / Texture/ Heavy</v>
      </c>
      <c r="C285" s="560"/>
      <c r="D285" s="561"/>
      <c r="E285" s="560"/>
      <c r="F285" s="584" t="s">
        <v>1006</v>
      </c>
    </row>
    <row r="286" spans="1:6" s="148" customFormat="1" ht="18.399999999999999" customHeight="1">
      <c r="A286" s="1112"/>
      <c r="B286" s="415" t="str">
        <f t="shared" si="1"/>
        <v>Repair MIN / Al l / Sf / Other</v>
      </c>
      <c r="C286" s="559"/>
      <c r="D286" s="560"/>
      <c r="E286" s="559"/>
      <c r="F286" s="577"/>
    </row>
    <row r="287" spans="1:6" s="148" customFormat="1" ht="18.399999999999999" customHeight="1">
      <c r="A287" s="1112"/>
      <c r="B287" s="415" t="str">
        <f t="shared" si="1"/>
        <v>CLN /S++/PNT</v>
      </c>
      <c r="C287" s="562" t="s">
        <v>713</v>
      </c>
      <c r="D287" s="563" t="s">
        <v>713</v>
      </c>
      <c r="E287" s="562" t="s">
        <v>713</v>
      </c>
      <c r="F287" s="580"/>
    </row>
    <row r="288" spans="1:6" s="148" customFormat="1" ht="18.399999999999999" customHeight="1">
      <c r="A288" s="1112"/>
      <c r="B288" s="415" t="str">
        <f t="shared" si="1"/>
        <v>INS SF= R= / Batt / Loose</v>
      </c>
      <c r="C288" s="566" t="s">
        <v>1006</v>
      </c>
      <c r="D288" s="565" t="s">
        <v>1006</v>
      </c>
      <c r="E288" s="566" t="s">
        <v>1006</v>
      </c>
      <c r="F288" s="581" t="s">
        <v>713</v>
      </c>
    </row>
    <row r="289" spans="1:6" s="148" customFormat="1" ht="18.399999999999999" customHeight="1">
      <c r="A289" s="1112"/>
      <c r="B289" s="415" t="str">
        <f t="shared" si="1"/>
        <v>MOLDINGS/Casing/Crown_Other</v>
      </c>
      <c r="C289" s="560"/>
      <c r="D289" s="561"/>
      <c r="E289" s="560"/>
      <c r="F289" s="587" t="s">
        <v>1006</v>
      </c>
    </row>
    <row r="290" spans="1:6" s="148" customFormat="1" ht="18.399999999999999" customHeight="1">
      <c r="A290" s="1112"/>
      <c r="B290" s="415" t="str">
        <f t="shared" si="1"/>
        <v>R&amp;R/D&amp;R/MSK/CLN/PNT</v>
      </c>
      <c r="C290" s="559"/>
      <c r="D290" s="560"/>
      <c r="E290" s="559"/>
      <c r="F290" s="581" t="s">
        <v>1053</v>
      </c>
    </row>
    <row r="291" spans="1:6" s="148" customFormat="1" ht="18.399999999999999" customHeight="1">
      <c r="A291" s="1112"/>
      <c r="B291" s="415" t="str">
        <f t="shared" si="1"/>
        <v>ELE;LIT/Fan/Chndlr//R&amp;R/D&amp;R/MSK</v>
      </c>
      <c r="C291" s="562" t="s">
        <v>713</v>
      </c>
      <c r="D291" s="563" t="s">
        <v>713</v>
      </c>
      <c r="E291" s="562" t="s">
        <v>713</v>
      </c>
      <c r="F291" s="580"/>
    </row>
    <row r="292" spans="1:6" s="148" customFormat="1" ht="18.399999999999999" customHeight="1">
      <c r="A292" s="1112"/>
      <c r="B292" s="415" t="str">
        <f t="shared" si="1"/>
        <v>HVAC/Vent/DuCT/R&amp;R/D&amp;R/MSK</v>
      </c>
      <c r="C292" s="566" t="s">
        <v>1006</v>
      </c>
      <c r="D292" s="565" t="s">
        <v>1006</v>
      </c>
      <c r="E292" s="566" t="s">
        <v>1006</v>
      </c>
      <c r="F292" s="577"/>
    </row>
    <row r="293" spans="1:6" s="148" customFormat="1" ht="18.399999999999999" customHeight="1">
      <c r="A293" s="1113" t="s">
        <v>1035</v>
      </c>
      <c r="B293" s="415" t="str">
        <f t="shared" si="1"/>
        <v>Smoke/Alarm/Chime//R&amp;R/D&amp;R/MSK</v>
      </c>
      <c r="C293" s="560"/>
      <c r="D293" s="561"/>
      <c r="E293" s="560"/>
      <c r="F293" s="580"/>
    </row>
    <row r="294" spans="1:6" s="148" customFormat="1" ht="18.399999999999999" customHeight="1">
      <c r="A294" s="1113"/>
      <c r="B294" s="415" t="str">
        <f t="shared" si="1"/>
        <v>WALLS  Damage N_S_E_W / WALL#</v>
      </c>
      <c r="C294" s="566" t="s">
        <v>1006</v>
      </c>
      <c r="D294" s="565" t="s">
        <v>1006</v>
      </c>
      <c r="E294" s="566" t="s">
        <v>1006</v>
      </c>
      <c r="F294" s="581" t="s">
        <v>713</v>
      </c>
    </row>
    <row r="295" spans="1:6" s="148" customFormat="1" ht="18.399999999999999" customHeight="1">
      <c r="A295" s="1113"/>
      <c r="B295" s="415" t="str">
        <f t="shared" si="1"/>
        <v>DRY/PLA/MIR/PNL/T&amp;G/WPR</v>
      </c>
      <c r="C295" s="562" t="s">
        <v>713</v>
      </c>
      <c r="D295" s="562" t="s">
        <v>713</v>
      </c>
      <c r="E295" s="562" t="s">
        <v>713</v>
      </c>
      <c r="F295" s="587" t="s">
        <v>1006</v>
      </c>
    </row>
    <row r="296" spans="1:6" s="148" customFormat="1" ht="18.399999999999999" customHeight="1">
      <c r="A296" s="1113"/>
      <c r="B296" s="415" t="str">
        <f t="shared" si="1"/>
        <v>Smooth/Texture/Heavy</v>
      </c>
      <c r="C296" s="559"/>
      <c r="D296" s="560"/>
      <c r="E296" s="559"/>
      <c r="F296" s="577"/>
    </row>
    <row r="297" spans="1:6" s="148" customFormat="1" ht="18.399999999999999" customHeight="1">
      <c r="A297" s="1114" t="s">
        <v>1024</v>
      </c>
      <c r="B297" s="415" t="str">
        <f t="shared" si="1"/>
        <v>Repair MIN / Al l / Sf / Other</v>
      </c>
      <c r="C297" s="564" t="s">
        <v>1079</v>
      </c>
      <c r="D297" s="565" t="s">
        <v>1079</v>
      </c>
      <c r="E297" s="564" t="s">
        <v>1079</v>
      </c>
      <c r="F297" s="580"/>
    </row>
    <row r="298" spans="1:6" s="148" customFormat="1" ht="18.399999999999999" customHeight="1">
      <c r="A298" s="1114"/>
      <c r="B298" s="415" t="str">
        <f t="shared" si="1"/>
        <v>CLN /S++/PNT</v>
      </c>
      <c r="C298" s="565" t="s">
        <v>1006</v>
      </c>
      <c r="D298" s="564" t="s">
        <v>1006</v>
      </c>
      <c r="E298" s="566" t="s">
        <v>1006</v>
      </c>
      <c r="F298" s="581" t="s">
        <v>713</v>
      </c>
    </row>
    <row r="299" spans="1:6" s="148" customFormat="1" ht="18.399999999999999" customHeight="1">
      <c r="A299" s="1109" t="s">
        <v>1029</v>
      </c>
      <c r="B299" s="415" t="str">
        <f t="shared" si="1"/>
        <v>INS SF= R=__ / Batt / Loose</v>
      </c>
      <c r="C299" s="559"/>
      <c r="D299" s="560"/>
      <c r="E299" s="559"/>
      <c r="F299" s="587" t="s">
        <v>1006</v>
      </c>
    </row>
    <row r="300" spans="1:6" s="148" customFormat="1" ht="18.399999999999999" customHeight="1">
      <c r="A300" s="1109"/>
      <c r="B300" s="415" t="str">
        <f t="shared" si="1"/>
        <v>MOLDINGS Type/CHAIRRAIL / Other</v>
      </c>
      <c r="C300" s="560"/>
      <c r="D300" s="561"/>
      <c r="E300" s="560"/>
      <c r="F300" s="577"/>
    </row>
    <row r="301" spans="1:6" s="148" customFormat="1" ht="18.399999999999999" customHeight="1">
      <c r="A301" s="1109"/>
      <c r="B301" s="415" t="str">
        <f t="shared" si="1"/>
        <v xml:space="preserve">   R&amp;R/D&amp;R/MSK/CLN /S++/PNT</v>
      </c>
      <c r="C301" s="574"/>
      <c r="D301" s="575"/>
      <c r="E301" s="576"/>
      <c r="F301" s="587" t="s">
        <v>1006</v>
      </c>
    </row>
    <row r="302" spans="1:6" s="148" customFormat="1" ht="18.399999999999999" customHeight="1">
      <c r="A302" s="1109"/>
      <c r="B302" s="415" t="str">
        <f t="shared" si="1"/>
        <v>ELE LlT/OS/SW--/R&amp;R/D&amp;R/MSK/CLN</v>
      </c>
      <c r="C302" s="565" t="s">
        <v>1006</v>
      </c>
      <c r="D302" s="564" t="s">
        <v>1006</v>
      </c>
      <c r="E302" s="565" t="s">
        <v>1006</v>
      </c>
      <c r="F302" s="581" t="s">
        <v>713</v>
      </c>
    </row>
    <row r="303" spans="1:6" s="148" customFormat="1" ht="18.399999999999999" customHeight="1">
      <c r="A303" s="1110" t="s">
        <v>10</v>
      </c>
      <c r="B303" s="415" t="str">
        <f t="shared" si="1"/>
        <v>HVAC/Vent/Duct/Smoke/Alarm/Chime</v>
      </c>
      <c r="C303" s="566" t="s">
        <v>1006</v>
      </c>
      <c r="D303" s="565" t="s">
        <v>1006</v>
      </c>
      <c r="E303" s="566" t="s">
        <v>1006</v>
      </c>
      <c r="F303" s="580"/>
    </row>
    <row r="304" spans="1:6" s="148" customFormat="1" ht="18.399999999999999" customHeight="1">
      <c r="A304" s="1110"/>
      <c r="B304" s="415" t="str">
        <f t="shared" si="1"/>
        <v xml:space="preserve"> Window WDW/WDV/WDA/ QTY</v>
      </c>
      <c r="C304" s="565" t="s">
        <v>1006</v>
      </c>
      <c r="D304" s="564" t="s">
        <v>1006</v>
      </c>
      <c r="E304" s="565" t="s">
        <v>1006</v>
      </c>
      <c r="F304" s="584" t="s">
        <v>1079</v>
      </c>
    </row>
    <row r="305" spans="1:6" s="148" customFormat="1" ht="18.399999999999999" customHeight="1">
      <c r="A305" s="1110"/>
      <c r="B305" s="415" t="str">
        <f t="shared" si="1"/>
        <v>R&amp;R/D&amp;R/MSK/CLN/PNT/S++</v>
      </c>
      <c r="C305" s="560"/>
      <c r="D305" s="561"/>
      <c r="E305" s="560"/>
      <c r="F305" s="587" t="s">
        <v>1006</v>
      </c>
    </row>
    <row r="306" spans="1:6" s="148" customFormat="1" ht="18.399999999999999" customHeight="1">
      <c r="A306" s="352"/>
      <c r="B306" s="415" t="str">
        <f t="shared" si="1"/>
        <v>Window treatments Type=_CLN/ R / D</v>
      </c>
      <c r="C306" s="553"/>
      <c r="D306" s="553"/>
      <c r="E306" s="553"/>
      <c r="F306" s="580"/>
    </row>
    <row r="307" spans="1:6" s="148" customFormat="1" ht="18.399999999999999" customHeight="1">
      <c r="A307" s="352"/>
      <c r="B307" s="415" t="str">
        <f t="shared" si="1"/>
        <v>Hardware;R&amp;R/D&amp;R/MSK/CLN</v>
      </c>
      <c r="C307" s="553"/>
      <c r="D307" s="553"/>
      <c r="E307" s="553"/>
      <c r="F307" s="577"/>
    </row>
    <row r="308" spans="1:6" s="148" customFormat="1" ht="18.399999999999999" customHeight="1">
      <c r="A308" s="1111" t="s">
        <v>998</v>
      </c>
      <c r="B308" s="415" t="str">
        <f t="shared" si="1"/>
        <v>DOORS QTY / STD/Bifold/MIR/BYPASS</v>
      </c>
      <c r="C308" s="553"/>
      <c r="D308" s="553"/>
      <c r="E308" s="553"/>
      <c r="F308" s="578"/>
    </row>
    <row r="309" spans="1:6" s="148" customFormat="1" ht="18.399999999999999" customHeight="1">
      <c r="A309" s="1111"/>
      <c r="B309" s="415" t="str">
        <f t="shared" si="1"/>
        <v>R&amp;R/D&amp;R/MSK/CLN/S++/PNT</v>
      </c>
      <c r="C309" s="559"/>
      <c r="D309" s="560"/>
      <c r="E309" s="559"/>
      <c r="F309" s="589" t="s">
        <v>1006</v>
      </c>
    </row>
    <row r="310" spans="1:6" s="148" customFormat="1" ht="18.399999999999999" customHeight="1">
      <c r="A310" s="1111"/>
      <c r="B310" s="415" t="str">
        <f t="shared" si="1"/>
        <v>CASINGS R&amp;R/D&amp;R/MSK/CLN/S++/PNT</v>
      </c>
      <c r="C310" s="560"/>
      <c r="D310" s="561"/>
      <c r="E310" s="560"/>
      <c r="F310" s="587" t="s">
        <v>1006</v>
      </c>
    </row>
    <row r="311" spans="1:6" s="148" customFormat="1" ht="18.399999999999999" customHeight="1">
      <c r="A311" s="1111"/>
      <c r="B311" s="415" t="str">
        <f t="shared" si="1"/>
        <v>HDWE R&amp;R/D&amp;R/MSK/CLN</v>
      </c>
      <c r="C311" s="559"/>
      <c r="D311" s="560"/>
      <c r="E311" s="559"/>
      <c r="F311" s="589" t="s">
        <v>1006</v>
      </c>
    </row>
    <row r="312" spans="1:6" s="148" customFormat="1" ht="18.399999999999999" customHeight="1">
      <c r="A312" s="1111"/>
      <c r="B312" s="415" t="str">
        <f t="shared" si="1"/>
        <v>FLOOR FCC/FCW/FCS/FCT</v>
      </c>
      <c r="C312" s="562" t="s">
        <v>713</v>
      </c>
      <c r="D312" s="563" t="s">
        <v>713</v>
      </c>
      <c r="E312" s="562" t="s">
        <v>713</v>
      </c>
      <c r="F312" s="580"/>
    </row>
    <row r="313" spans="1:6" s="148" customFormat="1" ht="18.399999999999999" customHeight="1">
      <c r="A313" s="1111"/>
      <c r="B313" s="415" t="str">
        <f t="shared" si="1"/>
        <v>R&amp;R / MSK /CLN / SAND</v>
      </c>
      <c r="C313" s="564" t="s">
        <v>1006</v>
      </c>
      <c r="D313" s="565" t="s">
        <v>1006</v>
      </c>
      <c r="E313" s="564" t="s">
        <v>1006</v>
      </c>
      <c r="F313" s="598"/>
    </row>
    <row r="314" spans="1:6" s="148" customFormat="1" ht="18.399999999999999" customHeight="1">
      <c r="A314" s="1111"/>
      <c r="B314" s="415" t="str">
        <f t="shared" si="1"/>
        <v>BASEBOARD  HT - MULTI   .</v>
      </c>
      <c r="C314" s="560"/>
      <c r="D314" s="561"/>
      <c r="E314" s="560"/>
      <c r="F314" s="553"/>
    </row>
    <row r="315" spans="1:6" s="148" customFormat="1" ht="18.399999999999999" customHeight="1">
      <c r="A315" s="1111"/>
      <c r="B315" s="415" t="str">
        <f t="shared" si="1"/>
        <v>R&amp;R/D&amp;R/MSK/CLN/S++/PNT</v>
      </c>
      <c r="C315" s="559"/>
      <c r="D315" s="560"/>
      <c r="E315" s="559"/>
      <c r="F315" s="553"/>
    </row>
    <row r="316" spans="1:6" s="148" customFormat="1" ht="18.399999999999999" customHeight="1">
      <c r="A316" s="1111"/>
      <c r="B316" s="415" t="str">
        <f t="shared" si="1"/>
        <v>QTR RND BASE/R&amp;R/S++/PNT</v>
      </c>
      <c r="C316" s="562" t="s">
        <v>713</v>
      </c>
      <c r="D316" s="563" t="s">
        <v>713</v>
      </c>
      <c r="E316" s="562" t="s">
        <v>713</v>
      </c>
      <c r="F316" s="553"/>
    </row>
    <row r="317" spans="1:6" s="148" customFormat="1" ht="18.399999999999999" customHeight="1">
      <c r="A317" s="1111"/>
      <c r="B317" s="415" t="str">
        <f t="shared" si="1"/>
        <v>Closet;SHELF/ROD LF= WOOD/WIRE</v>
      </c>
      <c r="C317" s="566" t="s">
        <v>1006</v>
      </c>
      <c r="D317" s="565" t="s">
        <v>1006</v>
      </c>
      <c r="E317" s="566" t="s">
        <v>1006</v>
      </c>
      <c r="F317" s="553"/>
    </row>
    <row r="318" spans="1:6" s="148" customFormat="1" ht="18.399999999999999" customHeight="1">
      <c r="A318" s="1112" t="s">
        <v>1013</v>
      </c>
      <c r="B318" s="415" t="str">
        <f t="shared" si="1"/>
        <v>R&amp;R/D&amp;R/MSK/CLN/S++/PNT</v>
      </c>
      <c r="C318" s="567" t="s">
        <v>1053</v>
      </c>
      <c r="D318" s="568" t="s">
        <v>1053</v>
      </c>
      <c r="E318" s="567" t="s">
        <v>1053</v>
      </c>
      <c r="F318" s="553"/>
    </row>
    <row r="319" spans="1:6" s="148" customFormat="1" ht="18.399999999999999" customHeight="1">
      <c r="A319" s="1112"/>
      <c r="B319" s="415" t="str">
        <f t="shared" si="1"/>
        <v>Work Notes:________________________________________________________________________________</v>
      </c>
      <c r="C319" s="559"/>
      <c r="D319" s="560"/>
      <c r="E319" s="559"/>
      <c r="F319" s="553"/>
    </row>
    <row r="320" spans="1:6" s="148" customFormat="1" ht="18.399999999999999" customHeight="1">
      <c r="A320" s="1112"/>
      <c r="B320" s="415" t="str">
        <f t="shared" ref="B320:B351" si="2">B281</f>
        <v>Interior Work SCOPE(Quick Version)</v>
      </c>
      <c r="C320" s="560"/>
      <c r="D320" s="561"/>
      <c r="E320" s="560"/>
      <c r="F320" s="553"/>
    </row>
    <row r="321" spans="1:6" s="148" customFormat="1" ht="18.399999999999999" customHeight="1">
      <c r="A321" s="1112"/>
      <c r="B321" s="415" t="str">
        <f t="shared" si="2"/>
        <v>ROOM =</v>
      </c>
      <c r="C321" s="553" t="str">
        <f>+'jobinfo(2)'!$C$1</f>
        <v>Hatten, Nedra</v>
      </c>
      <c r="D321" s="1125" t="str">
        <f>+'jobinfo(2)'!$C$2</f>
        <v>628 Quilliams Road</v>
      </c>
      <c r="E321" s="1125"/>
      <c r="F321" s="553"/>
    </row>
    <row r="322" spans="1:6" s="148" customFormat="1" ht="18.399999999999999" customHeight="1">
      <c r="A322" s="1112"/>
      <c r="B322" s="415" t="str">
        <f t="shared" si="2"/>
        <v>CEILING FLT/VLT/PK/CTH/Tray/Open</v>
      </c>
      <c r="C322" s="549">
        <f>+'jobinfo(2)'!C86</f>
        <v>0</v>
      </c>
      <c r="D322" s="596">
        <f>+'jobinfo(2)'!C87</f>
        <v>0</v>
      </c>
      <c r="E322" s="596">
        <f>+'jobinfo(2)'!C88</f>
        <v>0</v>
      </c>
      <c r="F322" s="596">
        <f>+'jobinfo(2)'!C90</f>
        <v>0</v>
      </c>
    </row>
    <row r="323" spans="1:6" s="148" customFormat="1" ht="18.399999999999999" customHeight="1">
      <c r="A323" s="1112"/>
      <c r="B323" s="415" t="str">
        <f t="shared" si="2"/>
        <v>DRY / PLA / ACT / PNL / T&amp;G / Other</v>
      </c>
      <c r="C323" s="549"/>
      <c r="D323" s="565" t="s">
        <v>1006</v>
      </c>
      <c r="E323" s="566" t="s">
        <v>1006</v>
      </c>
      <c r="F323" s="567" t="s">
        <v>713</v>
      </c>
    </row>
    <row r="324" spans="1:6" s="148" customFormat="1" ht="18.399999999999999" customHeight="1">
      <c r="A324" s="1112"/>
      <c r="B324" s="415" t="str">
        <f t="shared" si="2"/>
        <v>Smooth / Texture/ Heavy</v>
      </c>
      <c r="C324" s="560"/>
      <c r="D324" s="561"/>
      <c r="E324" s="560"/>
      <c r="F324" s="584" t="s">
        <v>1006</v>
      </c>
    </row>
    <row r="325" spans="1:6" s="148" customFormat="1" ht="18.399999999999999" customHeight="1">
      <c r="A325" s="1112"/>
      <c r="B325" s="415" t="str">
        <f t="shared" si="2"/>
        <v>Repair MIN / Al l / Sf / Other</v>
      </c>
      <c r="C325" s="559"/>
      <c r="D325" s="560"/>
      <c r="E325" s="559"/>
      <c r="F325" s="577"/>
    </row>
    <row r="326" spans="1:6" s="148" customFormat="1" ht="18.399999999999999" customHeight="1">
      <c r="A326" s="1112"/>
      <c r="B326" s="415" t="str">
        <f t="shared" si="2"/>
        <v>CLN /S++/PNT</v>
      </c>
      <c r="C326" s="562" t="s">
        <v>713</v>
      </c>
      <c r="D326" s="563" t="s">
        <v>713</v>
      </c>
      <c r="E326" s="562" t="s">
        <v>713</v>
      </c>
      <c r="F326" s="580"/>
    </row>
    <row r="327" spans="1:6" s="148" customFormat="1" ht="18.399999999999999" customHeight="1">
      <c r="A327" s="1112"/>
      <c r="B327" s="415" t="str">
        <f t="shared" si="2"/>
        <v>INS SF= R= / Batt / Loose</v>
      </c>
      <c r="C327" s="566" t="s">
        <v>1006</v>
      </c>
      <c r="D327" s="565" t="s">
        <v>1006</v>
      </c>
      <c r="E327" s="566" t="s">
        <v>1006</v>
      </c>
      <c r="F327" s="581" t="s">
        <v>713</v>
      </c>
    </row>
    <row r="328" spans="1:6" s="148" customFormat="1" ht="18.399999999999999" customHeight="1">
      <c r="A328" s="1113" t="s">
        <v>1035</v>
      </c>
      <c r="B328" s="415" t="str">
        <f t="shared" si="2"/>
        <v>MOLDINGS/Casing/Crown_Other</v>
      </c>
      <c r="C328" s="560"/>
      <c r="D328" s="561"/>
      <c r="E328" s="560"/>
      <c r="F328" s="587" t="s">
        <v>1006</v>
      </c>
    </row>
    <row r="329" spans="1:6" s="148" customFormat="1" ht="18.399999999999999" customHeight="1">
      <c r="A329" s="1113"/>
      <c r="B329" s="415" t="str">
        <f t="shared" si="2"/>
        <v>R&amp;R/D&amp;R/MSK/CLN/PNT</v>
      </c>
      <c r="C329" s="566" t="s">
        <v>1006</v>
      </c>
      <c r="D329" s="565" t="s">
        <v>1006</v>
      </c>
      <c r="E329" s="566" t="s">
        <v>1006</v>
      </c>
      <c r="F329" s="581" t="s">
        <v>1053</v>
      </c>
    </row>
    <row r="330" spans="1:6" s="148" customFormat="1" ht="18.399999999999999" customHeight="1">
      <c r="A330" s="1113"/>
      <c r="B330" s="415" t="str">
        <f t="shared" si="2"/>
        <v>ELE;LIT/Fan/Chndlr//R&amp;R/D&amp;R/MSK</v>
      </c>
      <c r="C330" s="562" t="s">
        <v>713</v>
      </c>
      <c r="D330" s="562" t="s">
        <v>713</v>
      </c>
      <c r="E330" s="562" t="s">
        <v>713</v>
      </c>
      <c r="F330" s="580"/>
    </row>
    <row r="331" spans="1:6" s="148" customFormat="1" ht="18.399999999999999" customHeight="1">
      <c r="A331" s="1113"/>
      <c r="B331" s="415" t="str">
        <f t="shared" si="2"/>
        <v>HVAC/Vent/DuCT/R&amp;R/D&amp;R/MSK</v>
      </c>
      <c r="C331" s="559"/>
      <c r="D331" s="560"/>
      <c r="E331" s="559"/>
      <c r="F331" s="577"/>
    </row>
    <row r="332" spans="1:6" s="148" customFormat="1" ht="18.399999999999999" customHeight="1">
      <c r="A332" s="1114" t="s">
        <v>1024</v>
      </c>
      <c r="B332" s="415" t="str">
        <f t="shared" si="2"/>
        <v>Smoke/Alarm/Chime//R&amp;R/D&amp;R/MSK</v>
      </c>
      <c r="C332" s="564" t="s">
        <v>1079</v>
      </c>
      <c r="D332" s="565" t="s">
        <v>1079</v>
      </c>
      <c r="E332" s="564" t="s">
        <v>1079</v>
      </c>
      <c r="F332" s="580"/>
    </row>
    <row r="333" spans="1:6" s="148" customFormat="1" ht="18.399999999999999" customHeight="1">
      <c r="A333" s="1114"/>
      <c r="B333" s="415" t="str">
        <f t="shared" si="2"/>
        <v>WALLS  Damage N_S_E_W / WALL#</v>
      </c>
      <c r="C333" s="565" t="s">
        <v>1006</v>
      </c>
      <c r="D333" s="564" t="s">
        <v>1006</v>
      </c>
      <c r="E333" s="566" t="s">
        <v>1006</v>
      </c>
      <c r="F333" s="581" t="s">
        <v>713</v>
      </c>
    </row>
    <row r="334" spans="1:6" s="148" customFormat="1" ht="18.399999999999999" customHeight="1">
      <c r="A334" s="1109" t="s">
        <v>1029</v>
      </c>
      <c r="B334" s="415" t="str">
        <f t="shared" si="2"/>
        <v>DRY/PLA/MIR/PNL/T&amp;G/WPR</v>
      </c>
      <c r="C334" s="559"/>
      <c r="D334" s="560"/>
      <c r="E334" s="559"/>
      <c r="F334" s="587" t="s">
        <v>1006</v>
      </c>
    </row>
    <row r="335" spans="1:6" s="148" customFormat="1" ht="18.399999999999999" customHeight="1">
      <c r="A335" s="1109"/>
      <c r="B335" s="415" t="str">
        <f t="shared" si="2"/>
        <v>Smooth/Texture/Heavy</v>
      </c>
      <c r="C335" s="560"/>
      <c r="D335" s="561"/>
      <c r="E335" s="560"/>
      <c r="F335" s="577"/>
    </row>
    <row r="336" spans="1:6" s="148" customFormat="1" ht="18.399999999999999" customHeight="1">
      <c r="A336" s="1109"/>
      <c r="B336" s="415" t="str">
        <f t="shared" si="2"/>
        <v>Repair MIN / Al l / Sf / Other</v>
      </c>
      <c r="C336" s="574"/>
      <c r="D336" s="575"/>
      <c r="E336" s="576"/>
      <c r="F336" s="580"/>
    </row>
    <row r="337" spans="1:6" s="148" customFormat="1" ht="18.399999999999999" customHeight="1">
      <c r="A337" s="1109"/>
      <c r="B337" s="415" t="str">
        <f t="shared" si="2"/>
        <v>CLN /S++/PNT</v>
      </c>
      <c r="C337" s="565" t="s">
        <v>1006</v>
      </c>
      <c r="D337" s="564" t="s">
        <v>1006</v>
      </c>
      <c r="E337" s="565" t="s">
        <v>1006</v>
      </c>
      <c r="F337" s="581" t="s">
        <v>713</v>
      </c>
    </row>
    <row r="338" spans="1:6" s="148" customFormat="1" ht="18.399999999999999" customHeight="1">
      <c r="A338" s="1110" t="s">
        <v>10</v>
      </c>
      <c r="B338" s="415" t="str">
        <f t="shared" si="2"/>
        <v>INS SF= R=__ / Batt / Loose</v>
      </c>
      <c r="C338" s="566" t="s">
        <v>1006</v>
      </c>
      <c r="D338" s="565" t="s">
        <v>1006</v>
      </c>
      <c r="E338" s="566" t="s">
        <v>1006</v>
      </c>
      <c r="F338" s="587" t="s">
        <v>1006</v>
      </c>
    </row>
    <row r="339" spans="1:6" s="148" customFormat="1" ht="18.399999999999999" customHeight="1">
      <c r="A339" s="1110"/>
      <c r="B339" s="415" t="str">
        <f t="shared" si="2"/>
        <v>MOLDINGS Type/CHAIRRAIL / Other</v>
      </c>
      <c r="C339" s="565" t="s">
        <v>1006</v>
      </c>
      <c r="D339" s="564" t="s">
        <v>1006</v>
      </c>
      <c r="E339" s="565" t="s">
        <v>1006</v>
      </c>
      <c r="F339" s="577"/>
    </row>
    <row r="340" spans="1:6" s="148" customFormat="1" ht="18.399999999999999" customHeight="1">
      <c r="A340" s="1110"/>
      <c r="B340" s="415" t="str">
        <f t="shared" si="2"/>
        <v xml:space="preserve">   R&amp;R/D&amp;R/MSK/CLN /S++/PNT</v>
      </c>
      <c r="C340" s="560"/>
      <c r="D340" s="561"/>
      <c r="E340" s="560"/>
      <c r="F340" s="587" t="s">
        <v>1006</v>
      </c>
    </row>
    <row r="341" spans="1:6" s="148" customFormat="1" ht="18.399999999999999" customHeight="1">
      <c r="A341" s="352"/>
      <c r="B341" s="415" t="str">
        <f t="shared" si="2"/>
        <v>ELE LlT/OS/SW--/R&amp;R/D&amp;R/MSK/CLN</v>
      </c>
      <c r="C341" s="553"/>
      <c r="D341" s="553"/>
      <c r="E341" s="553"/>
      <c r="F341" s="581" t="s">
        <v>713</v>
      </c>
    </row>
    <row r="342" spans="1:6" s="148" customFormat="1" ht="18.399999999999999" customHeight="1">
      <c r="A342" s="352"/>
      <c r="B342" s="415" t="str">
        <f t="shared" si="2"/>
        <v>HVAC/Vent/Duct/Smoke/Alarm/Chime</v>
      </c>
      <c r="C342" s="553"/>
      <c r="D342" s="553"/>
      <c r="E342" s="553"/>
      <c r="F342" s="580"/>
    </row>
    <row r="343" spans="1:6" s="148" customFormat="1" ht="18.399999999999999" customHeight="1">
      <c r="A343" s="1111" t="s">
        <v>998</v>
      </c>
      <c r="B343" s="415" t="str">
        <f t="shared" si="2"/>
        <v xml:space="preserve"> Window WDW/WDV/WDA/ QTY</v>
      </c>
      <c r="C343" s="553"/>
      <c r="D343" s="553"/>
      <c r="E343" s="553"/>
      <c r="F343" s="584" t="s">
        <v>1079</v>
      </c>
    </row>
    <row r="344" spans="1:6" s="148" customFormat="1" ht="18.399999999999999" customHeight="1">
      <c r="A344" s="1111"/>
      <c r="B344" s="415" t="str">
        <f t="shared" si="2"/>
        <v>R&amp;R/D&amp;R/MSK/CLN/PNT/S++</v>
      </c>
      <c r="C344" s="553"/>
      <c r="D344" s="553"/>
      <c r="E344" s="553"/>
      <c r="F344" s="587" t="s">
        <v>1006</v>
      </c>
    </row>
    <row r="345" spans="1:6" s="148" customFormat="1" ht="18.399999999999999" customHeight="1">
      <c r="A345" s="1111"/>
      <c r="B345" s="415" t="str">
        <f t="shared" si="2"/>
        <v>Window treatments Type=_CLN/ R / D</v>
      </c>
      <c r="C345" s="560"/>
      <c r="D345" s="561"/>
      <c r="E345" s="560"/>
      <c r="F345" s="580"/>
    </row>
    <row r="346" spans="1:6" s="148" customFormat="1" ht="18.399999999999999" customHeight="1">
      <c r="A346" s="1111"/>
      <c r="B346" s="415" t="str">
        <f t="shared" si="2"/>
        <v>Hardware;R&amp;R/D&amp;R/MSK/CLN</v>
      </c>
      <c r="C346" s="559"/>
      <c r="D346" s="560"/>
      <c r="E346" s="559"/>
      <c r="F346" s="577"/>
    </row>
    <row r="347" spans="1:6" s="148" customFormat="1" ht="18.399999999999999" customHeight="1">
      <c r="A347" s="1111"/>
      <c r="B347" s="415" t="str">
        <f t="shared" si="2"/>
        <v>DOORS QTY / STD/Bifold/MIR/BYPASS</v>
      </c>
      <c r="C347" s="562" t="s">
        <v>713</v>
      </c>
      <c r="D347" s="563" t="s">
        <v>713</v>
      </c>
      <c r="E347" s="562" t="s">
        <v>713</v>
      </c>
      <c r="F347" s="578"/>
    </row>
    <row r="348" spans="1:6" s="148" customFormat="1" ht="18.399999999999999" customHeight="1">
      <c r="A348" s="1111"/>
      <c r="B348" s="415" t="str">
        <f t="shared" si="2"/>
        <v>R&amp;R/D&amp;R/MSK/CLN/S++/PNT</v>
      </c>
      <c r="C348" s="564" t="s">
        <v>1006</v>
      </c>
      <c r="D348" s="565" t="s">
        <v>1006</v>
      </c>
      <c r="E348" s="564" t="s">
        <v>1006</v>
      </c>
      <c r="F348" s="589" t="s">
        <v>1006</v>
      </c>
    </row>
    <row r="349" spans="1:6" s="148" customFormat="1" ht="18.399999999999999" customHeight="1">
      <c r="A349" s="1111"/>
      <c r="B349" s="415" t="str">
        <f t="shared" si="2"/>
        <v>CASINGS R&amp;R/D&amp;R/MSK/CLN/S++/PNT</v>
      </c>
      <c r="C349" s="560"/>
      <c r="D349" s="561"/>
      <c r="E349" s="560"/>
      <c r="F349" s="587" t="s">
        <v>1006</v>
      </c>
    </row>
    <row r="350" spans="1:6" s="148" customFormat="1" ht="18.399999999999999" customHeight="1">
      <c r="A350" s="1111"/>
      <c r="B350" s="415" t="str">
        <f t="shared" si="2"/>
        <v>HDWE R&amp;R/D&amp;R/MSK/CLN</v>
      </c>
      <c r="C350" s="559"/>
      <c r="D350" s="560"/>
      <c r="E350" s="559"/>
      <c r="F350" s="589" t="s">
        <v>1006</v>
      </c>
    </row>
    <row r="351" spans="1:6" s="148" customFormat="1" ht="18.399999999999999" customHeight="1">
      <c r="A351" s="1111"/>
      <c r="B351" s="415" t="str">
        <f t="shared" si="2"/>
        <v>FLOOR FCC/FCW/FCS/FCT</v>
      </c>
      <c r="C351" s="562" t="s">
        <v>713</v>
      </c>
      <c r="D351" s="563" t="s">
        <v>713</v>
      </c>
      <c r="E351" s="562" t="s">
        <v>713</v>
      </c>
      <c r="F351" s="580"/>
    </row>
    <row r="352" spans="1:6" s="148" customFormat="1" ht="18.399999999999999" customHeight="1">
      <c r="A352" s="1111"/>
      <c r="B352" s="415" t="str">
        <f t="shared" ref="B352:B372" si="3">B313</f>
        <v>R&amp;R / MSK /CLN / SAND</v>
      </c>
      <c r="C352" s="566" t="s">
        <v>1006</v>
      </c>
      <c r="D352" s="565" t="s">
        <v>1006</v>
      </c>
      <c r="E352" s="566" t="s">
        <v>1006</v>
      </c>
      <c r="F352" s="598"/>
    </row>
    <row r="353" spans="1:6" s="148" customFormat="1" ht="18.399999999999999" customHeight="1">
      <c r="A353" s="1112" t="s">
        <v>1013</v>
      </c>
      <c r="B353" s="415" t="str">
        <f t="shared" si="3"/>
        <v>BASEBOARD  HT - MULTI   .</v>
      </c>
      <c r="C353" s="567" t="s">
        <v>1053</v>
      </c>
      <c r="D353" s="568" t="s">
        <v>1053</v>
      </c>
      <c r="E353" s="567" t="s">
        <v>1053</v>
      </c>
      <c r="F353" s="553"/>
    </row>
    <row r="354" spans="1:6" s="148" customFormat="1" ht="18.399999999999999" customHeight="1">
      <c r="A354" s="1112"/>
      <c r="B354" s="415" t="str">
        <f t="shared" si="3"/>
        <v>R&amp;R/D&amp;R/MSK/CLN/S++/PNT</v>
      </c>
      <c r="C354" s="559"/>
      <c r="D354" s="560"/>
      <c r="E354" s="559"/>
      <c r="F354" s="553"/>
    </row>
    <row r="355" spans="1:6" s="148" customFormat="1" ht="18.399999999999999" customHeight="1">
      <c r="A355" s="1112"/>
      <c r="B355" s="415" t="str">
        <f t="shared" si="3"/>
        <v>QTR RND BASE/R&amp;R/S++/PNT</v>
      </c>
      <c r="C355" s="560"/>
      <c r="D355" s="561"/>
      <c r="E355" s="560"/>
      <c r="F355" s="553"/>
    </row>
    <row r="356" spans="1:6" s="148" customFormat="1" ht="18.399999999999999" customHeight="1">
      <c r="A356" s="1112"/>
      <c r="B356" s="415" t="str">
        <f t="shared" si="3"/>
        <v>Closet;SHELF/ROD LF= WOOD/WIRE</v>
      </c>
      <c r="C356" s="559"/>
      <c r="D356" s="560"/>
      <c r="E356" s="559"/>
      <c r="F356" s="553"/>
    </row>
    <row r="357" spans="1:6" s="148" customFormat="1" ht="18.399999999999999" customHeight="1">
      <c r="A357" s="1112"/>
      <c r="B357" s="415" t="str">
        <f t="shared" si="3"/>
        <v>R&amp;R/D&amp;R/MSK/CLN/S++/PNT</v>
      </c>
      <c r="C357" s="562" t="s">
        <v>713</v>
      </c>
      <c r="D357" s="563" t="s">
        <v>713</v>
      </c>
      <c r="E357" s="562" t="s">
        <v>713</v>
      </c>
      <c r="F357" s="553"/>
    </row>
    <row r="358" spans="1:6" s="148" customFormat="1" ht="18.399999999999999" customHeight="1">
      <c r="A358" s="1112"/>
      <c r="B358" s="415" t="str">
        <f t="shared" si="3"/>
        <v>Work Notes:________________________________________________________________________________</v>
      </c>
      <c r="C358" s="566" t="s">
        <v>1006</v>
      </c>
      <c r="D358" s="565" t="s">
        <v>1006</v>
      </c>
      <c r="E358" s="566" t="s">
        <v>1006</v>
      </c>
      <c r="F358" s="553"/>
    </row>
    <row r="359" spans="1:6" s="148" customFormat="1" ht="18.399999999999999" customHeight="1">
      <c r="A359" s="1112"/>
      <c r="B359" s="415" t="str">
        <f t="shared" si="3"/>
        <v>Interior Work SCOPE(Quick Version)</v>
      </c>
      <c r="C359" s="560"/>
      <c r="D359" s="561"/>
      <c r="E359" s="560"/>
      <c r="F359" s="553"/>
    </row>
    <row r="360" spans="1:6" s="148" customFormat="1" ht="18.399999999999999" customHeight="1">
      <c r="A360" s="1112"/>
      <c r="B360" s="415" t="str">
        <f t="shared" si="3"/>
        <v>ROOM =</v>
      </c>
      <c r="C360" s="559"/>
      <c r="D360" s="560"/>
      <c r="E360" s="559"/>
      <c r="F360" s="553"/>
    </row>
    <row r="361" spans="1:6" s="148" customFormat="1" ht="18.399999999999999" customHeight="1">
      <c r="A361" s="1112"/>
      <c r="B361" s="415" t="str">
        <f t="shared" si="3"/>
        <v>CEILING FLT/VLT/PK/CTH/Tray/Open</v>
      </c>
      <c r="C361" s="553" t="str">
        <f>+'jobinfo(2)'!$C$1</f>
        <v>Hatten, Nedra</v>
      </c>
      <c r="D361" s="1125" t="str">
        <f>+'jobinfo(2)'!$C$2</f>
        <v>628 Quilliams Road</v>
      </c>
      <c r="E361" s="1125"/>
      <c r="F361" s="553"/>
    </row>
    <row r="362" spans="1:6" s="148" customFormat="1" ht="18.399999999999999" customHeight="1">
      <c r="A362" s="1112"/>
      <c r="B362" s="415" t="str">
        <f t="shared" si="3"/>
        <v>DRY / PLA / ACT / PNL / T&amp;G / Other</v>
      </c>
      <c r="C362" s="566" t="s">
        <v>1006</v>
      </c>
      <c r="D362" s="565" t="s">
        <v>1006</v>
      </c>
      <c r="E362" s="566" t="s">
        <v>1006</v>
      </c>
      <c r="F362" s="567" t="s">
        <v>713</v>
      </c>
    </row>
    <row r="363" spans="1:6" s="148" customFormat="1" ht="18.399999999999999" customHeight="1">
      <c r="A363" s="1113" t="s">
        <v>1035</v>
      </c>
      <c r="B363" s="415" t="str">
        <f t="shared" si="3"/>
        <v>Smooth / Texture/ Heavy</v>
      </c>
      <c r="C363" s="560"/>
      <c r="D363" s="561"/>
      <c r="E363" s="560"/>
      <c r="F363" s="584" t="s">
        <v>1006</v>
      </c>
    </row>
    <row r="364" spans="1:6" s="148" customFormat="1" ht="18.399999999999999" customHeight="1">
      <c r="A364" s="1113"/>
      <c r="B364" s="415" t="str">
        <f t="shared" si="3"/>
        <v>Repair MIN / Al l / Sf / Other</v>
      </c>
      <c r="C364" s="566" t="s">
        <v>1006</v>
      </c>
      <c r="D364" s="565" t="s">
        <v>1006</v>
      </c>
      <c r="E364" s="566" t="s">
        <v>1006</v>
      </c>
      <c r="F364" s="577"/>
    </row>
    <row r="365" spans="1:6" s="148" customFormat="1" ht="18.399999999999999" customHeight="1">
      <c r="A365" s="1113"/>
      <c r="B365" s="415" t="str">
        <f t="shared" si="3"/>
        <v>CLN /S++/PNT</v>
      </c>
      <c r="C365" s="562" t="s">
        <v>713</v>
      </c>
      <c r="D365" s="562" t="s">
        <v>713</v>
      </c>
      <c r="E365" s="562" t="s">
        <v>713</v>
      </c>
      <c r="F365" s="580"/>
    </row>
    <row r="366" spans="1:6" s="148" customFormat="1" ht="18.399999999999999" customHeight="1">
      <c r="A366" s="1113"/>
      <c r="B366" s="415" t="str">
        <f t="shared" si="3"/>
        <v>INS SF= R= / Batt / Loose</v>
      </c>
      <c r="C366" s="559"/>
      <c r="D366" s="560"/>
      <c r="E366" s="559"/>
      <c r="F366" s="581" t="s">
        <v>713</v>
      </c>
    </row>
    <row r="367" spans="1:6" s="148" customFormat="1" ht="18.399999999999999" customHeight="1">
      <c r="A367" s="1114" t="s">
        <v>1024</v>
      </c>
      <c r="B367" s="415" t="str">
        <f t="shared" si="3"/>
        <v>MOLDINGS/Casing/Crown_Other</v>
      </c>
      <c r="C367" s="564" t="s">
        <v>1079</v>
      </c>
      <c r="D367" s="565" t="s">
        <v>1079</v>
      </c>
      <c r="E367" s="564" t="s">
        <v>1079</v>
      </c>
      <c r="F367" s="587" t="s">
        <v>1006</v>
      </c>
    </row>
    <row r="368" spans="1:6" s="148" customFormat="1" ht="18.399999999999999" customHeight="1">
      <c r="A368" s="1114"/>
      <c r="B368" s="415" t="str">
        <f t="shared" si="3"/>
        <v>R&amp;R/D&amp;R/MSK/CLN/PNT</v>
      </c>
      <c r="C368" s="565" t="s">
        <v>1006</v>
      </c>
      <c r="D368" s="564" t="s">
        <v>1006</v>
      </c>
      <c r="E368" s="566" t="s">
        <v>1006</v>
      </c>
      <c r="F368" s="581" t="s">
        <v>1053</v>
      </c>
    </row>
    <row r="369" spans="1:6" s="148" customFormat="1" ht="18.399999999999999" customHeight="1">
      <c r="A369" s="1109" t="s">
        <v>1029</v>
      </c>
      <c r="B369" s="415" t="str">
        <f t="shared" si="3"/>
        <v>ELE;LIT/Fan/Chndlr//R&amp;R/D&amp;R/MSK</v>
      </c>
      <c r="C369" s="559"/>
      <c r="D369" s="560"/>
      <c r="E369" s="559"/>
      <c r="F369" s="580"/>
    </row>
    <row r="370" spans="1:6" s="148" customFormat="1" ht="18.399999999999999" customHeight="1">
      <c r="A370" s="1109"/>
      <c r="B370" s="415" t="str">
        <f t="shared" si="3"/>
        <v>HVAC/Vent/DuCT/R&amp;R/D&amp;R/MSK</v>
      </c>
      <c r="C370" s="560"/>
      <c r="D370" s="561"/>
      <c r="E370" s="560"/>
      <c r="F370" s="577"/>
    </row>
    <row r="371" spans="1:6" s="148" customFormat="1" ht="18.399999999999999" customHeight="1">
      <c r="A371" s="1109"/>
      <c r="B371" s="415" t="str">
        <f t="shared" si="3"/>
        <v>Smoke/Alarm/Chime//R&amp;R/D&amp;R/MSK</v>
      </c>
      <c r="C371" s="574"/>
      <c r="D371" s="575"/>
      <c r="E371" s="576"/>
      <c r="F371" s="580"/>
    </row>
    <row r="372" spans="1:6" s="148" customFormat="1" ht="18.399999999999999" customHeight="1">
      <c r="A372" s="1109"/>
      <c r="B372" s="415" t="str">
        <f t="shared" si="3"/>
        <v>WALLS  Damage N_S_E_W / WALL#</v>
      </c>
      <c r="C372" s="565" t="s">
        <v>1006</v>
      </c>
      <c r="D372" s="564" t="s">
        <v>1006</v>
      </c>
      <c r="E372" s="565" t="s">
        <v>1006</v>
      </c>
      <c r="F372" s="581" t="s">
        <v>713</v>
      </c>
    </row>
    <row r="373" spans="1:6" s="148" customFormat="1" ht="18.399999999999999" customHeight="1">
      <c r="A373" s="1110" t="s">
        <v>10</v>
      </c>
      <c r="B373" s="415" t="str">
        <f t="shared" ref="B373:B436" si="4">B334</f>
        <v>DRY/PLA/MIR/PNL/T&amp;G/WPR</v>
      </c>
      <c r="C373" s="566" t="s">
        <v>1006</v>
      </c>
      <c r="D373" s="565" t="s">
        <v>1006</v>
      </c>
      <c r="E373" s="566" t="s">
        <v>1006</v>
      </c>
      <c r="F373" s="587" t="s">
        <v>1006</v>
      </c>
    </row>
    <row r="374" spans="1:6" s="148" customFormat="1" ht="18.399999999999999" customHeight="1">
      <c r="A374" s="1110"/>
      <c r="B374" s="415" t="str">
        <f t="shared" si="4"/>
        <v>Smooth/Texture/Heavy</v>
      </c>
      <c r="C374" s="565" t="s">
        <v>1006</v>
      </c>
      <c r="D374" s="564" t="s">
        <v>1006</v>
      </c>
      <c r="E374" s="565" t="s">
        <v>1006</v>
      </c>
      <c r="F374" s="577"/>
    </row>
    <row r="375" spans="1:6" s="148" customFormat="1" ht="18.399999999999999" customHeight="1">
      <c r="A375" s="1110"/>
      <c r="B375" s="415" t="str">
        <f t="shared" si="4"/>
        <v>Repair MIN / Al l / Sf / Other</v>
      </c>
      <c r="C375" s="560"/>
      <c r="D375" s="561"/>
      <c r="E375" s="560"/>
      <c r="F375" s="580"/>
    </row>
    <row r="376" spans="1:6" s="148" customFormat="1" ht="18.399999999999999" customHeight="1">
      <c r="A376" s="352"/>
      <c r="B376" s="415" t="str">
        <f t="shared" si="4"/>
        <v>CLN /S++/PNT</v>
      </c>
      <c r="C376" s="566" t="s">
        <v>1006</v>
      </c>
      <c r="D376" s="565" t="s">
        <v>1006</v>
      </c>
      <c r="E376" s="566" t="s">
        <v>1006</v>
      </c>
      <c r="F376" s="587" t="s">
        <v>1006</v>
      </c>
    </row>
    <row r="377" spans="1:6" s="148" customFormat="1" ht="18.399999999999999" customHeight="1">
      <c r="A377" s="352"/>
      <c r="B377" s="415" t="str">
        <f t="shared" si="4"/>
        <v>INS SF= R=__ / Batt / Loose</v>
      </c>
      <c r="C377" s="565" t="s">
        <v>1006</v>
      </c>
      <c r="D377" s="564" t="s">
        <v>1006</v>
      </c>
      <c r="E377" s="565" t="s">
        <v>1006</v>
      </c>
      <c r="F377" s="577"/>
    </row>
    <row r="378" spans="1:6" s="148" customFormat="1" ht="18.399999999999999" customHeight="1">
      <c r="A378" s="412"/>
      <c r="B378" s="415" t="str">
        <f t="shared" si="4"/>
        <v>MOLDINGS Type/CHAIRRAIL / Other</v>
      </c>
      <c r="C378" s="572"/>
      <c r="D378" s="573"/>
      <c r="E378" s="573"/>
      <c r="F378" s="577"/>
    </row>
    <row r="379" spans="1:6" s="148" customFormat="1" ht="18.399999999999999" customHeight="1">
      <c r="A379" s="412"/>
      <c r="B379" s="415" t="str">
        <f t="shared" si="4"/>
        <v xml:space="preserve">   R&amp;R/D&amp;R/MSK/CLN /S++/PNT</v>
      </c>
      <c r="C379" s="566" t="s">
        <v>1006</v>
      </c>
      <c r="D379" s="565" t="s">
        <v>1006</v>
      </c>
      <c r="E379" s="566" t="s">
        <v>1006</v>
      </c>
      <c r="F379" s="587" t="s">
        <v>1006</v>
      </c>
    </row>
    <row r="380" spans="1:6" s="148" customFormat="1" ht="18.399999999999999" customHeight="1">
      <c r="A380" s="960"/>
      <c r="B380" s="415" t="str">
        <f t="shared" si="4"/>
        <v>ELE LlT/OS/SW--/R&amp;R/D&amp;R/MSK/CLN</v>
      </c>
      <c r="C380" s="565" t="s">
        <v>1006</v>
      </c>
      <c r="D380" s="564" t="s">
        <v>1006</v>
      </c>
      <c r="E380" s="565" t="s">
        <v>1006</v>
      </c>
      <c r="F380" s="577"/>
    </row>
    <row r="381" spans="1:6" s="148" customFormat="1" ht="18.399999999999999" customHeight="1">
      <c r="A381" s="1111" t="s">
        <v>998</v>
      </c>
      <c r="B381" s="415" t="str">
        <f t="shared" si="4"/>
        <v>HVAC/Vent/Duct/Smoke/Alarm/Chime</v>
      </c>
      <c r="C381" s="559"/>
      <c r="D381" s="560"/>
      <c r="E381" s="559"/>
      <c r="F381" s="580"/>
    </row>
    <row r="382" spans="1:6" s="148" customFormat="1" ht="18.399999999999999" customHeight="1">
      <c r="A382" s="1111"/>
      <c r="B382" s="415" t="str">
        <f t="shared" si="4"/>
        <v xml:space="preserve"> Window WDW/WDV/WDA/ QTY</v>
      </c>
      <c r="C382" s="562" t="s">
        <v>713</v>
      </c>
      <c r="D382" s="563" t="s">
        <v>713</v>
      </c>
      <c r="E382" s="562" t="s">
        <v>713</v>
      </c>
      <c r="F382" s="584" t="s">
        <v>1079</v>
      </c>
    </row>
    <row r="383" spans="1:6" s="148" customFormat="1" ht="18.399999999999999" customHeight="1">
      <c r="A383" s="1111"/>
      <c r="B383" s="415" t="str">
        <f t="shared" si="4"/>
        <v>R&amp;R/D&amp;R/MSK/CLN/PNT/S++</v>
      </c>
      <c r="C383" s="564" t="s">
        <v>1006</v>
      </c>
      <c r="D383" s="565" t="s">
        <v>1006</v>
      </c>
      <c r="E383" s="564" t="s">
        <v>1006</v>
      </c>
      <c r="F383" s="587" t="s">
        <v>1006</v>
      </c>
    </row>
    <row r="384" spans="1:6" s="148" customFormat="1" ht="18.399999999999999" customHeight="1">
      <c r="A384" s="1111"/>
      <c r="B384" s="415" t="str">
        <f t="shared" si="4"/>
        <v>Window treatments Type=_CLN/ R / D</v>
      </c>
      <c r="C384" s="560"/>
      <c r="D384" s="561"/>
      <c r="E384" s="560"/>
      <c r="F384" s="580"/>
    </row>
    <row r="385" spans="1:6" s="148" customFormat="1" ht="18.399999999999999" customHeight="1">
      <c r="A385" s="1111"/>
      <c r="B385" s="415" t="str">
        <f t="shared" si="4"/>
        <v>Hardware;R&amp;R/D&amp;R/MSK/CLN</v>
      </c>
      <c r="C385" s="559"/>
      <c r="D385" s="560"/>
      <c r="E385" s="559"/>
      <c r="F385" s="577"/>
    </row>
    <row r="386" spans="1:6" s="148" customFormat="1" ht="18.399999999999999" customHeight="1">
      <c r="A386" s="1111"/>
      <c r="B386" s="415" t="str">
        <f t="shared" si="4"/>
        <v>DOORS QTY / STD/Bifold/MIR/BYPASS</v>
      </c>
      <c r="C386" s="562" t="s">
        <v>713</v>
      </c>
      <c r="D386" s="563" t="s">
        <v>713</v>
      </c>
      <c r="E386" s="562" t="s">
        <v>713</v>
      </c>
      <c r="F386" s="578"/>
    </row>
    <row r="387" spans="1:6" s="148" customFormat="1" ht="18.399999999999999" customHeight="1">
      <c r="A387" s="1111"/>
      <c r="B387" s="415" t="str">
        <f t="shared" si="4"/>
        <v>R&amp;R/D&amp;R/MSK/CLN/S++/PNT</v>
      </c>
      <c r="C387" s="566" t="s">
        <v>1006</v>
      </c>
      <c r="D387" s="565" t="s">
        <v>1006</v>
      </c>
      <c r="E387" s="566" t="s">
        <v>1006</v>
      </c>
      <c r="F387" s="589" t="s">
        <v>1006</v>
      </c>
    </row>
    <row r="388" spans="1:6" s="148" customFormat="1" ht="18.399999999999999" customHeight="1">
      <c r="A388" s="1111"/>
      <c r="B388" s="415" t="str">
        <f t="shared" si="4"/>
        <v>CASINGS R&amp;R/D&amp;R/MSK/CLN/S++/PNT</v>
      </c>
      <c r="C388" s="567" t="s">
        <v>1053</v>
      </c>
      <c r="D388" s="568" t="s">
        <v>1053</v>
      </c>
      <c r="E388" s="567" t="s">
        <v>1053</v>
      </c>
      <c r="F388" s="587" t="s">
        <v>1006</v>
      </c>
    </row>
    <row r="389" spans="1:6" s="148" customFormat="1" ht="18.399999999999999" customHeight="1">
      <c r="A389" s="1111"/>
      <c r="B389" s="415" t="str">
        <f t="shared" si="4"/>
        <v>HDWE R&amp;R/D&amp;R/MSK/CLN</v>
      </c>
      <c r="C389" s="559"/>
      <c r="D389" s="560"/>
      <c r="E389" s="559"/>
      <c r="F389" s="589" t="s">
        <v>1006</v>
      </c>
    </row>
    <row r="390" spans="1:6" s="148" customFormat="1" ht="18.399999999999999" customHeight="1">
      <c r="A390" s="1111"/>
      <c r="B390" s="415" t="str">
        <f t="shared" si="4"/>
        <v>FLOOR FCC/FCW/FCS/FCT</v>
      </c>
      <c r="C390" s="560"/>
      <c r="D390" s="561"/>
      <c r="E390" s="560"/>
      <c r="F390" s="580"/>
    </row>
    <row r="391" spans="1:6" s="148" customFormat="1" ht="18.399999999999999" customHeight="1">
      <c r="A391" s="1111"/>
      <c r="B391" s="415" t="str">
        <f t="shared" si="4"/>
        <v>R&amp;R / MSK /CLN / SAND</v>
      </c>
      <c r="C391" s="559"/>
      <c r="D391" s="560"/>
      <c r="E391" s="559"/>
      <c r="F391" s="560"/>
    </row>
    <row r="392" spans="1:6" s="148" customFormat="1" ht="18.399999999999999" customHeight="1">
      <c r="A392" s="1112" t="s">
        <v>1013</v>
      </c>
      <c r="B392" s="415" t="str">
        <f t="shared" si="4"/>
        <v>BASEBOARD  HT - MULTI   .</v>
      </c>
      <c r="C392" s="562" t="s">
        <v>713</v>
      </c>
      <c r="D392" s="563" t="s">
        <v>713</v>
      </c>
      <c r="E392" s="562" t="s">
        <v>713</v>
      </c>
      <c r="F392" s="563" t="s">
        <v>713</v>
      </c>
    </row>
    <row r="393" spans="1:6" s="148" customFormat="1" ht="18.399999999999999" customHeight="1">
      <c r="A393" s="1112"/>
      <c r="B393" s="415" t="str">
        <f t="shared" si="4"/>
        <v>R&amp;R/D&amp;R/MSK/CLN/S++/PNT</v>
      </c>
      <c r="C393" s="566" t="s">
        <v>1006</v>
      </c>
      <c r="D393" s="565" t="s">
        <v>1006</v>
      </c>
      <c r="E393" s="566" t="s">
        <v>1006</v>
      </c>
      <c r="F393" s="565" t="s">
        <v>1006</v>
      </c>
    </row>
    <row r="394" spans="1:6" s="148" customFormat="1" ht="18.399999999999999" customHeight="1">
      <c r="A394" s="1112"/>
      <c r="B394" s="415" t="str">
        <f t="shared" si="4"/>
        <v>QTR RND BASE/R&amp;R/S++/PNT</v>
      </c>
      <c r="C394" s="560"/>
      <c r="D394" s="561"/>
      <c r="E394" s="560"/>
      <c r="F394" s="561"/>
    </row>
    <row r="395" spans="1:6" s="148" customFormat="1" ht="18.399999999999999" customHeight="1">
      <c r="A395" s="1112"/>
      <c r="B395" s="415" t="str">
        <f t="shared" si="4"/>
        <v>Closet;SHELF/ROD LF= WOOD/WIRE</v>
      </c>
      <c r="C395" s="559"/>
      <c r="D395" s="560"/>
      <c r="E395" s="559"/>
      <c r="F395" s="560"/>
    </row>
    <row r="396" spans="1:6" s="148" customFormat="1" ht="18.399999999999999" customHeight="1">
      <c r="A396" s="1112"/>
      <c r="B396" s="415" t="str">
        <f t="shared" si="4"/>
        <v>R&amp;R/D&amp;R/MSK/CLN/S++/PNT</v>
      </c>
      <c r="C396" s="562" t="s">
        <v>713</v>
      </c>
      <c r="D396" s="563" t="s">
        <v>713</v>
      </c>
      <c r="E396" s="562" t="s">
        <v>713</v>
      </c>
      <c r="F396" s="563" t="s">
        <v>713</v>
      </c>
    </row>
    <row r="397" spans="1:6" s="148" customFormat="1" ht="18.399999999999999" customHeight="1">
      <c r="A397" s="1112"/>
      <c r="B397" s="415" t="str">
        <f t="shared" si="4"/>
        <v>Work Notes:________________________________________________________________________________</v>
      </c>
      <c r="C397" s="566" t="s">
        <v>1006</v>
      </c>
      <c r="D397" s="565" t="s">
        <v>1006</v>
      </c>
      <c r="E397" s="566" t="s">
        <v>1006</v>
      </c>
      <c r="F397" s="565" t="s">
        <v>1006</v>
      </c>
    </row>
    <row r="398" spans="1:6" s="148" customFormat="1" ht="18.399999999999999" customHeight="1">
      <c r="A398" s="1112"/>
      <c r="B398" s="415" t="str">
        <f t="shared" si="4"/>
        <v>Interior Work SCOPE(Quick Version)</v>
      </c>
      <c r="C398" s="560"/>
      <c r="D398" s="561"/>
      <c r="E398" s="560"/>
      <c r="F398" s="561"/>
    </row>
    <row r="399" spans="1:6" s="148" customFormat="1" ht="18.399999999999999" customHeight="1">
      <c r="A399" s="1112"/>
      <c r="B399" s="415" t="str">
        <f t="shared" si="4"/>
        <v>ROOM =</v>
      </c>
      <c r="C399" s="566" t="s">
        <v>1006</v>
      </c>
      <c r="D399" s="565" t="s">
        <v>1006</v>
      </c>
      <c r="E399" s="566" t="s">
        <v>1006</v>
      </c>
      <c r="F399" s="565" t="s">
        <v>1006</v>
      </c>
    </row>
    <row r="400" spans="1:6" s="148" customFormat="1" ht="18.399999999999999" customHeight="1">
      <c r="A400" s="1112"/>
      <c r="B400" s="415" t="str">
        <f t="shared" si="4"/>
        <v>CEILING FLT/VLT/PK/CTH/Tray/Open</v>
      </c>
      <c r="C400" s="562" t="s">
        <v>713</v>
      </c>
      <c r="D400" s="562" t="s">
        <v>713</v>
      </c>
      <c r="E400" s="562" t="s">
        <v>713</v>
      </c>
      <c r="F400" s="562" t="s">
        <v>713</v>
      </c>
    </row>
    <row r="401" spans="1:6" s="148" customFormat="1" ht="18.399999999999999" customHeight="1">
      <c r="A401" s="1112"/>
      <c r="B401" s="415" t="str">
        <f t="shared" si="4"/>
        <v>DRY / PLA / ACT / PNL / T&amp;G / Other</v>
      </c>
      <c r="C401" s="559"/>
      <c r="D401" s="560"/>
      <c r="E401" s="559"/>
      <c r="F401" s="553"/>
    </row>
    <row r="402" spans="1:6" s="148" customFormat="1" ht="18.399999999999999" customHeight="1">
      <c r="A402" s="1113" t="s">
        <v>1035</v>
      </c>
      <c r="B402" s="415" t="str">
        <f t="shared" si="4"/>
        <v>Smooth / Texture/ Heavy</v>
      </c>
      <c r="C402" s="564" t="s">
        <v>1079</v>
      </c>
      <c r="D402" s="565" t="s">
        <v>1079</v>
      </c>
      <c r="E402" s="564" t="s">
        <v>1079</v>
      </c>
      <c r="F402" s="553"/>
    </row>
    <row r="403" spans="1:6" s="148" customFormat="1" ht="18.399999999999999" customHeight="1">
      <c r="A403" s="1113"/>
      <c r="B403" s="415" t="str">
        <f t="shared" si="4"/>
        <v>Repair MIN / Al l / Sf / Other</v>
      </c>
      <c r="C403" s="565" t="s">
        <v>1006</v>
      </c>
      <c r="D403" s="564" t="s">
        <v>1006</v>
      </c>
      <c r="E403" s="566" t="s">
        <v>1006</v>
      </c>
      <c r="F403" s="553"/>
    </row>
    <row r="404" spans="1:6" s="148" customFormat="1" ht="18.399999999999999" customHeight="1">
      <c r="A404" s="1113"/>
      <c r="B404" s="415" t="str">
        <f t="shared" si="4"/>
        <v>CLN /S++/PNT</v>
      </c>
      <c r="C404" s="559"/>
      <c r="D404" s="560"/>
      <c r="E404" s="559"/>
      <c r="F404" s="553"/>
    </row>
    <row r="405" spans="1:6" s="148" customFormat="1" ht="18.399999999999999" customHeight="1">
      <c r="A405" s="1113"/>
      <c r="B405" s="415" t="str">
        <f t="shared" si="4"/>
        <v>INS SF= R= / Batt / Loose</v>
      </c>
      <c r="C405" s="560"/>
      <c r="D405" s="561"/>
      <c r="E405" s="560"/>
      <c r="F405" s="553"/>
    </row>
    <row r="406" spans="1:6" s="148" customFormat="1" ht="18.399999999999999" customHeight="1">
      <c r="A406" s="1126" t="s">
        <v>1024</v>
      </c>
      <c r="B406" s="415" t="str">
        <f t="shared" si="4"/>
        <v>MOLDINGS/Casing/Crown_Other</v>
      </c>
      <c r="C406" s="574"/>
      <c r="D406" s="575"/>
      <c r="E406" s="576"/>
      <c r="F406" s="553"/>
    </row>
    <row r="407" spans="1:6" s="148" customFormat="1" ht="18.399999999999999" customHeight="1">
      <c r="A407" s="1126"/>
      <c r="B407" s="415" t="str">
        <f t="shared" si="4"/>
        <v>R&amp;R/D&amp;R/MSK/CLN/PNT</v>
      </c>
      <c r="C407" s="565" t="s">
        <v>1006</v>
      </c>
      <c r="D407" s="564" t="s">
        <v>1006</v>
      </c>
      <c r="E407" s="565" t="s">
        <v>1006</v>
      </c>
      <c r="F407" s="553"/>
    </row>
    <row r="408" spans="1:6" s="148" customFormat="1" ht="18.399999999999999" customHeight="1">
      <c r="A408" s="1109" t="s">
        <v>1029</v>
      </c>
      <c r="B408" s="415" t="str">
        <f t="shared" si="4"/>
        <v>ELE;LIT/Fan/Chndlr//R&amp;R/D&amp;R/MSK</v>
      </c>
      <c r="C408" s="566" t="s">
        <v>1006</v>
      </c>
      <c r="D408" s="565" t="s">
        <v>1006</v>
      </c>
      <c r="E408" s="566" t="s">
        <v>1006</v>
      </c>
      <c r="F408" s="553"/>
    </row>
    <row r="409" spans="1:6" s="148" customFormat="1" ht="18.399999999999999" customHeight="1">
      <c r="A409" s="1109"/>
      <c r="B409" s="415" t="str">
        <f t="shared" si="4"/>
        <v>HVAC/Vent/DuCT/R&amp;R/D&amp;R/MSK</v>
      </c>
      <c r="C409" s="565" t="s">
        <v>1006</v>
      </c>
      <c r="D409" s="564" t="s">
        <v>1006</v>
      </c>
      <c r="E409" s="565" t="s">
        <v>1006</v>
      </c>
      <c r="F409" s="553"/>
    </row>
    <row r="410" spans="1:6" s="148" customFormat="1" ht="18.399999999999999" customHeight="1">
      <c r="A410" s="1109"/>
      <c r="B410" s="415" t="str">
        <f t="shared" si="4"/>
        <v>Smoke/Alarm/Chime//R&amp;R/D&amp;R/MSK</v>
      </c>
      <c r="C410" s="560"/>
      <c r="D410" s="561"/>
      <c r="E410" s="560"/>
      <c r="F410" s="553"/>
    </row>
    <row r="411" spans="1:6" ht="18.399999999999999" customHeight="1">
      <c r="A411" s="1109"/>
      <c r="B411" s="415" t="str">
        <f t="shared" si="4"/>
        <v>WALLS  Damage N_S_E_W / WALL#</v>
      </c>
      <c r="C411" s="565" t="s">
        <v>1006</v>
      </c>
      <c r="D411" s="564" t="s">
        <v>1006</v>
      </c>
      <c r="E411" s="565" t="s">
        <v>1006</v>
      </c>
    </row>
    <row r="412" spans="1:6" ht="18.399999999999999" customHeight="1">
      <c r="A412" s="1110" t="s">
        <v>10</v>
      </c>
      <c r="B412" s="415" t="str">
        <f t="shared" si="4"/>
        <v>DRY/PLA/MIR/PNL/T&amp;G/WPR</v>
      </c>
      <c r="C412" s="560"/>
      <c r="D412" s="561"/>
      <c r="E412" s="560"/>
    </row>
    <row r="413" spans="1:6" ht="18.399999999999999" customHeight="1">
      <c r="A413" s="1110"/>
      <c r="B413" s="415" t="str">
        <f t="shared" si="4"/>
        <v>Smooth/Texture/Heavy</v>
      </c>
      <c r="C413" s="565" t="s">
        <v>1006</v>
      </c>
      <c r="D413" s="564" t="s">
        <v>1006</v>
      </c>
      <c r="E413" s="565" t="s">
        <v>1006</v>
      </c>
    </row>
    <row r="414" spans="1:6" ht="18.399999999999999" customHeight="1">
      <c r="A414" s="1110"/>
      <c r="B414" s="415" t="str">
        <f t="shared" si="4"/>
        <v>Repair MIN / Al l / Sf / Other</v>
      </c>
      <c r="C414" s="560"/>
      <c r="D414" s="561"/>
      <c r="E414" s="560"/>
    </row>
    <row r="415" spans="1:6" ht="18.399999999999999" customHeight="1">
      <c r="A415" s="1111" t="s">
        <v>998</v>
      </c>
      <c r="B415" s="415" t="str">
        <f t="shared" si="4"/>
        <v>CLN /S++/PNT</v>
      </c>
      <c r="C415" s="553" t="str">
        <f>+'jobinfo(2)'!$C$1</f>
        <v>Hatten, Nedra</v>
      </c>
      <c r="D415" s="1125" t="str">
        <f>+'jobinfo(2)'!$C$2</f>
        <v>628 Quilliams Road</v>
      </c>
      <c r="E415" s="1125"/>
    </row>
    <row r="416" spans="1:6" ht="18.399999999999999" customHeight="1">
      <c r="A416" s="1111"/>
      <c r="B416" s="415" t="str">
        <f t="shared" si="4"/>
        <v>INS SF= R=__ / Batt / Loose</v>
      </c>
      <c r="C416" s="596">
        <f>+'jobinfo(2)'!C87</f>
        <v>0</v>
      </c>
      <c r="D416" s="596">
        <f>+'jobinfo(2)'!C88</f>
        <v>0</v>
      </c>
      <c r="E416" s="597">
        <f>+'jobinfo(2)'!C90</f>
        <v>0</v>
      </c>
    </row>
    <row r="417" spans="1:5" ht="18.399999999999999" customHeight="1">
      <c r="A417" s="1111"/>
      <c r="B417" s="415" t="str">
        <f t="shared" si="4"/>
        <v>MOLDINGS Type/CHAIRRAIL / Other</v>
      </c>
      <c r="C417" s="560"/>
      <c r="D417" s="561"/>
      <c r="E417" s="560"/>
    </row>
    <row r="418" spans="1:5" ht="18.399999999999999" customHeight="1">
      <c r="A418" s="1111"/>
      <c r="B418" s="415" t="str">
        <f t="shared" si="4"/>
        <v xml:space="preserve">   R&amp;R/D&amp;R/MSK/CLN /S++/PNT</v>
      </c>
      <c r="C418" s="559"/>
      <c r="D418" s="560"/>
      <c r="E418" s="559"/>
    </row>
    <row r="419" spans="1:5" ht="18.399999999999999" customHeight="1">
      <c r="A419" s="1111"/>
      <c r="B419" s="415" t="str">
        <f t="shared" si="4"/>
        <v>ELE LlT/OS/SW--/R&amp;R/D&amp;R/MSK/CLN</v>
      </c>
      <c r="C419" s="562" t="s">
        <v>713</v>
      </c>
      <c r="D419" s="563" t="s">
        <v>713</v>
      </c>
      <c r="E419" s="562" t="s">
        <v>713</v>
      </c>
    </row>
    <row r="420" spans="1:5" ht="18.399999999999999" customHeight="1">
      <c r="A420" s="1111"/>
      <c r="B420" s="415" t="str">
        <f t="shared" si="4"/>
        <v>HVAC/Vent/Duct/Smoke/Alarm/Chime</v>
      </c>
      <c r="C420" s="564" t="s">
        <v>1006</v>
      </c>
      <c r="D420" s="565" t="s">
        <v>1006</v>
      </c>
      <c r="E420" s="564" t="s">
        <v>1006</v>
      </c>
    </row>
    <row r="421" spans="1:5" ht="18.399999999999999" customHeight="1">
      <c r="A421" s="1111"/>
      <c r="B421" s="415" t="str">
        <f t="shared" si="4"/>
        <v xml:space="preserve"> Window WDW/WDV/WDA/ QTY</v>
      </c>
      <c r="C421" s="560"/>
      <c r="D421" s="561"/>
      <c r="E421" s="560"/>
    </row>
    <row r="422" spans="1:5" ht="18.399999999999999" customHeight="1">
      <c r="A422" s="1111"/>
      <c r="B422" s="415" t="str">
        <f t="shared" si="4"/>
        <v>R&amp;R/D&amp;R/MSK/CLN/PNT/S++</v>
      </c>
      <c r="C422" s="559"/>
      <c r="D422" s="560"/>
      <c r="E422" s="559"/>
    </row>
    <row r="423" spans="1:5" ht="18.399999999999999" customHeight="1">
      <c r="A423" s="1111"/>
      <c r="B423" s="415" t="str">
        <f t="shared" si="4"/>
        <v>Window treatments Type=_CLN/ R / D</v>
      </c>
      <c r="C423" s="562" t="s">
        <v>713</v>
      </c>
      <c r="D423" s="563" t="s">
        <v>713</v>
      </c>
      <c r="E423" s="562" t="s">
        <v>713</v>
      </c>
    </row>
    <row r="424" spans="1:5" ht="18.399999999999999" customHeight="1">
      <c r="A424" s="1111"/>
      <c r="B424" s="415" t="str">
        <f t="shared" si="4"/>
        <v>Hardware;R&amp;R/D&amp;R/MSK/CLN</v>
      </c>
      <c r="C424" s="566" t="s">
        <v>1006</v>
      </c>
      <c r="D424" s="565" t="s">
        <v>1006</v>
      </c>
      <c r="E424" s="566" t="s">
        <v>1006</v>
      </c>
    </row>
    <row r="425" spans="1:5" ht="18.399999999999999" customHeight="1">
      <c r="A425" s="1112" t="s">
        <v>1013</v>
      </c>
      <c r="B425" s="415" t="str">
        <f t="shared" si="4"/>
        <v>DOORS QTY / STD/Bifold/MIR/BYPASS</v>
      </c>
      <c r="C425" s="567" t="s">
        <v>1053</v>
      </c>
      <c r="D425" s="568" t="s">
        <v>1053</v>
      </c>
      <c r="E425" s="567" t="s">
        <v>1053</v>
      </c>
    </row>
    <row r="426" spans="1:5" ht="18.399999999999999" customHeight="1">
      <c r="A426" s="1112"/>
      <c r="B426" s="415" t="str">
        <f t="shared" si="4"/>
        <v>R&amp;R/D&amp;R/MSK/CLN/S++/PNT</v>
      </c>
      <c r="C426" s="559"/>
      <c r="D426" s="560"/>
      <c r="E426" s="559"/>
    </row>
    <row r="427" spans="1:5" ht="18.399999999999999" customHeight="1">
      <c r="A427" s="1112"/>
      <c r="B427" s="415" t="str">
        <f t="shared" si="4"/>
        <v>CASINGS R&amp;R/D&amp;R/MSK/CLN/S++/PNT</v>
      </c>
      <c r="C427" s="560"/>
      <c r="D427" s="561"/>
      <c r="E427" s="560"/>
    </row>
    <row r="428" spans="1:5" ht="18.399999999999999" customHeight="1">
      <c r="A428" s="1112"/>
      <c r="B428" s="415" t="str">
        <f t="shared" si="4"/>
        <v>HDWE R&amp;R/D&amp;R/MSK/CLN</v>
      </c>
      <c r="C428" s="559"/>
      <c r="D428" s="560"/>
      <c r="E428" s="559"/>
    </row>
    <row r="429" spans="1:5" ht="18.399999999999999" customHeight="1">
      <c r="A429" s="1112"/>
      <c r="B429" s="415" t="str">
        <f t="shared" si="4"/>
        <v>FLOOR FCC/FCW/FCS/FCT</v>
      </c>
      <c r="C429" s="562" t="s">
        <v>713</v>
      </c>
      <c r="D429" s="563" t="s">
        <v>713</v>
      </c>
      <c r="E429" s="562" t="s">
        <v>713</v>
      </c>
    </row>
    <row r="430" spans="1:5" ht="18.399999999999999" customHeight="1">
      <c r="A430" s="1112"/>
      <c r="B430" s="415" t="str">
        <f t="shared" si="4"/>
        <v>R&amp;R / MSK /CLN / SAND</v>
      </c>
      <c r="C430" s="566" t="s">
        <v>1006</v>
      </c>
      <c r="D430" s="565" t="s">
        <v>1006</v>
      </c>
      <c r="E430" s="566" t="s">
        <v>1006</v>
      </c>
    </row>
    <row r="431" spans="1:5" ht="18.399999999999999" customHeight="1">
      <c r="A431" s="1112"/>
      <c r="B431" s="415" t="str">
        <f t="shared" si="4"/>
        <v>BASEBOARD  HT - MULTI   .</v>
      </c>
      <c r="C431" s="560"/>
      <c r="D431" s="561"/>
      <c r="E431" s="560"/>
    </row>
    <row r="432" spans="1:5" ht="18.399999999999999" customHeight="1">
      <c r="A432" s="1112"/>
      <c r="B432" s="415" t="str">
        <f t="shared" si="4"/>
        <v>R&amp;R/D&amp;R/MSK/CLN/S++/PNT</v>
      </c>
      <c r="C432" s="559"/>
      <c r="D432" s="560"/>
      <c r="E432" s="559"/>
    </row>
    <row r="433" spans="1:5" ht="18.399999999999999" customHeight="1">
      <c r="A433" s="1112"/>
      <c r="B433" s="415" t="str">
        <f t="shared" si="4"/>
        <v>QTR RND BASE/R&amp;R/S++/PNT</v>
      </c>
      <c r="C433" s="562" t="s">
        <v>713</v>
      </c>
      <c r="D433" s="563" t="s">
        <v>713</v>
      </c>
      <c r="E433" s="562" t="s">
        <v>713</v>
      </c>
    </row>
    <row r="434" spans="1:5" ht="18.399999999999999" customHeight="1">
      <c r="A434" s="1112"/>
      <c r="B434" s="415" t="str">
        <f t="shared" si="4"/>
        <v>Closet;SHELF/ROD LF= WOOD/WIRE</v>
      </c>
      <c r="C434" s="566" t="s">
        <v>1006</v>
      </c>
      <c r="D434" s="565" t="s">
        <v>1006</v>
      </c>
      <c r="E434" s="566" t="s">
        <v>1006</v>
      </c>
    </row>
    <row r="435" spans="1:5" ht="18.399999999999999" customHeight="1">
      <c r="A435" s="1113" t="s">
        <v>1035</v>
      </c>
      <c r="B435" s="415" t="str">
        <f t="shared" si="4"/>
        <v>R&amp;R/D&amp;R/MSK/CLN/S++/PNT</v>
      </c>
      <c r="C435" s="560"/>
      <c r="D435" s="561"/>
      <c r="E435" s="560"/>
    </row>
    <row r="436" spans="1:5" ht="18.399999999999999" customHeight="1">
      <c r="A436" s="1113"/>
      <c r="B436" s="415" t="str">
        <f t="shared" si="4"/>
        <v>Work Notes:________________________________________________________________________________</v>
      </c>
      <c r="C436" s="566" t="s">
        <v>1006</v>
      </c>
      <c r="D436" s="565" t="s">
        <v>1006</v>
      </c>
      <c r="E436" s="566" t="s">
        <v>1006</v>
      </c>
    </row>
    <row r="437" spans="1:5" ht="18.399999999999999" customHeight="1">
      <c r="A437" s="1113"/>
      <c r="B437" s="415" t="str">
        <f t="shared" ref="B437:B487" si="5">B398</f>
        <v>Interior Work SCOPE(Quick Version)</v>
      </c>
      <c r="C437" s="562" t="s">
        <v>713</v>
      </c>
      <c r="D437" s="562" t="s">
        <v>713</v>
      </c>
      <c r="E437" s="562" t="s">
        <v>713</v>
      </c>
    </row>
    <row r="438" spans="1:5" ht="18.399999999999999" customHeight="1">
      <c r="A438" s="1113"/>
      <c r="B438" s="415" t="str">
        <f t="shared" si="5"/>
        <v>ROOM =</v>
      </c>
      <c r="C438" s="559"/>
      <c r="D438" s="560"/>
      <c r="E438" s="559"/>
    </row>
    <row r="439" spans="1:5" ht="18.399999999999999" customHeight="1">
      <c r="A439" s="1114" t="s">
        <v>1024</v>
      </c>
      <c r="B439" s="415" t="str">
        <f t="shared" si="5"/>
        <v>CEILING FLT/VLT/PK/CTH/Tray/Open</v>
      </c>
      <c r="C439" s="564" t="s">
        <v>1079</v>
      </c>
      <c r="D439" s="565" t="s">
        <v>1079</v>
      </c>
      <c r="E439" s="564" t="s">
        <v>1079</v>
      </c>
    </row>
    <row r="440" spans="1:5" ht="18.399999999999999" customHeight="1">
      <c r="A440" s="1114"/>
      <c r="B440" s="415" t="str">
        <f t="shared" si="5"/>
        <v>DRY / PLA / ACT / PNL / T&amp;G / Other</v>
      </c>
      <c r="C440" s="565" t="s">
        <v>1006</v>
      </c>
      <c r="D440" s="564" t="s">
        <v>1006</v>
      </c>
      <c r="E440" s="566" t="s">
        <v>1006</v>
      </c>
    </row>
    <row r="441" spans="1:5" ht="18.399999999999999" customHeight="1">
      <c r="A441" s="1109" t="s">
        <v>1029</v>
      </c>
      <c r="B441" s="415" t="str">
        <f t="shared" si="5"/>
        <v>Smooth / Texture/ Heavy</v>
      </c>
      <c r="C441" s="553" t="str">
        <f>+'jobinfo(2)'!$C$1</f>
        <v>Hatten, Nedra</v>
      </c>
      <c r="D441" s="1125" t="str">
        <f>+'jobinfo(2)'!$C$2</f>
        <v>628 Quilliams Road</v>
      </c>
      <c r="E441" s="1125"/>
    </row>
    <row r="442" spans="1:5" ht="18.399999999999999" customHeight="1">
      <c r="A442" s="1109"/>
      <c r="B442" s="415" t="str">
        <f t="shared" si="5"/>
        <v>Repair MIN / Al l / Sf / Other</v>
      </c>
      <c r="C442" s="549">
        <f>+'jobinfo(2)'!C91</f>
        <v>0</v>
      </c>
      <c r="D442" s="596">
        <f>+'jobinfo(2)'!C92</f>
        <v>0</v>
      </c>
      <c r="E442" s="596">
        <f>+'jobinfo(2)'!C93</f>
        <v>0</v>
      </c>
    </row>
    <row r="443" spans="1:5" ht="18.399999999999999" customHeight="1">
      <c r="A443" s="1109"/>
      <c r="B443" s="415" t="str">
        <f t="shared" si="5"/>
        <v>CLN /S++/PNT</v>
      </c>
      <c r="C443" s="574"/>
      <c r="D443" s="575"/>
      <c r="E443" s="576"/>
    </row>
    <row r="444" spans="1:5" ht="18.399999999999999" customHeight="1">
      <c r="A444" s="1109"/>
      <c r="B444" s="415" t="str">
        <f t="shared" si="5"/>
        <v>INS SF= R= / Batt / Loose</v>
      </c>
      <c r="C444" s="565" t="s">
        <v>1006</v>
      </c>
      <c r="D444" s="564" t="s">
        <v>1006</v>
      </c>
      <c r="E444" s="565" t="s">
        <v>1006</v>
      </c>
    </row>
    <row r="445" spans="1:5" ht="18.399999999999999" customHeight="1">
      <c r="A445" s="1110" t="s">
        <v>10</v>
      </c>
      <c r="B445" s="415" t="str">
        <f t="shared" si="5"/>
        <v>MOLDINGS/Casing/Crown_Other</v>
      </c>
      <c r="C445" s="566" t="s">
        <v>1006</v>
      </c>
      <c r="D445" s="565" t="s">
        <v>1006</v>
      </c>
      <c r="E445" s="566" t="s">
        <v>1006</v>
      </c>
    </row>
    <row r="446" spans="1:5" ht="18.399999999999999" customHeight="1">
      <c r="A446" s="1110"/>
      <c r="B446" s="415" t="str">
        <f t="shared" si="5"/>
        <v>R&amp;R/D&amp;R/MSK/CLN/PNT</v>
      </c>
      <c r="C446" s="565" t="s">
        <v>1006</v>
      </c>
      <c r="D446" s="564" t="s">
        <v>1006</v>
      </c>
      <c r="E446" s="565" t="s">
        <v>1006</v>
      </c>
    </row>
    <row r="447" spans="1:5" ht="18.399999999999999" customHeight="1">
      <c r="A447" s="1110"/>
      <c r="B447" s="415" t="str">
        <f t="shared" si="5"/>
        <v>ELE;LIT/Fan/Chndlr//R&amp;R/D&amp;R/MSK</v>
      </c>
      <c r="C447" s="560"/>
      <c r="D447" s="561"/>
      <c r="E447" s="560"/>
    </row>
    <row r="448" spans="1:5" ht="18.399999999999999" customHeight="1">
      <c r="B448" s="415" t="str">
        <f t="shared" si="5"/>
        <v>HVAC/Vent/DuCT/R&amp;R/D&amp;R/MSK</v>
      </c>
    </row>
    <row r="449" spans="1:5" ht="18.399999999999999" customHeight="1">
      <c r="B449" s="415" t="str">
        <f t="shared" si="5"/>
        <v>Smoke/Alarm/Chime//R&amp;R/D&amp;R/MSK</v>
      </c>
      <c r="C449" s="552"/>
      <c r="D449" s="549"/>
      <c r="E449" s="549"/>
    </row>
    <row r="450" spans="1:5" ht="18.399999999999999" customHeight="1">
      <c r="A450" s="412"/>
      <c r="B450" s="415" t="str">
        <f t="shared" si="5"/>
        <v>WALLS  Damage N_S_E_W / WALL#</v>
      </c>
      <c r="C450" s="572"/>
      <c r="D450" s="573"/>
      <c r="E450" s="573"/>
    </row>
    <row r="451" spans="1:5" ht="18.399999999999999" customHeight="1">
      <c r="A451" s="412"/>
      <c r="B451" s="415" t="str">
        <f t="shared" si="5"/>
        <v>DRY/PLA/MIR/PNL/T&amp;G/WPR</v>
      </c>
    </row>
    <row r="452" spans="1:5" ht="18.399999999999999" customHeight="1">
      <c r="A452" s="960"/>
      <c r="B452" s="415" t="str">
        <f t="shared" si="5"/>
        <v>Smooth/Texture/Heavy</v>
      </c>
    </row>
    <row r="453" spans="1:5" ht="18.399999999999999" customHeight="1">
      <c r="A453" s="1111" t="s">
        <v>998</v>
      </c>
      <c r="B453" s="415" t="str">
        <f t="shared" si="5"/>
        <v>Repair MIN / Al l / Sf / Other</v>
      </c>
      <c r="C453" s="559"/>
      <c r="D453" s="560"/>
      <c r="E453" s="559"/>
    </row>
    <row r="454" spans="1:5" ht="18.399999999999999" customHeight="1">
      <c r="A454" s="1111"/>
      <c r="B454" s="415" t="str">
        <f t="shared" si="5"/>
        <v>CLN /S++/PNT</v>
      </c>
      <c r="C454" s="562" t="s">
        <v>713</v>
      </c>
      <c r="D454" s="563" t="s">
        <v>713</v>
      </c>
      <c r="E454" s="562" t="s">
        <v>713</v>
      </c>
    </row>
    <row r="455" spans="1:5" ht="18.399999999999999" customHeight="1">
      <c r="A455" s="1111"/>
      <c r="B455" s="415" t="str">
        <f t="shared" si="5"/>
        <v>INS SF= R=__ / Batt / Loose</v>
      </c>
      <c r="C455" s="564" t="s">
        <v>1006</v>
      </c>
      <c r="D455" s="565" t="s">
        <v>1006</v>
      </c>
      <c r="E455" s="564" t="s">
        <v>1006</v>
      </c>
    </row>
    <row r="456" spans="1:5" ht="18.399999999999999" customHeight="1">
      <c r="A456" s="1111"/>
      <c r="B456" s="415" t="str">
        <f t="shared" si="5"/>
        <v>MOLDINGS Type/CHAIRRAIL / Other</v>
      </c>
      <c r="C456" s="560"/>
      <c r="D456" s="561"/>
      <c r="E456" s="560"/>
    </row>
    <row r="457" spans="1:5" ht="18.399999999999999" customHeight="1">
      <c r="A457" s="1111"/>
      <c r="B457" s="415" t="str">
        <f t="shared" si="5"/>
        <v xml:space="preserve">   R&amp;R/D&amp;R/MSK/CLN /S++/PNT</v>
      </c>
      <c r="C457" s="559"/>
      <c r="D457" s="560"/>
      <c r="E457" s="559"/>
    </row>
    <row r="458" spans="1:5" ht="18.399999999999999" customHeight="1">
      <c r="A458" s="1111"/>
      <c r="B458" s="415" t="str">
        <f t="shared" si="5"/>
        <v>ELE LlT/OS/SW--/R&amp;R/D&amp;R/MSK/CLN</v>
      </c>
      <c r="C458" s="562" t="s">
        <v>713</v>
      </c>
      <c r="D458" s="563" t="s">
        <v>713</v>
      </c>
      <c r="E458" s="562" t="s">
        <v>713</v>
      </c>
    </row>
    <row r="459" spans="1:5" ht="18.399999999999999" customHeight="1">
      <c r="A459" s="1111"/>
      <c r="B459" s="415" t="str">
        <f t="shared" si="5"/>
        <v>HVAC/Vent/Duct/Smoke/Alarm/Chime</v>
      </c>
      <c r="C459" s="566" t="s">
        <v>1006</v>
      </c>
      <c r="D459" s="565" t="s">
        <v>1006</v>
      </c>
      <c r="E459" s="566" t="s">
        <v>1006</v>
      </c>
    </row>
    <row r="460" spans="1:5" ht="18.399999999999999" customHeight="1">
      <c r="A460" s="1111"/>
      <c r="B460" s="415" t="str">
        <f t="shared" si="5"/>
        <v xml:space="preserve"> Window WDW/WDV/WDA/ QTY</v>
      </c>
      <c r="C460" s="567" t="s">
        <v>1053</v>
      </c>
      <c r="D460" s="568" t="s">
        <v>1053</v>
      </c>
      <c r="E460" s="567" t="s">
        <v>1053</v>
      </c>
    </row>
    <row r="461" spans="1:5" ht="18.399999999999999" customHeight="1">
      <c r="A461" s="1111"/>
      <c r="B461" s="415" t="str">
        <f t="shared" si="5"/>
        <v>R&amp;R/D&amp;R/MSK/CLN/PNT/S++</v>
      </c>
      <c r="C461" s="559"/>
      <c r="D461" s="560"/>
      <c r="E461" s="559"/>
    </row>
    <row r="462" spans="1:5" ht="18.399999999999999" customHeight="1">
      <c r="A462" s="1111"/>
      <c r="B462" s="415" t="str">
        <f t="shared" si="5"/>
        <v>Window treatments Type=_CLN/ R / D</v>
      </c>
      <c r="C462" s="560"/>
      <c r="D462" s="561"/>
      <c r="E462" s="560"/>
    </row>
    <row r="463" spans="1:5" ht="18.399999999999999" customHeight="1">
      <c r="A463" s="1111"/>
      <c r="B463" s="415" t="str">
        <f t="shared" si="5"/>
        <v>Hardware;R&amp;R/D&amp;R/MSK/CLN</v>
      </c>
      <c r="C463" s="559"/>
      <c r="D463" s="560"/>
      <c r="E463" s="559"/>
    </row>
    <row r="464" spans="1:5" ht="18.399999999999999" customHeight="1">
      <c r="A464" s="1112" t="s">
        <v>1013</v>
      </c>
      <c r="B464" s="415" t="str">
        <f t="shared" si="5"/>
        <v>DOORS QTY / STD/Bifold/MIR/BYPASS</v>
      </c>
      <c r="C464" s="562" t="s">
        <v>713</v>
      </c>
      <c r="D464" s="563" t="s">
        <v>713</v>
      </c>
      <c r="E464" s="562" t="s">
        <v>713</v>
      </c>
    </row>
    <row r="465" spans="1:5" ht="18.399999999999999" customHeight="1">
      <c r="A465" s="1112"/>
      <c r="B465" s="415" t="str">
        <f t="shared" si="5"/>
        <v>R&amp;R/D&amp;R/MSK/CLN/S++/PNT</v>
      </c>
      <c r="C465" s="566" t="s">
        <v>1006</v>
      </c>
      <c r="D465" s="565" t="s">
        <v>1006</v>
      </c>
      <c r="E465" s="566" t="s">
        <v>1006</v>
      </c>
    </row>
    <row r="466" spans="1:5" ht="18.399999999999999" customHeight="1">
      <c r="A466" s="1112"/>
      <c r="B466" s="415" t="str">
        <f t="shared" si="5"/>
        <v>CASINGS R&amp;R/D&amp;R/MSK/CLN/S++/PNT</v>
      </c>
      <c r="C466" s="560"/>
      <c r="D466" s="561"/>
      <c r="E466" s="560"/>
    </row>
    <row r="467" spans="1:5" ht="18.399999999999999" customHeight="1">
      <c r="A467" s="1112"/>
      <c r="B467" s="415" t="str">
        <f t="shared" si="5"/>
        <v>HDWE R&amp;R/D&amp;R/MSK/CLN</v>
      </c>
      <c r="C467" s="559"/>
      <c r="D467" s="560"/>
      <c r="E467" s="559"/>
    </row>
    <row r="468" spans="1:5" ht="18.399999999999999" customHeight="1">
      <c r="A468" s="1112"/>
      <c r="B468" s="415" t="str">
        <f t="shared" si="5"/>
        <v>FLOOR FCC/FCW/FCS/FCT</v>
      </c>
      <c r="C468" s="562" t="s">
        <v>713</v>
      </c>
      <c r="D468" s="563" t="s">
        <v>713</v>
      </c>
      <c r="E468" s="562" t="s">
        <v>713</v>
      </c>
    </row>
    <row r="469" spans="1:5" ht="18.399999999999999" customHeight="1">
      <c r="A469" s="1112"/>
      <c r="B469" s="415" t="str">
        <f t="shared" si="5"/>
        <v>R&amp;R / MSK /CLN / SAND</v>
      </c>
      <c r="C469" s="566" t="s">
        <v>1006</v>
      </c>
      <c r="D469" s="565" t="s">
        <v>1006</v>
      </c>
      <c r="E469" s="566" t="s">
        <v>1006</v>
      </c>
    </row>
    <row r="470" spans="1:5" ht="18.399999999999999" customHeight="1">
      <c r="A470" s="1112"/>
      <c r="B470" s="415" t="str">
        <f t="shared" si="5"/>
        <v>BASEBOARD  HT - MULTI   .</v>
      </c>
      <c r="C470" s="560"/>
      <c r="D470" s="561"/>
      <c r="E470" s="560"/>
    </row>
    <row r="471" spans="1:5" ht="18.399999999999999" customHeight="1">
      <c r="A471" s="1112"/>
      <c r="B471" s="415" t="str">
        <f t="shared" si="5"/>
        <v>R&amp;R/D&amp;R/MSK/CLN/S++/PNT</v>
      </c>
      <c r="C471" s="566" t="s">
        <v>1006</v>
      </c>
      <c r="D471" s="565" t="s">
        <v>1006</v>
      </c>
      <c r="E471" s="566" t="s">
        <v>1006</v>
      </c>
    </row>
    <row r="472" spans="1:5" ht="18.399999999999999" customHeight="1">
      <c r="A472" s="1112"/>
      <c r="B472" s="415" t="str">
        <f t="shared" si="5"/>
        <v>QTR RND BASE/R&amp;R/S++/PNT</v>
      </c>
      <c r="C472" s="562" t="s">
        <v>713</v>
      </c>
      <c r="D472" s="562" t="s">
        <v>713</v>
      </c>
      <c r="E472" s="562" t="s">
        <v>713</v>
      </c>
    </row>
    <row r="473" spans="1:5" ht="18.399999999999999" customHeight="1">
      <c r="A473" s="1112"/>
      <c r="B473" s="415" t="str">
        <f t="shared" si="5"/>
        <v>Closet;SHELF/ROD LF= WOOD/WIRE</v>
      </c>
      <c r="C473" s="559"/>
      <c r="D473" s="560"/>
      <c r="E473" s="559"/>
    </row>
    <row r="474" spans="1:5" ht="18.399999999999999" customHeight="1">
      <c r="A474" s="1113" t="s">
        <v>1035</v>
      </c>
      <c r="B474" s="415" t="str">
        <f t="shared" si="5"/>
        <v>R&amp;R/D&amp;R/MSK/CLN/S++/PNT</v>
      </c>
      <c r="C474" s="564" t="s">
        <v>1079</v>
      </c>
      <c r="D474" s="565" t="s">
        <v>1079</v>
      </c>
      <c r="E474" s="564" t="s">
        <v>1079</v>
      </c>
    </row>
    <row r="475" spans="1:5" ht="18.399999999999999" customHeight="1">
      <c r="A475" s="1113"/>
      <c r="B475" s="415" t="str">
        <f t="shared" si="5"/>
        <v>Work Notes:________________________________________________________________________________</v>
      </c>
      <c r="C475" s="565" t="s">
        <v>1006</v>
      </c>
      <c r="D475" s="564" t="s">
        <v>1006</v>
      </c>
      <c r="E475" s="566" t="s">
        <v>1006</v>
      </c>
    </row>
    <row r="476" spans="1:5" ht="18.399999999999999" customHeight="1">
      <c r="A476" s="1113"/>
      <c r="B476" s="415" t="str">
        <f t="shared" si="5"/>
        <v>Interior Work SCOPE(Quick Version)</v>
      </c>
      <c r="C476" s="559"/>
      <c r="D476" s="560"/>
      <c r="E476" s="559"/>
    </row>
    <row r="477" spans="1:5" ht="18.399999999999999" customHeight="1">
      <c r="A477" s="1113"/>
      <c r="B477" s="415" t="str">
        <f t="shared" si="5"/>
        <v>ROOM =</v>
      </c>
      <c r="C477" s="560"/>
      <c r="D477" s="561"/>
      <c r="E477" s="560"/>
    </row>
    <row r="478" spans="1:5" ht="18.399999999999999" customHeight="1">
      <c r="A478" s="1126" t="s">
        <v>1024</v>
      </c>
      <c r="B478" s="415" t="str">
        <f t="shared" si="5"/>
        <v>CEILING FLT/VLT/PK/CTH/Tray/Open</v>
      </c>
      <c r="C478" s="574"/>
      <c r="D478" s="575"/>
      <c r="E478" s="576"/>
    </row>
    <row r="479" spans="1:5" ht="18.399999999999999" customHeight="1">
      <c r="A479" s="1126"/>
      <c r="B479" s="415" t="str">
        <f t="shared" si="5"/>
        <v>DRY / PLA / ACT / PNL / T&amp;G / Other</v>
      </c>
      <c r="C479" s="565" t="s">
        <v>1006</v>
      </c>
      <c r="D479" s="564" t="s">
        <v>1006</v>
      </c>
      <c r="E479" s="565" t="s">
        <v>1006</v>
      </c>
    </row>
    <row r="480" spans="1:5" ht="18.399999999999999" customHeight="1">
      <c r="A480" s="1109" t="s">
        <v>1029</v>
      </c>
      <c r="B480" s="415" t="str">
        <f t="shared" si="5"/>
        <v>Smooth / Texture/ Heavy</v>
      </c>
      <c r="C480" s="566" t="s">
        <v>1006</v>
      </c>
      <c r="D480" s="565" t="s">
        <v>1006</v>
      </c>
      <c r="E480" s="566" t="s">
        <v>1006</v>
      </c>
    </row>
    <row r="481" spans="1:5" ht="18.399999999999999" customHeight="1">
      <c r="A481" s="1109"/>
      <c r="B481" s="415" t="str">
        <f t="shared" si="5"/>
        <v>Repair MIN / Al l / Sf / Other</v>
      </c>
      <c r="C481" s="565" t="s">
        <v>1006</v>
      </c>
      <c r="D481" s="564" t="s">
        <v>1006</v>
      </c>
      <c r="E481" s="565" t="s">
        <v>1006</v>
      </c>
    </row>
    <row r="482" spans="1:5" ht="18.399999999999999" customHeight="1">
      <c r="A482" s="1109"/>
      <c r="B482" s="415" t="str">
        <f t="shared" si="5"/>
        <v>CLN /S++/PNT</v>
      </c>
      <c r="C482" s="560"/>
      <c r="D482" s="561"/>
      <c r="E482" s="560"/>
    </row>
    <row r="483" spans="1:5" ht="18.399999999999999" customHeight="1">
      <c r="A483" s="1109"/>
      <c r="B483" s="415" t="str">
        <f t="shared" si="5"/>
        <v>INS SF= R= / Batt / Loose</v>
      </c>
      <c r="C483" s="565" t="s">
        <v>1006</v>
      </c>
      <c r="D483" s="564" t="s">
        <v>1006</v>
      </c>
      <c r="E483" s="565" t="s">
        <v>1006</v>
      </c>
    </row>
    <row r="484" spans="1:5" ht="18.399999999999999" customHeight="1">
      <c r="A484" s="1110" t="s">
        <v>10</v>
      </c>
      <c r="B484" s="415" t="str">
        <f t="shared" si="5"/>
        <v>MOLDINGS/Casing/Crown_Other</v>
      </c>
      <c r="C484" s="560"/>
      <c r="D484" s="561"/>
      <c r="E484" s="560"/>
    </row>
    <row r="485" spans="1:5" ht="18.399999999999999" customHeight="1">
      <c r="A485" s="1110"/>
      <c r="B485" s="415" t="str">
        <f t="shared" si="5"/>
        <v>R&amp;R/D&amp;R/MSK/CLN/PNT</v>
      </c>
      <c r="C485" s="565" t="s">
        <v>1006</v>
      </c>
      <c r="D485" s="564" t="s">
        <v>1006</v>
      </c>
      <c r="E485" s="565" t="s">
        <v>1006</v>
      </c>
    </row>
    <row r="486" spans="1:5" ht="18.399999999999999" customHeight="1">
      <c r="A486" s="1110"/>
      <c r="B486" s="415" t="str">
        <f t="shared" si="5"/>
        <v>ELE;LIT/Fan/Chndlr//R&amp;R/D&amp;R/MSK</v>
      </c>
      <c r="C486" s="560"/>
      <c r="D486" s="561"/>
      <c r="E486" s="560"/>
    </row>
    <row r="487" spans="1:5" ht="18.399999999999999" customHeight="1">
      <c r="B487" s="415" t="str">
        <f t="shared" si="5"/>
        <v>HVAC/Vent/DuCT/R&amp;R/D&amp;R/MSK</v>
      </c>
    </row>
  </sheetData>
  <mergeCells count="89">
    <mergeCell ref="A68:A71"/>
    <mergeCell ref="A72:A76"/>
    <mergeCell ref="A77:A80"/>
    <mergeCell ref="D1:E1"/>
    <mergeCell ref="A3:A12"/>
    <mergeCell ref="A24:A27"/>
    <mergeCell ref="A28:A31"/>
    <mergeCell ref="A32:A36"/>
    <mergeCell ref="A15:A23"/>
    <mergeCell ref="A37:A40"/>
    <mergeCell ref="D41:E41"/>
    <mergeCell ref="A43:A52"/>
    <mergeCell ref="A55:A63"/>
    <mergeCell ref="A64:A67"/>
    <mergeCell ref="A133:A144"/>
    <mergeCell ref="D81:E81"/>
    <mergeCell ref="A83:A92"/>
    <mergeCell ref="A93:A102"/>
    <mergeCell ref="A103:A106"/>
    <mergeCell ref="A107:A108"/>
    <mergeCell ref="A109:A112"/>
    <mergeCell ref="A113:A115"/>
    <mergeCell ref="D121:E121"/>
    <mergeCell ref="A123:A132"/>
    <mergeCell ref="A184:A187"/>
    <mergeCell ref="A188:A189"/>
    <mergeCell ref="A190:A193"/>
    <mergeCell ref="A194:A196"/>
    <mergeCell ref="D161:E161"/>
    <mergeCell ref="A145:A148"/>
    <mergeCell ref="A149:A150"/>
    <mergeCell ref="A151:A154"/>
    <mergeCell ref="A164:A173"/>
    <mergeCell ref="A174:A183"/>
    <mergeCell ref="D241:E241"/>
    <mergeCell ref="A308:A317"/>
    <mergeCell ref="A318:A327"/>
    <mergeCell ref="D235:E235"/>
    <mergeCell ref="A237:A246"/>
    <mergeCell ref="A247:A256"/>
    <mergeCell ref="A257:A260"/>
    <mergeCell ref="A261:A262"/>
    <mergeCell ref="A263:A266"/>
    <mergeCell ref="D281:E281"/>
    <mergeCell ref="A267:A269"/>
    <mergeCell ref="A273:A282"/>
    <mergeCell ref="A283:A292"/>
    <mergeCell ref="A293:A296"/>
    <mergeCell ref="A297:A298"/>
    <mergeCell ref="A299:A302"/>
    <mergeCell ref="D361:E361"/>
    <mergeCell ref="A408:A411"/>
    <mergeCell ref="A412:A414"/>
    <mergeCell ref="A303:A305"/>
    <mergeCell ref="D321:E321"/>
    <mergeCell ref="A332:A333"/>
    <mergeCell ref="A334:A337"/>
    <mergeCell ref="A338:A340"/>
    <mergeCell ref="A363:A366"/>
    <mergeCell ref="A367:A368"/>
    <mergeCell ref="A369:A372"/>
    <mergeCell ref="A373:A375"/>
    <mergeCell ref="A353:A362"/>
    <mergeCell ref="A381:A391"/>
    <mergeCell ref="A392:A401"/>
    <mergeCell ref="A204:A209"/>
    <mergeCell ref="A484:A486"/>
    <mergeCell ref="A445:A447"/>
    <mergeCell ref="A402:A405"/>
    <mergeCell ref="A406:A407"/>
    <mergeCell ref="A343:A352"/>
    <mergeCell ref="A328:A331"/>
    <mergeCell ref="A210:A219"/>
    <mergeCell ref="A220:A223"/>
    <mergeCell ref="A224:A225"/>
    <mergeCell ref="A226:A229"/>
    <mergeCell ref="A230:A232"/>
    <mergeCell ref="D415:E415"/>
    <mergeCell ref="A425:A434"/>
    <mergeCell ref="A435:A438"/>
    <mergeCell ref="A439:A440"/>
    <mergeCell ref="A480:A483"/>
    <mergeCell ref="A441:A444"/>
    <mergeCell ref="D441:E441"/>
    <mergeCell ref="A453:A463"/>
    <mergeCell ref="A464:A473"/>
    <mergeCell ref="A474:A477"/>
    <mergeCell ref="A478:A479"/>
    <mergeCell ref="A415:A424"/>
  </mergeCells>
  <printOptions horizontalCentered="1" verticalCentered="1"/>
  <pageMargins left="0.28999999999999998" right="0.25" top="0.17" bottom="0.28000000000000003" header="0.14000000000000001" footer="7.0000000000000007E-2"/>
  <pageSetup orientation="landscape" r:id="rId1"/>
  <headerFooter>
    <oddFooter>&amp;L&amp;A&amp;C
&amp;R
Page  #  &amp;P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83C28-3675-4682-91A3-0EFF691C1831}">
  <sheetPr codeName="Sheet9"/>
  <dimension ref="A1:J23"/>
  <sheetViews>
    <sheetView zoomScale="158" zoomScaleNormal="158" workbookViewId="0">
      <selection activeCell="C1" sqref="C1"/>
    </sheetView>
  </sheetViews>
  <sheetFormatPr defaultRowHeight="14.45"/>
  <cols>
    <col min="3" max="3" width="1.7109375" customWidth="1"/>
    <col min="4" max="4" width="24.7109375" customWidth="1"/>
    <col min="9" max="9" width="35.7109375" customWidth="1"/>
  </cols>
  <sheetData>
    <row r="1" spans="1:10" ht="99" customHeight="1">
      <c r="D1" s="795" t="s">
        <v>1080</v>
      </c>
    </row>
    <row r="2" spans="1:10" ht="15.6">
      <c r="D2" s="795" t="s">
        <v>1081</v>
      </c>
    </row>
    <row r="3" spans="1:10" ht="43.9" customHeight="1"/>
    <row r="4" spans="1:10" ht="66" customHeight="1">
      <c r="D4" s="806" t="s">
        <v>1082</v>
      </c>
      <c r="E4" s="806"/>
      <c r="F4" s="806"/>
      <c r="G4" s="806"/>
      <c r="H4" s="806"/>
    </row>
    <row r="5" spans="1:10" ht="66" customHeight="1">
      <c r="D5" s="806"/>
      <c r="E5" s="806"/>
      <c r="F5" s="806"/>
      <c r="G5" s="806"/>
      <c r="H5" s="806"/>
    </row>
    <row r="6" spans="1:10" ht="66" customHeight="1">
      <c r="D6" s="806"/>
      <c r="E6" s="806"/>
      <c r="F6" s="806"/>
      <c r="G6" s="806"/>
      <c r="H6" s="806"/>
    </row>
    <row r="10" spans="1:10" ht="144" customHeight="1">
      <c r="D10" s="791" t="s">
        <v>1083</v>
      </c>
    </row>
    <row r="11" spans="1:10" ht="15">
      <c r="D11" s="790"/>
    </row>
    <row r="12" spans="1:10" ht="200.1" customHeight="1">
      <c r="A12" s="792"/>
      <c r="B12" s="792"/>
      <c r="C12" s="792"/>
      <c r="D12" s="795" t="s">
        <v>1084</v>
      </c>
      <c r="E12" s="792"/>
      <c r="F12" s="792"/>
      <c r="G12" s="792"/>
      <c r="H12" s="792"/>
      <c r="I12" s="792"/>
      <c r="J12" s="792"/>
    </row>
    <row r="13" spans="1:10" ht="44.1" customHeight="1">
      <c r="A13" s="792"/>
      <c r="B13" s="792"/>
      <c r="C13" s="792"/>
      <c r="D13" s="791" t="s">
        <v>1085</v>
      </c>
      <c r="E13" s="791"/>
      <c r="F13" s="791"/>
      <c r="G13" s="791"/>
      <c r="H13" s="791"/>
      <c r="I13" s="791"/>
      <c r="J13" s="792"/>
    </row>
    <row r="14" spans="1:10" ht="188.1" customHeight="1">
      <c r="A14" s="792"/>
      <c r="B14" s="792"/>
      <c r="C14" s="792"/>
      <c r="D14" s="805" t="s">
        <v>1086</v>
      </c>
      <c r="E14" s="805"/>
      <c r="F14" s="805"/>
      <c r="G14" s="805"/>
      <c r="H14" s="805"/>
      <c r="I14" s="805"/>
      <c r="J14" s="792"/>
    </row>
    <row r="15" spans="1:10" ht="188.1" customHeight="1">
      <c r="A15" s="792"/>
      <c r="B15" s="792"/>
      <c r="C15" s="792"/>
      <c r="D15" s="796"/>
      <c r="E15" s="796"/>
      <c r="F15" s="796"/>
      <c r="G15" s="796"/>
      <c r="H15" s="796"/>
      <c r="I15" s="796"/>
      <c r="J15" s="792"/>
    </row>
    <row r="16" spans="1:10" ht="15.6">
      <c r="A16" s="792"/>
      <c r="B16" s="792"/>
      <c r="C16" s="792"/>
      <c r="D16" s="793" t="s">
        <v>1084</v>
      </c>
      <c r="E16" s="792"/>
      <c r="F16" s="792"/>
      <c r="G16" s="792"/>
      <c r="H16" s="792"/>
      <c r="I16" s="792"/>
      <c r="J16" s="792"/>
    </row>
    <row r="17" spans="1:10" ht="15.6">
      <c r="A17" s="792"/>
      <c r="B17" s="792"/>
      <c r="C17" s="792"/>
      <c r="D17" s="791" t="s">
        <v>1087</v>
      </c>
      <c r="E17" s="792"/>
      <c r="F17" s="792"/>
      <c r="G17" s="792"/>
      <c r="H17" s="792"/>
      <c r="I17" s="792"/>
      <c r="J17" s="792"/>
    </row>
    <row r="18" spans="1:10" ht="144" customHeight="1">
      <c r="A18" s="792"/>
      <c r="B18" s="792"/>
      <c r="C18" s="792"/>
      <c r="D18" s="805" t="s">
        <v>1088</v>
      </c>
      <c r="E18" s="805"/>
      <c r="F18" s="805"/>
      <c r="G18" s="805"/>
      <c r="H18" s="805"/>
      <c r="I18" s="805"/>
      <c r="J18" s="792"/>
    </row>
    <row r="19" spans="1:10" ht="15.6">
      <c r="A19" s="792"/>
      <c r="B19" s="792"/>
      <c r="C19" s="792"/>
      <c r="D19" s="793"/>
      <c r="E19" s="792"/>
      <c r="F19" s="792"/>
      <c r="G19" s="792"/>
      <c r="H19" s="792"/>
      <c r="I19" s="792"/>
      <c r="J19" s="792"/>
    </row>
    <row r="20" spans="1:10" ht="188.1" customHeight="1">
      <c r="D20" s="795" t="s">
        <v>1089</v>
      </c>
    </row>
    <row r="21" spans="1:10" ht="15">
      <c r="D21" s="794" t="s">
        <v>1090</v>
      </c>
    </row>
    <row r="22" spans="1:10" ht="144" customHeight="1">
      <c r="D22" s="790"/>
    </row>
    <row r="23" spans="1:10" ht="144" customHeight="1">
      <c r="D23" s="791" t="s">
        <v>539</v>
      </c>
    </row>
  </sheetData>
  <pageMargins left="0.7" right="0.7" top="0.75" bottom="0.75" header="0.3" footer="0.3"/>
  <pageSetup paperSize="285" orientation="portrait" horizontalDpi="203" verticalDpi="20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30732-5214-449D-8F35-3DD2FFE1C389}">
  <sheetPr codeName="Sheet11">
    <tabColor rgb="FFFFFF00"/>
  </sheetPr>
  <dimension ref="A1:BA144"/>
  <sheetViews>
    <sheetView view="pageBreakPreview" topLeftCell="A41" zoomScaleNormal="100" zoomScaleSheetLayoutView="100" workbookViewId="0">
      <selection activeCell="L45" sqref="L45:M45"/>
    </sheetView>
  </sheetViews>
  <sheetFormatPr defaultColWidth="5.28515625" defaultRowHeight="28.15" customHeight="1"/>
  <cols>
    <col min="1" max="1" width="3" style="646" customWidth="1"/>
    <col min="2" max="2" width="11.85546875" style="488" customWidth="1"/>
    <col min="3" max="3" width="7.28515625" style="148" customWidth="1"/>
    <col min="4" max="4" width="8.7109375" style="148" customWidth="1"/>
    <col min="5" max="5" width="6.7109375" style="148" customWidth="1"/>
    <col min="6" max="6" width="6.7109375" customWidth="1"/>
    <col min="7" max="7" width="7.85546875" customWidth="1"/>
    <col min="8" max="8" width="7.7109375" customWidth="1"/>
    <col min="9" max="18" width="6.7109375" customWidth="1"/>
    <col min="19" max="19" width="7.28515625" customWidth="1"/>
    <col min="21" max="21" width="1.85546875" customWidth="1"/>
    <col min="22" max="22" width="21.42578125" customWidth="1"/>
    <col min="23" max="23" width="10.7109375" style="352" customWidth="1"/>
    <col min="24" max="24" width="3.5703125" customWidth="1"/>
    <col min="25" max="25" width="17.42578125" customWidth="1"/>
    <col min="26" max="26" width="10.7109375" customWidth="1"/>
    <col min="27" max="27" width="9.42578125" customWidth="1"/>
    <col min="28" max="28" width="14.28515625" customWidth="1"/>
    <col min="29" max="29" width="11.7109375" customWidth="1"/>
    <col min="30" max="30" width="1.42578125" customWidth="1"/>
    <col min="31" max="31" width="7.7109375" customWidth="1"/>
    <col min="32" max="32" width="6" customWidth="1"/>
    <col min="33" max="33" width="6.7109375" customWidth="1"/>
    <col min="35" max="35" width="6.5703125" customWidth="1"/>
    <col min="36" max="36" width="7.28515625" customWidth="1"/>
    <col min="42" max="42" width="7.7109375" customWidth="1"/>
  </cols>
  <sheetData>
    <row r="1" spans="1:23" ht="22.15" customHeight="1">
      <c r="A1" s="1145" t="s">
        <v>1091</v>
      </c>
      <c r="B1" s="1146"/>
      <c r="C1" s="1146"/>
      <c r="D1" s="992" t="str">
        <f>+'jobinfo(2)'!$C$1</f>
        <v>Hatten, Nedra</v>
      </c>
      <c r="E1" s="992"/>
      <c r="F1" s="992"/>
      <c r="G1" s="818" t="str">
        <f>+'jobinfo(2)'!$C$2</f>
        <v>628 Quilliams Road</v>
      </c>
      <c r="H1" s="818"/>
      <c r="I1" s="818"/>
      <c r="J1" s="1135" t="str">
        <f>'jobinfo(2)'!$C$3</f>
        <v>Cleveland Heights, OH 44121</v>
      </c>
      <c r="K1" s="1135"/>
      <c r="L1" s="1134" t="str">
        <f>'jobinfo(2)'!$M$53</f>
        <v>FLOOR2</v>
      </c>
      <c r="M1" s="1134"/>
      <c r="O1" s="706" t="str">
        <f>'jobinfo(2)'!$C$11</f>
        <v>BATHTUB OVERFLOW</v>
      </c>
      <c r="P1" s="129" t="str">
        <f>'jobinfo(2)'!$C$26</f>
        <v>LIBERTY MUTUAL</v>
      </c>
      <c r="R1" s="977" t="str">
        <f>'jobinfo(2)'!$C$27</f>
        <v>#059633981</v>
      </c>
      <c r="S1" s="977"/>
      <c r="W1" s="759"/>
    </row>
    <row r="2" spans="1:23" s="602" customFormat="1" ht="25.9" customHeight="1">
      <c r="A2" s="980">
        <f>+'jobinfo(2)'!A53</f>
        <v>1</v>
      </c>
      <c r="B2" s="982" t="str">
        <f>+'jobinfo(2)'!M53</f>
        <v>FLOOR2</v>
      </c>
      <c r="C2" s="844" t="str">
        <f>ScopeCHLST!C2</f>
        <v>CLG</v>
      </c>
      <c r="D2" s="846" t="str">
        <f>ScopeCHLST!D2</f>
        <v>LIT/ ELE / SD /ETC</v>
      </c>
      <c r="E2" s="846" t="str">
        <f>ScopeCHLST!E2</f>
        <v>HVC/ CRN / AVG</v>
      </c>
      <c r="F2" s="845" t="str">
        <f>ScopeCHLST!F2</f>
        <v>MISC / INS</v>
      </c>
      <c r="G2" s="844" t="str">
        <f>ScopeCHLST!G2</f>
        <v>WALL</v>
      </c>
      <c r="H2" s="844" t="str">
        <f>ScopeCHLST!H2</f>
        <v>ELE</v>
      </c>
      <c r="I2" s="844" t="str">
        <f>ScopeCHLST!I2</f>
        <v>HVC / INS</v>
      </c>
      <c r="J2" s="844" t="str">
        <f>ScopeCHLST!J2</f>
        <v>MISC / INS</v>
      </c>
      <c r="K2" s="844" t="str">
        <f>ScopeCHLST!K2</f>
        <v>FLR</v>
      </c>
      <c r="L2" s="844" t="str">
        <f>ScopeCHLST!L2</f>
        <v>BB</v>
      </c>
      <c r="M2" s="844" t="str">
        <f>ScopeCHLST!M2</f>
        <v>MISC</v>
      </c>
      <c r="N2" s="844" t="str">
        <f>ScopeCHLST!N2</f>
        <v>DOR</v>
      </c>
      <c r="O2" s="844" t="str">
        <f>ScopeCHLST!O2</f>
        <v>OPEN</v>
      </c>
      <c r="P2" s="844" t="str">
        <f>ScopeCHLST!P2</f>
        <v>MISC</v>
      </c>
      <c r="Q2" s="844" t="str">
        <f>ScopeCHLST!Q2</f>
        <v>WINDOW</v>
      </c>
      <c r="R2" s="844" t="str">
        <f>ScopeCHLST!R2</f>
        <v>WDT</v>
      </c>
      <c r="S2" s="844" t="str">
        <f>ScopeCHLST!S2</f>
        <v>MISC</v>
      </c>
      <c r="T2"/>
      <c r="U2" s="603"/>
      <c r="V2" s="603"/>
      <c r="W2" s="751"/>
    </row>
    <row r="3" spans="1:23" ht="25.5" customHeight="1">
      <c r="A3" s="981"/>
      <c r="B3" s="983"/>
      <c r="C3" s="715"/>
      <c r="D3" s="716"/>
      <c r="E3" s="717"/>
      <c r="F3" s="716"/>
      <c r="G3" s="715"/>
      <c r="H3" s="716"/>
      <c r="I3" s="718"/>
      <c r="J3" s="716"/>
      <c r="K3" s="715"/>
      <c r="L3" s="716"/>
      <c r="M3" s="717"/>
      <c r="N3" s="716"/>
      <c r="O3" s="715"/>
      <c r="P3" s="716"/>
      <c r="Q3" s="718"/>
      <c r="R3" s="716"/>
      <c r="S3" s="718"/>
      <c r="W3" s="750"/>
    </row>
    <row r="4" spans="1:23" ht="25.5" customHeight="1">
      <c r="A4" s="787" t="s">
        <v>15</v>
      </c>
      <c r="C4" s="1136"/>
      <c r="D4" s="1137"/>
      <c r="E4" s="1137"/>
      <c r="F4" s="1137"/>
      <c r="G4" s="1136"/>
      <c r="H4" s="1137"/>
      <c r="I4" s="1137"/>
      <c r="J4" s="1137"/>
      <c r="K4" s="1136"/>
      <c r="L4" s="1137"/>
      <c r="M4" s="1138"/>
      <c r="N4" s="1136"/>
      <c r="O4" s="1137"/>
      <c r="P4" s="1138"/>
      <c r="Q4" s="1136"/>
      <c r="R4" s="1137"/>
      <c r="S4" s="966"/>
      <c r="T4" s="49"/>
      <c r="U4" s="49"/>
      <c r="W4" s="750"/>
    </row>
    <row r="5" spans="1:23" ht="25.5" customHeight="1">
      <c r="A5" s="980">
        <f>+'jobinfo(2)'!A54</f>
        <v>2</v>
      </c>
      <c r="B5" s="982" t="str">
        <f>+'jobinfo(2)'!M54</f>
        <v>RR STAIRS UP TO LVL2</v>
      </c>
      <c r="C5" s="844" t="str">
        <f>C2</f>
        <v>CLG</v>
      </c>
      <c r="D5" s="840" t="str">
        <f t="shared" ref="D5:S5" si="0">D2</f>
        <v>LIT/ ELE / SD /ETC</v>
      </c>
      <c r="E5" s="830" t="str">
        <f t="shared" si="0"/>
        <v>HVC/ CRN / AVG</v>
      </c>
      <c r="F5" s="830" t="str">
        <f t="shared" si="0"/>
        <v>MISC / INS</v>
      </c>
      <c r="G5" s="830" t="str">
        <f t="shared" si="0"/>
        <v>WALL</v>
      </c>
      <c r="H5" s="830" t="str">
        <f t="shared" si="0"/>
        <v>ELE</v>
      </c>
      <c r="I5" s="830" t="str">
        <f t="shared" si="0"/>
        <v>HVC / INS</v>
      </c>
      <c r="J5" s="830" t="str">
        <f t="shared" si="0"/>
        <v>MISC / INS</v>
      </c>
      <c r="K5" s="830" t="str">
        <f t="shared" si="0"/>
        <v>FLR</v>
      </c>
      <c r="L5" s="830" t="str">
        <f t="shared" si="0"/>
        <v>BB</v>
      </c>
      <c r="M5" s="830" t="str">
        <f t="shared" si="0"/>
        <v>MISC</v>
      </c>
      <c r="N5" s="830" t="str">
        <f t="shared" si="0"/>
        <v>DOR</v>
      </c>
      <c r="O5" s="830" t="str">
        <f t="shared" si="0"/>
        <v>OPEN</v>
      </c>
      <c r="P5" s="830" t="str">
        <f t="shared" si="0"/>
        <v>MISC</v>
      </c>
      <c r="Q5" s="830" t="str">
        <f t="shared" si="0"/>
        <v>WINDOW</v>
      </c>
      <c r="R5" s="830" t="str">
        <f t="shared" si="0"/>
        <v>WDT</v>
      </c>
      <c r="S5" s="830" t="str">
        <f t="shared" si="0"/>
        <v>MISC</v>
      </c>
      <c r="T5" s="49"/>
      <c r="U5" s="49"/>
      <c r="W5" s="750"/>
    </row>
    <row r="6" spans="1:23" ht="25.5" customHeight="1">
      <c r="A6" s="981"/>
      <c r="B6" s="983"/>
      <c r="C6" s="715"/>
      <c r="D6" s="716"/>
      <c r="E6" s="717"/>
      <c r="F6" s="716"/>
      <c r="G6" s="715"/>
      <c r="H6" s="716"/>
      <c r="I6" s="718"/>
      <c r="J6" s="716"/>
      <c r="K6" s="715"/>
      <c r="L6" s="716"/>
      <c r="M6" s="717"/>
      <c r="N6" s="716"/>
      <c r="O6" s="715"/>
      <c r="P6" s="716"/>
      <c r="Q6" s="718"/>
      <c r="R6" s="716"/>
      <c r="S6" s="718"/>
      <c r="W6" s="750"/>
    </row>
    <row r="7" spans="1:23" ht="25.5" customHeight="1">
      <c r="A7" s="787" t="s">
        <v>15</v>
      </c>
      <c r="B7" s="784"/>
      <c r="C7" s="1136"/>
      <c r="D7" s="1137"/>
      <c r="E7" s="1137"/>
      <c r="F7" s="1137"/>
      <c r="G7" s="1136"/>
      <c r="H7" s="1137"/>
      <c r="I7" s="1137"/>
      <c r="J7" s="1137"/>
      <c r="K7" s="1136"/>
      <c r="L7" s="1137"/>
      <c r="M7" s="1138"/>
      <c r="N7" s="1136"/>
      <c r="O7" s="1137"/>
      <c r="P7" s="1138"/>
      <c r="Q7" s="1136"/>
      <c r="R7" s="1137"/>
      <c r="S7" s="966"/>
      <c r="W7" s="750"/>
    </row>
    <row r="8" spans="1:23" ht="25.5" customHeight="1">
      <c r="A8" s="980">
        <f>+'jobinfo(2)'!A55</f>
        <v>3</v>
      </c>
      <c r="B8" s="988" t="str">
        <f>+'jobinfo(2)'!M55</f>
        <v>Foyer FRT UP</v>
      </c>
      <c r="C8" s="707" t="s">
        <v>1</v>
      </c>
      <c r="D8" s="707" t="s">
        <v>16</v>
      </c>
      <c r="E8" s="707" t="s">
        <v>17</v>
      </c>
      <c r="F8" s="707" t="s">
        <v>10</v>
      </c>
      <c r="G8" s="711" t="str">
        <f>$G$5</f>
        <v>WALL</v>
      </c>
      <c r="H8" s="708" t="s">
        <v>6</v>
      </c>
      <c r="I8" s="709" t="s">
        <v>17</v>
      </c>
      <c r="J8" s="710" t="s">
        <v>10</v>
      </c>
      <c r="K8" s="711" t="s">
        <v>8</v>
      </c>
      <c r="L8" s="708" t="s">
        <v>9</v>
      </c>
      <c r="M8" s="710" t="s">
        <v>10</v>
      </c>
      <c r="N8" s="712" t="s">
        <v>11</v>
      </c>
      <c r="O8" s="713" t="s">
        <v>12</v>
      </c>
      <c r="P8" s="710" t="s">
        <v>10</v>
      </c>
      <c r="Q8" s="714" t="s">
        <v>18</v>
      </c>
      <c r="R8" s="708" t="s">
        <v>14</v>
      </c>
      <c r="S8" s="711" t="s">
        <v>10</v>
      </c>
      <c r="W8" s="750"/>
    </row>
    <row r="9" spans="1:23" ht="25.5" customHeight="1">
      <c r="A9" s="981"/>
      <c r="B9" s="989"/>
      <c r="C9" s="715"/>
      <c r="D9" s="716"/>
      <c r="E9" s="717"/>
      <c r="F9" s="716"/>
      <c r="G9" s="715"/>
      <c r="H9" s="716"/>
      <c r="I9" s="718"/>
      <c r="J9" s="716"/>
      <c r="K9" s="715"/>
      <c r="L9" s="716"/>
      <c r="M9" s="717"/>
      <c r="N9" s="716"/>
      <c r="O9" s="715"/>
      <c r="P9" s="716"/>
      <c r="Q9" s="718"/>
      <c r="R9" s="716"/>
      <c r="S9" s="718"/>
      <c r="W9" s="750"/>
    </row>
    <row r="10" spans="1:23" ht="25.5" customHeight="1">
      <c r="A10" s="787" t="s">
        <v>15</v>
      </c>
      <c r="B10" s="784"/>
      <c r="C10" s="1136"/>
      <c r="D10" s="1137"/>
      <c r="E10" s="1137"/>
      <c r="F10" s="1137"/>
      <c r="G10" s="1136"/>
      <c r="H10" s="1137"/>
      <c r="I10" s="1137"/>
      <c r="J10" s="1137"/>
      <c r="K10" s="1136"/>
      <c r="L10" s="1137"/>
      <c r="M10" s="1138"/>
      <c r="N10" s="1136"/>
      <c r="O10" s="1137"/>
      <c r="P10" s="1138"/>
      <c r="Q10" s="1136"/>
      <c r="R10" s="1137"/>
      <c r="S10" s="966"/>
      <c r="T10" s="49"/>
      <c r="U10" s="49"/>
      <c r="W10" s="750"/>
    </row>
    <row r="11" spans="1:23" ht="25.5" customHeight="1">
      <c r="A11" s="980">
        <f>+'jobinfo(2)'!A56</f>
        <v>4</v>
      </c>
      <c r="B11" s="988" t="str">
        <f>+'jobinfo(2)'!M56</f>
        <v>Hallway UP FRT</v>
      </c>
      <c r="C11" s="707" t="s">
        <v>1</v>
      </c>
      <c r="D11" s="707" t="s">
        <v>16</v>
      </c>
      <c r="E11" s="707" t="s">
        <v>17</v>
      </c>
      <c r="F11" s="707" t="s">
        <v>10</v>
      </c>
      <c r="G11" s="711" t="str">
        <f>$G$5</f>
        <v>WALL</v>
      </c>
      <c r="H11" s="708" t="s">
        <v>6</v>
      </c>
      <c r="I11" s="709" t="s">
        <v>17</v>
      </c>
      <c r="J11" s="710" t="s">
        <v>10</v>
      </c>
      <c r="K11" s="711" t="s">
        <v>8</v>
      </c>
      <c r="L11" s="708" t="s">
        <v>9</v>
      </c>
      <c r="M11" s="710" t="s">
        <v>10</v>
      </c>
      <c r="N11" s="712" t="s">
        <v>11</v>
      </c>
      <c r="O11" s="713" t="s">
        <v>12</v>
      </c>
      <c r="P11" s="710" t="s">
        <v>10</v>
      </c>
      <c r="Q11" s="714" t="s">
        <v>18</v>
      </c>
      <c r="R11" s="708" t="s">
        <v>14</v>
      </c>
      <c r="S11" s="711" t="s">
        <v>10</v>
      </c>
      <c r="T11" s="49"/>
      <c r="U11" s="49"/>
      <c r="W11" s="750"/>
    </row>
    <row r="12" spans="1:23" ht="25.5" customHeight="1">
      <c r="A12" s="981"/>
      <c r="B12" s="989"/>
      <c r="C12" s="715"/>
      <c r="D12" s="716"/>
      <c r="E12" s="717"/>
      <c r="F12" s="716"/>
      <c r="G12" s="715"/>
      <c r="H12" s="716"/>
      <c r="I12" s="718"/>
      <c r="J12" s="716"/>
      <c r="K12" s="715"/>
      <c r="L12" s="716"/>
      <c r="M12" s="717"/>
      <c r="N12" s="716"/>
      <c r="O12" s="715"/>
      <c r="P12" s="716"/>
      <c r="Q12" s="718"/>
      <c r="R12" s="716"/>
      <c r="S12" s="718"/>
      <c r="W12" s="750"/>
    </row>
    <row r="13" spans="1:23" ht="25.5" customHeight="1">
      <c r="A13" s="786" t="s">
        <v>15</v>
      </c>
      <c r="B13" s="785"/>
      <c r="C13" s="1136"/>
      <c r="D13" s="1137"/>
      <c r="E13" s="1137"/>
      <c r="F13" s="1137"/>
      <c r="G13" s="1136"/>
      <c r="H13" s="1137"/>
      <c r="I13" s="1137"/>
      <c r="J13" s="1137"/>
      <c r="K13" s="1136"/>
      <c r="L13" s="1137"/>
      <c r="M13" s="1138"/>
      <c r="N13" s="1136"/>
      <c r="O13" s="1137"/>
      <c r="P13" s="1138"/>
      <c r="Q13" s="1136"/>
      <c r="R13" s="1137"/>
      <c r="S13" s="966"/>
      <c r="W13" s="750"/>
    </row>
    <row r="14" spans="1:23" ht="25.5" customHeight="1">
      <c r="A14" s="980">
        <f>+'jobinfo(2)'!A57</f>
        <v>5</v>
      </c>
      <c r="B14" s="988" t="str">
        <f>+'jobinfo(2)'!M57</f>
        <v>Living Room UP</v>
      </c>
      <c r="C14" s="707" t="s">
        <v>1</v>
      </c>
      <c r="D14" s="707" t="s">
        <v>16</v>
      </c>
      <c r="E14" s="707" t="s">
        <v>17</v>
      </c>
      <c r="F14" s="707" t="s">
        <v>10</v>
      </c>
      <c r="G14" s="711" t="str">
        <f>$G$5</f>
        <v>WALL</v>
      </c>
      <c r="H14" s="708" t="s">
        <v>6</v>
      </c>
      <c r="I14" s="709" t="s">
        <v>17</v>
      </c>
      <c r="J14" s="710" t="s">
        <v>10</v>
      </c>
      <c r="K14" s="711" t="s">
        <v>8</v>
      </c>
      <c r="L14" s="708" t="s">
        <v>9</v>
      </c>
      <c r="M14" s="710" t="s">
        <v>10</v>
      </c>
      <c r="N14" s="712" t="s">
        <v>11</v>
      </c>
      <c r="O14" s="713" t="s">
        <v>12</v>
      </c>
      <c r="P14" s="710" t="s">
        <v>10</v>
      </c>
      <c r="Q14" s="714" t="s">
        <v>18</v>
      </c>
      <c r="R14" s="708" t="s">
        <v>14</v>
      </c>
      <c r="S14" s="711" t="s">
        <v>10</v>
      </c>
      <c r="W14" s="750"/>
    </row>
    <row r="15" spans="1:23" ht="25.5" customHeight="1">
      <c r="A15" s="981"/>
      <c r="B15" s="989"/>
      <c r="C15" s="715"/>
      <c r="D15" s="716"/>
      <c r="E15" s="717"/>
      <c r="F15" s="716"/>
      <c r="G15" s="715"/>
      <c r="H15" s="716"/>
      <c r="I15" s="718"/>
      <c r="J15" s="716"/>
      <c r="K15" s="715"/>
      <c r="L15" s="716"/>
      <c r="M15" s="717"/>
      <c r="N15" s="716"/>
      <c r="O15" s="715"/>
      <c r="P15" s="716"/>
      <c r="Q15" s="718"/>
      <c r="R15" s="716"/>
      <c r="S15" s="718"/>
      <c r="W15" s="750"/>
    </row>
    <row r="16" spans="1:23" ht="25.5" customHeight="1">
      <c r="A16" s="786" t="s">
        <v>15</v>
      </c>
      <c r="B16" s="785"/>
      <c r="C16" s="1136"/>
      <c r="D16" s="1137"/>
      <c r="E16" s="1137"/>
      <c r="F16" s="1137"/>
      <c r="G16" s="1136"/>
      <c r="H16" s="1137"/>
      <c r="I16" s="1137"/>
      <c r="J16" s="1137"/>
      <c r="K16" s="1136"/>
      <c r="L16" s="1137"/>
      <c r="M16" s="1138"/>
      <c r="N16" s="1136"/>
      <c r="O16" s="1137"/>
      <c r="P16" s="1138"/>
      <c r="Q16" s="1136"/>
      <c r="R16" s="1137"/>
      <c r="S16" s="966"/>
      <c r="W16" s="750"/>
    </row>
    <row r="17" spans="1:23" ht="25.5" customHeight="1">
      <c r="A17" s="980">
        <f>+'jobinfo(2)'!A58</f>
        <v>6</v>
      </c>
      <c r="B17" s="1144" t="str">
        <f>+'jobinfo(2)'!M58</f>
        <v>FIREPLACE UP</v>
      </c>
      <c r="C17" s="707" t="s">
        <v>1</v>
      </c>
      <c r="D17" s="707" t="s">
        <v>16</v>
      </c>
      <c r="E17" s="707" t="s">
        <v>17</v>
      </c>
      <c r="F17" s="707" t="s">
        <v>10</v>
      </c>
      <c r="G17" s="711" t="str">
        <f>$G$5</f>
        <v>WALL</v>
      </c>
      <c r="H17" s="708" t="s">
        <v>6</v>
      </c>
      <c r="I17" s="709" t="s">
        <v>17</v>
      </c>
      <c r="J17" s="710" t="s">
        <v>10</v>
      </c>
      <c r="K17" s="711" t="s">
        <v>8</v>
      </c>
      <c r="L17" s="708" t="s">
        <v>9</v>
      </c>
      <c r="M17" s="710" t="s">
        <v>10</v>
      </c>
      <c r="N17" s="712" t="s">
        <v>11</v>
      </c>
      <c r="O17" s="713" t="s">
        <v>12</v>
      </c>
      <c r="P17" s="710" t="s">
        <v>10</v>
      </c>
      <c r="Q17" s="714" t="s">
        <v>18</v>
      </c>
      <c r="R17" s="708" t="s">
        <v>14</v>
      </c>
      <c r="S17" s="711" t="s">
        <v>10</v>
      </c>
      <c r="W17" s="750"/>
    </row>
    <row r="18" spans="1:23" ht="25.5" customHeight="1">
      <c r="A18" s="981"/>
      <c r="B18" s="989"/>
      <c r="C18" s="719"/>
      <c r="D18" s="720"/>
      <c r="E18" s="721"/>
      <c r="F18" s="720"/>
      <c r="G18" s="722"/>
      <c r="H18" s="720"/>
      <c r="I18" s="723"/>
      <c r="J18" s="720"/>
      <c r="K18" s="722"/>
      <c r="L18" s="720"/>
      <c r="M18" s="721"/>
      <c r="N18" s="720"/>
      <c r="O18" s="722"/>
      <c r="P18" s="720"/>
      <c r="Q18" s="723"/>
      <c r="R18" s="720"/>
      <c r="S18" s="723"/>
      <c r="W18" s="750"/>
    </row>
    <row r="19" spans="1:23" ht="25.5" customHeight="1">
      <c r="A19" s="786" t="s">
        <v>15</v>
      </c>
      <c r="B19" s="785"/>
      <c r="C19" s="1139"/>
      <c r="D19" s="1140"/>
      <c r="E19" s="1140"/>
      <c r="F19" s="1141"/>
      <c r="G19" s="1139"/>
      <c r="H19" s="1140"/>
      <c r="I19" s="1140"/>
      <c r="J19" s="1141"/>
      <c r="K19" s="1139"/>
      <c r="L19" s="1140"/>
      <c r="M19" s="1141"/>
      <c r="N19" s="1139"/>
      <c r="O19" s="1140"/>
      <c r="P19" s="1141"/>
      <c r="Q19" s="1139"/>
      <c r="R19" s="1140"/>
      <c r="S19" s="969"/>
      <c r="W19" s="750"/>
    </row>
    <row r="20" spans="1:23" ht="25.5" customHeight="1">
      <c r="A20" s="980">
        <f>+'jobinfo(2)'!A59</f>
        <v>7</v>
      </c>
      <c r="B20" s="1144" t="str">
        <f>+'jobinfo(2)'!M59</f>
        <v>Dining Room UP</v>
      </c>
      <c r="C20" s="707" t="s">
        <v>1</v>
      </c>
      <c r="D20" s="707" t="s">
        <v>16</v>
      </c>
      <c r="E20" s="707" t="s">
        <v>17</v>
      </c>
      <c r="F20" s="707" t="s">
        <v>10</v>
      </c>
      <c r="G20" s="711" t="str">
        <f>$G$5</f>
        <v>WALL</v>
      </c>
      <c r="H20" s="708" t="s">
        <v>6</v>
      </c>
      <c r="I20" s="709" t="s">
        <v>17</v>
      </c>
      <c r="J20" s="710" t="s">
        <v>10</v>
      </c>
      <c r="K20" s="711" t="s">
        <v>8</v>
      </c>
      <c r="L20" s="708" t="s">
        <v>9</v>
      </c>
      <c r="M20" s="710" t="s">
        <v>10</v>
      </c>
      <c r="N20" s="712" t="s">
        <v>11</v>
      </c>
      <c r="O20" s="713" t="s">
        <v>12</v>
      </c>
      <c r="P20" s="710" t="s">
        <v>10</v>
      </c>
      <c r="Q20" s="714" t="s">
        <v>18</v>
      </c>
      <c r="R20" s="708" t="s">
        <v>14</v>
      </c>
      <c r="S20" s="711" t="s">
        <v>10</v>
      </c>
      <c r="W20" s="750"/>
    </row>
    <row r="21" spans="1:23" ht="25.5" customHeight="1">
      <c r="A21" s="981"/>
      <c r="B21" s="989"/>
      <c r="C21" s="715"/>
      <c r="D21" s="716"/>
      <c r="E21" s="717"/>
      <c r="F21" s="716"/>
      <c r="G21" s="715"/>
      <c r="H21" s="716"/>
      <c r="I21" s="718"/>
      <c r="J21" s="716"/>
      <c r="K21" s="715"/>
      <c r="L21" s="716"/>
      <c r="M21" s="717"/>
      <c r="N21" s="716"/>
      <c r="O21" s="715"/>
      <c r="P21" s="716"/>
      <c r="Q21" s="718"/>
      <c r="R21" s="716"/>
      <c r="S21" s="718"/>
      <c r="W21" s="750"/>
    </row>
    <row r="22" spans="1:23" ht="25.5" customHeight="1">
      <c r="A22" s="787" t="s">
        <v>15</v>
      </c>
      <c r="B22" s="784"/>
      <c r="C22" s="1136"/>
      <c r="D22" s="1137"/>
      <c r="E22" s="1137"/>
      <c r="F22" s="1137"/>
      <c r="G22" s="1136"/>
      <c r="H22" s="1137"/>
      <c r="I22" s="1137"/>
      <c r="J22" s="1137"/>
      <c r="K22" s="1136"/>
      <c r="L22" s="1137"/>
      <c r="M22" s="1138"/>
      <c r="N22" s="1136"/>
      <c r="O22" s="1137"/>
      <c r="P22" s="1138"/>
      <c r="Q22" s="1136"/>
      <c r="R22" s="1137"/>
      <c r="S22" s="966"/>
      <c r="W22" s="750"/>
    </row>
    <row r="23" spans="1:23" ht="25.5" customHeight="1">
      <c r="A23" s="1148" t="str">
        <f>A1</f>
        <v>Inspect Work SCOPE</v>
      </c>
      <c r="B23" s="1149"/>
      <c r="C23" s="1149"/>
      <c r="D23" s="992" t="str">
        <f>+'jobinfo(2)'!$C$1</f>
        <v>Hatten, Nedra</v>
      </c>
      <c r="E23" s="992"/>
      <c r="F23" s="992"/>
      <c r="G23" s="818" t="str">
        <f>+'jobinfo(2)'!$C$2</f>
        <v>628 Quilliams Road</v>
      </c>
      <c r="H23" s="818"/>
      <c r="I23" s="818"/>
      <c r="J23" s="1135" t="str">
        <f>'jobinfo(2)'!$C$3</f>
        <v>Cleveland Heights, OH 44121</v>
      </c>
      <c r="K23" s="1135"/>
      <c r="L23" s="1134" t="str">
        <f>'jobinfo(2)'!$M$53</f>
        <v>FLOOR2</v>
      </c>
      <c r="M23" s="1134"/>
      <c r="O23" s="706" t="str">
        <f>'jobinfo(2)'!$C$11</f>
        <v>BATHTUB OVERFLOW</v>
      </c>
      <c r="P23" s="129" t="str">
        <f>'jobinfo(2)'!$C$26</f>
        <v>LIBERTY MUTUAL</v>
      </c>
      <c r="R23" s="977" t="str">
        <f>'jobinfo(2)'!$C$27</f>
        <v>#059633981</v>
      </c>
      <c r="S23" s="977"/>
      <c r="W23" s="750"/>
    </row>
    <row r="24" spans="1:23" ht="25.5" customHeight="1">
      <c r="A24" s="980">
        <f>+'jobinfo(2)'!A60</f>
        <v>8</v>
      </c>
      <c r="B24" s="1144" t="str">
        <f>+'jobinfo(2)'!M60</f>
        <v>Hallway UP @ BR &amp; BATH</v>
      </c>
      <c r="C24" s="707" t="s">
        <v>1</v>
      </c>
      <c r="D24" s="707" t="s">
        <v>16</v>
      </c>
      <c r="E24" s="707" t="s">
        <v>17</v>
      </c>
      <c r="F24" s="707" t="s">
        <v>10</v>
      </c>
      <c r="G24" s="711" t="str">
        <f>$G$5</f>
        <v>WALL</v>
      </c>
      <c r="H24" s="708" t="s">
        <v>6</v>
      </c>
      <c r="I24" s="709" t="s">
        <v>17</v>
      </c>
      <c r="J24" s="710" t="s">
        <v>10</v>
      </c>
      <c r="K24" s="711" t="s">
        <v>8</v>
      </c>
      <c r="L24" s="708" t="s">
        <v>9</v>
      </c>
      <c r="M24" s="710" t="s">
        <v>10</v>
      </c>
      <c r="N24" s="712" t="s">
        <v>11</v>
      </c>
      <c r="O24" s="713" t="s">
        <v>12</v>
      </c>
      <c r="P24" s="710" t="s">
        <v>10</v>
      </c>
      <c r="Q24" s="714" t="s">
        <v>18</v>
      </c>
      <c r="R24" s="708" t="s">
        <v>14</v>
      </c>
      <c r="S24" s="711" t="s">
        <v>10</v>
      </c>
      <c r="W24" s="750"/>
    </row>
    <row r="25" spans="1:23" ht="25.5" customHeight="1">
      <c r="A25" s="981"/>
      <c r="B25" s="989"/>
      <c r="C25" s="715"/>
      <c r="D25" s="716"/>
      <c r="E25" s="717"/>
      <c r="F25" s="716"/>
      <c r="G25" s="715"/>
      <c r="H25" s="716"/>
      <c r="I25" s="718"/>
      <c r="J25" s="716"/>
      <c r="K25" s="715"/>
      <c r="L25" s="716"/>
      <c r="M25" s="717"/>
      <c r="N25" s="716"/>
      <c r="O25" s="715"/>
      <c r="P25" s="716"/>
      <c r="Q25" s="718"/>
      <c r="R25" s="716"/>
      <c r="S25" s="718"/>
      <c r="W25" s="750"/>
    </row>
    <row r="26" spans="1:23" ht="25.5" customHeight="1">
      <c r="A26" s="786" t="s">
        <v>15</v>
      </c>
      <c r="B26" s="785"/>
      <c r="C26" s="1136"/>
      <c r="D26" s="1137"/>
      <c r="E26" s="1137"/>
      <c r="F26" s="1137"/>
      <c r="G26" s="1136"/>
      <c r="H26" s="1137"/>
      <c r="I26" s="1137"/>
      <c r="J26" s="1137"/>
      <c r="K26" s="1136"/>
      <c r="L26" s="1137"/>
      <c r="M26" s="1138"/>
      <c r="N26" s="1136"/>
      <c r="O26" s="1137"/>
      <c r="P26" s="1138"/>
      <c r="Q26" s="1136"/>
      <c r="R26" s="1137"/>
      <c r="S26" s="966"/>
      <c r="W26" s="750"/>
    </row>
    <row r="27" spans="1:23" ht="25.5" customHeight="1">
      <c r="A27" s="980">
        <f>+'jobinfo(2)'!A61</f>
        <v>9</v>
      </c>
      <c r="B27" s="1144" t="str">
        <f>+'jobinfo(2)'!M61</f>
        <v>PBR UP</v>
      </c>
      <c r="C27" s="707" t="s">
        <v>1</v>
      </c>
      <c r="D27" s="707" t="s">
        <v>16</v>
      </c>
      <c r="E27" s="707" t="s">
        <v>17</v>
      </c>
      <c r="F27" s="707" t="s">
        <v>10</v>
      </c>
      <c r="G27" s="711" t="str">
        <f>$G$5</f>
        <v>WALL</v>
      </c>
      <c r="H27" s="708" t="s">
        <v>6</v>
      </c>
      <c r="I27" s="709" t="s">
        <v>17</v>
      </c>
      <c r="J27" s="710" t="s">
        <v>10</v>
      </c>
      <c r="K27" s="711" t="s">
        <v>8</v>
      </c>
      <c r="L27" s="708" t="s">
        <v>9</v>
      </c>
      <c r="M27" s="710" t="s">
        <v>10</v>
      </c>
      <c r="N27" s="712" t="s">
        <v>11</v>
      </c>
      <c r="O27" s="713" t="s">
        <v>12</v>
      </c>
      <c r="P27" s="710" t="s">
        <v>10</v>
      </c>
      <c r="Q27" s="714" t="s">
        <v>18</v>
      </c>
      <c r="R27" s="708" t="s">
        <v>14</v>
      </c>
      <c r="S27" s="711" t="s">
        <v>10</v>
      </c>
      <c r="W27" s="750"/>
    </row>
    <row r="28" spans="1:23" ht="25.5" customHeight="1">
      <c r="A28" s="981"/>
      <c r="B28" s="989"/>
      <c r="C28" s="715"/>
      <c r="D28" s="716"/>
      <c r="E28" s="717"/>
      <c r="F28" s="716"/>
      <c r="G28" s="715"/>
      <c r="H28" s="716"/>
      <c r="I28" s="718"/>
      <c r="J28" s="716"/>
      <c r="K28" s="715"/>
      <c r="L28" s="716"/>
      <c r="M28" s="717"/>
      <c r="N28" s="716"/>
      <c r="O28" s="715"/>
      <c r="P28" s="716"/>
      <c r="Q28" s="718"/>
      <c r="R28" s="716"/>
      <c r="S28" s="718"/>
      <c r="W28" s="750"/>
    </row>
    <row r="29" spans="1:23" ht="25.5" customHeight="1">
      <c r="A29" s="786" t="s">
        <v>15</v>
      </c>
      <c r="B29" s="785"/>
      <c r="C29" s="1136"/>
      <c r="D29" s="1137"/>
      <c r="E29" s="1137"/>
      <c r="F29" s="1137"/>
      <c r="G29" s="1136"/>
      <c r="H29" s="1137"/>
      <c r="I29" s="1137"/>
      <c r="J29" s="1137"/>
      <c r="K29" s="1136"/>
      <c r="L29" s="1137"/>
      <c r="M29" s="1138"/>
      <c r="N29" s="1136"/>
      <c r="O29" s="1137"/>
      <c r="P29" s="1138"/>
      <c r="Q29" s="1136"/>
      <c r="R29" s="1137"/>
      <c r="S29" s="966"/>
      <c r="W29" s="750"/>
    </row>
    <row r="30" spans="1:23" ht="25.5" customHeight="1">
      <c r="A30" s="980">
        <f>+'jobinfo(2)'!A62</f>
        <v>10</v>
      </c>
      <c r="B30" s="1144" t="str">
        <f>+'jobinfo(2)'!M62</f>
        <v>PBR CLOSET UP</v>
      </c>
      <c r="C30" s="707" t="s">
        <v>1</v>
      </c>
      <c r="D30" s="707" t="s">
        <v>16</v>
      </c>
      <c r="E30" s="707" t="s">
        <v>17</v>
      </c>
      <c r="F30" s="707" t="s">
        <v>10</v>
      </c>
      <c r="G30" s="711" t="str">
        <f>$G$5</f>
        <v>WALL</v>
      </c>
      <c r="H30" s="708" t="s">
        <v>6</v>
      </c>
      <c r="I30" s="709" t="s">
        <v>17</v>
      </c>
      <c r="J30" s="710" t="s">
        <v>10</v>
      </c>
      <c r="K30" s="711" t="s">
        <v>8</v>
      </c>
      <c r="L30" s="708" t="s">
        <v>9</v>
      </c>
      <c r="M30" s="710" t="s">
        <v>10</v>
      </c>
      <c r="N30" s="712" t="s">
        <v>11</v>
      </c>
      <c r="O30" s="713" t="s">
        <v>12</v>
      </c>
      <c r="P30" s="710" t="s">
        <v>10</v>
      </c>
      <c r="Q30" s="714" t="s">
        <v>18</v>
      </c>
      <c r="R30" s="708" t="s">
        <v>14</v>
      </c>
      <c r="S30" s="711" t="s">
        <v>10</v>
      </c>
      <c r="W30" s="750"/>
    </row>
    <row r="31" spans="1:23" ht="25.5" customHeight="1">
      <c r="A31" s="981"/>
      <c r="B31" s="989"/>
      <c r="C31" s="719" t="s">
        <v>19</v>
      </c>
      <c r="D31" s="720"/>
      <c r="E31" s="721"/>
      <c r="F31" s="720"/>
      <c r="G31" s="722"/>
      <c r="H31" s="720"/>
      <c r="I31" s="723"/>
      <c r="J31" s="720"/>
      <c r="K31" s="722"/>
      <c r="L31" s="720"/>
      <c r="M31" s="721"/>
      <c r="N31" s="720"/>
      <c r="O31" s="722"/>
      <c r="P31" s="720"/>
      <c r="Q31" s="723"/>
      <c r="R31" s="720"/>
      <c r="S31" s="723"/>
      <c r="W31" s="750"/>
    </row>
    <row r="32" spans="1:23" ht="25.5" customHeight="1">
      <c r="A32" s="1150" t="s">
        <v>15</v>
      </c>
      <c r="B32" s="1151"/>
      <c r="C32" s="1136"/>
      <c r="D32" s="1137"/>
      <c r="E32" s="1137"/>
      <c r="F32" s="1137"/>
      <c r="G32" s="1136"/>
      <c r="H32" s="1137"/>
      <c r="I32" s="1137"/>
      <c r="J32" s="1137"/>
      <c r="K32" s="1136"/>
      <c r="L32" s="1137"/>
      <c r="M32" s="1138"/>
      <c r="N32" s="1136"/>
      <c r="O32" s="1137"/>
      <c r="P32" s="1138"/>
      <c r="Q32" s="1136"/>
      <c r="R32" s="1137"/>
      <c r="S32" s="966"/>
      <c r="W32" s="750"/>
    </row>
    <row r="33" spans="1:23" ht="25.5" customHeight="1">
      <c r="A33" s="980">
        <f>+'jobinfo(2)'!A63</f>
        <v>11</v>
      </c>
      <c r="B33" s="1147" t="str">
        <f>+'jobinfo(2)'!M63</f>
        <v>Bath UP</v>
      </c>
      <c r="C33" s="707" t="s">
        <v>1</v>
      </c>
      <c r="D33" s="707" t="s">
        <v>16</v>
      </c>
      <c r="E33" s="707" t="s">
        <v>17</v>
      </c>
      <c r="F33" s="707" t="s">
        <v>10</v>
      </c>
      <c r="G33" s="711" t="str">
        <f>$G$5</f>
        <v>WALL</v>
      </c>
      <c r="H33" s="708" t="s">
        <v>6</v>
      </c>
      <c r="I33" s="709" t="s">
        <v>17</v>
      </c>
      <c r="J33" s="710" t="s">
        <v>10</v>
      </c>
      <c r="K33" s="711" t="s">
        <v>8</v>
      </c>
      <c r="L33" s="708" t="s">
        <v>9</v>
      </c>
      <c r="M33" s="710" t="s">
        <v>10</v>
      </c>
      <c r="N33" s="712" t="s">
        <v>11</v>
      </c>
      <c r="O33" s="713" t="s">
        <v>12</v>
      </c>
      <c r="P33" s="710" t="s">
        <v>10</v>
      </c>
      <c r="Q33" s="714" t="s">
        <v>18</v>
      </c>
      <c r="R33" s="708" t="s">
        <v>14</v>
      </c>
      <c r="S33" s="711" t="s">
        <v>10</v>
      </c>
      <c r="W33" s="750"/>
    </row>
    <row r="34" spans="1:23" ht="25.5" customHeight="1">
      <c r="A34" s="981"/>
      <c r="B34" s="983"/>
      <c r="C34" s="715"/>
      <c r="D34" s="716"/>
      <c r="E34" s="717"/>
      <c r="F34" s="716"/>
      <c r="G34" s="715"/>
      <c r="H34" s="716"/>
      <c r="I34" s="718"/>
      <c r="J34" s="716"/>
      <c r="K34" s="715"/>
      <c r="L34" s="716"/>
      <c r="M34" s="717"/>
      <c r="N34" s="716"/>
      <c r="O34" s="715"/>
      <c r="P34" s="716"/>
      <c r="Q34" s="718"/>
      <c r="R34" s="716"/>
      <c r="S34" s="718"/>
      <c r="W34" s="750"/>
    </row>
    <row r="35" spans="1:23" ht="25.5" customHeight="1">
      <c r="A35" s="787" t="s">
        <v>15</v>
      </c>
      <c r="C35" s="964"/>
      <c r="D35" s="965"/>
      <c r="E35" s="965"/>
      <c r="F35" s="966"/>
      <c r="G35" s="1136"/>
      <c r="H35" s="1137"/>
      <c r="I35" s="1137"/>
      <c r="J35" s="1138"/>
      <c r="K35" s="1136"/>
      <c r="L35" s="1137"/>
      <c r="M35" s="1138"/>
      <c r="N35" s="1136"/>
      <c r="O35" s="1137"/>
      <c r="P35" s="1138"/>
      <c r="Q35" s="1136"/>
      <c r="R35" s="1137"/>
      <c r="S35" s="966"/>
      <c r="W35" s="750"/>
    </row>
    <row r="36" spans="1:23" ht="25.5" customHeight="1">
      <c r="A36" s="980">
        <f>+'jobinfo(2)'!A64</f>
        <v>12</v>
      </c>
      <c r="B36" s="1147" t="str">
        <f>+'jobinfo(2)'!M64</f>
        <v>Bedroom 2 UP</v>
      </c>
      <c r="C36" s="707" t="s">
        <v>1</v>
      </c>
      <c r="D36" s="707" t="s">
        <v>16</v>
      </c>
      <c r="E36" s="707" t="s">
        <v>17</v>
      </c>
      <c r="F36" s="707" t="s">
        <v>10</v>
      </c>
      <c r="G36" s="711" t="str">
        <f>G33</f>
        <v>WALL</v>
      </c>
      <c r="H36" s="708" t="s">
        <v>6</v>
      </c>
      <c r="I36" s="709" t="s">
        <v>17</v>
      </c>
      <c r="J36" s="710" t="s">
        <v>10</v>
      </c>
      <c r="K36" s="711" t="s">
        <v>8</v>
      </c>
      <c r="L36" s="708" t="s">
        <v>9</v>
      </c>
      <c r="M36" s="710" t="s">
        <v>10</v>
      </c>
      <c r="N36" s="712" t="s">
        <v>11</v>
      </c>
      <c r="O36" s="713" t="s">
        <v>12</v>
      </c>
      <c r="P36" s="710" t="s">
        <v>10</v>
      </c>
      <c r="Q36" s="714" t="s">
        <v>18</v>
      </c>
      <c r="R36" s="708" t="s">
        <v>14</v>
      </c>
      <c r="S36" s="711" t="s">
        <v>10</v>
      </c>
      <c r="W36" s="750"/>
    </row>
    <row r="37" spans="1:23" ht="25.5" customHeight="1">
      <c r="A37" s="981"/>
      <c r="B37" s="983"/>
      <c r="C37" s="719"/>
      <c r="D37" s="720"/>
      <c r="E37" s="721"/>
      <c r="F37" s="720"/>
      <c r="G37" s="715"/>
      <c r="H37" s="716"/>
      <c r="I37" s="718"/>
      <c r="J37" s="716"/>
      <c r="K37" s="722"/>
      <c r="L37" s="720"/>
      <c r="M37" s="721"/>
      <c r="N37" s="720"/>
      <c r="O37" s="722"/>
      <c r="P37" s="720"/>
      <c r="Q37" s="723"/>
      <c r="R37" s="720"/>
      <c r="S37" s="723"/>
      <c r="W37" s="750"/>
    </row>
    <row r="38" spans="1:23" ht="25.5" customHeight="1">
      <c r="A38" s="787" t="s">
        <v>15</v>
      </c>
      <c r="B38" s="784"/>
      <c r="C38" s="967"/>
      <c r="D38" s="968"/>
      <c r="E38" s="968"/>
      <c r="F38" s="969"/>
      <c r="G38" s="1136"/>
      <c r="H38" s="1137"/>
      <c r="I38" s="1137"/>
      <c r="J38" s="1137"/>
      <c r="K38" s="1139"/>
      <c r="L38" s="1140"/>
      <c r="M38" s="1141"/>
      <c r="N38" s="1139"/>
      <c r="O38" s="1140"/>
      <c r="P38" s="1141"/>
      <c r="Q38" s="1139"/>
      <c r="R38" s="1140"/>
      <c r="S38" s="969"/>
      <c r="W38" s="750"/>
    </row>
    <row r="39" spans="1:23" ht="25.5" customHeight="1">
      <c r="A39" s="980">
        <f>+'jobinfo(2)'!A65</f>
        <v>13</v>
      </c>
      <c r="B39" s="1147" t="str">
        <f>+'jobinfo(2)'!M65</f>
        <v>Bedroom 2 Closet UP</v>
      </c>
      <c r="C39" s="707" t="s">
        <v>1</v>
      </c>
      <c r="D39" s="707" t="s">
        <v>16</v>
      </c>
      <c r="E39" s="707" t="s">
        <v>17</v>
      </c>
      <c r="F39" s="707" t="s">
        <v>10</v>
      </c>
      <c r="G39" s="711" t="str">
        <f>$G$5</f>
        <v>WALL</v>
      </c>
      <c r="H39" s="708" t="s">
        <v>6</v>
      </c>
      <c r="I39" s="709" t="s">
        <v>17</v>
      </c>
      <c r="J39" s="710" t="s">
        <v>10</v>
      </c>
      <c r="K39" s="711" t="s">
        <v>8</v>
      </c>
      <c r="L39" s="708" t="s">
        <v>9</v>
      </c>
      <c r="M39" s="710" t="s">
        <v>10</v>
      </c>
      <c r="N39" s="712" t="s">
        <v>11</v>
      </c>
      <c r="O39" s="713" t="s">
        <v>12</v>
      </c>
      <c r="P39" s="710" t="s">
        <v>10</v>
      </c>
      <c r="Q39" s="714" t="s">
        <v>18</v>
      </c>
      <c r="R39" s="708" t="s">
        <v>14</v>
      </c>
      <c r="S39" s="711" t="s">
        <v>10</v>
      </c>
      <c r="W39" s="750"/>
    </row>
    <row r="40" spans="1:23" ht="25.5" customHeight="1">
      <c r="A40" s="981"/>
      <c r="B40" s="983"/>
      <c r="C40" s="715"/>
      <c r="D40" s="716"/>
      <c r="E40" s="717"/>
      <c r="F40" s="716"/>
      <c r="G40" s="715"/>
      <c r="H40" s="716"/>
      <c r="I40" s="718"/>
      <c r="J40" s="716"/>
      <c r="K40" s="715"/>
      <c r="L40" s="716"/>
      <c r="M40" s="717"/>
      <c r="N40" s="716"/>
      <c r="O40" s="715"/>
      <c r="P40" s="716"/>
      <c r="Q40" s="718"/>
      <c r="R40" s="716"/>
      <c r="S40" s="718"/>
      <c r="W40" s="750"/>
    </row>
    <row r="41" spans="1:23" ht="25.5" customHeight="1">
      <c r="A41" s="787" t="s">
        <v>15</v>
      </c>
      <c r="B41" s="784"/>
      <c r="C41" s="964"/>
      <c r="D41" s="965"/>
      <c r="E41" s="965"/>
      <c r="F41" s="965"/>
      <c r="G41" s="1136"/>
      <c r="H41" s="1137"/>
      <c r="I41" s="1137"/>
      <c r="J41" s="1137"/>
      <c r="K41" s="1136"/>
      <c r="L41" s="1137"/>
      <c r="M41" s="1138"/>
      <c r="N41" s="1136"/>
      <c r="O41" s="1137"/>
      <c r="P41" s="1138"/>
      <c r="Q41" s="1136"/>
      <c r="R41" s="1137"/>
      <c r="S41" s="966"/>
      <c r="W41" s="750"/>
    </row>
    <row r="42" spans="1:23" ht="25.5" customHeight="1">
      <c r="A42" s="980">
        <f>+'jobinfo(2)'!A66</f>
        <v>14</v>
      </c>
      <c r="B42" s="1147" t="str">
        <f>+'jobinfo(2)'!M66</f>
        <v>Kitchen UP</v>
      </c>
      <c r="C42" s="707" t="s">
        <v>1</v>
      </c>
      <c r="D42" s="707" t="s">
        <v>16</v>
      </c>
      <c r="E42" s="707" t="s">
        <v>17</v>
      </c>
      <c r="F42" s="707" t="s">
        <v>10</v>
      </c>
      <c r="G42" s="711" t="str">
        <f>$G$5</f>
        <v>WALL</v>
      </c>
      <c r="H42" s="708" t="s">
        <v>6</v>
      </c>
      <c r="I42" s="709" t="s">
        <v>17</v>
      </c>
      <c r="J42" s="710" t="s">
        <v>10</v>
      </c>
      <c r="K42" s="711" t="s">
        <v>8</v>
      </c>
      <c r="L42" s="708" t="s">
        <v>9</v>
      </c>
      <c r="M42" s="710" t="s">
        <v>10</v>
      </c>
      <c r="N42" s="712" t="s">
        <v>11</v>
      </c>
      <c r="O42" s="713" t="s">
        <v>12</v>
      </c>
      <c r="P42" s="710" t="s">
        <v>10</v>
      </c>
      <c r="Q42" s="714" t="s">
        <v>18</v>
      </c>
      <c r="R42" s="708" t="s">
        <v>14</v>
      </c>
      <c r="S42" s="711" t="s">
        <v>10</v>
      </c>
      <c r="W42" s="750"/>
    </row>
    <row r="43" spans="1:23" ht="25.5" customHeight="1">
      <c r="A43" s="981"/>
      <c r="B43" s="983"/>
      <c r="C43" s="715"/>
      <c r="D43" s="716"/>
      <c r="E43" s="717"/>
      <c r="F43" s="716"/>
      <c r="G43" s="715"/>
      <c r="H43" s="716"/>
      <c r="I43" s="718"/>
      <c r="J43" s="716"/>
      <c r="K43" s="715"/>
      <c r="L43" s="716"/>
      <c r="M43" s="717"/>
      <c r="N43" s="716"/>
      <c r="O43" s="715"/>
      <c r="P43" s="716"/>
      <c r="Q43" s="718"/>
      <c r="R43" s="716"/>
      <c r="S43" s="718"/>
      <c r="W43" s="750"/>
    </row>
    <row r="44" spans="1:23" ht="25.5" customHeight="1">
      <c r="A44" s="786" t="s">
        <v>15</v>
      </c>
      <c r="B44" s="785"/>
      <c r="C44" s="964"/>
      <c r="D44" s="965"/>
      <c r="E44" s="965"/>
      <c r="F44" s="965"/>
      <c r="G44" s="1136"/>
      <c r="H44" s="1137"/>
      <c r="I44" s="1137"/>
      <c r="J44" s="1137"/>
      <c r="K44" s="1136"/>
      <c r="L44" s="1137"/>
      <c r="M44" s="1138"/>
      <c r="N44" s="1136"/>
      <c r="O44" s="1137"/>
      <c r="P44" s="1138"/>
      <c r="Q44" s="1136"/>
      <c r="R44" s="1137"/>
      <c r="S44" s="966"/>
      <c r="W44" s="750"/>
    </row>
    <row r="45" spans="1:23" ht="25.5" customHeight="1">
      <c r="A45" s="1145" t="s">
        <v>1091</v>
      </c>
      <c r="B45" s="1146"/>
      <c r="C45" s="1146"/>
      <c r="D45" s="992" t="str">
        <f>+'jobinfo(2)'!$C$1</f>
        <v>Hatten, Nedra</v>
      </c>
      <c r="E45" s="992"/>
      <c r="F45" s="992"/>
      <c r="G45" s="818" t="str">
        <f>+'jobinfo(2)'!$C$2</f>
        <v>628 Quilliams Road</v>
      </c>
      <c r="H45" s="818"/>
      <c r="I45" s="818"/>
      <c r="J45" s="1135" t="str">
        <f>'jobinfo(2)'!$C$3</f>
        <v>Cleveland Heights, OH 44121</v>
      </c>
      <c r="K45" s="1135"/>
      <c r="L45" s="1134" t="str">
        <f>'jobinfo(2)'!$M$53</f>
        <v>FLOOR2</v>
      </c>
      <c r="M45" s="1134"/>
      <c r="O45" s="706" t="str">
        <f>'jobinfo(2)'!$C$11</f>
        <v>BATHTUB OVERFLOW</v>
      </c>
      <c r="P45" s="129" t="str">
        <f>'jobinfo(2)'!$C$26</f>
        <v>LIBERTY MUTUAL</v>
      </c>
      <c r="R45" s="977" t="str">
        <f>'jobinfo(2)'!$C$27</f>
        <v>#059633981</v>
      </c>
      <c r="S45" s="977"/>
      <c r="W45" s="750"/>
    </row>
    <row r="46" spans="1:23" ht="25.5" customHeight="1">
      <c r="A46" s="980">
        <f>+'jobinfo(2)'!A67</f>
        <v>15</v>
      </c>
      <c r="B46" s="1144" t="str">
        <f>+'jobinfo(2)'!M67</f>
        <v>Pantry UP</v>
      </c>
      <c r="C46" s="707" t="s">
        <v>1</v>
      </c>
      <c r="D46" s="708" t="s">
        <v>16</v>
      </c>
      <c r="E46" s="709" t="s">
        <v>17</v>
      </c>
      <c r="F46" s="710" t="s">
        <v>10</v>
      </c>
      <c r="G46" s="711" t="str">
        <f>$G$5</f>
        <v>WALL</v>
      </c>
      <c r="H46" s="708" t="s">
        <v>6</v>
      </c>
      <c r="I46" s="709" t="s">
        <v>17</v>
      </c>
      <c r="J46" s="710" t="s">
        <v>10</v>
      </c>
      <c r="K46" s="711" t="s">
        <v>8</v>
      </c>
      <c r="L46" s="708" t="s">
        <v>9</v>
      </c>
      <c r="M46" s="710" t="s">
        <v>10</v>
      </c>
      <c r="N46" s="712" t="s">
        <v>11</v>
      </c>
      <c r="O46" s="713" t="s">
        <v>12</v>
      </c>
      <c r="P46" s="710" t="s">
        <v>10</v>
      </c>
      <c r="Q46" s="714" t="s">
        <v>18</v>
      </c>
      <c r="R46" s="708" t="s">
        <v>14</v>
      </c>
      <c r="S46" s="711" t="s">
        <v>10</v>
      </c>
      <c r="W46" s="750"/>
    </row>
    <row r="47" spans="1:23" ht="25.5" customHeight="1">
      <c r="A47" s="981"/>
      <c r="B47" s="989"/>
      <c r="C47" s="715"/>
      <c r="D47" s="716"/>
      <c r="E47" s="717"/>
      <c r="F47" s="716"/>
      <c r="G47" s="715"/>
      <c r="H47" s="716"/>
      <c r="I47" s="718"/>
      <c r="J47" s="716"/>
      <c r="K47" s="715"/>
      <c r="L47" s="716"/>
      <c r="M47" s="717"/>
      <c r="N47" s="716"/>
      <c r="O47" s="715"/>
      <c r="P47" s="716"/>
      <c r="Q47" s="718"/>
      <c r="R47" s="716"/>
      <c r="S47" s="718"/>
      <c r="W47" s="750"/>
    </row>
    <row r="48" spans="1:23" ht="25.5" customHeight="1">
      <c r="A48" s="786" t="s">
        <v>15</v>
      </c>
      <c r="B48" s="785"/>
      <c r="C48" s="964"/>
      <c r="D48" s="965"/>
      <c r="E48" s="965"/>
      <c r="F48" s="965"/>
      <c r="G48" s="1136"/>
      <c r="H48" s="1137"/>
      <c r="I48" s="1137"/>
      <c r="J48" s="1137"/>
      <c r="K48" s="1136"/>
      <c r="L48" s="1137"/>
      <c r="M48" s="1138"/>
      <c r="N48" s="1136"/>
      <c r="O48" s="1137"/>
      <c r="P48" s="1138"/>
      <c r="Q48" s="1136"/>
      <c r="R48" s="1137"/>
      <c r="S48" s="966"/>
      <c r="W48" s="750"/>
    </row>
    <row r="49" spans="1:24" ht="25.5" customHeight="1">
      <c r="A49" s="980">
        <f>+'jobinfo(2)'!A68</f>
        <v>16</v>
      </c>
      <c r="B49" s="1144" t="str">
        <f>+'jobinfo(2)'!M68</f>
        <v>Hallway RR FLOOR2</v>
      </c>
      <c r="C49" s="707" t="s">
        <v>1</v>
      </c>
      <c r="D49" s="708" t="s">
        <v>16</v>
      </c>
      <c r="E49" s="709" t="s">
        <v>17</v>
      </c>
      <c r="F49" s="710" t="s">
        <v>10</v>
      </c>
      <c r="G49" s="711" t="str">
        <f>$G$5</f>
        <v>WALL</v>
      </c>
      <c r="H49" s="708" t="s">
        <v>6</v>
      </c>
      <c r="I49" s="709" t="s">
        <v>17</v>
      </c>
      <c r="J49" s="710" t="s">
        <v>10</v>
      </c>
      <c r="K49" s="711" t="s">
        <v>8</v>
      </c>
      <c r="L49" s="708" t="s">
        <v>9</v>
      </c>
      <c r="M49" s="710" t="s">
        <v>10</v>
      </c>
      <c r="N49" s="712" t="s">
        <v>11</v>
      </c>
      <c r="O49" s="713" t="s">
        <v>12</v>
      </c>
      <c r="P49" s="710" t="s">
        <v>10</v>
      </c>
      <c r="Q49" s="714" t="s">
        <v>18</v>
      </c>
      <c r="R49" s="708" t="s">
        <v>14</v>
      </c>
      <c r="S49" s="711" t="s">
        <v>10</v>
      </c>
      <c r="W49" s="750"/>
    </row>
    <row r="50" spans="1:24" ht="25.5" customHeight="1">
      <c r="A50" s="981"/>
      <c r="B50" s="989"/>
      <c r="C50" s="715"/>
      <c r="D50" s="716"/>
      <c r="E50" s="717"/>
      <c r="F50" s="716"/>
      <c r="G50" s="722"/>
      <c r="H50" s="720"/>
      <c r="I50" s="723"/>
      <c r="J50" s="720"/>
      <c r="K50" s="715"/>
      <c r="L50" s="716"/>
      <c r="M50" s="717"/>
      <c r="N50" s="716"/>
      <c r="O50" s="715"/>
      <c r="P50" s="716"/>
      <c r="Q50" s="718"/>
      <c r="R50" s="716"/>
      <c r="S50" s="718"/>
      <c r="W50" s="750"/>
    </row>
    <row r="51" spans="1:24" ht="25.5" customHeight="1">
      <c r="A51" s="786" t="s">
        <v>15</v>
      </c>
      <c r="B51" s="785"/>
      <c r="C51" s="964"/>
      <c r="D51" s="965"/>
      <c r="E51" s="965"/>
      <c r="F51" s="965"/>
      <c r="G51" s="1139"/>
      <c r="H51" s="1140"/>
      <c r="I51" s="1140"/>
      <c r="J51" s="1141"/>
      <c r="K51" s="1136"/>
      <c r="L51" s="1137"/>
      <c r="M51" s="1138"/>
      <c r="N51" s="1136"/>
      <c r="O51" s="1137"/>
      <c r="P51" s="1138"/>
      <c r="Q51" s="1136"/>
      <c r="R51" s="1137"/>
      <c r="S51" s="966"/>
      <c r="W51" s="750"/>
    </row>
    <row r="52" spans="1:24" ht="25.5" customHeight="1">
      <c r="A52" s="980">
        <f>+'jobinfo(2)'!A69</f>
        <v>17</v>
      </c>
      <c r="B52" s="1144" t="str">
        <f>+'jobinfo(2)'!M69</f>
        <v>PANTRY2 UP</v>
      </c>
      <c r="C52" s="707" t="s">
        <v>1</v>
      </c>
      <c r="D52" s="708" t="s">
        <v>16</v>
      </c>
      <c r="E52" s="709" t="s">
        <v>17</v>
      </c>
      <c r="F52" s="710" t="s">
        <v>10</v>
      </c>
      <c r="G52" s="711" t="str">
        <f>$G$5</f>
        <v>WALL</v>
      </c>
      <c r="H52" s="708" t="s">
        <v>6</v>
      </c>
      <c r="I52" s="709" t="s">
        <v>17</v>
      </c>
      <c r="J52" s="710" t="s">
        <v>10</v>
      </c>
      <c r="K52" s="711" t="s">
        <v>8</v>
      </c>
      <c r="L52" s="708" t="s">
        <v>9</v>
      </c>
      <c r="M52" s="710" t="s">
        <v>10</v>
      </c>
      <c r="N52" s="712" t="s">
        <v>11</v>
      </c>
      <c r="O52" s="713" t="s">
        <v>12</v>
      </c>
      <c r="P52" s="710" t="s">
        <v>10</v>
      </c>
      <c r="Q52" s="714" t="s">
        <v>18</v>
      </c>
      <c r="R52" s="708" t="s">
        <v>14</v>
      </c>
      <c r="S52" s="711" t="s">
        <v>10</v>
      </c>
      <c r="W52" s="750"/>
    </row>
    <row r="53" spans="1:24" ht="25.5" customHeight="1">
      <c r="A53" s="981"/>
      <c r="B53" s="989"/>
      <c r="C53" s="715"/>
      <c r="D53" s="716"/>
      <c r="E53" s="717"/>
      <c r="F53" s="716"/>
      <c r="G53" s="715"/>
      <c r="H53" s="716"/>
      <c r="I53" s="718"/>
      <c r="J53" s="716"/>
      <c r="K53" s="715"/>
      <c r="L53" s="716"/>
      <c r="M53" s="717"/>
      <c r="N53" s="716"/>
      <c r="O53" s="715"/>
      <c r="P53" s="716"/>
      <c r="Q53" s="718"/>
      <c r="R53" s="716"/>
      <c r="S53" s="718"/>
      <c r="W53" s="750"/>
    </row>
    <row r="54" spans="1:24" ht="25.5" customHeight="1">
      <c r="A54" s="787" t="s">
        <v>15</v>
      </c>
      <c r="B54" s="784"/>
      <c r="C54" s="964"/>
      <c r="D54" s="965"/>
      <c r="E54" s="965"/>
      <c r="F54" s="965"/>
      <c r="G54" s="1136"/>
      <c r="H54" s="1137"/>
      <c r="I54" s="1137"/>
      <c r="J54" s="1137"/>
      <c r="K54" s="1136"/>
      <c r="L54" s="1137"/>
      <c r="M54" s="1138"/>
      <c r="N54" s="1136"/>
      <c r="O54" s="1137"/>
      <c r="P54" s="1138"/>
      <c r="Q54" s="1136"/>
      <c r="R54" s="1137"/>
      <c r="S54" s="966"/>
      <c r="W54" s="750"/>
    </row>
    <row r="55" spans="1:24" ht="25.5" customHeight="1">
      <c r="A55" s="980">
        <f>+'jobinfo(2)'!A70</f>
        <v>18</v>
      </c>
      <c r="B55" s="1144">
        <f>+'jobinfo(2)'!M70</f>
        <v>0</v>
      </c>
      <c r="C55" s="707" t="s">
        <v>1</v>
      </c>
      <c r="D55" s="708" t="s">
        <v>16</v>
      </c>
      <c r="E55" s="709" t="s">
        <v>17</v>
      </c>
      <c r="F55" s="710" t="s">
        <v>10</v>
      </c>
      <c r="G55" s="711" t="str">
        <f>$G$5</f>
        <v>WALL</v>
      </c>
      <c r="H55" s="708" t="s">
        <v>6</v>
      </c>
      <c r="I55" s="709" t="s">
        <v>17</v>
      </c>
      <c r="J55" s="710" t="s">
        <v>10</v>
      </c>
      <c r="K55" s="711" t="s">
        <v>8</v>
      </c>
      <c r="L55" s="708" t="s">
        <v>9</v>
      </c>
      <c r="M55" s="710" t="s">
        <v>10</v>
      </c>
      <c r="N55" s="712" t="s">
        <v>11</v>
      </c>
      <c r="O55" s="713" t="s">
        <v>12</v>
      </c>
      <c r="P55" s="710" t="s">
        <v>10</v>
      </c>
      <c r="Q55" s="714" t="s">
        <v>18</v>
      </c>
      <c r="R55" s="708" t="s">
        <v>14</v>
      </c>
      <c r="S55" s="711" t="s">
        <v>10</v>
      </c>
      <c r="W55" s="750"/>
    </row>
    <row r="56" spans="1:24" ht="25.5" customHeight="1">
      <c r="A56" s="981"/>
      <c r="B56" s="989"/>
      <c r="C56" s="719"/>
      <c r="D56" s="720"/>
      <c r="E56" s="721"/>
      <c r="F56" s="720"/>
      <c r="G56" s="715"/>
      <c r="H56" s="716"/>
      <c r="I56" s="718"/>
      <c r="J56" s="716"/>
      <c r="K56" s="722"/>
      <c r="L56" s="720"/>
      <c r="M56" s="721"/>
      <c r="N56" s="720"/>
      <c r="O56" s="722"/>
      <c r="P56" s="720"/>
      <c r="Q56" s="723"/>
      <c r="R56" s="720"/>
      <c r="S56" s="723"/>
      <c r="W56" s="750"/>
    </row>
    <row r="57" spans="1:24" ht="25.5" customHeight="1">
      <c r="A57" s="786" t="s">
        <v>15</v>
      </c>
      <c r="B57" s="785"/>
      <c r="C57" s="967"/>
      <c r="D57" s="968"/>
      <c r="E57" s="968"/>
      <c r="F57" s="969"/>
      <c r="G57" s="1136"/>
      <c r="H57" s="1137"/>
      <c r="I57" s="1137"/>
      <c r="J57" s="1137"/>
      <c r="K57" s="1139"/>
      <c r="L57" s="1140"/>
      <c r="M57" s="1141"/>
      <c r="N57" s="1139"/>
      <c r="O57" s="1140"/>
      <c r="P57" s="1141"/>
      <c r="Q57" s="1139"/>
      <c r="R57" s="1140"/>
      <c r="S57" s="969"/>
      <c r="W57" s="750"/>
    </row>
    <row r="58" spans="1:24" ht="25.5" customHeight="1">
      <c r="A58" s="980">
        <f>+'jobinfo(2)'!A71</f>
        <v>19</v>
      </c>
      <c r="B58" s="1144">
        <f>+'jobinfo(2)'!M71</f>
        <v>71</v>
      </c>
      <c r="C58" s="707" t="s">
        <v>1</v>
      </c>
      <c r="D58" s="708" t="s">
        <v>16</v>
      </c>
      <c r="E58" s="709" t="s">
        <v>17</v>
      </c>
      <c r="F58" s="710" t="s">
        <v>10</v>
      </c>
      <c r="G58" s="711" t="str">
        <f>$G$5</f>
        <v>WALL</v>
      </c>
      <c r="H58" s="708" t="s">
        <v>6</v>
      </c>
      <c r="I58" s="709" t="s">
        <v>17</v>
      </c>
      <c r="J58" s="710" t="s">
        <v>10</v>
      </c>
      <c r="K58" s="711" t="s">
        <v>8</v>
      </c>
      <c r="L58" s="708" t="s">
        <v>9</v>
      </c>
      <c r="M58" s="710" t="s">
        <v>10</v>
      </c>
      <c r="N58" s="712" t="s">
        <v>11</v>
      </c>
      <c r="O58" s="713" t="s">
        <v>12</v>
      </c>
      <c r="P58" s="710" t="s">
        <v>10</v>
      </c>
      <c r="Q58" s="714" t="s">
        <v>18</v>
      </c>
      <c r="R58" s="708" t="s">
        <v>14</v>
      </c>
      <c r="S58" s="711" t="s">
        <v>10</v>
      </c>
      <c r="W58" s="750"/>
    </row>
    <row r="59" spans="1:24" ht="25.5" customHeight="1">
      <c r="A59" s="981"/>
      <c r="B59" s="989"/>
      <c r="C59" s="715"/>
      <c r="D59" s="716"/>
      <c r="E59" s="717"/>
      <c r="F59" s="716"/>
      <c r="G59" s="715"/>
      <c r="H59" s="716"/>
      <c r="I59" s="718"/>
      <c r="J59" s="716"/>
      <c r="K59" s="715"/>
      <c r="L59" s="716"/>
      <c r="M59" s="717"/>
      <c r="N59" s="716"/>
      <c r="O59" s="715"/>
      <c r="P59" s="716"/>
      <c r="Q59" s="718"/>
      <c r="R59" s="716"/>
      <c r="S59" s="718"/>
      <c r="T59" s="49"/>
      <c r="U59" s="49"/>
      <c r="V59" s="49"/>
      <c r="W59" s="752"/>
      <c r="X59" s="49"/>
    </row>
    <row r="60" spans="1:24" ht="25.5" customHeight="1">
      <c r="A60" s="786" t="s">
        <v>15</v>
      </c>
      <c r="B60" s="785"/>
      <c r="C60" s="964"/>
      <c r="D60" s="965"/>
      <c r="E60" s="965"/>
      <c r="F60" s="965"/>
      <c r="G60" s="1136"/>
      <c r="H60" s="1137"/>
      <c r="I60" s="1137"/>
      <c r="J60" s="1137"/>
      <c r="K60" s="1136"/>
      <c r="L60" s="1137"/>
      <c r="M60" s="1138"/>
      <c r="N60" s="1136"/>
      <c r="O60" s="1137"/>
      <c r="P60" s="1138"/>
      <c r="Q60" s="1136"/>
      <c r="R60" s="1137"/>
      <c r="S60" s="966"/>
      <c r="W60" s="750"/>
    </row>
    <row r="61" spans="1:24" ht="25.5" customHeight="1">
      <c r="A61" s="980">
        <f>+'jobinfo(2)'!A72</f>
        <v>20</v>
      </c>
      <c r="B61" s="1144">
        <f>+'jobinfo(2)'!M72</f>
        <v>0</v>
      </c>
      <c r="C61" s="707" t="s">
        <v>1</v>
      </c>
      <c r="D61" s="708" t="s">
        <v>16</v>
      </c>
      <c r="E61" s="709" t="s">
        <v>17</v>
      </c>
      <c r="F61" s="710" t="s">
        <v>10</v>
      </c>
      <c r="G61" s="711" t="str">
        <f>$G$5</f>
        <v>WALL</v>
      </c>
      <c r="H61" s="708" t="s">
        <v>6</v>
      </c>
      <c r="I61" s="709" t="s">
        <v>17</v>
      </c>
      <c r="J61" s="710" t="s">
        <v>10</v>
      </c>
      <c r="K61" s="711" t="s">
        <v>8</v>
      </c>
      <c r="L61" s="708" t="s">
        <v>9</v>
      </c>
      <c r="M61" s="710" t="s">
        <v>10</v>
      </c>
      <c r="N61" s="712" t="s">
        <v>11</v>
      </c>
      <c r="O61" s="713" t="s">
        <v>12</v>
      </c>
      <c r="P61" s="710" t="s">
        <v>10</v>
      </c>
      <c r="Q61" s="714" t="s">
        <v>18</v>
      </c>
      <c r="R61" s="708" t="s">
        <v>14</v>
      </c>
      <c r="S61" s="711" t="s">
        <v>10</v>
      </c>
      <c r="W61" s="750"/>
    </row>
    <row r="62" spans="1:24" ht="25.5" customHeight="1">
      <c r="A62" s="981"/>
      <c r="B62" s="989"/>
      <c r="C62" s="715"/>
      <c r="D62" s="716"/>
      <c r="E62" s="717"/>
      <c r="F62" s="716"/>
      <c r="G62" s="722"/>
      <c r="H62" s="720"/>
      <c r="I62" s="723"/>
      <c r="J62" s="720"/>
      <c r="K62" s="715"/>
      <c r="L62" s="716"/>
      <c r="M62" s="717"/>
      <c r="N62" s="716"/>
      <c r="O62" s="715"/>
      <c r="P62" s="716"/>
      <c r="Q62" s="718"/>
      <c r="R62" s="716"/>
      <c r="S62" s="718"/>
      <c r="W62" s="750"/>
    </row>
    <row r="63" spans="1:24" ht="25.5" customHeight="1">
      <c r="A63" s="786" t="s">
        <v>15</v>
      </c>
      <c r="B63" s="785"/>
      <c r="C63" s="964"/>
      <c r="D63" s="965"/>
      <c r="E63" s="965"/>
      <c r="F63" s="965"/>
      <c r="G63" s="1136"/>
      <c r="H63" s="1137"/>
      <c r="I63" s="1137"/>
      <c r="J63" s="1137"/>
      <c r="K63" s="1136"/>
      <c r="L63" s="1137"/>
      <c r="M63" s="1138"/>
      <c r="N63" s="1136"/>
      <c r="O63" s="1137"/>
      <c r="P63" s="1138"/>
      <c r="Q63" s="1136"/>
      <c r="R63" s="1137"/>
      <c r="S63" s="966"/>
      <c r="W63" s="750"/>
    </row>
    <row r="64" spans="1:24" ht="25.5" customHeight="1">
      <c r="A64" s="980">
        <f>+'jobinfo(2)'!A73</f>
        <v>21</v>
      </c>
      <c r="B64" s="1144">
        <f>+'jobinfo(2)'!M73</f>
        <v>0</v>
      </c>
      <c r="C64" s="664" t="s">
        <v>1</v>
      </c>
      <c r="D64" s="643" t="s">
        <v>16</v>
      </c>
      <c r="E64" s="665" t="s">
        <v>17</v>
      </c>
      <c r="F64" s="666" t="s">
        <v>10</v>
      </c>
      <c r="G64" s="667" t="s">
        <v>20</v>
      </c>
      <c r="H64" s="643" t="s">
        <v>6</v>
      </c>
      <c r="I64" s="665" t="s">
        <v>17</v>
      </c>
      <c r="J64" s="666" t="s">
        <v>10</v>
      </c>
      <c r="K64" s="667" t="s">
        <v>8</v>
      </c>
      <c r="L64" s="643" t="s">
        <v>9</v>
      </c>
      <c r="M64" s="666" t="s">
        <v>10</v>
      </c>
      <c r="N64" s="668" t="s">
        <v>11</v>
      </c>
      <c r="O64" s="613" t="s">
        <v>12</v>
      </c>
      <c r="P64" s="666" t="s">
        <v>10</v>
      </c>
      <c r="Q64" s="669" t="s">
        <v>18</v>
      </c>
      <c r="R64" s="643" t="s">
        <v>14</v>
      </c>
      <c r="S64" s="667" t="s">
        <v>10</v>
      </c>
      <c r="W64" s="750"/>
    </row>
    <row r="65" spans="1:53" ht="25.5" customHeight="1">
      <c r="A65" s="981"/>
      <c r="B65" s="989"/>
      <c r="C65" s="149"/>
      <c r="D65" s="150"/>
      <c r="E65" s="467"/>
      <c r="F65" s="150"/>
      <c r="G65" s="149"/>
      <c r="H65" s="150"/>
      <c r="I65" s="599"/>
      <c r="J65" s="150"/>
      <c r="K65" s="149"/>
      <c r="L65" s="150"/>
      <c r="M65" s="467"/>
      <c r="N65" s="150"/>
      <c r="O65" s="149"/>
      <c r="P65" s="150"/>
      <c r="Q65" s="599"/>
      <c r="R65" s="150"/>
      <c r="S65" s="599"/>
      <c r="T65" s="49"/>
      <c r="U65" s="49"/>
      <c r="V65" s="49"/>
      <c r="W65" s="752"/>
      <c r="X65" s="49"/>
    </row>
    <row r="66" spans="1:53" ht="25.5" customHeight="1">
      <c r="A66" s="786" t="s">
        <v>15</v>
      </c>
      <c r="B66" s="785"/>
      <c r="C66" s="964"/>
      <c r="D66" s="965"/>
      <c r="E66" s="965"/>
      <c r="F66" s="965"/>
      <c r="G66" s="1136"/>
      <c r="H66" s="1137"/>
      <c r="I66" s="1137"/>
      <c r="J66" s="1137"/>
      <c r="K66" s="1136"/>
      <c r="L66" s="1137"/>
      <c r="M66" s="1138"/>
      <c r="N66" s="1136"/>
      <c r="O66" s="1137"/>
      <c r="P66" s="1138"/>
      <c r="Q66" s="1136"/>
      <c r="R66" s="1137"/>
      <c r="S66" s="966"/>
      <c r="W66" s="750"/>
    </row>
    <row r="67" spans="1:53" ht="25.5" customHeight="1">
      <c r="A67" s="1145" t="s">
        <v>1091</v>
      </c>
      <c r="B67" s="1146"/>
      <c r="C67" s="1146"/>
      <c r="D67" s="992" t="str">
        <f>+'jobinfo(2)'!$C$1</f>
        <v>Hatten, Nedra</v>
      </c>
      <c r="E67" s="992"/>
      <c r="F67" s="992"/>
      <c r="G67" s="818" t="str">
        <f>+'jobinfo(2)'!$C$2</f>
        <v>628 Quilliams Road</v>
      </c>
      <c r="H67" s="818"/>
      <c r="I67" s="818"/>
      <c r="J67" s="1135" t="str">
        <f>'jobinfo(2)'!$C$3</f>
        <v>Cleveland Heights, OH 44121</v>
      </c>
      <c r="K67" s="1135"/>
      <c r="L67" s="1134" t="str">
        <f>'jobinfo(2)'!$M$53</f>
        <v>FLOOR2</v>
      </c>
      <c r="M67" s="1134"/>
      <c r="O67" s="706" t="str">
        <f>'jobinfo(2)'!$C$11</f>
        <v>BATHTUB OVERFLOW</v>
      </c>
      <c r="P67" s="129" t="str">
        <f>'jobinfo(2)'!$C$26</f>
        <v>LIBERTY MUTUAL</v>
      </c>
      <c r="R67" s="977" t="str">
        <f>R45</f>
        <v>#059633981</v>
      </c>
      <c r="S67" s="977"/>
      <c r="W67" s="750"/>
    </row>
    <row r="68" spans="1:53" ht="25.5" customHeight="1">
      <c r="A68" s="980">
        <f>+'jobinfo(2)'!A74</f>
        <v>22</v>
      </c>
      <c r="B68" s="1144">
        <f>+'jobinfo(2)'!C74</f>
        <v>0</v>
      </c>
      <c r="C68" s="664" t="s">
        <v>1</v>
      </c>
      <c r="D68" s="643" t="s">
        <v>16</v>
      </c>
      <c r="E68" s="665" t="s">
        <v>17</v>
      </c>
      <c r="F68" s="666" t="s">
        <v>10</v>
      </c>
      <c r="G68" s="667" t="s">
        <v>20</v>
      </c>
      <c r="H68" s="643" t="s">
        <v>6</v>
      </c>
      <c r="I68" s="665" t="s">
        <v>17</v>
      </c>
      <c r="J68" s="666" t="s">
        <v>10</v>
      </c>
      <c r="K68" s="667" t="s">
        <v>8</v>
      </c>
      <c r="L68" s="643" t="s">
        <v>9</v>
      </c>
      <c r="M68" s="666" t="s">
        <v>10</v>
      </c>
      <c r="N68" s="668" t="s">
        <v>11</v>
      </c>
      <c r="O68" s="613" t="s">
        <v>12</v>
      </c>
      <c r="P68" s="666" t="s">
        <v>10</v>
      </c>
      <c r="Q68" s="669" t="s">
        <v>18</v>
      </c>
      <c r="R68" s="643" t="s">
        <v>14</v>
      </c>
      <c r="S68" s="667" t="s">
        <v>10</v>
      </c>
      <c r="W68" s="750"/>
    </row>
    <row r="69" spans="1:53" ht="25.5" customHeight="1">
      <c r="A69" s="981"/>
      <c r="B69" s="989"/>
      <c r="C69" s="149"/>
      <c r="D69" s="150"/>
      <c r="E69" s="467"/>
      <c r="F69" s="150"/>
      <c r="G69" s="149"/>
      <c r="H69" s="150"/>
      <c r="I69" s="599"/>
      <c r="J69" s="150"/>
      <c r="K69" s="149"/>
      <c r="L69" s="150"/>
      <c r="M69" s="467"/>
      <c r="N69" s="150"/>
      <c r="O69" s="149"/>
      <c r="P69" s="150"/>
      <c r="Q69" s="599"/>
      <c r="R69" s="150"/>
      <c r="S69" s="599"/>
      <c r="W69" s="750"/>
    </row>
    <row r="70" spans="1:53" ht="25.5" customHeight="1">
      <c r="A70" s="786" t="s">
        <v>15</v>
      </c>
      <c r="B70" s="785"/>
      <c r="C70" s="964"/>
      <c r="D70" s="965"/>
      <c r="E70" s="965"/>
      <c r="F70" s="965"/>
      <c r="G70" s="1136"/>
      <c r="H70" s="1137"/>
      <c r="I70" s="1137"/>
      <c r="J70" s="1137"/>
      <c r="K70" s="1136"/>
      <c r="L70" s="1137"/>
      <c r="M70" s="1138"/>
      <c r="N70" s="1136"/>
      <c r="O70" s="1137"/>
      <c r="P70" s="1138"/>
      <c r="Q70" s="1136"/>
      <c r="R70" s="1137"/>
      <c r="S70" s="966"/>
      <c r="W70" s="750"/>
    </row>
    <row r="71" spans="1:53" ht="25.5" customHeight="1">
      <c r="A71" s="980">
        <f>+'jobinfo(2)'!A75</f>
        <v>23</v>
      </c>
      <c r="B71" s="1144">
        <f>+'jobinfo(2)'!C75</f>
        <v>0</v>
      </c>
      <c r="C71" s="664" t="s">
        <v>1</v>
      </c>
      <c r="D71" s="643" t="s">
        <v>16</v>
      </c>
      <c r="E71" s="665" t="s">
        <v>17</v>
      </c>
      <c r="F71" s="666" t="s">
        <v>10</v>
      </c>
      <c r="G71" s="667" t="s">
        <v>20</v>
      </c>
      <c r="H71" s="643" t="s">
        <v>6</v>
      </c>
      <c r="I71" s="665" t="s">
        <v>17</v>
      </c>
      <c r="J71" s="666" t="s">
        <v>10</v>
      </c>
      <c r="K71" s="667" t="s">
        <v>8</v>
      </c>
      <c r="L71" s="643" t="s">
        <v>9</v>
      </c>
      <c r="M71" s="666" t="s">
        <v>10</v>
      </c>
      <c r="N71" s="668" t="s">
        <v>11</v>
      </c>
      <c r="O71" s="613" t="s">
        <v>12</v>
      </c>
      <c r="P71" s="666" t="s">
        <v>10</v>
      </c>
      <c r="Q71" s="669" t="s">
        <v>18</v>
      </c>
      <c r="R71" s="643" t="s">
        <v>14</v>
      </c>
      <c r="S71" s="667" t="s">
        <v>10</v>
      </c>
      <c r="W71" s="750"/>
    </row>
    <row r="72" spans="1:53" ht="25.5" customHeight="1">
      <c r="A72" s="981"/>
      <c r="B72" s="989"/>
      <c r="C72" s="149"/>
      <c r="D72" s="150"/>
      <c r="E72" s="467"/>
      <c r="F72" s="150"/>
      <c r="G72" s="149"/>
      <c r="H72" s="150"/>
      <c r="I72" s="599"/>
      <c r="J72" s="150"/>
      <c r="K72" s="149"/>
      <c r="L72" s="150"/>
      <c r="M72" s="467"/>
      <c r="N72" s="150"/>
      <c r="O72" s="149"/>
      <c r="P72" s="150"/>
      <c r="Q72" s="599"/>
      <c r="R72" s="150"/>
      <c r="S72" s="599"/>
      <c r="T72" s="49"/>
      <c r="U72" s="49"/>
      <c r="V72" s="49"/>
      <c r="W72" s="752"/>
      <c r="X72" s="49"/>
    </row>
    <row r="73" spans="1:53" ht="25.5" customHeight="1">
      <c r="A73" s="786" t="s">
        <v>15</v>
      </c>
      <c r="B73" s="785"/>
      <c r="C73" s="964"/>
      <c r="D73" s="965"/>
      <c r="E73" s="965"/>
      <c r="F73" s="965"/>
      <c r="G73" s="1136"/>
      <c r="H73" s="1137"/>
      <c r="I73" s="1137"/>
      <c r="J73" s="1137"/>
      <c r="K73" s="1136"/>
      <c r="L73" s="1137"/>
      <c r="M73" s="1138"/>
      <c r="N73" s="1136"/>
      <c r="O73" s="1137"/>
      <c r="P73" s="1138"/>
      <c r="Q73" s="1136"/>
      <c r="R73" s="1137"/>
      <c r="S73" s="966"/>
      <c r="W73" s="750"/>
    </row>
    <row r="74" spans="1:53" ht="25.5" customHeight="1">
      <c r="A74" s="980">
        <f>+'jobinfo(2)'!A76</f>
        <v>24</v>
      </c>
      <c r="B74" s="1144">
        <f>+'jobinfo(2)'!C76</f>
        <v>0</v>
      </c>
      <c r="C74" s="664" t="s">
        <v>1</v>
      </c>
      <c r="D74" s="643" t="s">
        <v>16</v>
      </c>
      <c r="E74" s="665" t="s">
        <v>17</v>
      </c>
      <c r="F74" s="666" t="s">
        <v>10</v>
      </c>
      <c r="G74" s="667" t="s">
        <v>20</v>
      </c>
      <c r="H74" s="643" t="s">
        <v>6</v>
      </c>
      <c r="I74" s="665" t="s">
        <v>17</v>
      </c>
      <c r="J74" s="666" t="s">
        <v>10</v>
      </c>
      <c r="K74" s="667" t="s">
        <v>8</v>
      </c>
      <c r="L74" s="643" t="s">
        <v>9</v>
      </c>
      <c r="M74" s="666" t="s">
        <v>10</v>
      </c>
      <c r="N74" s="668" t="s">
        <v>11</v>
      </c>
      <c r="O74" s="613" t="s">
        <v>12</v>
      </c>
      <c r="P74" s="666" t="s">
        <v>10</v>
      </c>
      <c r="Q74" s="669" t="s">
        <v>18</v>
      </c>
      <c r="R74" s="643" t="s">
        <v>14</v>
      </c>
      <c r="S74" s="667" t="s">
        <v>10</v>
      </c>
      <c r="W74" s="750"/>
    </row>
    <row r="75" spans="1:53" ht="25.5" customHeight="1">
      <c r="A75" s="981"/>
      <c r="B75" s="989"/>
      <c r="C75" s="149"/>
      <c r="D75" s="150"/>
      <c r="E75" s="467"/>
      <c r="F75" s="150"/>
      <c r="G75" s="149"/>
      <c r="H75" s="150"/>
      <c r="I75" s="599"/>
      <c r="J75" s="150"/>
      <c r="K75" s="149"/>
      <c r="L75" s="150"/>
      <c r="M75" s="467"/>
      <c r="N75" s="150"/>
      <c r="O75" s="149"/>
      <c r="P75" s="150"/>
      <c r="Q75" s="599"/>
      <c r="R75" s="150"/>
      <c r="S75" s="599"/>
      <c r="T75" s="49"/>
      <c r="U75" s="49"/>
      <c r="V75" s="49"/>
      <c r="W75" s="752"/>
      <c r="X75" s="49"/>
    </row>
    <row r="76" spans="1:53" ht="25.5" customHeight="1">
      <c r="A76" s="786" t="s">
        <v>15</v>
      </c>
      <c r="B76" s="783"/>
      <c r="C76" s="967"/>
      <c r="D76" s="968"/>
      <c r="E76" s="968"/>
      <c r="F76" s="969"/>
      <c r="G76" s="1139"/>
      <c r="H76" s="1140"/>
      <c r="I76" s="1140"/>
      <c r="J76" s="1141"/>
      <c r="K76" s="1139"/>
      <c r="L76" s="1140"/>
      <c r="M76" s="1141"/>
      <c r="N76" s="1139"/>
      <c r="O76" s="1140"/>
      <c r="P76" s="1141"/>
      <c r="Q76" s="1139"/>
      <c r="R76" s="1140"/>
      <c r="S76" s="969"/>
      <c r="W76" s="750"/>
    </row>
    <row r="77" spans="1:53" ht="25.5" customHeight="1">
      <c r="A77" s="980">
        <f>+'jobinfo(2)'!A77</f>
        <v>25</v>
      </c>
      <c r="B77" s="988">
        <f>+'jobinfo(2)'!C77</f>
        <v>0</v>
      </c>
      <c r="C77" s="664" t="s">
        <v>1</v>
      </c>
      <c r="D77" s="643" t="s">
        <v>16</v>
      </c>
      <c r="E77" s="665" t="s">
        <v>17</v>
      </c>
      <c r="F77" s="666" t="s">
        <v>10</v>
      </c>
      <c r="G77" s="667" t="s">
        <v>20</v>
      </c>
      <c r="H77" s="643" t="s">
        <v>6</v>
      </c>
      <c r="I77" s="665" t="s">
        <v>17</v>
      </c>
      <c r="J77" s="666" t="s">
        <v>10</v>
      </c>
      <c r="K77" s="667" t="s">
        <v>8</v>
      </c>
      <c r="L77" s="643" t="s">
        <v>9</v>
      </c>
      <c r="M77" s="666" t="s">
        <v>10</v>
      </c>
      <c r="N77" s="668" t="s">
        <v>11</v>
      </c>
      <c r="O77" s="613" t="s">
        <v>12</v>
      </c>
      <c r="P77" s="666" t="s">
        <v>10</v>
      </c>
      <c r="Q77" s="669" t="s">
        <v>18</v>
      </c>
      <c r="R77" s="643" t="s">
        <v>14</v>
      </c>
      <c r="S77" s="667" t="s">
        <v>10</v>
      </c>
      <c r="W77" s="750"/>
      <c r="AX77" s="2"/>
      <c r="AY77" s="611" t="s">
        <v>21</v>
      </c>
      <c r="AZ77" s="2"/>
      <c r="BA77" s="614" t="s">
        <v>22</v>
      </c>
    </row>
    <row r="78" spans="1:53" ht="25.5" customHeight="1">
      <c r="A78" s="981"/>
      <c r="B78" s="989"/>
      <c r="C78" s="149"/>
      <c r="D78" s="150"/>
      <c r="E78" s="467"/>
      <c r="F78" s="150"/>
      <c r="G78" s="149"/>
      <c r="H78" s="150"/>
      <c r="I78" s="599"/>
      <c r="J78" s="150"/>
      <c r="K78" s="149"/>
      <c r="L78" s="150"/>
      <c r="M78" s="467"/>
      <c r="N78" s="150"/>
      <c r="O78" s="149"/>
      <c r="P78" s="150"/>
      <c r="Q78" s="599"/>
      <c r="R78" s="150"/>
      <c r="S78" s="599"/>
      <c r="W78" s="750"/>
      <c r="AX78" s="2"/>
      <c r="AY78" s="611"/>
      <c r="AZ78" s="2"/>
      <c r="BA78" s="614"/>
    </row>
    <row r="79" spans="1:53" ht="25.5" customHeight="1">
      <c r="A79" s="786" t="s">
        <v>15</v>
      </c>
      <c r="B79" s="785"/>
      <c r="C79" s="964"/>
      <c r="D79" s="965"/>
      <c r="E79" s="965"/>
      <c r="F79" s="965"/>
      <c r="G79" s="1136"/>
      <c r="H79" s="1137"/>
      <c r="I79" s="1137"/>
      <c r="J79" s="1137"/>
      <c r="K79" s="1136"/>
      <c r="L79" s="1137"/>
      <c r="M79" s="1138"/>
      <c r="N79" s="1136"/>
      <c r="O79" s="1137"/>
      <c r="P79" s="1138"/>
      <c r="Q79" s="1136"/>
      <c r="R79" s="1137"/>
      <c r="S79" s="966"/>
      <c r="W79" s="750"/>
      <c r="AX79" s="2"/>
      <c r="AY79" s="611"/>
      <c r="AZ79" s="2"/>
      <c r="BA79" s="614"/>
    </row>
    <row r="80" spans="1:53" s="2" customFormat="1" ht="25.5" customHeight="1">
      <c r="A80" s="980">
        <f>+'jobinfo(2)'!A78</f>
        <v>26</v>
      </c>
      <c r="B80" s="988">
        <f>+'jobinfo(2)'!C78</f>
        <v>0</v>
      </c>
      <c r="C80" s="664" t="s">
        <v>1</v>
      </c>
      <c r="D80" s="643" t="s">
        <v>16</v>
      </c>
      <c r="E80" s="665" t="s">
        <v>17</v>
      </c>
      <c r="F80" s="666" t="s">
        <v>10</v>
      </c>
      <c r="G80" s="667" t="s">
        <v>20</v>
      </c>
      <c r="H80" s="643" t="s">
        <v>6</v>
      </c>
      <c r="I80" s="665" t="s">
        <v>17</v>
      </c>
      <c r="J80" s="666" t="s">
        <v>10</v>
      </c>
      <c r="K80" s="667" t="s">
        <v>8</v>
      </c>
      <c r="L80" s="643" t="s">
        <v>9</v>
      </c>
      <c r="M80" s="666" t="s">
        <v>10</v>
      </c>
      <c r="N80" s="668" t="s">
        <v>11</v>
      </c>
      <c r="O80" s="613" t="s">
        <v>12</v>
      </c>
      <c r="P80" s="666" t="s">
        <v>10</v>
      </c>
      <c r="Q80" s="669" t="s">
        <v>18</v>
      </c>
      <c r="R80" s="643" t="s">
        <v>14</v>
      </c>
      <c r="S80" s="667" t="s">
        <v>10</v>
      </c>
      <c r="W80" s="753"/>
    </row>
    <row r="81" spans="1:23" s="2" customFormat="1" ht="25.5" customHeight="1">
      <c r="A81" s="981"/>
      <c r="B81" s="989"/>
      <c r="C81" s="149"/>
      <c r="D81" s="150"/>
      <c r="E81" s="467"/>
      <c r="F81" s="150"/>
      <c r="G81" s="149"/>
      <c r="H81" s="150"/>
      <c r="I81" s="599"/>
      <c r="J81" s="150"/>
      <c r="K81" s="149"/>
      <c r="L81" s="150"/>
      <c r="M81" s="467"/>
      <c r="N81" s="150"/>
      <c r="O81" s="149"/>
      <c r="P81" s="150"/>
      <c r="Q81" s="599"/>
      <c r="R81" s="150"/>
      <c r="S81" s="599"/>
      <c r="W81" s="753"/>
    </row>
    <row r="82" spans="1:23" s="2" customFormat="1" ht="25.5" customHeight="1">
      <c r="A82" s="786" t="s">
        <v>15</v>
      </c>
      <c r="B82" s="783"/>
      <c r="C82" s="964"/>
      <c r="D82" s="965"/>
      <c r="E82" s="965"/>
      <c r="F82" s="965"/>
      <c r="G82" s="1136"/>
      <c r="H82" s="1137"/>
      <c r="I82" s="1137"/>
      <c r="J82" s="1137"/>
      <c r="K82" s="1136"/>
      <c r="L82" s="1137"/>
      <c r="M82" s="1138"/>
      <c r="N82" s="1136"/>
      <c r="O82" s="1137"/>
      <c r="P82" s="1138"/>
      <c r="Q82" s="1136"/>
      <c r="R82" s="1137"/>
      <c r="S82" s="966"/>
      <c r="W82" s="753"/>
    </row>
    <row r="83" spans="1:23" s="2" customFormat="1" ht="25.5" customHeight="1">
      <c r="A83" s="980">
        <f>+'jobinfo(2)'!A79</f>
        <v>27</v>
      </c>
      <c r="B83" s="988">
        <f>+'jobinfo(2)'!C79</f>
        <v>0</v>
      </c>
      <c r="C83" s="664" t="s">
        <v>1</v>
      </c>
      <c r="D83" s="643" t="s">
        <v>16</v>
      </c>
      <c r="E83" s="665" t="s">
        <v>17</v>
      </c>
      <c r="F83" s="666" t="s">
        <v>10</v>
      </c>
      <c r="G83" s="667" t="s">
        <v>20</v>
      </c>
      <c r="H83" s="643" t="s">
        <v>6</v>
      </c>
      <c r="I83" s="665" t="s">
        <v>17</v>
      </c>
      <c r="J83" s="666" t="s">
        <v>10</v>
      </c>
      <c r="K83" s="667" t="s">
        <v>8</v>
      </c>
      <c r="L83" s="643" t="s">
        <v>9</v>
      </c>
      <c r="M83" s="666" t="s">
        <v>10</v>
      </c>
      <c r="N83" s="668" t="s">
        <v>11</v>
      </c>
      <c r="O83" s="613" t="s">
        <v>12</v>
      </c>
      <c r="P83" s="666" t="s">
        <v>10</v>
      </c>
      <c r="Q83" s="669" t="s">
        <v>18</v>
      </c>
      <c r="R83" s="643" t="s">
        <v>14</v>
      </c>
      <c r="S83" s="667" t="s">
        <v>10</v>
      </c>
      <c r="W83" s="753"/>
    </row>
    <row r="84" spans="1:23" s="2" customFormat="1" ht="25.5" customHeight="1">
      <c r="A84" s="981"/>
      <c r="B84" s="989"/>
      <c r="C84" s="149"/>
      <c r="D84" s="150"/>
      <c r="E84" s="467"/>
      <c r="F84" s="150"/>
      <c r="G84" s="149"/>
      <c r="H84" s="150"/>
      <c r="I84" s="599"/>
      <c r="J84" s="150"/>
      <c r="K84" s="149"/>
      <c r="L84" s="150"/>
      <c r="M84" s="467"/>
      <c r="N84" s="150"/>
      <c r="O84" s="149"/>
      <c r="P84" s="150"/>
      <c r="Q84" s="599"/>
      <c r="R84" s="150"/>
      <c r="S84" s="599"/>
      <c r="W84" s="753"/>
    </row>
    <row r="85" spans="1:23" s="2" customFormat="1" ht="25.5" customHeight="1">
      <c r="A85" s="786" t="s">
        <v>15</v>
      </c>
      <c r="B85" s="785"/>
      <c r="C85" s="967"/>
      <c r="D85" s="968"/>
      <c r="E85" s="968"/>
      <c r="F85" s="969"/>
      <c r="G85" s="1139"/>
      <c r="H85" s="1140"/>
      <c r="I85" s="1140"/>
      <c r="J85" s="1141"/>
      <c r="K85" s="1139"/>
      <c r="L85" s="1140"/>
      <c r="M85" s="1141"/>
      <c r="N85" s="1139"/>
      <c r="O85" s="1140"/>
      <c r="P85" s="1141"/>
      <c r="Q85" s="1139"/>
      <c r="R85" s="1140"/>
      <c r="S85" s="969"/>
      <c r="W85" s="753"/>
    </row>
    <row r="86" spans="1:23" s="2" customFormat="1" ht="25.5" customHeight="1">
      <c r="A86" s="980">
        <f>+'jobinfo(2)'!A80</f>
        <v>28</v>
      </c>
      <c r="B86" s="1142">
        <f>+'jobinfo(2)'!C80</f>
        <v>0</v>
      </c>
      <c r="C86" s="664" t="s">
        <v>1</v>
      </c>
      <c r="D86" s="643" t="s">
        <v>16</v>
      </c>
      <c r="E86" s="665" t="s">
        <v>17</v>
      </c>
      <c r="F86" s="666" t="s">
        <v>10</v>
      </c>
      <c r="G86" s="667" t="s">
        <v>20</v>
      </c>
      <c r="H86" s="643" t="s">
        <v>6</v>
      </c>
      <c r="I86" s="665" t="s">
        <v>17</v>
      </c>
      <c r="J86" s="666" t="s">
        <v>10</v>
      </c>
      <c r="K86" s="667" t="s">
        <v>8</v>
      </c>
      <c r="L86" s="643" t="s">
        <v>9</v>
      </c>
      <c r="M86" s="666" t="s">
        <v>10</v>
      </c>
      <c r="N86" s="668" t="s">
        <v>11</v>
      </c>
      <c r="O86" s="613" t="s">
        <v>12</v>
      </c>
      <c r="P86" s="666" t="s">
        <v>10</v>
      </c>
      <c r="Q86" s="669" t="s">
        <v>18</v>
      </c>
      <c r="R86" s="643" t="s">
        <v>14</v>
      </c>
      <c r="S86" s="667" t="s">
        <v>10</v>
      </c>
      <c r="W86" s="753"/>
    </row>
    <row r="87" spans="1:23" s="2" customFormat="1" ht="25.5" customHeight="1">
      <c r="A87" s="981"/>
      <c r="B87" s="1143"/>
      <c r="C87" s="149"/>
      <c r="D87" s="150"/>
      <c r="E87" s="467"/>
      <c r="F87" s="150"/>
      <c r="G87" s="149"/>
      <c r="H87" s="150"/>
      <c r="I87" s="599"/>
      <c r="J87" s="150"/>
      <c r="K87" s="149"/>
      <c r="L87" s="150"/>
      <c r="M87" s="467"/>
      <c r="N87" s="150"/>
      <c r="O87" s="149"/>
      <c r="P87" s="150"/>
      <c r="Q87" s="599"/>
      <c r="R87" s="150"/>
      <c r="S87" s="599"/>
      <c r="W87" s="753"/>
    </row>
    <row r="88" spans="1:23" s="2" customFormat="1" ht="25.5" customHeight="1">
      <c r="A88" s="786" t="s">
        <v>15</v>
      </c>
      <c r="B88" s="783"/>
      <c r="C88" s="964"/>
      <c r="D88" s="965"/>
      <c r="E88" s="965"/>
      <c r="F88" s="965"/>
      <c r="G88" s="1136"/>
      <c r="H88" s="1137"/>
      <c r="I88" s="1137"/>
      <c r="J88" s="1137"/>
      <c r="K88" s="1136"/>
      <c r="L88" s="1137"/>
      <c r="M88" s="1138"/>
      <c r="N88" s="1136"/>
      <c r="O88" s="1137"/>
      <c r="P88" s="1138"/>
      <c r="Q88" s="1136"/>
      <c r="R88" s="1137"/>
      <c r="S88" s="966"/>
      <c r="W88" s="753"/>
    </row>
    <row r="89" spans="1:23" s="615" customFormat="1" ht="25.5" customHeight="1">
      <c r="A89" s="980">
        <f>+'jobinfo(2)'!A81</f>
        <v>0</v>
      </c>
      <c r="B89" s="988">
        <f>+'jobinfo(2)'!C81</f>
        <v>0</v>
      </c>
      <c r="C89" s="664" t="s">
        <v>1</v>
      </c>
      <c r="D89" s="643" t="s">
        <v>16</v>
      </c>
      <c r="E89" s="665" t="s">
        <v>17</v>
      </c>
      <c r="F89" s="666" t="s">
        <v>10</v>
      </c>
      <c r="G89" s="667" t="s">
        <v>20</v>
      </c>
      <c r="H89" s="643" t="s">
        <v>6</v>
      </c>
      <c r="I89" s="665" t="s">
        <v>17</v>
      </c>
      <c r="J89" s="666" t="s">
        <v>10</v>
      </c>
      <c r="K89" s="667" t="s">
        <v>8</v>
      </c>
      <c r="L89" s="643" t="s">
        <v>9</v>
      </c>
      <c r="M89" s="666" t="s">
        <v>10</v>
      </c>
      <c r="N89" s="668" t="s">
        <v>11</v>
      </c>
      <c r="O89" s="613" t="s">
        <v>12</v>
      </c>
      <c r="P89" s="666" t="s">
        <v>10</v>
      </c>
      <c r="Q89" s="669" t="s">
        <v>18</v>
      </c>
      <c r="R89" s="643" t="s">
        <v>14</v>
      </c>
      <c r="S89" s="667" t="s">
        <v>10</v>
      </c>
      <c r="W89" s="744"/>
    </row>
    <row r="90" spans="1:23" s="2" customFormat="1" ht="25.5" customHeight="1">
      <c r="A90" s="981"/>
      <c r="B90" s="989"/>
      <c r="C90" s="149"/>
      <c r="D90" s="150"/>
      <c r="E90" s="467"/>
      <c r="F90" s="150"/>
      <c r="G90" s="149"/>
      <c r="H90" s="150"/>
      <c r="I90" s="599"/>
      <c r="J90" s="150"/>
      <c r="K90" s="149"/>
      <c r="L90" s="150"/>
      <c r="M90" s="467"/>
      <c r="N90" s="150"/>
      <c r="O90" s="149"/>
      <c r="P90" s="150"/>
      <c r="Q90" s="599"/>
      <c r="R90" s="150"/>
      <c r="S90" s="599"/>
      <c r="W90" s="753"/>
    </row>
    <row r="91" spans="1:23" s="2" customFormat="1" ht="25.5" customHeight="1">
      <c r="A91" s="786" t="s">
        <v>15</v>
      </c>
      <c r="B91" s="785"/>
      <c r="C91" s="964"/>
      <c r="D91" s="965"/>
      <c r="E91" s="965"/>
      <c r="F91" s="965"/>
      <c r="G91" s="1136"/>
      <c r="H91" s="1137"/>
      <c r="I91" s="1137"/>
      <c r="J91" s="1137"/>
      <c r="K91" s="1136"/>
      <c r="L91" s="1137"/>
      <c r="M91" s="1138"/>
      <c r="N91" s="1136"/>
      <c r="O91" s="1137"/>
      <c r="P91" s="1138"/>
      <c r="Q91" s="1136"/>
      <c r="R91" s="1137"/>
      <c r="S91" s="966"/>
      <c r="W91" s="753"/>
    </row>
    <row r="92" spans="1:23" s="615" customFormat="1" ht="25.5" customHeight="1">
      <c r="A92" s="980"/>
      <c r="B92" s="988"/>
      <c r="C92" s="664"/>
      <c r="D92" s="643"/>
      <c r="E92" s="665"/>
      <c r="F92" s="666"/>
      <c r="G92" s="667"/>
      <c r="H92" s="643"/>
      <c r="I92" s="665"/>
      <c r="J92" s="666"/>
      <c r="K92" s="667"/>
      <c r="L92" s="643"/>
      <c r="M92" s="666"/>
      <c r="N92" s="668"/>
      <c r="O92" s="613"/>
      <c r="P92" s="666"/>
      <c r="Q92" s="669"/>
      <c r="R92" s="643"/>
      <c r="S92" s="667"/>
      <c r="W92" s="744"/>
    </row>
    <row r="93" spans="1:23" s="2" customFormat="1" ht="25.5" customHeight="1">
      <c r="A93" s="981"/>
      <c r="B93" s="989"/>
      <c r="C93" s="149"/>
      <c r="D93" s="150"/>
      <c r="E93" s="467"/>
      <c r="F93" s="150"/>
      <c r="G93" s="149"/>
      <c r="H93" s="150"/>
      <c r="I93" s="599"/>
      <c r="J93" s="150"/>
      <c r="K93" s="149"/>
      <c r="L93" s="150"/>
      <c r="M93" s="467"/>
      <c r="N93" s="150"/>
      <c r="O93" s="149"/>
      <c r="P93" s="150"/>
      <c r="Q93" s="599"/>
      <c r="R93" s="150"/>
      <c r="S93" s="599"/>
      <c r="W93" s="753"/>
    </row>
    <row r="94" spans="1:23" s="2" customFormat="1" ht="25.5" customHeight="1">
      <c r="A94" s="786"/>
      <c r="B94" s="783"/>
      <c r="C94" s="967"/>
      <c r="D94" s="968"/>
      <c r="E94" s="968"/>
      <c r="F94" s="969"/>
      <c r="G94" s="1139"/>
      <c r="H94" s="1140"/>
      <c r="I94" s="1140"/>
      <c r="J94" s="1141"/>
      <c r="K94" s="1139"/>
      <c r="L94" s="1140"/>
      <c r="M94" s="1141"/>
      <c r="N94" s="1139"/>
      <c r="O94" s="1140"/>
      <c r="P94" s="1141"/>
      <c r="Q94" s="1139"/>
      <c r="R94" s="1140"/>
      <c r="S94" s="969"/>
      <c r="W94" s="753"/>
    </row>
    <row r="95" spans="1:23" s="2" customFormat="1" ht="28.15" customHeight="1">
      <c r="A95" s="786"/>
      <c r="B95" s="788"/>
      <c r="C95" s="789"/>
      <c r="D95" s="789"/>
      <c r="E95" s="789"/>
      <c r="F95" s="789"/>
      <c r="G95" s="789"/>
      <c r="H95" s="789"/>
      <c r="I95" s="789"/>
      <c r="J95" s="789"/>
      <c r="K95" s="789"/>
      <c r="L95" s="789"/>
      <c r="M95" s="789"/>
      <c r="N95" s="789"/>
      <c r="O95" s="789"/>
      <c r="P95" s="789"/>
      <c r="Q95" s="789"/>
      <c r="R95" s="789"/>
      <c r="S95" s="789"/>
      <c r="W95" s="753"/>
    </row>
    <row r="96" spans="1:23" s="2" customFormat="1" ht="28.15" customHeight="1">
      <c r="A96" s="786"/>
      <c r="B96" s="788"/>
      <c r="C96" s="789"/>
      <c r="D96" s="789"/>
      <c r="E96" s="789"/>
      <c r="F96" s="789"/>
      <c r="G96" s="789"/>
      <c r="H96" s="789"/>
      <c r="I96" s="789"/>
      <c r="J96" s="789"/>
      <c r="K96" s="789"/>
      <c r="L96" s="789"/>
      <c r="M96" s="789"/>
      <c r="N96" s="789"/>
      <c r="O96" s="789"/>
      <c r="P96" s="789"/>
      <c r="Q96" s="789"/>
      <c r="R96" s="789"/>
      <c r="S96" s="789"/>
      <c r="W96" s="753"/>
    </row>
    <row r="97" spans="1:33" s="2" customFormat="1" ht="19.899999999999999" customHeight="1">
      <c r="A97" s="647"/>
      <c r="U97" s="610"/>
      <c r="V97" s="998" t="s">
        <v>23</v>
      </c>
      <c r="W97" s="999"/>
      <c r="X97" s="999"/>
      <c r="Y97" s="999"/>
      <c r="Z97" s="999"/>
      <c r="AA97" s="999"/>
      <c r="AB97" s="999"/>
      <c r="AC97" s="999"/>
      <c r="AD97" s="1000"/>
    </row>
    <row r="98" spans="1:33" s="2" customFormat="1" ht="19.899999999999999" customHeight="1">
      <c r="A98" s="647"/>
      <c r="U98" s="1001" t="s">
        <v>24</v>
      </c>
      <c r="V98" s="986" t="s">
        <v>25</v>
      </c>
      <c r="W98" s="987"/>
      <c r="Y98" s="701" t="s">
        <v>26</v>
      </c>
      <c r="AA98" s="526"/>
      <c r="AB98" s="984" t="s">
        <v>27</v>
      </c>
      <c r="AC98" s="985"/>
      <c r="AD98" s="725"/>
      <c r="AG98" s="686"/>
    </row>
    <row r="99" spans="1:33" s="2" customFormat="1" ht="19.899999999999999" customHeight="1">
      <c r="A99" s="647"/>
      <c r="U99" s="1002"/>
      <c r="V99" s="698" t="s">
        <v>28</v>
      </c>
      <c r="W99" s="702" t="s">
        <v>29</v>
      </c>
      <c r="Y99" s="990" t="s">
        <v>30</v>
      </c>
      <c r="Z99" s="991"/>
      <c r="AB99" s="460" t="s">
        <v>31</v>
      </c>
      <c r="AC99" s="614" t="s">
        <v>32</v>
      </c>
      <c r="AD99" s="725"/>
      <c r="AE99" s="686"/>
      <c r="AF99" s="686"/>
      <c r="AG99" s="690"/>
    </row>
    <row r="100" spans="1:33" s="2" customFormat="1" ht="19.899999999999999" customHeight="1">
      <c r="A100" s="647"/>
      <c r="U100" s="1002"/>
      <c r="V100" s="739" t="s">
        <v>33</v>
      </c>
      <c r="W100" s="745" t="s">
        <v>34</v>
      </c>
      <c r="Y100" s="760" t="s">
        <v>35</v>
      </c>
      <c r="Z100" s="754" t="s">
        <v>36</v>
      </c>
      <c r="AB100" s="460" t="s">
        <v>37</v>
      </c>
      <c r="AC100" s="687" t="s">
        <v>38</v>
      </c>
      <c r="AD100" s="725"/>
      <c r="AE100" s="686"/>
      <c r="AF100" s="686"/>
      <c r="AG100" s="690"/>
    </row>
    <row r="101" spans="1:33" s="2" customFormat="1" ht="19.899999999999999" customHeight="1">
      <c r="A101" s="647"/>
      <c r="U101" s="1002"/>
      <c r="V101" s="698" t="s">
        <v>39</v>
      </c>
      <c r="W101" s="702" t="s">
        <v>40</v>
      </c>
      <c r="Y101" s="761" t="s">
        <v>41</v>
      </c>
      <c r="Z101" s="747" t="s">
        <v>42</v>
      </c>
      <c r="AA101" s="690"/>
      <c r="AB101" s="686" t="s">
        <v>43</v>
      </c>
      <c r="AC101" s="615" t="s">
        <v>44</v>
      </c>
      <c r="AD101" s="725"/>
      <c r="AE101" s="686"/>
      <c r="AF101" s="686"/>
      <c r="AG101" s="690"/>
    </row>
    <row r="102" spans="1:33" s="2" customFormat="1" ht="19.899999999999999" customHeight="1">
      <c r="A102" s="647"/>
      <c r="U102" s="1002"/>
      <c r="V102" s="743" t="s">
        <v>45</v>
      </c>
      <c r="W102" s="746" t="s">
        <v>46</v>
      </c>
      <c r="Y102" s="526" t="s">
        <v>47</v>
      </c>
      <c r="Z102" s="689" t="s">
        <v>48</v>
      </c>
      <c r="AB102" s="725"/>
      <c r="AC102" s="725"/>
      <c r="AD102" s="725"/>
      <c r="AE102" s="686"/>
      <c r="AF102" s="686"/>
      <c r="AG102" s="690"/>
    </row>
    <row r="103" spans="1:33" s="2" customFormat="1" ht="19.899999999999999" customHeight="1">
      <c r="A103" s="647"/>
      <c r="U103" s="1002"/>
      <c r="V103" s="692" t="s">
        <v>49</v>
      </c>
      <c r="W103" s="746" t="s">
        <v>50</v>
      </c>
      <c r="Y103" s="526" t="s">
        <v>12</v>
      </c>
      <c r="Z103" s="150" t="s">
        <v>51</v>
      </c>
      <c r="AA103" s="690"/>
      <c r="AB103" s="725"/>
      <c r="AC103" s="725"/>
      <c r="AD103" s="725"/>
      <c r="AE103" s="686"/>
      <c r="AF103" s="686"/>
      <c r="AG103" s="690"/>
    </row>
    <row r="104" spans="1:33" s="2" customFormat="1" ht="19.899999999999999" customHeight="1">
      <c r="A104" s="647"/>
      <c r="U104" s="1002"/>
      <c r="V104" s="692" t="s">
        <v>52</v>
      </c>
      <c r="W104" s="747" t="s">
        <v>53</v>
      </c>
      <c r="AD104" s="725"/>
      <c r="AE104" s="686"/>
      <c r="AF104" s="686"/>
      <c r="AG104" s="690"/>
    </row>
    <row r="105" spans="1:33" s="2" customFormat="1" ht="19.899999999999999" customHeight="1">
      <c r="A105" s="647"/>
      <c r="U105" s="1002"/>
      <c r="V105" s="740" t="s">
        <v>54</v>
      </c>
      <c r="W105" s="755" t="s">
        <v>55</v>
      </c>
      <c r="Y105" s="994" t="s">
        <v>56</v>
      </c>
      <c r="Z105" s="994"/>
      <c r="AA105" s="994"/>
      <c r="AB105" s="994"/>
      <c r="AC105" s="994"/>
      <c r="AD105" s="725"/>
      <c r="AE105" s="686"/>
      <c r="AF105" s="686"/>
      <c r="AG105" s="690"/>
    </row>
    <row r="106" spans="1:33" s="2" customFormat="1" ht="19.899999999999999" customHeight="1">
      <c r="A106" s="647"/>
      <c r="U106" s="1002"/>
      <c r="V106" s="740" t="s">
        <v>57</v>
      </c>
      <c r="W106" s="755" t="s">
        <v>58</v>
      </c>
      <c r="Y106" s="612" t="s">
        <v>59</v>
      </c>
      <c r="Z106" s="758"/>
      <c r="AA106" s="746" t="s">
        <v>60</v>
      </c>
      <c r="AB106" s="694" t="s">
        <v>61</v>
      </c>
      <c r="AC106" s="702" t="s">
        <v>62</v>
      </c>
      <c r="AD106" s="725"/>
      <c r="AE106" s="686"/>
      <c r="AF106" s="686"/>
      <c r="AG106" s="690"/>
    </row>
    <row r="107" spans="1:33" s="2" customFormat="1" ht="19.899999999999999" customHeight="1">
      <c r="A107" s="647"/>
      <c r="U107" s="1002"/>
      <c r="V107" s="740"/>
      <c r="W107" s="755"/>
      <c r="Y107" s="686" t="s">
        <v>63</v>
      </c>
      <c r="AA107" s="746" t="s">
        <v>64</v>
      </c>
    </row>
    <row r="108" spans="1:33" s="2" customFormat="1" ht="19.899999999999999" customHeight="1">
      <c r="A108" s="647"/>
      <c r="U108" s="1002"/>
      <c r="V108" s="51" t="s">
        <v>65</v>
      </c>
      <c r="W108" s="755" t="s">
        <v>66</v>
      </c>
      <c r="X108" s="188"/>
      <c r="Y108" s="704" t="s">
        <v>67</v>
      </c>
      <c r="Z108" s="749"/>
      <c r="AA108" s="2" t="s">
        <v>68</v>
      </c>
      <c r="AB108" s="697" t="s">
        <v>69</v>
      </c>
      <c r="AC108" s="756" t="s">
        <v>70</v>
      </c>
      <c r="AE108" s="686"/>
      <c r="AF108" s="686"/>
      <c r="AG108" s="690"/>
    </row>
    <row r="109" spans="1:33" s="2" customFormat="1" ht="19.899999999999999" customHeight="1">
      <c r="A109" s="647"/>
      <c r="U109" s="1002"/>
      <c r="V109" s="51" t="s">
        <v>71</v>
      </c>
      <c r="W109" s="755" t="s">
        <v>72</v>
      </c>
      <c r="X109" s="188"/>
      <c r="Y109" s="620" t="s">
        <v>73</v>
      </c>
      <c r="AA109" s="943" t="s">
        <v>74</v>
      </c>
      <c r="AB109" s="725"/>
      <c r="AC109" s="725"/>
      <c r="AD109" s="725"/>
      <c r="AE109" s="686"/>
      <c r="AF109" s="686"/>
      <c r="AG109" s="690"/>
    </row>
    <row r="110" spans="1:33" s="2" customFormat="1" ht="19.899999999999999" customHeight="1">
      <c r="A110" s="647"/>
      <c r="U110" s="1002"/>
      <c r="V110" s="51" t="s">
        <v>75</v>
      </c>
      <c r="W110" s="755" t="s">
        <v>76</v>
      </c>
      <c r="X110" s="188"/>
      <c r="AD110" s="725"/>
      <c r="AE110" s="686"/>
      <c r="AF110" s="686"/>
      <c r="AG110" s="690"/>
    </row>
    <row r="111" spans="1:33" s="2" customFormat="1" ht="19.899999999999999" customHeight="1">
      <c r="A111" s="647"/>
      <c r="U111" s="1002"/>
      <c r="V111" s="51" t="s">
        <v>77</v>
      </c>
      <c r="W111" s="755" t="s">
        <v>78</v>
      </c>
      <c r="X111" s="188"/>
      <c r="Y111" s="493" t="s">
        <v>79</v>
      </c>
      <c r="Z111" s="748"/>
      <c r="AA111" s="601"/>
      <c r="AB111" s="703" t="s">
        <v>80</v>
      </c>
      <c r="AD111" s="686"/>
      <c r="AG111" s="690"/>
    </row>
    <row r="112" spans="1:33" s="2" customFormat="1" ht="19.899999999999999" customHeight="1">
      <c r="A112" s="647"/>
      <c r="U112" s="1002"/>
      <c r="V112" s="51" t="s">
        <v>81</v>
      </c>
      <c r="W112" s="755" t="s">
        <v>82</v>
      </c>
      <c r="X112" s="188"/>
      <c r="Y112" s="682" t="s">
        <v>83</v>
      </c>
      <c r="Z112" s="2" t="s">
        <v>84</v>
      </c>
      <c r="AB112" s="683" t="s">
        <v>85</v>
      </c>
      <c r="AD112" s="725"/>
      <c r="AE112" s="686"/>
      <c r="AF112" s="686"/>
      <c r="AG112" s="690"/>
    </row>
    <row r="113" spans="1:36" s="2" customFormat="1" ht="19.899999999999999" customHeight="1">
      <c r="A113" s="647"/>
      <c r="U113" s="1002"/>
      <c r="V113" s="51"/>
      <c r="W113" s="755"/>
      <c r="X113" s="188"/>
      <c r="Y113" s="697"/>
      <c r="AA113" s="690"/>
      <c r="AB113" s="725"/>
      <c r="AC113" s="725"/>
      <c r="AD113" s="725"/>
      <c r="AE113" s="686"/>
      <c r="AF113" s="686"/>
      <c r="AG113" s="690"/>
    </row>
    <row r="114" spans="1:36" s="2" customFormat="1" ht="19.899999999999999" customHeight="1">
      <c r="A114" s="647"/>
      <c r="U114" s="1002"/>
      <c r="V114" s="762" t="s">
        <v>86</v>
      </c>
      <c r="W114" s="763" t="s">
        <v>18</v>
      </c>
      <c r="X114" s="645"/>
      <c r="Y114" s="780" t="s">
        <v>87</v>
      </c>
      <c r="Z114" s="778" t="s">
        <v>88</v>
      </c>
      <c r="AA114" s="687"/>
      <c r="AB114" s="617" t="s">
        <v>89</v>
      </c>
      <c r="AC114" s="773" t="s">
        <v>90</v>
      </c>
      <c r="AD114" s="1005"/>
      <c r="AE114" s="1005"/>
      <c r="AF114" s="1005"/>
      <c r="AG114" s="1005"/>
      <c r="AH114" s="686"/>
    </row>
    <row r="115" spans="1:36" s="2" customFormat="1" ht="19.899999999999999" customHeight="1">
      <c r="A115" s="647"/>
      <c r="U115" s="1002"/>
      <c r="V115" s="764" t="s">
        <v>91</v>
      </c>
      <c r="W115" s="765" t="s">
        <v>92</v>
      </c>
      <c r="X115" s="188"/>
      <c r="Y115" s="699" t="s">
        <v>93</v>
      </c>
      <c r="Z115" s="779" t="s">
        <v>94</v>
      </c>
      <c r="AB115" s="695" t="s">
        <v>95</v>
      </c>
      <c r="AC115" s="773" t="s">
        <v>96</v>
      </c>
      <c r="AF115" s="1005"/>
      <c r="AG115" s="1005"/>
    </row>
    <row r="116" spans="1:36" s="2" customFormat="1" ht="19.899999999999999" customHeight="1">
      <c r="A116" s="647"/>
      <c r="U116" s="1002"/>
      <c r="V116" s="691" t="s">
        <v>97</v>
      </c>
      <c r="W116" s="766" t="s">
        <v>98</v>
      </c>
      <c r="X116" s="188"/>
      <c r="Y116" s="767"/>
      <c r="AB116" s="1005"/>
      <c r="AC116" s="1005"/>
      <c r="AD116" s="1005"/>
      <c r="AE116" s="686"/>
      <c r="AF116" s="686"/>
      <c r="AG116" s="690"/>
    </row>
    <row r="117" spans="1:36" s="2" customFormat="1" ht="19.899999999999999" customHeight="1">
      <c r="A117" s="647"/>
      <c r="U117" s="1002"/>
      <c r="V117" s="692" t="s">
        <v>99</v>
      </c>
      <c r="W117" s="747" t="s">
        <v>99</v>
      </c>
      <c r="X117" s="188"/>
      <c r="Y117" s="781" t="s">
        <v>100</v>
      </c>
      <c r="Z117" s="774" t="s">
        <v>101</v>
      </c>
      <c r="AA117" s="687" t="s">
        <v>60</v>
      </c>
      <c r="AB117" s="687" t="s">
        <v>102</v>
      </c>
      <c r="AE117" s="686"/>
      <c r="AF117" s="686"/>
      <c r="AG117" s="690"/>
    </row>
    <row r="118" spans="1:36" s="2" customFormat="1" ht="19.899999999999999" customHeight="1">
      <c r="A118" s="647"/>
      <c r="U118" s="1002"/>
      <c r="V118" s="768" t="s">
        <v>103</v>
      </c>
      <c r="W118" s="769"/>
      <c r="X118" s="188"/>
      <c r="Y118" s="687" t="s">
        <v>104</v>
      </c>
      <c r="Z118" s="747" t="s">
        <v>105</v>
      </c>
      <c r="AA118" s="688" t="s">
        <v>106</v>
      </c>
      <c r="AB118" s="687" t="s">
        <v>107</v>
      </c>
      <c r="AE118" s="686"/>
      <c r="AF118" s="686"/>
      <c r="AG118" s="690"/>
    </row>
    <row r="119" spans="1:36" s="2" customFormat="1" ht="19.899999999999999" customHeight="1">
      <c r="A119" s="647"/>
      <c r="U119" s="1002"/>
      <c r="V119" s="770" t="s">
        <v>108</v>
      </c>
      <c r="W119" s="771" t="s">
        <v>109</v>
      </c>
      <c r="X119" s="188"/>
      <c r="Y119" s="645" t="s">
        <v>110</v>
      </c>
      <c r="Z119" s="747" t="s">
        <v>111</v>
      </c>
      <c r="AA119" s="686" t="s">
        <v>112</v>
      </c>
      <c r="AB119" s="687" t="s">
        <v>113</v>
      </c>
      <c r="AE119" s="686"/>
      <c r="AF119" s="686"/>
      <c r="AG119" s="690"/>
    </row>
    <row r="120" spans="1:36" s="2" customFormat="1" ht="19.899999999999999" customHeight="1">
      <c r="A120" s="647"/>
      <c r="U120" s="1002"/>
      <c r="V120" s="686" t="s">
        <v>114</v>
      </c>
      <c r="W120" s="687" t="s">
        <v>115</v>
      </c>
      <c r="X120" s="188"/>
      <c r="Y120" s="691" t="s">
        <v>116</v>
      </c>
      <c r="Z120" s="747" t="s">
        <v>117</v>
      </c>
      <c r="AA120" s="686" t="s">
        <v>118</v>
      </c>
      <c r="AB120" s="687" t="s">
        <v>119</v>
      </c>
      <c r="AE120" s="686"/>
      <c r="AF120" s="686"/>
      <c r="AG120" s="690"/>
    </row>
    <row r="121" spans="1:36" s="2" customFormat="1" ht="19.899999999999999" customHeight="1">
      <c r="A121" s="647"/>
      <c r="U121" s="1002"/>
      <c r="V121" s="686"/>
      <c r="W121" s="687"/>
      <c r="X121" s="188"/>
      <c r="Y121" s="2" t="s">
        <v>120</v>
      </c>
      <c r="Z121" s="747" t="s">
        <v>121</v>
      </c>
      <c r="AA121" s="777" t="s">
        <v>122</v>
      </c>
      <c r="AB121" s="687" t="s">
        <v>123</v>
      </c>
      <c r="AC121" s="932"/>
      <c r="AD121" s="932"/>
      <c r="AE121" s="686"/>
      <c r="AF121" s="686"/>
      <c r="AG121" s="690"/>
    </row>
    <row r="122" spans="1:36" s="2" customFormat="1" ht="19.899999999999999" customHeight="1">
      <c r="A122" s="647"/>
      <c r="U122" s="1002"/>
      <c r="V122" s="772" t="s">
        <v>124</v>
      </c>
      <c r="W122" s="773" t="s">
        <v>17</v>
      </c>
      <c r="X122" s="188"/>
      <c r="Y122" s="619" t="s">
        <v>125</v>
      </c>
      <c r="Z122" s="757"/>
      <c r="AA122" s="615" t="s">
        <v>126</v>
      </c>
      <c r="AB122" s="615" t="s">
        <v>127</v>
      </c>
      <c r="AC122" s="615" t="s">
        <v>128</v>
      </c>
      <c r="AD122" s="932"/>
      <c r="AE122" s="686"/>
      <c r="AF122" s="686"/>
      <c r="AG122" s="690"/>
    </row>
    <row r="123" spans="1:36" s="2" customFormat="1" ht="19.899999999999999" customHeight="1">
      <c r="A123" s="648"/>
      <c r="B123" s="620"/>
      <c r="C123" s="616"/>
      <c r="D123" s="616"/>
      <c r="E123" s="616"/>
      <c r="U123" s="1002"/>
      <c r="V123" s="1003" t="s">
        <v>129</v>
      </c>
      <c r="W123" s="1004"/>
      <c r="X123" s="1004"/>
      <c r="Y123" s="1004"/>
      <c r="Z123" s="1004"/>
      <c r="AA123" s="1004"/>
      <c r="AB123" s="1004"/>
      <c r="AC123" s="1004"/>
      <c r="AD123" s="1004"/>
      <c r="AE123" s="705"/>
      <c r="AF123" s="705"/>
      <c r="AG123" s="705"/>
      <c r="AH123" s="705"/>
      <c r="AI123" s="705"/>
      <c r="AJ123" s="705"/>
    </row>
    <row r="124" spans="1:36" s="2" customFormat="1" ht="19.899999999999999" customHeight="1">
      <c r="A124" s="648"/>
      <c r="B124" s="620"/>
      <c r="C124" s="616"/>
      <c r="D124" s="616"/>
      <c r="E124" s="616"/>
      <c r="U124" s="1002"/>
      <c r="V124" s="483" t="s">
        <v>130</v>
      </c>
      <c r="W124" s="773" t="s">
        <v>131</v>
      </c>
      <c r="X124" s="690"/>
      <c r="Y124" s="693" t="s">
        <v>132</v>
      </c>
      <c r="Z124" s="702" t="s">
        <v>133</v>
      </c>
      <c r="AA124" s="2" t="s">
        <v>134</v>
      </c>
      <c r="AB124" s="687" t="s">
        <v>135</v>
      </c>
      <c r="AC124" s="995" t="s">
        <v>136</v>
      </c>
      <c r="AD124" s="615"/>
      <c r="AI124" s="615"/>
    </row>
    <row r="125" spans="1:36" s="2" customFormat="1" ht="19.899999999999999" customHeight="1">
      <c r="A125" s="648"/>
      <c r="B125" s="620"/>
      <c r="C125" s="616"/>
      <c r="D125" s="616"/>
      <c r="E125" s="616"/>
      <c r="U125" s="1002"/>
      <c r="V125" s="2" t="s">
        <v>137</v>
      </c>
      <c r="W125" s="615" t="s">
        <v>138</v>
      </c>
      <c r="X125" s="700" t="s">
        <v>1092</v>
      </c>
      <c r="Y125" s="2" t="s">
        <v>139</v>
      </c>
      <c r="AC125" s="995"/>
      <c r="AD125" s="687"/>
      <c r="AH125" s="686"/>
    </row>
    <row r="126" spans="1:36" s="2" customFormat="1" ht="19.899999999999999" customHeight="1">
      <c r="A126" s="648"/>
      <c r="B126" s="620"/>
      <c r="C126" s="616"/>
      <c r="D126" s="616"/>
      <c r="E126" s="616"/>
      <c r="U126" s="1002"/>
      <c r="V126" s="460" t="s">
        <v>140</v>
      </c>
      <c r="W126" s="702" t="s">
        <v>141</v>
      </c>
      <c r="Z126" s="685" t="s">
        <v>142</v>
      </c>
      <c r="AA126" s="618" t="s">
        <v>143</v>
      </c>
      <c r="AC126" s="996" t="s">
        <v>144</v>
      </c>
    </row>
    <row r="127" spans="1:36" s="2" customFormat="1" ht="19.899999999999999" customHeight="1">
      <c r="A127" s="648"/>
      <c r="B127" s="620"/>
      <c r="C127" s="616"/>
      <c r="D127" s="616"/>
      <c r="E127" s="616"/>
      <c r="U127" s="1002"/>
      <c r="V127" s="687" t="s">
        <v>145</v>
      </c>
      <c r="W127" s="773" t="s">
        <v>146</v>
      </c>
      <c r="Z127" s="696" t="s">
        <v>21</v>
      </c>
      <c r="AA127" s="614" t="s">
        <v>22</v>
      </c>
      <c r="AB127" s="775"/>
      <c r="AC127" s="997"/>
      <c r="AD127" s="614"/>
    </row>
    <row r="128" spans="1:36" s="2" customFormat="1" ht="19.899999999999999" customHeight="1">
      <c r="A128" s="648"/>
      <c r="B128" s="620"/>
      <c r="C128" s="616"/>
      <c r="D128" s="616"/>
      <c r="E128" s="616"/>
      <c r="U128" s="1002"/>
      <c r="V128" s="687" t="s">
        <v>147</v>
      </c>
      <c r="W128" s="776" t="s">
        <v>148</v>
      </c>
      <c r="Z128" s="687" t="s">
        <v>149</v>
      </c>
      <c r="AA128" s="773" t="s">
        <v>150</v>
      </c>
      <c r="AC128" s="997"/>
      <c r="AD128" s="614"/>
    </row>
    <row r="129" spans="1:36" s="2" customFormat="1" ht="19.899999999999999" customHeight="1">
      <c r="A129" s="648"/>
      <c r="B129" s="620"/>
      <c r="C129" s="616"/>
      <c r="D129" s="616"/>
      <c r="E129" s="616"/>
      <c r="U129" s="1002"/>
      <c r="V129" s="687" t="s">
        <v>151</v>
      </c>
      <c r="W129" s="684" t="s">
        <v>152</v>
      </c>
      <c r="Z129" s="687" t="s">
        <v>153</v>
      </c>
      <c r="AA129" s="687" t="s">
        <v>154</v>
      </c>
      <c r="AC129" s="997"/>
      <c r="AF129" s="686"/>
      <c r="AG129" s="686"/>
      <c r="AH129" s="687"/>
      <c r="AI129" s="644"/>
      <c r="AJ129" s="615"/>
    </row>
    <row r="130" spans="1:36" s="2" customFormat="1" ht="19.899999999999999" customHeight="1">
      <c r="A130" s="648"/>
      <c r="B130" s="620"/>
      <c r="C130" s="616"/>
      <c r="D130" s="616"/>
      <c r="E130" s="616"/>
      <c r="U130" s="931"/>
      <c r="V130" s="687"/>
      <c r="W130" s="684"/>
      <c r="Z130" s="687"/>
      <c r="AA130" s="687"/>
      <c r="AC130" s="997"/>
      <c r="AF130" s="686"/>
      <c r="AG130" s="686"/>
      <c r="AH130" s="687"/>
      <c r="AI130" s="644"/>
      <c r="AJ130" s="615"/>
    </row>
    <row r="131" spans="1:36" s="2" customFormat="1" ht="19.899999999999999" customHeight="1">
      <c r="A131" s="648"/>
      <c r="B131" s="620"/>
      <c r="C131" s="616"/>
      <c r="D131" s="616"/>
      <c r="E131" s="616"/>
      <c r="U131" s="686"/>
      <c r="V131" s="976" t="s">
        <v>155</v>
      </c>
      <c r="W131" s="976"/>
      <c r="X131" s="976"/>
      <c r="Y131" s="976"/>
      <c r="Z131" s="976"/>
      <c r="AA131" s="976"/>
      <c r="AB131" s="976"/>
      <c r="AC131" s="976"/>
      <c r="AD131" s="686"/>
      <c r="AE131" s="686"/>
      <c r="AF131" s="686"/>
      <c r="AG131" s="686"/>
      <c r="AH131" s="686"/>
      <c r="AI131" s="686"/>
      <c r="AJ131" s="686"/>
    </row>
    <row r="132" spans="1:36" s="2" customFormat="1" ht="19.899999999999999" customHeight="1">
      <c r="A132" s="648"/>
      <c r="B132" s="620"/>
      <c r="C132" s="616"/>
      <c r="D132" s="616"/>
      <c r="E132" s="616"/>
      <c r="U132" s="686"/>
      <c r="V132" s="740" t="s">
        <v>30</v>
      </c>
      <c r="W132" s="782" t="s">
        <v>156</v>
      </c>
      <c r="X132" s="663" t="s">
        <v>157</v>
      </c>
      <c r="Y132" s="51"/>
      <c r="Z132" s="686" t="s">
        <v>158</v>
      </c>
      <c r="AA132" s="686"/>
      <c r="AB132" s="686"/>
      <c r="AC132" s="686"/>
      <c r="AD132" s="686"/>
      <c r="AE132" s="686"/>
      <c r="AF132" s="686"/>
      <c r="AG132" s="686"/>
      <c r="AH132" s="686"/>
      <c r="AI132" s="686"/>
      <c r="AJ132" s="686"/>
    </row>
    <row r="133" spans="1:36" ht="19.899999999999999" customHeight="1">
      <c r="U133" s="526"/>
      <c r="V133" s="687" t="s">
        <v>159</v>
      </c>
      <c r="W133" s="450" t="s">
        <v>160</v>
      </c>
      <c r="Y133" s="51" t="s">
        <v>161</v>
      </c>
      <c r="Z133" s="526" t="s">
        <v>162</v>
      </c>
      <c r="AA133" s="526"/>
      <c r="AB133" s="526" t="s">
        <v>163</v>
      </c>
      <c r="AC133" s="526"/>
      <c r="AD133" s="526"/>
      <c r="AE133" s="526"/>
      <c r="AF133" s="526"/>
      <c r="AG133" s="526"/>
      <c r="AH133" s="526"/>
      <c r="AI133" s="526"/>
      <c r="AJ133" s="526"/>
    </row>
    <row r="134" spans="1:36" ht="28.15" customHeight="1">
      <c r="U134" s="526"/>
      <c r="Y134" s="51"/>
      <c r="Z134" s="526"/>
      <c r="AA134" s="526"/>
      <c r="AB134" s="526"/>
      <c r="AC134" s="526"/>
      <c r="AD134" s="526"/>
      <c r="AE134" s="526"/>
      <c r="AF134" s="526"/>
      <c r="AG134" s="526"/>
      <c r="AH134" s="526"/>
      <c r="AI134" s="526"/>
      <c r="AJ134" s="526"/>
    </row>
    <row r="135" spans="1:36" ht="28.15" customHeight="1">
      <c r="Y135" s="51"/>
    </row>
    <row r="136" spans="1:36" ht="28.15" customHeight="1">
      <c r="Y136" s="51"/>
    </row>
    <row r="137" spans="1:36" ht="28.15" customHeight="1">
      <c r="V137" s="740" t="s">
        <v>164</v>
      </c>
      <c r="W137" s="950">
        <v>12</v>
      </c>
      <c r="X137" s="82" t="s">
        <v>51</v>
      </c>
      <c r="Y137" s="51"/>
    </row>
    <row r="138" spans="1:36" ht="28.15" customHeight="1">
      <c r="V138" s="740" t="s">
        <v>165</v>
      </c>
      <c r="W138" s="950">
        <v>10</v>
      </c>
      <c r="X138" s="82" t="s">
        <v>51</v>
      </c>
      <c r="Y138" s="51"/>
    </row>
    <row r="139" spans="1:36" ht="28.15" customHeight="1">
      <c r="V139" s="740" t="s">
        <v>166</v>
      </c>
      <c r="W139" s="950">
        <v>20</v>
      </c>
      <c r="X139" s="82" t="s">
        <v>51</v>
      </c>
      <c r="Y139" s="51"/>
    </row>
    <row r="140" spans="1:36" ht="28.15" customHeight="1">
      <c r="V140" s="741" t="s">
        <v>167</v>
      </c>
      <c r="W140" s="950">
        <v>15</v>
      </c>
      <c r="X140" s="82" t="s">
        <v>51</v>
      </c>
      <c r="Y140" s="51"/>
    </row>
    <row r="141" spans="1:36" ht="28.15" customHeight="1">
      <c r="V141" s="740" t="s">
        <v>168</v>
      </c>
      <c r="W141" s="742">
        <v>20</v>
      </c>
      <c r="X141" s="82" t="s">
        <v>51</v>
      </c>
      <c r="Y141" s="51"/>
    </row>
    <row r="142" spans="1:36" ht="28.15" customHeight="1">
      <c r="V142" s="740" t="s">
        <v>169</v>
      </c>
      <c r="W142" s="950">
        <v>15</v>
      </c>
      <c r="X142" s="82" t="s">
        <v>170</v>
      </c>
      <c r="Y142" s="51"/>
    </row>
    <row r="143" spans="1:36" ht="28.15" customHeight="1">
      <c r="Y143" s="51"/>
    </row>
    <row r="144" spans="1:36" ht="28.15" customHeight="1">
      <c r="V144" s="740" t="s">
        <v>171</v>
      </c>
    </row>
  </sheetData>
  <mergeCells count="224">
    <mergeCell ref="A1:C1"/>
    <mergeCell ref="D1:F1"/>
    <mergeCell ref="R1:S1"/>
    <mergeCell ref="A2:A3"/>
    <mergeCell ref="B2:B3"/>
    <mergeCell ref="C7:F7"/>
    <mergeCell ref="G7:J7"/>
    <mergeCell ref="K7:M7"/>
    <mergeCell ref="N7:P7"/>
    <mergeCell ref="Q7:R7"/>
    <mergeCell ref="A8:A9"/>
    <mergeCell ref="B8:B9"/>
    <mergeCell ref="C4:F4"/>
    <mergeCell ref="G4:J4"/>
    <mergeCell ref="K4:M4"/>
    <mergeCell ref="N4:P4"/>
    <mergeCell ref="Q4:R4"/>
    <mergeCell ref="A5:A6"/>
    <mergeCell ref="B5:B6"/>
    <mergeCell ref="C13:F13"/>
    <mergeCell ref="G13:J13"/>
    <mergeCell ref="K13:M13"/>
    <mergeCell ref="N13:P13"/>
    <mergeCell ref="Q13:R13"/>
    <mergeCell ref="A14:A15"/>
    <mergeCell ref="B14:B15"/>
    <mergeCell ref="C10:F10"/>
    <mergeCell ref="G10:J10"/>
    <mergeCell ref="K10:M10"/>
    <mergeCell ref="N10:P10"/>
    <mergeCell ref="Q10:R10"/>
    <mergeCell ref="A11:A12"/>
    <mergeCell ref="B11:B12"/>
    <mergeCell ref="K19:M19"/>
    <mergeCell ref="N19:P19"/>
    <mergeCell ref="Q19:R19"/>
    <mergeCell ref="A20:A21"/>
    <mergeCell ref="B20:B21"/>
    <mergeCell ref="C16:F16"/>
    <mergeCell ref="G16:J16"/>
    <mergeCell ref="K16:M16"/>
    <mergeCell ref="N16:P16"/>
    <mergeCell ref="Q16:R16"/>
    <mergeCell ref="A17:A18"/>
    <mergeCell ref="B17:B18"/>
    <mergeCell ref="A27:A28"/>
    <mergeCell ref="B27:B28"/>
    <mergeCell ref="C22:F22"/>
    <mergeCell ref="G22:J22"/>
    <mergeCell ref="K22:M22"/>
    <mergeCell ref="N22:P22"/>
    <mergeCell ref="Q22:R22"/>
    <mergeCell ref="A24:A25"/>
    <mergeCell ref="B24:B25"/>
    <mergeCell ref="A33:A34"/>
    <mergeCell ref="B33:B34"/>
    <mergeCell ref="G35:J35"/>
    <mergeCell ref="K35:M35"/>
    <mergeCell ref="N35:P35"/>
    <mergeCell ref="Q35:R35"/>
    <mergeCell ref="A23:C23"/>
    <mergeCell ref="L23:M23"/>
    <mergeCell ref="R23:S23"/>
    <mergeCell ref="A32:B32"/>
    <mergeCell ref="C32:F32"/>
    <mergeCell ref="G32:J32"/>
    <mergeCell ref="K32:M32"/>
    <mergeCell ref="N32:P32"/>
    <mergeCell ref="Q32:R32"/>
    <mergeCell ref="C29:F29"/>
    <mergeCell ref="G29:J29"/>
    <mergeCell ref="K29:M29"/>
    <mergeCell ref="N29:P29"/>
    <mergeCell ref="Q29:R29"/>
    <mergeCell ref="A30:A31"/>
    <mergeCell ref="B30:B31"/>
    <mergeCell ref="C26:F26"/>
    <mergeCell ref="G26:J26"/>
    <mergeCell ref="A39:A40"/>
    <mergeCell ref="B39:B40"/>
    <mergeCell ref="G41:J41"/>
    <mergeCell ref="K41:M41"/>
    <mergeCell ref="N41:P41"/>
    <mergeCell ref="Q41:R41"/>
    <mergeCell ref="A36:A37"/>
    <mergeCell ref="B36:B37"/>
    <mergeCell ref="G38:J38"/>
    <mergeCell ref="K38:M38"/>
    <mergeCell ref="N38:P38"/>
    <mergeCell ref="Q38:R38"/>
    <mergeCell ref="A42:A43"/>
    <mergeCell ref="B42:B43"/>
    <mergeCell ref="G44:J44"/>
    <mergeCell ref="K44:M44"/>
    <mergeCell ref="N44:P44"/>
    <mergeCell ref="Q44:R44"/>
    <mergeCell ref="L45:M45"/>
    <mergeCell ref="R45:S45"/>
    <mergeCell ref="A45:C45"/>
    <mergeCell ref="A49:A50"/>
    <mergeCell ref="B49:B50"/>
    <mergeCell ref="G51:J51"/>
    <mergeCell ref="K51:M51"/>
    <mergeCell ref="N51:P51"/>
    <mergeCell ref="Q51:R51"/>
    <mergeCell ref="A46:A47"/>
    <mergeCell ref="B46:B47"/>
    <mergeCell ref="G48:J48"/>
    <mergeCell ref="K48:M48"/>
    <mergeCell ref="N48:P48"/>
    <mergeCell ref="Q48:R48"/>
    <mergeCell ref="A61:A62"/>
    <mergeCell ref="B61:B62"/>
    <mergeCell ref="G63:J63"/>
    <mergeCell ref="K63:M63"/>
    <mergeCell ref="N63:P63"/>
    <mergeCell ref="Q63:R63"/>
    <mergeCell ref="A58:A59"/>
    <mergeCell ref="B58:B59"/>
    <mergeCell ref="G60:J60"/>
    <mergeCell ref="K60:M60"/>
    <mergeCell ref="N60:P60"/>
    <mergeCell ref="Q60:R60"/>
    <mergeCell ref="A55:A56"/>
    <mergeCell ref="B55:B56"/>
    <mergeCell ref="G57:J57"/>
    <mergeCell ref="K57:M57"/>
    <mergeCell ref="N57:P57"/>
    <mergeCell ref="Q57:R57"/>
    <mergeCell ref="A52:A53"/>
    <mergeCell ref="B52:B53"/>
    <mergeCell ref="G54:J54"/>
    <mergeCell ref="K54:M54"/>
    <mergeCell ref="N54:P54"/>
    <mergeCell ref="Q54:R54"/>
    <mergeCell ref="A68:A69"/>
    <mergeCell ref="B68:B69"/>
    <mergeCell ref="G70:J70"/>
    <mergeCell ref="K70:M70"/>
    <mergeCell ref="N70:P70"/>
    <mergeCell ref="Q70:R70"/>
    <mergeCell ref="A64:A65"/>
    <mergeCell ref="B64:B65"/>
    <mergeCell ref="G66:J66"/>
    <mergeCell ref="K66:M66"/>
    <mergeCell ref="N66:P66"/>
    <mergeCell ref="Q66:R66"/>
    <mergeCell ref="A67:C67"/>
    <mergeCell ref="D67:F67"/>
    <mergeCell ref="J67:K67"/>
    <mergeCell ref="L67:M67"/>
    <mergeCell ref="R67:S67"/>
    <mergeCell ref="A74:A75"/>
    <mergeCell ref="B74:B75"/>
    <mergeCell ref="G76:J76"/>
    <mergeCell ref="K76:M76"/>
    <mergeCell ref="N76:P76"/>
    <mergeCell ref="Q76:R76"/>
    <mergeCell ref="A71:A72"/>
    <mergeCell ref="B71:B72"/>
    <mergeCell ref="G73:J73"/>
    <mergeCell ref="K73:M73"/>
    <mergeCell ref="N73:P73"/>
    <mergeCell ref="Q73:R73"/>
    <mergeCell ref="A80:A81"/>
    <mergeCell ref="B80:B81"/>
    <mergeCell ref="G82:J82"/>
    <mergeCell ref="K82:M82"/>
    <mergeCell ref="N82:P82"/>
    <mergeCell ref="Q82:R82"/>
    <mergeCell ref="A77:A78"/>
    <mergeCell ref="B77:B78"/>
    <mergeCell ref="G79:J79"/>
    <mergeCell ref="K79:M79"/>
    <mergeCell ref="N79:P79"/>
    <mergeCell ref="Q79:R79"/>
    <mergeCell ref="A86:A87"/>
    <mergeCell ref="B86:B87"/>
    <mergeCell ref="G88:J88"/>
    <mergeCell ref="K88:M88"/>
    <mergeCell ref="N88:P88"/>
    <mergeCell ref="Q88:R88"/>
    <mergeCell ref="A83:A84"/>
    <mergeCell ref="B83:B84"/>
    <mergeCell ref="G85:J85"/>
    <mergeCell ref="K85:M85"/>
    <mergeCell ref="N85:P85"/>
    <mergeCell ref="Q85:R85"/>
    <mergeCell ref="A92:A93"/>
    <mergeCell ref="B92:B93"/>
    <mergeCell ref="G94:J94"/>
    <mergeCell ref="K94:M94"/>
    <mergeCell ref="N94:P94"/>
    <mergeCell ref="Q94:R94"/>
    <mergeCell ref="A89:A90"/>
    <mergeCell ref="B89:B90"/>
    <mergeCell ref="G91:J91"/>
    <mergeCell ref="K91:M91"/>
    <mergeCell ref="N91:P91"/>
    <mergeCell ref="Q91:R91"/>
    <mergeCell ref="AC124:AC125"/>
    <mergeCell ref="AC126:AC130"/>
    <mergeCell ref="V131:AC131"/>
    <mergeCell ref="L1:M1"/>
    <mergeCell ref="J1:K1"/>
    <mergeCell ref="D23:F23"/>
    <mergeCell ref="J23:K23"/>
    <mergeCell ref="D45:F45"/>
    <mergeCell ref="J45:K45"/>
    <mergeCell ref="V97:AD97"/>
    <mergeCell ref="U98:U129"/>
    <mergeCell ref="V98:W98"/>
    <mergeCell ref="AB98:AC98"/>
    <mergeCell ref="Y99:Z99"/>
    <mergeCell ref="Y105:AC105"/>
    <mergeCell ref="AD114:AG114"/>
    <mergeCell ref="AF115:AG115"/>
    <mergeCell ref="AB116:AD116"/>
    <mergeCell ref="V123:AD123"/>
    <mergeCell ref="K26:M26"/>
    <mergeCell ref="N26:P26"/>
    <mergeCell ref="Q26:R26"/>
    <mergeCell ref="C19:F19"/>
    <mergeCell ref="G19:J19"/>
  </mergeCells>
  <printOptions horizontalCentered="1" verticalCentered="1" gridLines="1"/>
  <pageMargins left="0.2" right="0.18" top="0.17" bottom="0.23" header="0.17" footer="0.17"/>
  <pageSetup orientation="landscape" r:id="rId1"/>
  <headerFooter alignWithMargins="0">
    <oddFooter xml:space="preserve">&amp;L
&amp;D &amp;T  .......    &amp;A&amp;A ........&amp;F
&amp;C
&amp;R 
</oddFooter>
  </headerFooter>
  <rowBreaks count="3" manualBreakCount="3">
    <brk id="22" max="18" man="1"/>
    <brk id="44" max="18" man="1"/>
    <brk id="66" max="18"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68551-9120-4844-88C2-E95FAE0FB98E}">
  <sheetPr codeName="Sheet14">
    <tabColor rgb="FFFFFF00"/>
  </sheetPr>
  <dimension ref="A1:BA146"/>
  <sheetViews>
    <sheetView view="pageBreakPreview" topLeftCell="A29" zoomScaleNormal="100" zoomScaleSheetLayoutView="100" workbookViewId="0">
      <selection activeCell="B33" sqref="B33"/>
    </sheetView>
  </sheetViews>
  <sheetFormatPr defaultColWidth="5.28515625" defaultRowHeight="28.15" customHeight="1"/>
  <cols>
    <col min="1" max="1" width="3" style="646" customWidth="1"/>
    <col min="2" max="2" width="11.85546875" style="488" customWidth="1"/>
    <col min="3" max="3" width="7.28515625" style="148" customWidth="1"/>
    <col min="4" max="5" width="6.7109375" style="148" customWidth="1"/>
    <col min="6" max="6" width="6.7109375" customWidth="1"/>
    <col min="7" max="7" width="7.85546875" customWidth="1"/>
    <col min="8" max="8" width="7.7109375" customWidth="1"/>
    <col min="9" max="18" width="6.7109375" customWidth="1"/>
    <col min="19" max="19" width="8.7109375" customWidth="1"/>
    <col min="21" max="21" width="1.85546875" customWidth="1"/>
    <col min="22" max="22" width="21.42578125" customWidth="1"/>
    <col min="23" max="23" width="10.7109375" style="352" customWidth="1"/>
    <col min="24" max="24" width="3.5703125" customWidth="1"/>
    <col min="25" max="25" width="17.42578125" customWidth="1"/>
    <col min="26" max="26" width="10.7109375" customWidth="1"/>
    <col min="27" max="27" width="9.42578125" customWidth="1"/>
    <col min="28" max="28" width="14.28515625" customWidth="1"/>
    <col min="29" max="29" width="11.7109375" customWidth="1"/>
    <col min="30" max="30" width="1.42578125" customWidth="1"/>
    <col min="31" max="31" width="7.7109375" customWidth="1"/>
    <col min="32" max="32" width="6" customWidth="1"/>
    <col min="33" max="33" width="6.7109375" customWidth="1"/>
    <col min="35" max="35" width="6.5703125" customWidth="1"/>
    <col min="36" max="36" width="7.28515625" customWidth="1"/>
    <col min="42" max="42" width="7.7109375" customWidth="1"/>
  </cols>
  <sheetData>
    <row r="1" spans="1:23" ht="28.15" customHeight="1">
      <c r="A1" s="1145" t="s">
        <v>1091</v>
      </c>
      <c r="B1" s="1146"/>
      <c r="C1" s="1146"/>
      <c r="D1" s="992" t="str">
        <f>+'jobinfo(2)'!$C$1</f>
        <v>Hatten, Nedra</v>
      </c>
      <c r="E1" s="992"/>
      <c r="F1" s="992"/>
      <c r="G1" s="818" t="str">
        <f>+'jobinfo(2)'!$C$2</f>
        <v>628 Quilliams Road</v>
      </c>
      <c r="H1" s="818"/>
      <c r="I1" s="818"/>
      <c r="J1" s="1135" t="str">
        <f>'jobinfo(2)'!$C$3</f>
        <v>Cleveland Heights, OH 44121</v>
      </c>
      <c r="K1" s="1135"/>
      <c r="L1" s="1134" t="str">
        <f>'jobinfo(2)'!$N$53</f>
        <v>3rd Floor Up</v>
      </c>
      <c r="M1" s="1134"/>
      <c r="O1" s="706" t="str">
        <f>'jobinfo(2)'!$C$11</f>
        <v>BATHTUB OVERFLOW</v>
      </c>
      <c r="P1" s="129" t="str">
        <f>'jobinfo(2)'!$C$26</f>
        <v>LIBERTY MUTUAL</v>
      </c>
      <c r="R1" s="977" t="str">
        <f>'jobinfo(2)'!$C$27</f>
        <v>#059633981</v>
      </c>
      <c r="S1" s="977"/>
      <c r="W1" s="759"/>
    </row>
    <row r="2" spans="1:23" s="602" customFormat="1" ht="12" customHeight="1">
      <c r="A2" s="980">
        <f>+'jobinfo(2)'!A53</f>
        <v>1</v>
      </c>
      <c r="B2" s="982" t="str">
        <f>+'jobinfo(2)'!N53</f>
        <v>3rd Floor Up</v>
      </c>
      <c r="C2" s="707" t="s">
        <v>1</v>
      </c>
      <c r="D2" s="708" t="s">
        <v>16</v>
      </c>
      <c r="E2" s="709" t="s">
        <v>17</v>
      </c>
      <c r="F2" s="710" t="s">
        <v>10</v>
      </c>
      <c r="G2" s="713" t="s">
        <v>5</v>
      </c>
      <c r="H2" s="708" t="s">
        <v>6</v>
      </c>
      <c r="I2" s="709" t="s">
        <v>17</v>
      </c>
      <c r="J2" s="710" t="s">
        <v>10</v>
      </c>
      <c r="K2" s="711" t="s">
        <v>8</v>
      </c>
      <c r="L2" s="708" t="s">
        <v>9</v>
      </c>
      <c r="M2" s="710" t="s">
        <v>10</v>
      </c>
      <c r="N2" s="712" t="s">
        <v>11</v>
      </c>
      <c r="O2" s="713" t="s">
        <v>12</v>
      </c>
      <c r="P2" s="710" t="s">
        <v>10</v>
      </c>
      <c r="Q2" s="709" t="s">
        <v>13</v>
      </c>
      <c r="R2" s="708" t="s">
        <v>14</v>
      </c>
      <c r="S2" s="711" t="s">
        <v>10</v>
      </c>
      <c r="T2"/>
      <c r="U2" s="603"/>
      <c r="V2" s="603"/>
      <c r="W2" s="751"/>
    </row>
    <row r="3" spans="1:23" ht="33" customHeight="1">
      <c r="A3" s="981"/>
      <c r="B3" s="983"/>
      <c r="C3" s="715"/>
      <c r="D3" s="716"/>
      <c r="E3" s="717"/>
      <c r="F3" s="716"/>
      <c r="G3" s="715"/>
      <c r="H3" s="716"/>
      <c r="I3" s="718"/>
      <c r="J3" s="716"/>
      <c r="K3" s="715"/>
      <c r="L3" s="716"/>
      <c r="M3" s="717"/>
      <c r="N3" s="716"/>
      <c r="O3" s="715"/>
      <c r="P3" s="716"/>
      <c r="Q3" s="718"/>
      <c r="R3" s="716"/>
      <c r="S3" s="718"/>
      <c r="W3" s="750"/>
    </row>
    <row r="4" spans="1:23" ht="33" customHeight="1">
      <c r="A4" s="787" t="s">
        <v>15</v>
      </c>
      <c r="C4" s="1136"/>
      <c r="D4" s="1137"/>
      <c r="E4" s="1137"/>
      <c r="F4" s="1137"/>
      <c r="G4" s="1136"/>
      <c r="H4" s="1137"/>
      <c r="I4" s="1137"/>
      <c r="J4" s="1137"/>
      <c r="K4" s="1136"/>
      <c r="L4" s="1137"/>
      <c r="M4" s="1138"/>
      <c r="N4" s="1136"/>
      <c r="O4" s="1137"/>
      <c r="P4" s="1138"/>
      <c r="Q4" s="1136"/>
      <c r="R4" s="1137"/>
      <c r="S4" s="966"/>
      <c r="T4" s="49"/>
      <c r="U4" s="49"/>
      <c r="W4" s="750"/>
    </row>
    <row r="5" spans="1:23" ht="12" customHeight="1">
      <c r="A5" s="980">
        <f>+'jobinfo(2)'!A54</f>
        <v>2</v>
      </c>
      <c r="B5" s="982" t="str">
        <f>+'jobinfo(2)'!N54</f>
        <v>Attic STAIRS RR =====</v>
      </c>
      <c r="C5" s="707" t="s">
        <v>1</v>
      </c>
      <c r="D5" s="708" t="s">
        <v>16</v>
      </c>
      <c r="E5" s="709" t="s">
        <v>17</v>
      </c>
      <c r="F5" s="710" t="s">
        <v>10</v>
      </c>
      <c r="G5" s="711" t="str">
        <f>G2</f>
        <v>WALL</v>
      </c>
      <c r="H5" s="708" t="s">
        <v>6</v>
      </c>
      <c r="I5" s="709" t="s">
        <v>17</v>
      </c>
      <c r="J5" s="710" t="s">
        <v>10</v>
      </c>
      <c r="K5" s="711" t="s">
        <v>8</v>
      </c>
      <c r="L5" s="708" t="s">
        <v>9</v>
      </c>
      <c r="M5" s="710" t="s">
        <v>10</v>
      </c>
      <c r="N5" s="712" t="s">
        <v>11</v>
      </c>
      <c r="O5" s="713" t="s">
        <v>12</v>
      </c>
      <c r="P5" s="710" t="s">
        <v>10</v>
      </c>
      <c r="Q5" s="714" t="s">
        <v>18</v>
      </c>
      <c r="R5" s="708" t="s">
        <v>14</v>
      </c>
      <c r="S5" s="711" t="s">
        <v>10</v>
      </c>
      <c r="T5" s="49"/>
      <c r="U5" s="49"/>
      <c r="W5" s="750"/>
    </row>
    <row r="6" spans="1:23" ht="33" customHeight="1">
      <c r="A6" s="981"/>
      <c r="B6" s="983"/>
      <c r="C6" s="715"/>
      <c r="D6" s="716"/>
      <c r="E6" s="717"/>
      <c r="F6" s="716"/>
      <c r="G6" s="715"/>
      <c r="H6" s="716"/>
      <c r="I6" s="718"/>
      <c r="J6" s="716"/>
      <c r="K6" s="715"/>
      <c r="L6" s="716"/>
      <c r="M6" s="717"/>
      <c r="N6" s="716"/>
      <c r="O6" s="715"/>
      <c r="P6" s="716"/>
      <c r="Q6" s="718"/>
      <c r="R6" s="716"/>
      <c r="S6" s="718"/>
      <c r="W6" s="750"/>
    </row>
    <row r="7" spans="1:23" ht="33" customHeight="1">
      <c r="A7" s="787" t="s">
        <v>15</v>
      </c>
      <c r="B7" s="784"/>
      <c r="C7" s="1136"/>
      <c r="D7" s="1137"/>
      <c r="E7" s="1137"/>
      <c r="F7" s="1137"/>
      <c r="G7" s="1136"/>
      <c r="H7" s="1137"/>
      <c r="I7" s="1137"/>
      <c r="J7" s="1137"/>
      <c r="K7" s="1136"/>
      <c r="L7" s="1137"/>
      <c r="M7" s="1138"/>
      <c r="N7" s="1136"/>
      <c r="O7" s="1137"/>
      <c r="P7" s="1138"/>
      <c r="Q7" s="1136"/>
      <c r="R7" s="1137"/>
      <c r="S7" s="966"/>
      <c r="W7" s="750"/>
    </row>
    <row r="8" spans="1:23" ht="15.6">
      <c r="A8" s="980">
        <f>+'jobinfo(2)'!A55</f>
        <v>3</v>
      </c>
      <c r="B8" s="988" t="str">
        <f>+'jobinfo(2)'!N55</f>
        <v>Attic REC ROOM</v>
      </c>
      <c r="C8" s="707" t="s">
        <v>1</v>
      </c>
      <c r="D8" s="708" t="s">
        <v>16</v>
      </c>
      <c r="E8" s="709" t="s">
        <v>17</v>
      </c>
      <c r="F8" s="710" t="s">
        <v>10</v>
      </c>
      <c r="G8" s="711" t="str">
        <f>$G$5</f>
        <v>WALL</v>
      </c>
      <c r="H8" s="708" t="s">
        <v>6</v>
      </c>
      <c r="I8" s="709" t="s">
        <v>17</v>
      </c>
      <c r="J8" s="710" t="s">
        <v>10</v>
      </c>
      <c r="K8" s="711" t="s">
        <v>8</v>
      </c>
      <c r="L8" s="708" t="s">
        <v>9</v>
      </c>
      <c r="M8" s="710" t="s">
        <v>10</v>
      </c>
      <c r="N8" s="712" t="s">
        <v>11</v>
      </c>
      <c r="O8" s="713" t="s">
        <v>12</v>
      </c>
      <c r="P8" s="710" t="s">
        <v>10</v>
      </c>
      <c r="Q8" s="714" t="s">
        <v>18</v>
      </c>
      <c r="R8" s="708" t="s">
        <v>14</v>
      </c>
      <c r="S8" s="711" t="s">
        <v>10</v>
      </c>
      <c r="W8" s="750"/>
    </row>
    <row r="9" spans="1:23" ht="31.9" customHeight="1">
      <c r="A9" s="981"/>
      <c r="B9" s="989"/>
      <c r="C9" s="715"/>
      <c r="D9" s="716"/>
      <c r="E9" s="717"/>
      <c r="F9" s="716"/>
      <c r="G9" s="715"/>
      <c r="H9" s="716"/>
      <c r="I9" s="718"/>
      <c r="J9" s="716"/>
      <c r="K9" s="715"/>
      <c r="L9" s="716"/>
      <c r="M9" s="717"/>
      <c r="N9" s="716"/>
      <c r="O9" s="715"/>
      <c r="P9" s="716"/>
      <c r="Q9" s="718"/>
      <c r="R9" s="716"/>
      <c r="S9" s="718"/>
      <c r="W9" s="750"/>
    </row>
    <row r="10" spans="1:23" ht="33" customHeight="1">
      <c r="A10" s="787" t="s">
        <v>15</v>
      </c>
      <c r="B10" s="784"/>
      <c r="C10" s="1136"/>
      <c r="D10" s="1137"/>
      <c r="E10" s="1137"/>
      <c r="F10" s="1137"/>
      <c r="G10" s="1136"/>
      <c r="H10" s="1137"/>
      <c r="I10" s="1137"/>
      <c r="J10" s="1137"/>
      <c r="K10" s="1136"/>
      <c r="L10" s="1137"/>
      <c r="M10" s="1138"/>
      <c r="N10" s="1136"/>
      <c r="O10" s="1137"/>
      <c r="P10" s="1138"/>
      <c r="Q10" s="1136"/>
      <c r="R10" s="1137"/>
      <c r="S10" s="966"/>
      <c r="T10" s="49"/>
      <c r="U10" s="49"/>
      <c r="W10" s="750"/>
    </row>
    <row r="11" spans="1:23" ht="12" customHeight="1">
      <c r="A11" s="980">
        <f>+'jobinfo(2)'!A56</f>
        <v>4</v>
      </c>
      <c r="B11" s="988" t="str">
        <f>+'jobinfo(2)'!N56</f>
        <v>ATTIC Bedroom</v>
      </c>
      <c r="C11" s="707" t="s">
        <v>1</v>
      </c>
      <c r="D11" s="708" t="s">
        <v>16</v>
      </c>
      <c r="E11" s="709" t="s">
        <v>17</v>
      </c>
      <c r="F11" s="710" t="s">
        <v>10</v>
      </c>
      <c r="G11" s="711" t="str">
        <f>$G$5</f>
        <v>WALL</v>
      </c>
      <c r="H11" s="708" t="s">
        <v>6</v>
      </c>
      <c r="I11" s="709" t="s">
        <v>17</v>
      </c>
      <c r="J11" s="710" t="s">
        <v>10</v>
      </c>
      <c r="K11" s="711" t="s">
        <v>8</v>
      </c>
      <c r="L11" s="708" t="s">
        <v>9</v>
      </c>
      <c r="M11" s="710" t="s">
        <v>10</v>
      </c>
      <c r="N11" s="712" t="s">
        <v>11</v>
      </c>
      <c r="O11" s="713" t="s">
        <v>12</v>
      </c>
      <c r="P11" s="710" t="s">
        <v>10</v>
      </c>
      <c r="Q11" s="714" t="s">
        <v>18</v>
      </c>
      <c r="R11" s="708" t="s">
        <v>14</v>
      </c>
      <c r="S11" s="711" t="s">
        <v>10</v>
      </c>
      <c r="T11" s="49"/>
      <c r="U11" s="49"/>
      <c r="W11" s="750"/>
    </row>
    <row r="12" spans="1:23" ht="31.9" customHeight="1">
      <c r="A12" s="981"/>
      <c r="B12" s="989"/>
      <c r="C12" s="715"/>
      <c r="D12" s="716"/>
      <c r="E12" s="717"/>
      <c r="F12" s="716"/>
      <c r="G12" s="715"/>
      <c r="H12" s="716"/>
      <c r="I12" s="718"/>
      <c r="J12" s="716"/>
      <c r="K12" s="715"/>
      <c r="L12" s="716"/>
      <c r="M12" s="717"/>
      <c r="N12" s="716"/>
      <c r="O12" s="715"/>
      <c r="P12" s="716"/>
      <c r="Q12" s="718"/>
      <c r="R12" s="716"/>
      <c r="S12" s="718"/>
      <c r="W12" s="750"/>
    </row>
    <row r="13" spans="1:23" ht="33" customHeight="1">
      <c r="A13" s="786" t="s">
        <v>15</v>
      </c>
      <c r="B13" s="785"/>
      <c r="C13" s="1136"/>
      <c r="D13" s="1137"/>
      <c r="E13" s="1137"/>
      <c r="F13" s="1137"/>
      <c r="G13" s="1136"/>
      <c r="H13" s="1137"/>
      <c r="I13" s="1137"/>
      <c r="J13" s="1137"/>
      <c r="K13" s="1136"/>
      <c r="L13" s="1137"/>
      <c r="M13" s="1138"/>
      <c r="N13" s="1136"/>
      <c r="O13" s="1137"/>
      <c r="P13" s="1138"/>
      <c r="Q13" s="1136"/>
      <c r="R13" s="1137"/>
      <c r="S13" s="966"/>
      <c r="W13" s="750"/>
    </row>
    <row r="14" spans="1:23" ht="12" customHeight="1">
      <c r="A14" s="980">
        <f>+'jobinfo(2)'!A57</f>
        <v>5</v>
      </c>
      <c r="B14" s="988" t="str">
        <f>+'jobinfo(2)'!N57</f>
        <v>ATTIC CLOSET</v>
      </c>
      <c r="C14" s="707" t="s">
        <v>1</v>
      </c>
      <c r="D14" s="708" t="s">
        <v>16</v>
      </c>
      <c r="E14" s="709" t="s">
        <v>17</v>
      </c>
      <c r="F14" s="710" t="s">
        <v>10</v>
      </c>
      <c r="G14" s="711" t="str">
        <f>$G$5</f>
        <v>WALL</v>
      </c>
      <c r="H14" s="708" t="s">
        <v>6</v>
      </c>
      <c r="I14" s="709" t="s">
        <v>17</v>
      </c>
      <c r="J14" s="710" t="s">
        <v>10</v>
      </c>
      <c r="K14" s="711" t="s">
        <v>8</v>
      </c>
      <c r="L14" s="708" t="s">
        <v>9</v>
      </c>
      <c r="M14" s="710" t="s">
        <v>10</v>
      </c>
      <c r="N14" s="712" t="s">
        <v>11</v>
      </c>
      <c r="O14" s="713" t="s">
        <v>12</v>
      </c>
      <c r="P14" s="710" t="s">
        <v>10</v>
      </c>
      <c r="Q14" s="714" t="s">
        <v>18</v>
      </c>
      <c r="R14" s="708" t="s">
        <v>14</v>
      </c>
      <c r="S14" s="711" t="s">
        <v>10</v>
      </c>
      <c r="W14" s="750"/>
    </row>
    <row r="15" spans="1:23" ht="31.9" customHeight="1">
      <c r="A15" s="981"/>
      <c r="B15" s="989"/>
      <c r="C15" s="715"/>
      <c r="D15" s="716"/>
      <c r="E15" s="717"/>
      <c r="F15" s="716"/>
      <c r="G15" s="715"/>
      <c r="H15" s="716"/>
      <c r="I15" s="718"/>
      <c r="J15" s="716"/>
      <c r="K15" s="715"/>
      <c r="L15" s="716"/>
      <c r="M15" s="717"/>
      <c r="N15" s="716"/>
      <c r="O15" s="715"/>
      <c r="P15" s="716"/>
      <c r="Q15" s="718"/>
      <c r="R15" s="716"/>
      <c r="S15" s="718"/>
      <c r="W15" s="750"/>
    </row>
    <row r="16" spans="1:23" ht="33" customHeight="1">
      <c r="A16" s="786" t="s">
        <v>15</v>
      </c>
      <c r="B16" s="785"/>
      <c r="C16" s="1136"/>
      <c r="D16" s="1137"/>
      <c r="E16" s="1137"/>
      <c r="F16" s="1137"/>
      <c r="G16" s="1136"/>
      <c r="H16" s="1137"/>
      <c r="I16" s="1137"/>
      <c r="J16" s="1137"/>
      <c r="K16" s="1136"/>
      <c r="L16" s="1137"/>
      <c r="M16" s="1138"/>
      <c r="N16" s="1136"/>
      <c r="O16" s="1137"/>
      <c r="P16" s="1138"/>
      <c r="Q16" s="1136"/>
      <c r="R16" s="1137"/>
      <c r="S16" s="966"/>
      <c r="W16" s="750"/>
    </row>
    <row r="17" spans="1:23" ht="12" customHeight="1">
      <c r="A17" s="980">
        <f>+'jobinfo(2)'!A58</f>
        <v>6</v>
      </c>
      <c r="B17" s="1144" t="str">
        <f>+'jobinfo(2)'!N58</f>
        <v>ATTIC STAIRS FRT</v>
      </c>
      <c r="C17" s="707" t="s">
        <v>1</v>
      </c>
      <c r="D17" s="708" t="s">
        <v>16</v>
      </c>
      <c r="E17" s="709" t="s">
        <v>17</v>
      </c>
      <c r="F17" s="710" t="s">
        <v>10</v>
      </c>
      <c r="G17" s="711" t="str">
        <f>$G$5</f>
        <v>WALL</v>
      </c>
      <c r="H17" s="708" t="s">
        <v>6</v>
      </c>
      <c r="I17" s="709" t="s">
        <v>17</v>
      </c>
      <c r="J17" s="710" t="s">
        <v>10</v>
      </c>
      <c r="K17" s="711" t="s">
        <v>8</v>
      </c>
      <c r="L17" s="708" t="s">
        <v>9</v>
      </c>
      <c r="M17" s="710" t="s">
        <v>10</v>
      </c>
      <c r="N17" s="712" t="s">
        <v>11</v>
      </c>
      <c r="O17" s="713" t="s">
        <v>12</v>
      </c>
      <c r="P17" s="710" t="s">
        <v>10</v>
      </c>
      <c r="Q17" s="714" t="s">
        <v>18</v>
      </c>
      <c r="R17" s="708" t="s">
        <v>14</v>
      </c>
      <c r="S17" s="711" t="s">
        <v>10</v>
      </c>
      <c r="W17" s="750"/>
    </row>
    <row r="18" spans="1:23" ht="31.9" customHeight="1">
      <c r="A18" s="981"/>
      <c r="B18" s="989"/>
      <c r="C18" s="719"/>
      <c r="D18" s="720"/>
      <c r="E18" s="721"/>
      <c r="F18" s="720"/>
      <c r="G18" s="722"/>
      <c r="H18" s="720"/>
      <c r="I18" s="723"/>
      <c r="J18" s="720"/>
      <c r="K18" s="722"/>
      <c r="L18" s="720"/>
      <c r="M18" s="721"/>
      <c r="N18" s="720"/>
      <c r="O18" s="722"/>
      <c r="P18" s="720"/>
      <c r="Q18" s="723"/>
      <c r="R18" s="720"/>
      <c r="S18" s="723"/>
      <c r="W18" s="750"/>
    </row>
    <row r="19" spans="1:23" ht="33" customHeight="1">
      <c r="A19" s="786" t="s">
        <v>15</v>
      </c>
      <c r="B19" s="785"/>
      <c r="C19" s="1139"/>
      <c r="D19" s="1140"/>
      <c r="E19" s="1140"/>
      <c r="F19" s="1141"/>
      <c r="G19" s="1139"/>
      <c r="H19" s="1140"/>
      <c r="I19" s="1140"/>
      <c r="J19" s="1141"/>
      <c r="K19" s="1139"/>
      <c r="L19" s="1140"/>
      <c r="M19" s="1141"/>
      <c r="N19" s="1139"/>
      <c r="O19" s="1140"/>
      <c r="P19" s="1141"/>
      <c r="Q19" s="1139"/>
      <c r="R19" s="1140"/>
      <c r="S19" s="969"/>
      <c r="W19" s="750"/>
    </row>
    <row r="20" spans="1:23" ht="12" customHeight="1">
      <c r="A20" s="980">
        <f>+'jobinfo(2)'!A59</f>
        <v>7</v>
      </c>
      <c r="B20" s="1144" t="str">
        <f>+'jobinfo(2)'!N59</f>
        <v>ATTIC HALL FRT</v>
      </c>
      <c r="C20" s="707" t="s">
        <v>1</v>
      </c>
      <c r="D20" s="708" t="s">
        <v>16</v>
      </c>
      <c r="E20" s="709" t="s">
        <v>17</v>
      </c>
      <c r="F20" s="710" t="s">
        <v>10</v>
      </c>
      <c r="G20" s="711" t="str">
        <f>$G$5</f>
        <v>WALL</v>
      </c>
      <c r="H20" s="708" t="s">
        <v>6</v>
      </c>
      <c r="I20" s="709" t="s">
        <v>17</v>
      </c>
      <c r="J20" s="710" t="s">
        <v>10</v>
      </c>
      <c r="K20" s="711" t="s">
        <v>8</v>
      </c>
      <c r="L20" s="708" t="s">
        <v>9</v>
      </c>
      <c r="M20" s="710" t="s">
        <v>10</v>
      </c>
      <c r="N20" s="712" t="s">
        <v>11</v>
      </c>
      <c r="O20" s="713" t="s">
        <v>12</v>
      </c>
      <c r="P20" s="710" t="s">
        <v>10</v>
      </c>
      <c r="Q20" s="714" t="s">
        <v>18</v>
      </c>
      <c r="R20" s="708" t="s">
        <v>14</v>
      </c>
      <c r="S20" s="711" t="s">
        <v>10</v>
      </c>
      <c r="W20" s="750"/>
    </row>
    <row r="21" spans="1:23" ht="31.9" customHeight="1">
      <c r="A21" s="981"/>
      <c r="B21" s="989"/>
      <c r="C21" s="715"/>
      <c r="D21" s="716"/>
      <c r="E21" s="717"/>
      <c r="F21" s="716"/>
      <c r="G21" s="715"/>
      <c r="H21" s="716"/>
      <c r="I21" s="718"/>
      <c r="J21" s="716"/>
      <c r="K21" s="715"/>
      <c r="L21" s="716"/>
      <c r="M21" s="717"/>
      <c r="N21" s="716"/>
      <c r="O21" s="715"/>
      <c r="P21" s="716"/>
      <c r="Q21" s="718"/>
      <c r="R21" s="716"/>
      <c r="S21" s="718"/>
      <c r="W21" s="750"/>
    </row>
    <row r="22" spans="1:23" ht="30" customHeight="1">
      <c r="A22" s="787" t="s">
        <v>15</v>
      </c>
      <c r="B22" s="784"/>
      <c r="C22" s="1136"/>
      <c r="D22" s="1137"/>
      <c r="E22" s="1137"/>
      <c r="F22" s="1137"/>
      <c r="G22" s="1136"/>
      <c r="H22" s="1137"/>
      <c r="I22" s="1137"/>
      <c r="J22" s="1137"/>
      <c r="K22" s="1136"/>
      <c r="L22" s="1137"/>
      <c r="M22" s="1138"/>
      <c r="N22" s="1136"/>
      <c r="O22" s="1137"/>
      <c r="P22" s="1138"/>
      <c r="Q22" s="1136"/>
      <c r="R22" s="1137"/>
      <c r="S22" s="966"/>
      <c r="W22" s="750"/>
    </row>
    <row r="23" spans="1:23" ht="22.15" customHeight="1">
      <c r="A23" s="1148" t="str">
        <f>A1</f>
        <v>Inspect Work SCOPE</v>
      </c>
      <c r="B23" s="1149"/>
      <c r="C23" s="1149"/>
      <c r="D23" s="992" t="str">
        <f>+'jobinfo(2)'!$C$1</f>
        <v>Hatten, Nedra</v>
      </c>
      <c r="E23" s="992"/>
      <c r="F23" s="992"/>
      <c r="G23" s="818" t="str">
        <f>+'jobinfo(2)'!$C$2</f>
        <v>628 Quilliams Road</v>
      </c>
      <c r="H23" s="818"/>
      <c r="I23" s="818"/>
      <c r="J23" s="1135" t="str">
        <f>'jobinfo(2)'!$C$3</f>
        <v>Cleveland Heights, OH 44121</v>
      </c>
      <c r="K23" s="1135"/>
      <c r="L23" s="1134" t="str">
        <f>L1</f>
        <v>3rd Floor Up</v>
      </c>
      <c r="M23" s="1134"/>
      <c r="O23" s="706" t="str">
        <f>'jobinfo(2)'!$C$11</f>
        <v>BATHTUB OVERFLOW</v>
      </c>
      <c r="P23" s="129" t="str">
        <f>'jobinfo(2)'!$C$26</f>
        <v>LIBERTY MUTUAL</v>
      </c>
      <c r="R23" s="977" t="str">
        <f>'jobinfo(2)'!$C$27</f>
        <v>#059633981</v>
      </c>
      <c r="S23" s="977"/>
      <c r="W23" s="750"/>
    </row>
    <row r="24" spans="1:23" ht="12" customHeight="1">
      <c r="A24" s="980">
        <f>+'jobinfo(2)'!A60</f>
        <v>8</v>
      </c>
      <c r="B24" s="1144" t="str">
        <f>+'jobinfo(2)'!N60</f>
        <v>Basement STAIRS =======</v>
      </c>
      <c r="C24" s="707" t="s">
        <v>1</v>
      </c>
      <c r="D24" s="708" t="s">
        <v>16</v>
      </c>
      <c r="E24" s="709" t="s">
        <v>17</v>
      </c>
      <c r="F24" s="710" t="s">
        <v>10</v>
      </c>
      <c r="G24" s="711" t="str">
        <f>$G$5</f>
        <v>WALL</v>
      </c>
      <c r="H24" s="708" t="s">
        <v>6</v>
      </c>
      <c r="I24" s="709" t="s">
        <v>17</v>
      </c>
      <c r="J24" s="710" t="s">
        <v>10</v>
      </c>
      <c r="K24" s="711" t="s">
        <v>8</v>
      </c>
      <c r="L24" s="708" t="s">
        <v>9</v>
      </c>
      <c r="M24" s="710" t="s">
        <v>10</v>
      </c>
      <c r="N24" s="712" t="s">
        <v>11</v>
      </c>
      <c r="O24" s="713" t="s">
        <v>12</v>
      </c>
      <c r="P24" s="710" t="s">
        <v>10</v>
      </c>
      <c r="Q24" s="714" t="s">
        <v>18</v>
      </c>
      <c r="R24" s="708" t="s">
        <v>14</v>
      </c>
      <c r="S24" s="711" t="s">
        <v>10</v>
      </c>
      <c r="W24" s="750"/>
    </row>
    <row r="25" spans="1:23" ht="33" customHeight="1">
      <c r="A25" s="981"/>
      <c r="B25" s="989"/>
      <c r="C25" s="715"/>
      <c r="D25" s="716"/>
      <c r="E25" s="717"/>
      <c r="F25" s="716"/>
      <c r="G25" s="715"/>
      <c r="H25" s="716"/>
      <c r="I25" s="718"/>
      <c r="J25" s="716"/>
      <c r="K25" s="715"/>
      <c r="L25" s="716"/>
      <c r="M25" s="717"/>
      <c r="N25" s="716"/>
      <c r="O25" s="715"/>
      <c r="P25" s="716"/>
      <c r="Q25" s="718"/>
      <c r="R25" s="716"/>
      <c r="S25" s="718"/>
      <c r="W25" s="750"/>
    </row>
    <row r="26" spans="1:23" ht="33" customHeight="1">
      <c r="A26" s="786" t="s">
        <v>15</v>
      </c>
      <c r="B26" s="785"/>
      <c r="C26" s="1136"/>
      <c r="D26" s="1137"/>
      <c r="E26" s="1137"/>
      <c r="F26" s="1137"/>
      <c r="G26" s="1136"/>
      <c r="H26" s="1137"/>
      <c r="I26" s="1137"/>
      <c r="J26" s="1137"/>
      <c r="K26" s="1136"/>
      <c r="L26" s="1137"/>
      <c r="M26" s="1138"/>
      <c r="N26" s="1136"/>
      <c r="O26" s="1137"/>
      <c r="P26" s="1138"/>
      <c r="Q26" s="1136"/>
      <c r="R26" s="1137"/>
      <c r="S26" s="966"/>
      <c r="W26" s="750"/>
    </row>
    <row r="27" spans="1:23" ht="12" customHeight="1">
      <c r="A27" s="980">
        <f>+'jobinfo(2)'!A61</f>
        <v>9</v>
      </c>
      <c r="B27" s="1144" t="str">
        <f>+'jobinfo(2)'!N61</f>
        <v>Under Stairs Storage</v>
      </c>
      <c r="C27" s="707" t="s">
        <v>1</v>
      </c>
      <c r="D27" s="708" t="s">
        <v>16</v>
      </c>
      <c r="E27" s="709" t="s">
        <v>17</v>
      </c>
      <c r="F27" s="710" t="s">
        <v>10</v>
      </c>
      <c r="G27" s="711" t="str">
        <f>$G$5</f>
        <v>WALL</v>
      </c>
      <c r="H27" s="708" t="s">
        <v>6</v>
      </c>
      <c r="I27" s="709" t="s">
        <v>17</v>
      </c>
      <c r="J27" s="710" t="s">
        <v>10</v>
      </c>
      <c r="K27" s="711" t="s">
        <v>8</v>
      </c>
      <c r="L27" s="708" t="s">
        <v>9</v>
      </c>
      <c r="M27" s="710" t="s">
        <v>10</v>
      </c>
      <c r="N27" s="712" t="s">
        <v>11</v>
      </c>
      <c r="O27" s="713" t="s">
        <v>12</v>
      </c>
      <c r="P27" s="710" t="s">
        <v>10</v>
      </c>
      <c r="Q27" s="714" t="s">
        <v>18</v>
      </c>
      <c r="R27" s="708" t="s">
        <v>14</v>
      </c>
      <c r="S27" s="711" t="s">
        <v>10</v>
      </c>
      <c r="W27" s="750"/>
    </row>
    <row r="28" spans="1:23" ht="33" customHeight="1">
      <c r="A28" s="981"/>
      <c r="B28" s="989"/>
      <c r="C28" s="715"/>
      <c r="D28" s="716"/>
      <c r="E28" s="717"/>
      <c r="F28" s="716"/>
      <c r="G28" s="715"/>
      <c r="H28" s="716"/>
      <c r="I28" s="718"/>
      <c r="J28" s="716"/>
      <c r="K28" s="715"/>
      <c r="L28" s="716"/>
      <c r="M28" s="717"/>
      <c r="N28" s="716"/>
      <c r="O28" s="715"/>
      <c r="P28" s="716"/>
      <c r="Q28" s="718"/>
      <c r="R28" s="716"/>
      <c r="S28" s="718"/>
      <c r="W28" s="750"/>
    </row>
    <row r="29" spans="1:23" ht="30" customHeight="1">
      <c r="A29" s="786" t="s">
        <v>15</v>
      </c>
      <c r="B29" s="785"/>
      <c r="C29" s="1136"/>
      <c r="D29" s="1137"/>
      <c r="E29" s="1137"/>
      <c r="F29" s="1137"/>
      <c r="G29" s="1136"/>
      <c r="H29" s="1137"/>
      <c r="I29" s="1137"/>
      <c r="J29" s="1137"/>
      <c r="K29" s="1136"/>
      <c r="L29" s="1137"/>
      <c r="M29" s="1138"/>
      <c r="N29" s="1136"/>
      <c r="O29" s="1137"/>
      <c r="P29" s="1138"/>
      <c r="Q29" s="1136"/>
      <c r="R29" s="1137"/>
      <c r="S29" s="966"/>
      <c r="W29" s="750"/>
    </row>
    <row r="30" spans="1:23" ht="12" customHeight="1">
      <c r="A30" s="1152">
        <f>+'jobinfo(2)'!A62</f>
        <v>10</v>
      </c>
      <c r="B30" s="1144" t="str">
        <f>+'jobinfo(2)'!N62</f>
        <v>BASEMENT COMMOM AREA</v>
      </c>
      <c r="C30" s="707" t="s">
        <v>1</v>
      </c>
      <c r="D30" s="708" t="s">
        <v>16</v>
      </c>
      <c r="E30" s="709" t="s">
        <v>17</v>
      </c>
      <c r="F30" s="710" t="s">
        <v>10</v>
      </c>
      <c r="G30" s="711" t="str">
        <f>$G$5</f>
        <v>WALL</v>
      </c>
      <c r="H30" s="708" t="s">
        <v>6</v>
      </c>
      <c r="I30" s="709" t="s">
        <v>17</v>
      </c>
      <c r="J30" s="710" t="s">
        <v>10</v>
      </c>
      <c r="K30" s="711" t="s">
        <v>8</v>
      </c>
      <c r="L30" s="708" t="s">
        <v>9</v>
      </c>
      <c r="M30" s="710" t="s">
        <v>10</v>
      </c>
      <c r="N30" s="712" t="s">
        <v>11</v>
      </c>
      <c r="O30" s="713" t="s">
        <v>12</v>
      </c>
      <c r="P30" s="710" t="s">
        <v>10</v>
      </c>
      <c r="Q30" s="714" t="s">
        <v>18</v>
      </c>
      <c r="R30" s="708" t="s">
        <v>14</v>
      </c>
      <c r="S30" s="711" t="s">
        <v>10</v>
      </c>
      <c r="W30" s="750"/>
    </row>
    <row r="31" spans="1:23" ht="28.15" customHeight="1">
      <c r="A31" s="1153"/>
      <c r="B31" s="989"/>
      <c r="C31" s="719" t="s">
        <v>19</v>
      </c>
      <c r="D31" s="720"/>
      <c r="E31" s="721"/>
      <c r="F31" s="720"/>
      <c r="G31" s="722"/>
      <c r="H31" s="720"/>
      <c r="I31" s="723"/>
      <c r="J31" s="720"/>
      <c r="K31" s="722"/>
      <c r="L31" s="720"/>
      <c r="M31" s="721"/>
      <c r="N31" s="720"/>
      <c r="O31" s="722"/>
      <c r="P31" s="720"/>
      <c r="Q31" s="723"/>
      <c r="R31" s="720"/>
      <c r="S31" s="723"/>
      <c r="W31" s="750"/>
    </row>
    <row r="32" spans="1:23" ht="33" customHeight="1">
      <c r="A32" s="819" t="s">
        <v>15</v>
      </c>
      <c r="B32" s="820"/>
      <c r="C32" s="1136"/>
      <c r="D32" s="1137"/>
      <c r="E32" s="1137"/>
      <c r="F32" s="1137"/>
      <c r="G32" s="1136"/>
      <c r="H32" s="1137"/>
      <c r="I32" s="1137"/>
      <c r="J32" s="1137"/>
      <c r="K32" s="1136"/>
      <c r="L32" s="1137"/>
      <c r="M32" s="1138"/>
      <c r="N32" s="1136"/>
      <c r="O32" s="1137"/>
      <c r="P32" s="1138"/>
      <c r="Q32" s="1136"/>
      <c r="R32" s="1137"/>
      <c r="S32" s="966"/>
      <c r="W32" s="750"/>
    </row>
    <row r="33" spans="1:23" ht="33" customHeight="1">
      <c r="A33" s="980">
        <f>+'jobinfo(2)'!A63</f>
        <v>11</v>
      </c>
      <c r="B33" s="1147" t="str">
        <f>+'jobinfo(2)'!N63</f>
        <v>Laundry Room</v>
      </c>
      <c r="C33" s="707" t="s">
        <v>1</v>
      </c>
      <c r="D33" s="708" t="s">
        <v>16</v>
      </c>
      <c r="E33" s="724" t="s">
        <v>17</v>
      </c>
      <c r="F33" s="710" t="s">
        <v>10</v>
      </c>
      <c r="G33" s="711" t="str">
        <f>$G$5</f>
        <v>WALL</v>
      </c>
      <c r="H33" s="708" t="s">
        <v>6</v>
      </c>
      <c r="I33" s="709" t="s">
        <v>17</v>
      </c>
      <c r="J33" s="710" t="s">
        <v>10</v>
      </c>
      <c r="K33" s="711" t="s">
        <v>8</v>
      </c>
      <c r="L33" s="708" t="s">
        <v>9</v>
      </c>
      <c r="M33" s="710" t="s">
        <v>10</v>
      </c>
      <c r="N33" s="712" t="s">
        <v>11</v>
      </c>
      <c r="O33" s="713" t="s">
        <v>12</v>
      </c>
      <c r="P33" s="710" t="s">
        <v>10</v>
      </c>
      <c r="Q33" s="714" t="s">
        <v>18</v>
      </c>
      <c r="R33" s="708" t="s">
        <v>14</v>
      </c>
      <c r="S33" s="711" t="s">
        <v>10</v>
      </c>
      <c r="W33" s="750"/>
    </row>
    <row r="34" spans="1:23" ht="28.15" customHeight="1">
      <c r="A34" s="981"/>
      <c r="B34" s="983"/>
      <c r="C34" s="715"/>
      <c r="D34" s="716"/>
      <c r="E34" s="717"/>
      <c r="F34" s="716"/>
      <c r="G34" s="715"/>
      <c r="H34" s="716"/>
      <c r="I34" s="718"/>
      <c r="J34" s="716"/>
      <c r="K34" s="715"/>
      <c r="L34" s="716"/>
      <c r="M34" s="717"/>
      <c r="N34" s="716"/>
      <c r="O34" s="715"/>
      <c r="P34" s="716"/>
      <c r="Q34" s="718"/>
      <c r="R34" s="716"/>
      <c r="S34" s="718"/>
      <c r="W34" s="750"/>
    </row>
    <row r="35" spans="1:23" ht="33" customHeight="1">
      <c r="A35" s="786" t="s">
        <v>15</v>
      </c>
      <c r="B35" s="786"/>
      <c r="C35" s="964"/>
      <c r="D35" s="965"/>
      <c r="E35" s="965"/>
      <c r="F35" s="966"/>
      <c r="G35" s="1136"/>
      <c r="H35" s="1137"/>
      <c r="I35" s="1137"/>
      <c r="J35" s="1138"/>
      <c r="K35" s="1136"/>
      <c r="L35" s="1137"/>
      <c r="M35" s="1138"/>
      <c r="N35" s="1136"/>
      <c r="O35" s="1137"/>
      <c r="P35" s="1138"/>
      <c r="Q35" s="1136"/>
      <c r="R35" s="1137"/>
      <c r="S35" s="966"/>
      <c r="W35" s="750"/>
    </row>
    <row r="36" spans="1:23" ht="12" customHeight="1">
      <c r="A36" s="980">
        <f>+'jobinfo(2)'!A64</f>
        <v>12</v>
      </c>
      <c r="B36" s="1147" t="str">
        <f>+'jobinfo(2)'!N64</f>
        <v>Utility Room</v>
      </c>
      <c r="C36" s="707" t="s">
        <v>1</v>
      </c>
      <c r="D36" s="708" t="s">
        <v>16</v>
      </c>
      <c r="E36" s="709" t="s">
        <v>17</v>
      </c>
      <c r="F36" s="710" t="s">
        <v>10</v>
      </c>
      <c r="G36" s="711" t="str">
        <f>G33</f>
        <v>WALL</v>
      </c>
      <c r="H36" s="708" t="s">
        <v>6</v>
      </c>
      <c r="I36" s="709" t="s">
        <v>17</v>
      </c>
      <c r="J36" s="710" t="s">
        <v>10</v>
      </c>
      <c r="K36" s="711" t="s">
        <v>8</v>
      </c>
      <c r="L36" s="708" t="s">
        <v>9</v>
      </c>
      <c r="M36" s="710" t="s">
        <v>10</v>
      </c>
      <c r="N36" s="712" t="s">
        <v>11</v>
      </c>
      <c r="O36" s="713" t="s">
        <v>12</v>
      </c>
      <c r="P36" s="710" t="s">
        <v>10</v>
      </c>
      <c r="Q36" s="714" t="s">
        <v>18</v>
      </c>
      <c r="R36" s="708" t="s">
        <v>14</v>
      </c>
      <c r="S36" s="711" t="s">
        <v>10</v>
      </c>
      <c r="W36" s="750"/>
    </row>
    <row r="37" spans="1:23" ht="33" customHeight="1">
      <c r="A37" s="981"/>
      <c r="B37" s="983"/>
      <c r="C37" s="719"/>
      <c r="D37" s="720"/>
      <c r="E37" s="721"/>
      <c r="F37" s="720"/>
      <c r="G37" s="715"/>
      <c r="H37" s="716"/>
      <c r="I37" s="718"/>
      <c r="J37" s="716"/>
      <c r="K37" s="722"/>
      <c r="L37" s="720"/>
      <c r="M37" s="721"/>
      <c r="N37" s="720"/>
      <c r="O37" s="722"/>
      <c r="P37" s="720"/>
      <c r="Q37" s="723"/>
      <c r="R37" s="720"/>
      <c r="S37" s="723"/>
      <c r="W37" s="750"/>
    </row>
    <row r="38" spans="1:23" ht="33" customHeight="1">
      <c r="A38" s="787" t="s">
        <v>15</v>
      </c>
      <c r="B38" s="784"/>
      <c r="C38" s="967"/>
      <c r="D38" s="968"/>
      <c r="E38" s="968"/>
      <c r="F38" s="969"/>
      <c r="G38" s="1136"/>
      <c r="H38" s="1137"/>
      <c r="I38" s="1137"/>
      <c r="J38" s="1137"/>
      <c r="K38" s="1139"/>
      <c r="L38" s="1140"/>
      <c r="M38" s="1141"/>
      <c r="N38" s="1139"/>
      <c r="O38" s="1140"/>
      <c r="P38" s="1141"/>
      <c r="Q38" s="1139"/>
      <c r="R38" s="1140"/>
      <c r="S38" s="969"/>
      <c r="W38" s="750"/>
    </row>
    <row r="39" spans="1:23" ht="12" customHeight="1">
      <c r="A39" s="980">
        <f>+'jobinfo(2)'!A65</f>
        <v>13</v>
      </c>
      <c r="B39" s="1147" t="str">
        <f>+'jobinfo(2)'!N65</f>
        <v>BSMNT Storage 1</v>
      </c>
      <c r="C39" s="707" t="s">
        <v>1</v>
      </c>
      <c r="D39" s="708" t="s">
        <v>16</v>
      </c>
      <c r="E39" s="709" t="s">
        <v>17</v>
      </c>
      <c r="F39" s="710" t="s">
        <v>10</v>
      </c>
      <c r="G39" s="711" t="str">
        <f>$G$5</f>
        <v>WALL</v>
      </c>
      <c r="H39" s="708" t="s">
        <v>6</v>
      </c>
      <c r="I39" s="709" t="s">
        <v>17</v>
      </c>
      <c r="J39" s="710" t="s">
        <v>10</v>
      </c>
      <c r="K39" s="711" t="s">
        <v>8</v>
      </c>
      <c r="L39" s="708" t="s">
        <v>9</v>
      </c>
      <c r="M39" s="710" t="s">
        <v>10</v>
      </c>
      <c r="N39" s="712" t="s">
        <v>11</v>
      </c>
      <c r="O39" s="713" t="s">
        <v>12</v>
      </c>
      <c r="P39" s="710" t="s">
        <v>10</v>
      </c>
      <c r="Q39" s="714" t="s">
        <v>18</v>
      </c>
      <c r="R39" s="708" t="s">
        <v>14</v>
      </c>
      <c r="S39" s="711" t="s">
        <v>10</v>
      </c>
      <c r="W39" s="750"/>
    </row>
    <row r="40" spans="1:23" ht="33" customHeight="1">
      <c r="A40" s="981"/>
      <c r="B40" s="983"/>
      <c r="C40" s="715"/>
      <c r="D40" s="716"/>
      <c r="E40" s="717"/>
      <c r="F40" s="716"/>
      <c r="G40" s="715"/>
      <c r="H40" s="716"/>
      <c r="I40" s="718"/>
      <c r="J40" s="716"/>
      <c r="K40" s="715"/>
      <c r="L40" s="716"/>
      <c r="M40" s="717"/>
      <c r="N40" s="716"/>
      <c r="O40" s="715"/>
      <c r="P40" s="716"/>
      <c r="Q40" s="718"/>
      <c r="R40" s="716"/>
      <c r="S40" s="718"/>
      <c r="W40" s="750"/>
    </row>
    <row r="41" spans="1:23" ht="33" customHeight="1">
      <c r="A41" s="787" t="s">
        <v>15</v>
      </c>
      <c r="B41" s="784"/>
      <c r="C41" s="964"/>
      <c r="D41" s="965"/>
      <c r="E41" s="965"/>
      <c r="F41" s="965"/>
      <c r="G41" s="1136"/>
      <c r="H41" s="1137"/>
      <c r="I41" s="1137"/>
      <c r="J41" s="1137"/>
      <c r="K41" s="1136"/>
      <c r="L41" s="1137"/>
      <c r="M41" s="1138"/>
      <c r="N41" s="1136"/>
      <c r="O41" s="1137"/>
      <c r="P41" s="1138"/>
      <c r="Q41" s="1136"/>
      <c r="R41" s="1137"/>
      <c r="S41" s="966"/>
      <c r="W41" s="750"/>
    </row>
    <row r="42" spans="1:23" ht="12" customHeight="1">
      <c r="A42" s="980">
        <f>+'jobinfo(2)'!A66</f>
        <v>14</v>
      </c>
      <c r="B42" s="1147" t="str">
        <f>+'jobinfo(2)'!N66</f>
        <v>BSMNT Storage 2</v>
      </c>
      <c r="C42" s="707" t="s">
        <v>1</v>
      </c>
      <c r="D42" s="708" t="s">
        <v>16</v>
      </c>
      <c r="E42" s="709" t="s">
        <v>17</v>
      </c>
      <c r="F42" s="710" t="s">
        <v>10</v>
      </c>
      <c r="G42" s="711" t="str">
        <f>$G$5</f>
        <v>WALL</v>
      </c>
      <c r="H42" s="708" t="s">
        <v>6</v>
      </c>
      <c r="I42" s="709" t="s">
        <v>17</v>
      </c>
      <c r="J42" s="710" t="s">
        <v>10</v>
      </c>
      <c r="K42" s="711" t="s">
        <v>8</v>
      </c>
      <c r="L42" s="708" t="s">
        <v>9</v>
      </c>
      <c r="M42" s="710" t="s">
        <v>10</v>
      </c>
      <c r="N42" s="712" t="s">
        <v>11</v>
      </c>
      <c r="O42" s="713" t="s">
        <v>12</v>
      </c>
      <c r="P42" s="710" t="s">
        <v>10</v>
      </c>
      <c r="Q42" s="714" t="s">
        <v>18</v>
      </c>
      <c r="R42" s="708" t="s">
        <v>14</v>
      </c>
      <c r="S42" s="711" t="s">
        <v>10</v>
      </c>
      <c r="W42" s="750"/>
    </row>
    <row r="43" spans="1:23" ht="33" customHeight="1">
      <c r="A43" s="981"/>
      <c r="B43" s="983"/>
      <c r="C43" s="715"/>
      <c r="D43" s="716"/>
      <c r="E43" s="717"/>
      <c r="F43" s="716"/>
      <c r="G43" s="715"/>
      <c r="H43" s="716"/>
      <c r="I43" s="718"/>
      <c r="J43" s="716"/>
      <c r="K43" s="715"/>
      <c r="L43" s="716"/>
      <c r="M43" s="717"/>
      <c r="N43" s="716"/>
      <c r="O43" s="715"/>
      <c r="P43" s="716"/>
      <c r="Q43" s="718"/>
      <c r="R43" s="716"/>
      <c r="S43" s="718"/>
      <c r="W43" s="750"/>
    </row>
    <row r="44" spans="1:23" ht="30" customHeight="1">
      <c r="A44" s="786" t="s">
        <v>15</v>
      </c>
      <c r="B44" s="785"/>
      <c r="C44" s="964"/>
      <c r="D44" s="965"/>
      <c r="E44" s="965"/>
      <c r="F44" s="965"/>
      <c r="G44" s="1136"/>
      <c r="H44" s="1137"/>
      <c r="I44" s="1137"/>
      <c r="J44" s="1137"/>
      <c r="K44" s="1136"/>
      <c r="L44" s="1137"/>
      <c r="M44" s="1138"/>
      <c r="N44" s="1136"/>
      <c r="O44" s="1137"/>
      <c r="P44" s="1138"/>
      <c r="Q44" s="1136"/>
      <c r="R44" s="1137"/>
      <c r="S44" s="966"/>
      <c r="W44" s="750"/>
    </row>
    <row r="45" spans="1:23" ht="22.15" customHeight="1">
      <c r="A45" s="1145" t="s">
        <v>1091</v>
      </c>
      <c r="B45" s="1146"/>
      <c r="C45" s="1146"/>
      <c r="D45" s="992" t="str">
        <f>+'jobinfo(2)'!$C$1</f>
        <v>Hatten, Nedra</v>
      </c>
      <c r="E45" s="992"/>
      <c r="F45" s="992"/>
      <c r="G45" s="818" t="str">
        <f>+'jobinfo(2)'!$C$2</f>
        <v>628 Quilliams Road</v>
      </c>
      <c r="H45" s="818"/>
      <c r="I45" s="818"/>
      <c r="J45" s="1135" t="str">
        <f>'jobinfo(2)'!$C$3</f>
        <v>Cleveland Heights, OH 44121</v>
      </c>
      <c r="K45" s="1135"/>
      <c r="L45" s="1134" t="str">
        <f>'jobinfo(2)'!$N$53</f>
        <v>3rd Floor Up</v>
      </c>
      <c r="M45" s="1134"/>
      <c r="O45" s="706" t="str">
        <f>'jobinfo(2)'!$C$11</f>
        <v>BATHTUB OVERFLOW</v>
      </c>
      <c r="P45" s="129" t="str">
        <f>'jobinfo(2)'!$C$26</f>
        <v>LIBERTY MUTUAL</v>
      </c>
      <c r="R45" s="977" t="str">
        <f>'jobinfo(2)'!$C$27</f>
        <v>#059633981</v>
      </c>
      <c r="S45" s="977"/>
      <c r="W45" s="750"/>
    </row>
    <row r="46" spans="1:23" ht="12" customHeight="1">
      <c r="A46" s="980">
        <f>+'jobinfo(2)'!A67</f>
        <v>15</v>
      </c>
      <c r="B46" s="1144" t="str">
        <f>+'jobinfo(2)'!N67</f>
        <v>EXT SIDING    ==========</v>
      </c>
      <c r="C46" s="707" t="s">
        <v>1</v>
      </c>
      <c r="D46" s="708" t="s">
        <v>16</v>
      </c>
      <c r="E46" s="709" t="s">
        <v>17</v>
      </c>
      <c r="F46" s="710" t="s">
        <v>10</v>
      </c>
      <c r="G46" s="711" t="str">
        <f>$G$5</f>
        <v>WALL</v>
      </c>
      <c r="H46" s="708" t="s">
        <v>6</v>
      </c>
      <c r="I46" s="709" t="s">
        <v>17</v>
      </c>
      <c r="J46" s="710" t="s">
        <v>10</v>
      </c>
      <c r="K46" s="711" t="s">
        <v>8</v>
      </c>
      <c r="L46" s="708" t="s">
        <v>9</v>
      </c>
      <c r="M46" s="710" t="s">
        <v>10</v>
      </c>
      <c r="N46" s="712" t="s">
        <v>11</v>
      </c>
      <c r="O46" s="713" t="s">
        <v>12</v>
      </c>
      <c r="P46" s="710" t="s">
        <v>10</v>
      </c>
      <c r="Q46" s="714" t="s">
        <v>18</v>
      </c>
      <c r="R46" s="708" t="s">
        <v>14</v>
      </c>
      <c r="S46" s="711" t="s">
        <v>10</v>
      </c>
      <c r="W46" s="750"/>
    </row>
    <row r="47" spans="1:23" ht="28.15" customHeight="1">
      <c r="A47" s="981"/>
      <c r="B47" s="989"/>
      <c r="C47" s="715"/>
      <c r="D47" s="716"/>
      <c r="E47" s="717"/>
      <c r="F47" s="716"/>
      <c r="G47" s="715"/>
      <c r="H47" s="716"/>
      <c r="I47" s="718"/>
      <c r="J47" s="716"/>
      <c r="K47" s="715"/>
      <c r="L47" s="716"/>
      <c r="M47" s="717"/>
      <c r="N47" s="716"/>
      <c r="O47" s="715"/>
      <c r="P47" s="716"/>
      <c r="Q47" s="718"/>
      <c r="R47" s="716"/>
      <c r="S47" s="718"/>
      <c r="W47" s="750"/>
    </row>
    <row r="48" spans="1:23" ht="28.15" customHeight="1">
      <c r="A48" s="786" t="s">
        <v>15</v>
      </c>
      <c r="B48" s="785"/>
      <c r="C48" s="964"/>
      <c r="D48" s="965"/>
      <c r="E48" s="965"/>
      <c r="F48" s="965"/>
      <c r="G48" s="1136"/>
      <c r="H48" s="1137"/>
      <c r="I48" s="1137"/>
      <c r="J48" s="1137"/>
      <c r="K48" s="1136"/>
      <c r="L48" s="1137"/>
      <c r="M48" s="1138"/>
      <c r="N48" s="1136"/>
      <c r="O48" s="1137"/>
      <c r="P48" s="1138"/>
      <c r="Q48" s="1136"/>
      <c r="R48" s="1137"/>
      <c r="S48" s="966"/>
      <c r="W48" s="750"/>
    </row>
    <row r="49" spans="1:24" ht="22.15" customHeight="1">
      <c r="W49" s="750"/>
    </row>
    <row r="50" spans="1:24" ht="12" customHeight="1">
      <c r="A50" s="980">
        <f>+'jobinfo(2)'!A68</f>
        <v>16</v>
      </c>
      <c r="B50" s="1144" t="str">
        <f>+'jobinfo(2)'!N68</f>
        <v>FRONT LOWER PORCH</v>
      </c>
      <c r="C50" s="707" t="s">
        <v>1</v>
      </c>
      <c r="D50" s="708" t="s">
        <v>16</v>
      </c>
      <c r="E50" s="709" t="s">
        <v>17</v>
      </c>
      <c r="F50" s="710" t="s">
        <v>10</v>
      </c>
      <c r="G50" s="711" t="str">
        <f>$G$5</f>
        <v>WALL</v>
      </c>
      <c r="H50" s="708" t="s">
        <v>6</v>
      </c>
      <c r="I50" s="709" t="s">
        <v>17</v>
      </c>
      <c r="J50" s="710" t="s">
        <v>10</v>
      </c>
      <c r="K50" s="711" t="s">
        <v>8</v>
      </c>
      <c r="L50" s="708" t="s">
        <v>9</v>
      </c>
      <c r="M50" s="710" t="s">
        <v>10</v>
      </c>
      <c r="N50" s="712" t="s">
        <v>11</v>
      </c>
      <c r="O50" s="713" t="s">
        <v>12</v>
      </c>
      <c r="P50" s="710" t="s">
        <v>10</v>
      </c>
      <c r="Q50" s="714" t="s">
        <v>18</v>
      </c>
      <c r="R50" s="708" t="s">
        <v>14</v>
      </c>
      <c r="S50" s="711" t="s">
        <v>10</v>
      </c>
      <c r="W50" s="750"/>
    </row>
    <row r="51" spans="1:24" ht="33" customHeight="1">
      <c r="A51" s="981"/>
      <c r="B51" s="989"/>
      <c r="C51" s="715"/>
      <c r="D51" s="716"/>
      <c r="E51" s="717"/>
      <c r="F51" s="716"/>
      <c r="G51" s="722"/>
      <c r="H51" s="720"/>
      <c r="I51" s="723"/>
      <c r="J51" s="720"/>
      <c r="K51" s="715"/>
      <c r="L51" s="716"/>
      <c r="M51" s="717"/>
      <c r="N51" s="716"/>
      <c r="O51" s="715"/>
      <c r="P51" s="716"/>
      <c r="Q51" s="718"/>
      <c r="R51" s="716"/>
      <c r="S51" s="718"/>
      <c r="W51" s="750"/>
    </row>
    <row r="52" spans="1:24" ht="33" customHeight="1">
      <c r="A52" s="786" t="s">
        <v>15</v>
      </c>
      <c r="B52" s="785"/>
      <c r="C52" s="964"/>
      <c r="D52" s="965"/>
      <c r="E52" s="965"/>
      <c r="F52" s="965"/>
      <c r="G52" s="1139"/>
      <c r="H52" s="1140"/>
      <c r="I52" s="1140"/>
      <c r="J52" s="1141"/>
      <c r="K52" s="1136"/>
      <c r="L52" s="1137"/>
      <c r="M52" s="1138"/>
      <c r="N52" s="1136"/>
      <c r="O52" s="1137"/>
      <c r="P52" s="1138"/>
      <c r="Q52" s="1136"/>
      <c r="R52" s="1137"/>
      <c r="S52" s="966"/>
      <c r="W52" s="750"/>
    </row>
    <row r="53" spans="1:24" ht="12" customHeight="1">
      <c r="A53" s="980">
        <f>+'jobinfo(2)'!A69</f>
        <v>17</v>
      </c>
      <c r="B53" s="1144">
        <f>+'jobinfo(2)'!N69</f>
        <v>0</v>
      </c>
      <c r="C53" s="707" t="s">
        <v>1</v>
      </c>
      <c r="D53" s="708" t="s">
        <v>16</v>
      </c>
      <c r="E53" s="709" t="s">
        <v>17</v>
      </c>
      <c r="F53" s="710" t="s">
        <v>10</v>
      </c>
      <c r="G53" s="711" t="str">
        <f>$G$5</f>
        <v>WALL</v>
      </c>
      <c r="H53" s="708" t="s">
        <v>6</v>
      </c>
      <c r="I53" s="709" t="s">
        <v>17</v>
      </c>
      <c r="J53" s="710" t="s">
        <v>10</v>
      </c>
      <c r="K53" s="711" t="s">
        <v>8</v>
      </c>
      <c r="L53" s="708" t="s">
        <v>9</v>
      </c>
      <c r="M53" s="710" t="s">
        <v>10</v>
      </c>
      <c r="N53" s="712" t="s">
        <v>11</v>
      </c>
      <c r="O53" s="713" t="s">
        <v>12</v>
      </c>
      <c r="P53" s="710" t="s">
        <v>10</v>
      </c>
      <c r="Q53" s="714" t="s">
        <v>18</v>
      </c>
      <c r="R53" s="708" t="s">
        <v>14</v>
      </c>
      <c r="S53" s="711" t="s">
        <v>10</v>
      </c>
      <c r="W53" s="750"/>
    </row>
    <row r="54" spans="1:24" ht="33" customHeight="1">
      <c r="A54" s="981"/>
      <c r="B54" s="989"/>
      <c r="C54" s="715"/>
      <c r="D54" s="716"/>
      <c r="E54" s="717"/>
      <c r="F54" s="716"/>
      <c r="G54" s="715"/>
      <c r="H54" s="716"/>
      <c r="I54" s="718"/>
      <c r="J54" s="716"/>
      <c r="K54" s="715"/>
      <c r="L54" s="716"/>
      <c r="M54" s="717"/>
      <c r="N54" s="716"/>
      <c r="O54" s="715"/>
      <c r="P54" s="716"/>
      <c r="Q54" s="718"/>
      <c r="R54" s="716"/>
      <c r="S54" s="718"/>
      <c r="W54" s="750"/>
    </row>
    <row r="55" spans="1:24" ht="33" customHeight="1">
      <c r="A55" s="787" t="s">
        <v>15</v>
      </c>
      <c r="B55" s="784"/>
      <c r="C55" s="964"/>
      <c r="D55" s="965"/>
      <c r="E55" s="965"/>
      <c r="F55" s="965"/>
      <c r="G55" s="1136"/>
      <c r="H55" s="1137"/>
      <c r="I55" s="1137"/>
      <c r="J55" s="1137"/>
      <c r="K55" s="1136"/>
      <c r="L55" s="1137"/>
      <c r="M55" s="1138"/>
      <c r="N55" s="1136"/>
      <c r="O55" s="1137"/>
      <c r="P55" s="1138"/>
      <c r="Q55" s="1136"/>
      <c r="R55" s="1137"/>
      <c r="S55" s="966"/>
      <c r="W55" s="750"/>
    </row>
    <row r="56" spans="1:24" ht="12" customHeight="1">
      <c r="A56" s="980">
        <f>+'jobinfo(2)'!A70</f>
        <v>18</v>
      </c>
      <c r="B56" s="1144">
        <f>+'jobinfo(2)'!N70</f>
        <v>0</v>
      </c>
      <c r="C56" s="707" t="s">
        <v>1</v>
      </c>
      <c r="D56" s="708" t="s">
        <v>16</v>
      </c>
      <c r="E56" s="709" t="s">
        <v>17</v>
      </c>
      <c r="F56" s="710" t="s">
        <v>10</v>
      </c>
      <c r="G56" s="711" t="str">
        <f>$G$5</f>
        <v>WALL</v>
      </c>
      <c r="H56" s="708" t="s">
        <v>6</v>
      </c>
      <c r="I56" s="709" t="s">
        <v>17</v>
      </c>
      <c r="J56" s="710" t="s">
        <v>10</v>
      </c>
      <c r="K56" s="711" t="s">
        <v>8</v>
      </c>
      <c r="L56" s="708" t="s">
        <v>9</v>
      </c>
      <c r="M56" s="710" t="s">
        <v>10</v>
      </c>
      <c r="N56" s="712" t="s">
        <v>11</v>
      </c>
      <c r="O56" s="713" t="s">
        <v>12</v>
      </c>
      <c r="P56" s="710" t="s">
        <v>10</v>
      </c>
      <c r="Q56" s="714" t="s">
        <v>18</v>
      </c>
      <c r="R56" s="708" t="s">
        <v>14</v>
      </c>
      <c r="S56" s="711" t="s">
        <v>10</v>
      </c>
      <c r="W56" s="750"/>
    </row>
    <row r="57" spans="1:24" ht="33" customHeight="1">
      <c r="A57" s="981"/>
      <c r="B57" s="989"/>
      <c r="C57" s="719"/>
      <c r="D57" s="720"/>
      <c r="E57" s="721"/>
      <c r="F57" s="720"/>
      <c r="G57" s="715"/>
      <c r="H57" s="716"/>
      <c r="I57" s="718"/>
      <c r="J57" s="716"/>
      <c r="K57" s="722"/>
      <c r="L57" s="720"/>
      <c r="M57" s="721"/>
      <c r="N57" s="720"/>
      <c r="O57" s="722"/>
      <c r="P57" s="720"/>
      <c r="Q57" s="723"/>
      <c r="R57" s="720"/>
      <c r="S57" s="723"/>
      <c r="W57" s="750"/>
    </row>
    <row r="58" spans="1:24" ht="33" customHeight="1">
      <c r="A58" s="786" t="s">
        <v>15</v>
      </c>
      <c r="B58" s="785"/>
      <c r="C58" s="967"/>
      <c r="D58" s="968"/>
      <c r="E58" s="968"/>
      <c r="F58" s="969"/>
      <c r="G58" s="1136"/>
      <c r="H58" s="1137"/>
      <c r="I58" s="1137"/>
      <c r="J58" s="1137"/>
      <c r="K58" s="1139"/>
      <c r="L58" s="1140"/>
      <c r="M58" s="1141"/>
      <c r="N58" s="1139"/>
      <c r="O58" s="1140"/>
      <c r="P58" s="1141"/>
      <c r="Q58" s="1139"/>
      <c r="R58" s="1140"/>
      <c r="S58" s="969"/>
      <c r="W58" s="750"/>
    </row>
    <row r="59" spans="1:24" ht="12" customHeight="1">
      <c r="A59" s="980">
        <f>+'jobinfo(2)'!A71</f>
        <v>19</v>
      </c>
      <c r="B59" s="1144">
        <f>+'jobinfo(2)'!N71</f>
        <v>0</v>
      </c>
      <c r="C59" s="707" t="s">
        <v>1</v>
      </c>
      <c r="D59" s="708" t="s">
        <v>16</v>
      </c>
      <c r="E59" s="709" t="s">
        <v>17</v>
      </c>
      <c r="F59" s="710" t="s">
        <v>10</v>
      </c>
      <c r="G59" s="711" t="str">
        <f>$G$5</f>
        <v>WALL</v>
      </c>
      <c r="H59" s="708" t="s">
        <v>6</v>
      </c>
      <c r="I59" s="709" t="s">
        <v>17</v>
      </c>
      <c r="J59" s="710" t="s">
        <v>10</v>
      </c>
      <c r="K59" s="711" t="s">
        <v>8</v>
      </c>
      <c r="L59" s="708" t="s">
        <v>9</v>
      </c>
      <c r="M59" s="710" t="s">
        <v>10</v>
      </c>
      <c r="N59" s="712" t="s">
        <v>11</v>
      </c>
      <c r="O59" s="713" t="s">
        <v>12</v>
      </c>
      <c r="P59" s="710" t="s">
        <v>10</v>
      </c>
      <c r="Q59" s="714" t="s">
        <v>18</v>
      </c>
      <c r="R59" s="708" t="s">
        <v>14</v>
      </c>
      <c r="S59" s="711" t="s">
        <v>10</v>
      </c>
      <c r="W59" s="750"/>
    </row>
    <row r="60" spans="1:24" ht="33" customHeight="1">
      <c r="A60" s="981"/>
      <c r="B60" s="989"/>
      <c r="C60" s="715"/>
      <c r="D60" s="716"/>
      <c r="E60" s="717"/>
      <c r="F60" s="716"/>
      <c r="G60" s="715"/>
      <c r="H60" s="716"/>
      <c r="I60" s="718"/>
      <c r="J60" s="716"/>
      <c r="K60" s="715"/>
      <c r="L60" s="716"/>
      <c r="M60" s="717"/>
      <c r="N60" s="716"/>
      <c r="O60" s="715"/>
      <c r="P60" s="716"/>
      <c r="Q60" s="718"/>
      <c r="R60" s="716"/>
      <c r="S60" s="718"/>
      <c r="T60" s="49"/>
      <c r="U60" s="49"/>
      <c r="V60" s="49"/>
      <c r="W60" s="752"/>
      <c r="X60" s="49"/>
    </row>
    <row r="61" spans="1:24" ht="33" customHeight="1">
      <c r="A61" s="786" t="s">
        <v>15</v>
      </c>
      <c r="B61" s="785"/>
      <c r="C61" s="964"/>
      <c r="D61" s="965"/>
      <c r="E61" s="965"/>
      <c r="F61" s="965"/>
      <c r="G61" s="1136"/>
      <c r="H61" s="1137"/>
      <c r="I61" s="1137"/>
      <c r="J61" s="1137"/>
      <c r="K61" s="1136"/>
      <c r="L61" s="1137"/>
      <c r="M61" s="1138"/>
      <c r="N61" s="1136"/>
      <c r="O61" s="1137"/>
      <c r="P61" s="1138"/>
      <c r="Q61" s="1136"/>
      <c r="R61" s="1137"/>
      <c r="S61" s="966"/>
      <c r="W61" s="750"/>
    </row>
    <row r="62" spans="1:24" ht="12" customHeight="1">
      <c r="A62" s="980">
        <f>+'jobinfo(2)'!A72</f>
        <v>20</v>
      </c>
      <c r="B62" s="1144">
        <f>+'jobinfo(2)'!N72</f>
        <v>0</v>
      </c>
      <c r="C62" s="707" t="s">
        <v>1</v>
      </c>
      <c r="D62" s="708" t="s">
        <v>16</v>
      </c>
      <c r="E62" s="709" t="s">
        <v>17</v>
      </c>
      <c r="F62" s="710" t="s">
        <v>10</v>
      </c>
      <c r="G62" s="711" t="str">
        <f>$G$5</f>
        <v>WALL</v>
      </c>
      <c r="H62" s="708" t="s">
        <v>6</v>
      </c>
      <c r="I62" s="709" t="s">
        <v>17</v>
      </c>
      <c r="J62" s="710" t="s">
        <v>10</v>
      </c>
      <c r="K62" s="711" t="s">
        <v>8</v>
      </c>
      <c r="L62" s="708" t="s">
        <v>9</v>
      </c>
      <c r="M62" s="710" t="s">
        <v>10</v>
      </c>
      <c r="N62" s="712" t="s">
        <v>11</v>
      </c>
      <c r="O62" s="713" t="s">
        <v>12</v>
      </c>
      <c r="P62" s="710" t="s">
        <v>10</v>
      </c>
      <c r="Q62" s="714" t="s">
        <v>18</v>
      </c>
      <c r="R62" s="708" t="s">
        <v>14</v>
      </c>
      <c r="S62" s="711" t="s">
        <v>10</v>
      </c>
      <c r="W62" s="750"/>
    </row>
    <row r="63" spans="1:24" ht="33" customHeight="1">
      <c r="A63" s="981"/>
      <c r="B63" s="989"/>
      <c r="C63" s="715"/>
      <c r="D63" s="716"/>
      <c r="E63" s="717"/>
      <c r="F63" s="716"/>
      <c r="G63" s="722"/>
      <c r="H63" s="720"/>
      <c r="I63" s="723"/>
      <c r="J63" s="720"/>
      <c r="K63" s="715"/>
      <c r="L63" s="716"/>
      <c r="M63" s="717"/>
      <c r="N63" s="716"/>
      <c r="O63" s="715"/>
      <c r="P63" s="716"/>
      <c r="Q63" s="718"/>
      <c r="R63" s="716"/>
      <c r="S63" s="718"/>
      <c r="W63" s="750"/>
    </row>
    <row r="64" spans="1:24" ht="33" customHeight="1">
      <c r="A64" s="786" t="s">
        <v>15</v>
      </c>
      <c r="B64" s="785"/>
      <c r="C64" s="964"/>
      <c r="D64" s="965"/>
      <c r="E64" s="965"/>
      <c r="F64" s="965"/>
      <c r="G64" s="1136"/>
      <c r="H64" s="1137"/>
      <c r="I64" s="1137"/>
      <c r="J64" s="1137"/>
      <c r="K64" s="1136"/>
      <c r="L64" s="1137"/>
      <c r="M64" s="1138"/>
      <c r="N64" s="1136"/>
      <c r="O64" s="1137"/>
      <c r="P64" s="1138"/>
      <c r="Q64" s="1136"/>
      <c r="R64" s="1137"/>
      <c r="S64" s="966"/>
      <c r="W64" s="750"/>
    </row>
    <row r="65" spans="1:53" ht="12" customHeight="1">
      <c r="A65" s="980">
        <f>+'jobinfo(2)'!A73</f>
        <v>21</v>
      </c>
      <c r="B65" s="1144">
        <f>+'jobinfo(2)'!N73</f>
        <v>0</v>
      </c>
      <c r="C65" s="664" t="s">
        <v>1</v>
      </c>
      <c r="D65" s="643" t="s">
        <v>16</v>
      </c>
      <c r="E65" s="665" t="s">
        <v>17</v>
      </c>
      <c r="F65" s="666" t="s">
        <v>10</v>
      </c>
      <c r="G65" s="667" t="s">
        <v>20</v>
      </c>
      <c r="H65" s="643" t="s">
        <v>6</v>
      </c>
      <c r="I65" s="665" t="s">
        <v>17</v>
      </c>
      <c r="J65" s="666" t="s">
        <v>10</v>
      </c>
      <c r="K65" s="667" t="s">
        <v>8</v>
      </c>
      <c r="L65" s="643" t="s">
        <v>9</v>
      </c>
      <c r="M65" s="666" t="s">
        <v>10</v>
      </c>
      <c r="N65" s="668" t="s">
        <v>11</v>
      </c>
      <c r="O65" s="613" t="s">
        <v>12</v>
      </c>
      <c r="P65" s="666" t="s">
        <v>10</v>
      </c>
      <c r="Q65" s="669" t="s">
        <v>18</v>
      </c>
      <c r="R65" s="643" t="s">
        <v>14</v>
      </c>
      <c r="S65" s="667" t="s">
        <v>10</v>
      </c>
      <c r="W65" s="750"/>
    </row>
    <row r="66" spans="1:53" ht="33" customHeight="1">
      <c r="A66" s="981"/>
      <c r="B66" s="989"/>
      <c r="C66" s="149"/>
      <c r="D66" s="150"/>
      <c r="E66" s="467"/>
      <c r="F66" s="150"/>
      <c r="G66" s="149"/>
      <c r="H66" s="150"/>
      <c r="I66" s="599"/>
      <c r="J66" s="150"/>
      <c r="K66" s="149"/>
      <c r="L66" s="150"/>
      <c r="M66" s="467"/>
      <c r="N66" s="150"/>
      <c r="O66" s="149"/>
      <c r="P66" s="150"/>
      <c r="Q66" s="599"/>
      <c r="R66" s="150"/>
      <c r="S66" s="599"/>
      <c r="T66" s="49"/>
      <c r="U66" s="49"/>
      <c r="V66" s="49"/>
      <c r="W66" s="752"/>
      <c r="X66" s="49"/>
    </row>
    <row r="67" spans="1:53" ht="33" customHeight="1">
      <c r="A67" s="786" t="s">
        <v>15</v>
      </c>
      <c r="B67" s="785"/>
      <c r="C67" s="964"/>
      <c r="D67" s="965"/>
      <c r="E67" s="965"/>
      <c r="F67" s="965"/>
      <c r="G67" s="1136"/>
      <c r="H67" s="1137"/>
      <c r="I67" s="1137"/>
      <c r="J67" s="1137"/>
      <c r="K67" s="1136"/>
      <c r="L67" s="1137"/>
      <c r="M67" s="1138"/>
      <c r="N67" s="1136"/>
      <c r="O67" s="1137"/>
      <c r="P67" s="1138"/>
      <c r="Q67" s="1136"/>
      <c r="R67" s="1137"/>
      <c r="S67" s="966"/>
      <c r="W67" s="750"/>
    </row>
    <row r="68" spans="1:53" ht="22.15" customHeight="1">
      <c r="A68" s="1145" t="s">
        <v>1091</v>
      </c>
      <c r="B68" s="1146"/>
      <c r="C68" s="1146"/>
      <c r="D68" s="992" t="str">
        <f>+'jobinfo(2)'!$C$1</f>
        <v>Hatten, Nedra</v>
      </c>
      <c r="E68" s="992"/>
      <c r="F68" s="992"/>
      <c r="G68" s="818" t="str">
        <f>+'jobinfo(2)'!$C$2</f>
        <v>628 Quilliams Road</v>
      </c>
      <c r="H68" s="818"/>
      <c r="I68" s="818"/>
      <c r="J68" s="1135" t="str">
        <f>'jobinfo(2)'!$C$3</f>
        <v>Cleveland Heights, OH 44121</v>
      </c>
      <c r="K68" s="1135"/>
      <c r="L68" s="1134" t="str">
        <f>'jobinfo(2)'!$M$53</f>
        <v>FLOOR2</v>
      </c>
      <c r="M68" s="1134"/>
      <c r="O68" s="706" t="str">
        <f>'jobinfo(2)'!$C$11</f>
        <v>BATHTUB OVERFLOW</v>
      </c>
      <c r="P68" s="129" t="str">
        <f>'jobinfo(2)'!$C$26</f>
        <v>LIBERTY MUTUAL</v>
      </c>
      <c r="R68" s="977" t="str">
        <f>R45</f>
        <v>#059633981</v>
      </c>
      <c r="S68" s="977"/>
      <c r="W68" s="750"/>
    </row>
    <row r="69" spans="1:53" ht="12" customHeight="1">
      <c r="A69" s="980">
        <f>+'jobinfo(2)'!A74</f>
        <v>22</v>
      </c>
      <c r="B69" s="1144">
        <f>+'jobinfo(2)'!N74</f>
        <v>0</v>
      </c>
      <c r="C69" s="664" t="s">
        <v>1</v>
      </c>
      <c r="D69" s="643" t="s">
        <v>16</v>
      </c>
      <c r="E69" s="665" t="s">
        <v>17</v>
      </c>
      <c r="F69" s="666" t="s">
        <v>10</v>
      </c>
      <c r="G69" s="667" t="s">
        <v>20</v>
      </c>
      <c r="H69" s="643" t="s">
        <v>6</v>
      </c>
      <c r="I69" s="665" t="s">
        <v>17</v>
      </c>
      <c r="J69" s="666" t="s">
        <v>10</v>
      </c>
      <c r="K69" s="667" t="s">
        <v>8</v>
      </c>
      <c r="L69" s="643" t="s">
        <v>9</v>
      </c>
      <c r="M69" s="666" t="s">
        <v>10</v>
      </c>
      <c r="N69" s="668" t="s">
        <v>11</v>
      </c>
      <c r="O69" s="613" t="s">
        <v>12</v>
      </c>
      <c r="P69" s="666" t="s">
        <v>10</v>
      </c>
      <c r="Q69" s="669" t="s">
        <v>18</v>
      </c>
      <c r="R69" s="643" t="s">
        <v>14</v>
      </c>
      <c r="S69" s="667" t="s">
        <v>10</v>
      </c>
      <c r="W69" s="750"/>
    </row>
    <row r="70" spans="1:53" ht="33" customHeight="1">
      <c r="A70" s="981"/>
      <c r="B70" s="989"/>
      <c r="C70" s="149"/>
      <c r="D70" s="150"/>
      <c r="E70" s="467"/>
      <c r="F70" s="150"/>
      <c r="G70" s="149"/>
      <c r="H70" s="150"/>
      <c r="I70" s="599"/>
      <c r="J70" s="150"/>
      <c r="K70" s="149"/>
      <c r="L70" s="150"/>
      <c r="M70" s="467"/>
      <c r="N70" s="150"/>
      <c r="O70" s="149"/>
      <c r="P70" s="150"/>
      <c r="Q70" s="599"/>
      <c r="R70" s="150"/>
      <c r="S70" s="599"/>
      <c r="W70" s="750"/>
    </row>
    <row r="71" spans="1:53" ht="33" customHeight="1">
      <c r="A71" s="786" t="s">
        <v>15</v>
      </c>
      <c r="B71" s="785"/>
      <c r="C71" s="964"/>
      <c r="D71" s="965"/>
      <c r="E71" s="965"/>
      <c r="F71" s="965"/>
      <c r="G71" s="1136"/>
      <c r="H71" s="1137"/>
      <c r="I71" s="1137"/>
      <c r="J71" s="1137"/>
      <c r="K71" s="1136"/>
      <c r="L71" s="1137"/>
      <c r="M71" s="1138"/>
      <c r="N71" s="1136"/>
      <c r="O71" s="1137"/>
      <c r="P71" s="1138"/>
      <c r="Q71" s="1136"/>
      <c r="R71" s="1137"/>
      <c r="S71" s="966"/>
      <c r="W71" s="750"/>
    </row>
    <row r="73" spans="1:53" ht="12" customHeight="1">
      <c r="A73" s="980">
        <f>+'jobinfo(2)'!A75</f>
        <v>23</v>
      </c>
      <c r="B73" s="1144">
        <f>+'jobinfo(2)'!N75</f>
        <v>0</v>
      </c>
      <c r="C73" s="664" t="s">
        <v>1</v>
      </c>
      <c r="D73" s="643" t="s">
        <v>16</v>
      </c>
      <c r="E73" s="665" t="s">
        <v>17</v>
      </c>
      <c r="F73" s="666" t="s">
        <v>10</v>
      </c>
      <c r="G73" s="667" t="s">
        <v>20</v>
      </c>
      <c r="H73" s="643" t="s">
        <v>6</v>
      </c>
      <c r="I73" s="665" t="s">
        <v>17</v>
      </c>
      <c r="J73" s="666" t="s">
        <v>10</v>
      </c>
      <c r="K73" s="667" t="s">
        <v>8</v>
      </c>
      <c r="L73" s="643" t="s">
        <v>9</v>
      </c>
      <c r="M73" s="666" t="s">
        <v>10</v>
      </c>
      <c r="N73" s="668" t="s">
        <v>11</v>
      </c>
      <c r="O73" s="613" t="s">
        <v>12</v>
      </c>
      <c r="P73" s="666" t="s">
        <v>10</v>
      </c>
      <c r="Q73" s="669" t="s">
        <v>18</v>
      </c>
      <c r="R73" s="643" t="s">
        <v>14</v>
      </c>
      <c r="S73" s="667" t="s">
        <v>10</v>
      </c>
      <c r="W73" s="750"/>
    </row>
    <row r="74" spans="1:53" ht="33" customHeight="1">
      <c r="A74" s="981"/>
      <c r="B74" s="989"/>
      <c r="C74" s="149"/>
      <c r="D74" s="150"/>
      <c r="E74" s="467"/>
      <c r="F74" s="150"/>
      <c r="G74" s="149"/>
      <c r="H74" s="150"/>
      <c r="I74" s="599"/>
      <c r="J74" s="150"/>
      <c r="K74" s="149"/>
      <c r="L74" s="150"/>
      <c r="M74" s="467"/>
      <c r="N74" s="150"/>
      <c r="O74" s="149"/>
      <c r="P74" s="150"/>
      <c r="Q74" s="599"/>
      <c r="R74" s="150"/>
      <c r="S74" s="599"/>
      <c r="T74" s="49"/>
      <c r="U74" s="49"/>
      <c r="V74" s="49"/>
      <c r="W74" s="752"/>
      <c r="X74" s="49"/>
    </row>
    <row r="75" spans="1:53" ht="33" customHeight="1">
      <c r="A75" s="786" t="s">
        <v>15</v>
      </c>
      <c r="B75" s="785"/>
      <c r="C75" s="964"/>
      <c r="D75" s="965"/>
      <c r="E75" s="965"/>
      <c r="F75" s="965"/>
      <c r="G75" s="1136"/>
      <c r="H75" s="1137"/>
      <c r="I75" s="1137"/>
      <c r="J75" s="1137"/>
      <c r="K75" s="1136"/>
      <c r="L75" s="1137"/>
      <c r="M75" s="1138"/>
      <c r="N75" s="1136"/>
      <c r="O75" s="1137"/>
      <c r="P75" s="1138"/>
      <c r="Q75" s="1136"/>
      <c r="R75" s="1137"/>
      <c r="S75" s="966"/>
      <c r="W75" s="750"/>
    </row>
    <row r="76" spans="1:53" ht="12" customHeight="1">
      <c r="A76" s="980">
        <f>+'jobinfo(2)'!A76</f>
        <v>24</v>
      </c>
      <c r="B76" s="1144">
        <f>+'jobinfo(2)'!N76</f>
        <v>0</v>
      </c>
      <c r="C76" s="664" t="s">
        <v>1</v>
      </c>
      <c r="D76" s="643" t="s">
        <v>16</v>
      </c>
      <c r="E76" s="665" t="s">
        <v>17</v>
      </c>
      <c r="F76" s="666" t="s">
        <v>10</v>
      </c>
      <c r="G76" s="667" t="s">
        <v>20</v>
      </c>
      <c r="H76" s="643" t="s">
        <v>6</v>
      </c>
      <c r="I76" s="665" t="s">
        <v>17</v>
      </c>
      <c r="J76" s="666" t="s">
        <v>10</v>
      </c>
      <c r="K76" s="667" t="s">
        <v>8</v>
      </c>
      <c r="L76" s="643" t="s">
        <v>9</v>
      </c>
      <c r="M76" s="666" t="s">
        <v>10</v>
      </c>
      <c r="N76" s="668" t="s">
        <v>11</v>
      </c>
      <c r="O76" s="613" t="s">
        <v>12</v>
      </c>
      <c r="P76" s="666" t="s">
        <v>10</v>
      </c>
      <c r="Q76" s="669" t="s">
        <v>18</v>
      </c>
      <c r="R76" s="643" t="s">
        <v>14</v>
      </c>
      <c r="S76" s="667" t="s">
        <v>10</v>
      </c>
      <c r="W76" s="750"/>
    </row>
    <row r="77" spans="1:53" ht="33" customHeight="1">
      <c r="A77" s="981"/>
      <c r="B77" s="989"/>
      <c r="C77" s="149"/>
      <c r="D77" s="150"/>
      <c r="E77" s="467"/>
      <c r="F77" s="150"/>
      <c r="G77" s="149"/>
      <c r="H77" s="150"/>
      <c r="I77" s="599"/>
      <c r="J77" s="150"/>
      <c r="K77" s="149"/>
      <c r="L77" s="150"/>
      <c r="M77" s="467"/>
      <c r="N77" s="150"/>
      <c r="O77" s="149"/>
      <c r="P77" s="150"/>
      <c r="Q77" s="599"/>
      <c r="R77" s="150"/>
      <c r="S77" s="599"/>
      <c r="T77" s="49"/>
      <c r="U77" s="49"/>
      <c r="V77" s="49"/>
      <c r="W77" s="752"/>
      <c r="X77" s="49"/>
    </row>
    <row r="78" spans="1:53" ht="28.15" customHeight="1">
      <c r="A78" s="786" t="s">
        <v>15</v>
      </c>
      <c r="B78" s="783"/>
      <c r="C78" s="967"/>
      <c r="D78" s="968"/>
      <c r="E78" s="968"/>
      <c r="F78" s="969"/>
      <c r="G78" s="1139"/>
      <c r="H78" s="1140"/>
      <c r="I78" s="1140"/>
      <c r="J78" s="1141"/>
      <c r="K78" s="1139"/>
      <c r="L78" s="1140"/>
      <c r="M78" s="1141"/>
      <c r="N78" s="1139"/>
      <c r="O78" s="1140"/>
      <c r="P78" s="1141"/>
      <c r="Q78" s="1139"/>
      <c r="R78" s="1140"/>
      <c r="S78" s="969"/>
      <c r="W78" s="750"/>
    </row>
    <row r="79" spans="1:53" ht="12" customHeight="1">
      <c r="A79" s="980">
        <f>+'jobinfo(2)'!A77</f>
        <v>25</v>
      </c>
      <c r="B79" s="1144">
        <f>+'jobinfo(2)'!N77</f>
        <v>0</v>
      </c>
      <c r="C79" s="664" t="s">
        <v>1</v>
      </c>
      <c r="D79" s="643" t="s">
        <v>16</v>
      </c>
      <c r="E79" s="665" t="s">
        <v>17</v>
      </c>
      <c r="F79" s="666" t="s">
        <v>10</v>
      </c>
      <c r="G79" s="667" t="s">
        <v>20</v>
      </c>
      <c r="H79" s="643" t="s">
        <v>6</v>
      </c>
      <c r="I79" s="665" t="s">
        <v>17</v>
      </c>
      <c r="J79" s="666" t="s">
        <v>10</v>
      </c>
      <c r="K79" s="667" t="s">
        <v>8</v>
      </c>
      <c r="L79" s="643" t="s">
        <v>9</v>
      </c>
      <c r="M79" s="666" t="s">
        <v>10</v>
      </c>
      <c r="N79" s="668" t="s">
        <v>11</v>
      </c>
      <c r="O79" s="613" t="s">
        <v>12</v>
      </c>
      <c r="P79" s="666" t="s">
        <v>10</v>
      </c>
      <c r="Q79" s="669" t="s">
        <v>18</v>
      </c>
      <c r="R79" s="643" t="s">
        <v>14</v>
      </c>
      <c r="S79" s="667" t="s">
        <v>10</v>
      </c>
      <c r="W79" s="750"/>
      <c r="AX79" s="2"/>
      <c r="AY79" s="611" t="s">
        <v>21</v>
      </c>
      <c r="AZ79" s="2"/>
      <c r="BA79" s="614" t="s">
        <v>22</v>
      </c>
    </row>
    <row r="80" spans="1:53" ht="33" customHeight="1">
      <c r="A80" s="981"/>
      <c r="B80" s="989"/>
      <c r="C80" s="149"/>
      <c r="D80" s="150"/>
      <c r="E80" s="467"/>
      <c r="F80" s="150"/>
      <c r="G80" s="149"/>
      <c r="H80" s="150"/>
      <c r="I80" s="599"/>
      <c r="J80" s="150"/>
      <c r="K80" s="149"/>
      <c r="L80" s="150"/>
      <c r="M80" s="467"/>
      <c r="N80" s="150"/>
      <c r="O80" s="149"/>
      <c r="P80" s="150"/>
      <c r="Q80" s="599"/>
      <c r="R80" s="150"/>
      <c r="S80" s="599"/>
      <c r="W80" s="750"/>
      <c r="AX80" s="2"/>
      <c r="AY80" s="611"/>
      <c r="AZ80" s="2"/>
      <c r="BA80" s="614"/>
    </row>
    <row r="81" spans="1:53" ht="33" customHeight="1">
      <c r="A81" s="786" t="s">
        <v>15</v>
      </c>
      <c r="B81" s="785"/>
      <c r="C81" s="964"/>
      <c r="D81" s="965"/>
      <c r="E81" s="965"/>
      <c r="F81" s="965"/>
      <c r="G81" s="1136"/>
      <c r="H81" s="1137"/>
      <c r="I81" s="1137"/>
      <c r="J81" s="1137"/>
      <c r="K81" s="1136"/>
      <c r="L81" s="1137"/>
      <c r="M81" s="1138"/>
      <c r="N81" s="1136"/>
      <c r="O81" s="1137"/>
      <c r="P81" s="1138"/>
      <c r="Q81" s="1136"/>
      <c r="R81" s="1137"/>
      <c r="S81" s="966"/>
      <c r="W81" s="750"/>
      <c r="AX81" s="2"/>
      <c r="AY81" s="611"/>
      <c r="AZ81" s="2"/>
      <c r="BA81" s="614"/>
    </row>
    <row r="82" spans="1:53" s="2" customFormat="1" ht="12" customHeight="1">
      <c r="A82" s="980">
        <f>+'jobinfo(2)'!A78</f>
        <v>26</v>
      </c>
      <c r="B82" s="1144">
        <f>+'jobinfo(2)'!N78</f>
        <v>0</v>
      </c>
      <c r="C82" s="664" t="s">
        <v>1</v>
      </c>
      <c r="D82" s="643" t="s">
        <v>16</v>
      </c>
      <c r="E82" s="665" t="s">
        <v>17</v>
      </c>
      <c r="F82" s="666" t="s">
        <v>10</v>
      </c>
      <c r="G82" s="667" t="s">
        <v>20</v>
      </c>
      <c r="H82" s="643" t="s">
        <v>6</v>
      </c>
      <c r="I82" s="665" t="s">
        <v>17</v>
      </c>
      <c r="J82" s="666" t="s">
        <v>10</v>
      </c>
      <c r="K82" s="667" t="s">
        <v>8</v>
      </c>
      <c r="L82" s="643" t="s">
        <v>9</v>
      </c>
      <c r="M82" s="666" t="s">
        <v>10</v>
      </c>
      <c r="N82" s="668" t="s">
        <v>11</v>
      </c>
      <c r="O82" s="613" t="s">
        <v>12</v>
      </c>
      <c r="P82" s="666" t="s">
        <v>10</v>
      </c>
      <c r="Q82" s="669" t="s">
        <v>18</v>
      </c>
      <c r="R82" s="643" t="s">
        <v>14</v>
      </c>
      <c r="S82" s="667" t="s">
        <v>10</v>
      </c>
      <c r="W82" s="753"/>
    </row>
    <row r="83" spans="1:53" s="2" customFormat="1" ht="33" customHeight="1">
      <c r="A83" s="981"/>
      <c r="B83" s="989"/>
      <c r="C83" s="149"/>
      <c r="D83" s="150"/>
      <c r="E83" s="467"/>
      <c r="F83" s="150"/>
      <c r="G83" s="149"/>
      <c r="H83" s="150"/>
      <c r="I83" s="599"/>
      <c r="J83" s="150"/>
      <c r="K83" s="149"/>
      <c r="L83" s="150"/>
      <c r="M83" s="467"/>
      <c r="N83" s="150"/>
      <c r="O83" s="149"/>
      <c r="P83" s="150"/>
      <c r="Q83" s="599"/>
      <c r="R83" s="150"/>
      <c r="S83" s="599"/>
      <c r="W83" s="753"/>
    </row>
    <row r="84" spans="1:53" s="2" customFormat="1" ht="33" customHeight="1">
      <c r="A84" s="786" t="s">
        <v>15</v>
      </c>
      <c r="B84" s="783"/>
      <c r="C84" s="964"/>
      <c r="D84" s="965"/>
      <c r="E84" s="965"/>
      <c r="F84" s="965"/>
      <c r="G84" s="1136"/>
      <c r="H84" s="1137"/>
      <c r="I84" s="1137"/>
      <c r="J84" s="1137"/>
      <c r="K84" s="1136"/>
      <c r="L84" s="1137"/>
      <c r="M84" s="1138"/>
      <c r="N84" s="1136"/>
      <c r="O84" s="1137"/>
      <c r="P84" s="1138"/>
      <c r="Q84" s="1136"/>
      <c r="R84" s="1137"/>
      <c r="S84" s="966"/>
      <c r="W84" s="753"/>
    </row>
    <row r="85" spans="1:53" s="2" customFormat="1" ht="12" customHeight="1">
      <c r="A85" s="980">
        <f>+'jobinfo(2)'!A79</f>
        <v>27</v>
      </c>
      <c r="B85" s="988">
        <f>+'jobinfo(2)'!N79</f>
        <v>0</v>
      </c>
      <c r="C85" s="664" t="s">
        <v>1</v>
      </c>
      <c r="D85" s="643" t="s">
        <v>16</v>
      </c>
      <c r="E85" s="665" t="s">
        <v>17</v>
      </c>
      <c r="F85" s="666" t="s">
        <v>10</v>
      </c>
      <c r="G85" s="667" t="s">
        <v>20</v>
      </c>
      <c r="H85" s="643" t="s">
        <v>6</v>
      </c>
      <c r="I85" s="665" t="s">
        <v>17</v>
      </c>
      <c r="J85" s="666" t="s">
        <v>10</v>
      </c>
      <c r="K85" s="667" t="s">
        <v>8</v>
      </c>
      <c r="L85" s="643" t="s">
        <v>9</v>
      </c>
      <c r="M85" s="666" t="s">
        <v>10</v>
      </c>
      <c r="N85" s="668" t="s">
        <v>11</v>
      </c>
      <c r="O85" s="613" t="s">
        <v>12</v>
      </c>
      <c r="P85" s="666" t="s">
        <v>10</v>
      </c>
      <c r="Q85" s="669" t="s">
        <v>18</v>
      </c>
      <c r="R85" s="643" t="s">
        <v>14</v>
      </c>
      <c r="S85" s="667" t="s">
        <v>10</v>
      </c>
      <c r="W85" s="753"/>
    </row>
    <row r="86" spans="1:53" s="2" customFormat="1" ht="33" customHeight="1">
      <c r="A86" s="981"/>
      <c r="B86" s="989"/>
      <c r="C86" s="149"/>
      <c r="D86" s="150"/>
      <c r="E86" s="467"/>
      <c r="F86" s="150"/>
      <c r="G86" s="149"/>
      <c r="H86" s="150"/>
      <c r="I86" s="599"/>
      <c r="J86" s="150"/>
      <c r="K86" s="149"/>
      <c r="L86" s="150"/>
      <c r="M86" s="467"/>
      <c r="N86" s="150"/>
      <c r="O86" s="149"/>
      <c r="P86" s="150"/>
      <c r="Q86" s="599"/>
      <c r="R86" s="150"/>
      <c r="S86" s="599"/>
      <c r="W86" s="753"/>
    </row>
    <row r="87" spans="1:53" s="2" customFormat="1" ht="33" customHeight="1">
      <c r="A87" s="786" t="s">
        <v>15</v>
      </c>
      <c r="B87" s="785"/>
      <c r="C87" s="967"/>
      <c r="D87" s="968"/>
      <c r="E87" s="968"/>
      <c r="F87" s="969"/>
      <c r="G87" s="1139"/>
      <c r="H87" s="1140"/>
      <c r="I87" s="1140"/>
      <c r="J87" s="1141"/>
      <c r="K87" s="1139"/>
      <c r="L87" s="1140"/>
      <c r="M87" s="1141"/>
      <c r="N87" s="1139"/>
      <c r="O87" s="1140"/>
      <c r="P87" s="1141"/>
      <c r="Q87" s="1139"/>
      <c r="R87" s="1140"/>
      <c r="S87" s="969"/>
      <c r="W87" s="753"/>
    </row>
    <row r="88" spans="1:53" s="2" customFormat="1" ht="12" customHeight="1">
      <c r="A88" s="980">
        <f>+'jobinfo(2)'!A80</f>
        <v>28</v>
      </c>
      <c r="B88" s="1142">
        <f>+'jobinfo(2)'!N80</f>
        <v>0</v>
      </c>
      <c r="C88" s="664" t="s">
        <v>1</v>
      </c>
      <c r="D88" s="643" t="s">
        <v>16</v>
      </c>
      <c r="E88" s="665" t="s">
        <v>17</v>
      </c>
      <c r="F88" s="666" t="s">
        <v>10</v>
      </c>
      <c r="G88" s="667" t="s">
        <v>20</v>
      </c>
      <c r="H88" s="643" t="s">
        <v>6</v>
      </c>
      <c r="I88" s="665" t="s">
        <v>17</v>
      </c>
      <c r="J88" s="666" t="s">
        <v>10</v>
      </c>
      <c r="K88" s="667" t="s">
        <v>8</v>
      </c>
      <c r="L88" s="643" t="s">
        <v>9</v>
      </c>
      <c r="M88" s="666" t="s">
        <v>10</v>
      </c>
      <c r="N88" s="668" t="s">
        <v>11</v>
      </c>
      <c r="O88" s="613" t="s">
        <v>12</v>
      </c>
      <c r="P88" s="666" t="s">
        <v>10</v>
      </c>
      <c r="Q88" s="669" t="s">
        <v>18</v>
      </c>
      <c r="R88" s="643" t="s">
        <v>14</v>
      </c>
      <c r="S88" s="667" t="s">
        <v>10</v>
      </c>
      <c r="W88" s="753"/>
    </row>
    <row r="89" spans="1:53" s="2" customFormat="1" ht="33" customHeight="1">
      <c r="A89" s="981"/>
      <c r="B89" s="1143"/>
      <c r="C89" s="149"/>
      <c r="D89" s="150"/>
      <c r="E89" s="467"/>
      <c r="F89" s="150"/>
      <c r="G89" s="149"/>
      <c r="H89" s="150"/>
      <c r="I89" s="599"/>
      <c r="J89" s="150"/>
      <c r="K89" s="149"/>
      <c r="L89" s="150"/>
      <c r="M89" s="467"/>
      <c r="N89" s="150"/>
      <c r="O89" s="149"/>
      <c r="P89" s="150"/>
      <c r="Q89" s="599"/>
      <c r="R89" s="150"/>
      <c r="S89" s="599"/>
      <c r="W89" s="753"/>
    </row>
    <row r="90" spans="1:53" s="2" customFormat="1" ht="28.15" customHeight="1">
      <c r="A90" s="786" t="s">
        <v>15</v>
      </c>
      <c r="B90" s="783"/>
      <c r="C90" s="964"/>
      <c r="D90" s="965"/>
      <c r="E90" s="965"/>
      <c r="F90" s="965"/>
      <c r="G90" s="1136"/>
      <c r="H90" s="1137"/>
      <c r="I90" s="1137"/>
      <c r="J90" s="1137"/>
      <c r="K90" s="1136"/>
      <c r="L90" s="1137"/>
      <c r="M90" s="1138"/>
      <c r="N90" s="1136"/>
      <c r="O90" s="1137"/>
      <c r="P90" s="1138"/>
      <c r="Q90" s="1136"/>
      <c r="R90" s="1137"/>
      <c r="S90" s="966"/>
      <c r="W90" s="753"/>
    </row>
    <row r="91" spans="1:53" s="615" customFormat="1" ht="12" customHeight="1">
      <c r="A91" s="980">
        <f>+'jobinfo(2)'!A81</f>
        <v>0</v>
      </c>
      <c r="B91" s="988">
        <f>+'jobinfo(2)'!N81</f>
        <v>0</v>
      </c>
      <c r="C91" s="664" t="s">
        <v>1</v>
      </c>
      <c r="D91" s="643" t="s">
        <v>16</v>
      </c>
      <c r="E91" s="665" t="s">
        <v>17</v>
      </c>
      <c r="F91" s="666" t="s">
        <v>10</v>
      </c>
      <c r="G91" s="667" t="s">
        <v>20</v>
      </c>
      <c r="H91" s="643" t="s">
        <v>6</v>
      </c>
      <c r="I91" s="665" t="s">
        <v>17</v>
      </c>
      <c r="J91" s="666" t="s">
        <v>10</v>
      </c>
      <c r="K91" s="667" t="s">
        <v>8</v>
      </c>
      <c r="L91" s="643" t="s">
        <v>9</v>
      </c>
      <c r="M91" s="666" t="s">
        <v>10</v>
      </c>
      <c r="N91" s="668" t="s">
        <v>11</v>
      </c>
      <c r="O91" s="613" t="s">
        <v>12</v>
      </c>
      <c r="P91" s="666" t="s">
        <v>10</v>
      </c>
      <c r="Q91" s="669" t="s">
        <v>18</v>
      </c>
      <c r="R91" s="643" t="s">
        <v>14</v>
      </c>
      <c r="S91" s="667" t="s">
        <v>10</v>
      </c>
      <c r="W91" s="744"/>
    </row>
    <row r="92" spans="1:53" s="2" customFormat="1" ht="28.15" customHeight="1">
      <c r="A92" s="981"/>
      <c r="B92" s="989"/>
      <c r="C92" s="149"/>
      <c r="D92" s="150"/>
      <c r="E92" s="467"/>
      <c r="F92" s="150"/>
      <c r="G92" s="149"/>
      <c r="H92" s="150"/>
      <c r="I92" s="599"/>
      <c r="J92" s="150"/>
      <c r="K92" s="149"/>
      <c r="L92" s="150"/>
      <c r="M92" s="467"/>
      <c r="N92" s="150"/>
      <c r="O92" s="149"/>
      <c r="P92" s="150"/>
      <c r="Q92" s="599"/>
      <c r="R92" s="150"/>
      <c r="S92" s="599"/>
      <c r="W92" s="753"/>
    </row>
    <row r="93" spans="1:53" s="2" customFormat="1" ht="28.15" customHeight="1">
      <c r="A93" s="786" t="s">
        <v>15</v>
      </c>
      <c r="B93" s="785"/>
      <c r="C93" s="964"/>
      <c r="D93" s="965"/>
      <c r="E93" s="965"/>
      <c r="F93" s="965"/>
      <c r="G93" s="1136"/>
      <c r="H93" s="1137"/>
      <c r="I93" s="1137"/>
      <c r="J93" s="1137"/>
      <c r="K93" s="1136"/>
      <c r="L93" s="1137"/>
      <c r="M93" s="1138"/>
      <c r="N93" s="1136"/>
      <c r="O93" s="1137"/>
      <c r="P93" s="1138"/>
      <c r="Q93" s="1136"/>
      <c r="R93" s="1137"/>
      <c r="S93" s="966"/>
      <c r="W93" s="753"/>
    </row>
    <row r="94" spans="1:53" s="615" customFormat="1" ht="12" customHeight="1">
      <c r="A94" s="980"/>
      <c r="B94" s="988"/>
      <c r="C94" s="664"/>
      <c r="D94" s="643"/>
      <c r="E94" s="665"/>
      <c r="F94" s="666"/>
      <c r="G94" s="667"/>
      <c r="H94" s="643"/>
      <c r="I94" s="665"/>
      <c r="J94" s="666"/>
      <c r="K94" s="667"/>
      <c r="L94" s="643"/>
      <c r="M94" s="666"/>
      <c r="N94" s="668"/>
      <c r="O94" s="613"/>
      <c r="P94" s="666"/>
      <c r="Q94" s="669"/>
      <c r="R94" s="643"/>
      <c r="S94" s="667"/>
      <c r="W94" s="744"/>
    </row>
    <row r="95" spans="1:53" s="2" customFormat="1" ht="28.15" customHeight="1">
      <c r="A95" s="981"/>
      <c r="B95" s="989"/>
      <c r="C95" s="149"/>
      <c r="D95" s="150"/>
      <c r="E95" s="467"/>
      <c r="F95" s="150"/>
      <c r="G95" s="149"/>
      <c r="H95" s="150"/>
      <c r="I95" s="599"/>
      <c r="J95" s="150"/>
      <c r="K95" s="149"/>
      <c r="L95" s="150"/>
      <c r="M95" s="467"/>
      <c r="N95" s="150"/>
      <c r="O95" s="149"/>
      <c r="P95" s="150"/>
      <c r="Q95" s="599"/>
      <c r="R95" s="150"/>
      <c r="S95" s="599"/>
      <c r="W95" s="753"/>
    </row>
    <row r="96" spans="1:53" s="2" customFormat="1" ht="28.15" customHeight="1">
      <c r="A96" s="786"/>
      <c r="B96" s="783"/>
      <c r="C96" s="967"/>
      <c r="D96" s="968"/>
      <c r="E96" s="968"/>
      <c r="F96" s="969"/>
      <c r="G96" s="1139"/>
      <c r="H96" s="1140"/>
      <c r="I96" s="1140"/>
      <c r="J96" s="1141"/>
      <c r="K96" s="1139"/>
      <c r="L96" s="1140"/>
      <c r="M96" s="1141"/>
      <c r="N96" s="1139"/>
      <c r="O96" s="1140"/>
      <c r="P96" s="1141"/>
      <c r="Q96" s="1139"/>
      <c r="R96" s="1140"/>
      <c r="S96" s="969"/>
      <c r="W96" s="753"/>
    </row>
    <row r="97" spans="1:33" s="2" customFormat="1" ht="28.15" customHeight="1">
      <c r="A97" s="786"/>
      <c r="B97" s="788"/>
      <c r="C97" s="789"/>
      <c r="D97" s="789"/>
      <c r="E97" s="789"/>
      <c r="F97" s="789"/>
      <c r="G97" s="789"/>
      <c r="H97" s="789"/>
      <c r="I97" s="789"/>
      <c r="J97" s="789"/>
      <c r="K97" s="789"/>
      <c r="L97" s="789"/>
      <c r="M97" s="789"/>
      <c r="N97" s="789"/>
      <c r="O97" s="789"/>
      <c r="P97" s="789"/>
      <c r="Q97" s="789"/>
      <c r="R97" s="789"/>
      <c r="S97" s="789"/>
      <c r="W97" s="753"/>
    </row>
    <row r="98" spans="1:33" s="2" customFormat="1" ht="28.15" customHeight="1">
      <c r="A98" s="786"/>
      <c r="B98" s="788"/>
      <c r="C98" s="789"/>
      <c r="D98" s="789"/>
      <c r="E98" s="789"/>
      <c r="F98" s="789"/>
      <c r="G98" s="789"/>
      <c r="H98" s="789"/>
      <c r="I98" s="789"/>
      <c r="J98" s="789"/>
      <c r="K98" s="789"/>
      <c r="L98" s="789"/>
      <c r="M98" s="789"/>
      <c r="N98" s="789"/>
      <c r="O98" s="789"/>
      <c r="P98" s="789"/>
      <c r="Q98" s="789"/>
      <c r="R98" s="789"/>
      <c r="S98" s="789"/>
      <c r="W98" s="753"/>
    </row>
    <row r="99" spans="1:33" s="2" customFormat="1" ht="19.899999999999999" customHeight="1">
      <c r="A99" s="647"/>
      <c r="U99" s="610"/>
      <c r="V99" s="998" t="s">
        <v>23</v>
      </c>
      <c r="W99" s="999"/>
      <c r="X99" s="999"/>
      <c r="Y99" s="999"/>
      <c r="Z99" s="999"/>
      <c r="AA99" s="999"/>
      <c r="AB99" s="999"/>
      <c r="AC99" s="999"/>
      <c r="AD99" s="1000"/>
    </row>
    <row r="100" spans="1:33" s="2" customFormat="1" ht="19.899999999999999" customHeight="1">
      <c r="A100" s="647"/>
      <c r="U100" s="1001" t="s">
        <v>24</v>
      </c>
      <c r="V100" s="986" t="s">
        <v>25</v>
      </c>
      <c r="W100" s="987"/>
      <c r="Y100" s="701" t="s">
        <v>26</v>
      </c>
      <c r="AA100" s="526"/>
      <c r="AB100" s="984" t="s">
        <v>27</v>
      </c>
      <c r="AC100" s="985"/>
      <c r="AD100" s="725"/>
      <c r="AG100" s="686"/>
    </row>
    <row r="101" spans="1:33" s="2" customFormat="1" ht="19.899999999999999" customHeight="1">
      <c r="A101" s="647"/>
      <c r="U101" s="1002"/>
      <c r="V101" s="698" t="s">
        <v>28</v>
      </c>
      <c r="W101" s="702" t="s">
        <v>29</v>
      </c>
      <c r="Y101" s="990" t="s">
        <v>30</v>
      </c>
      <c r="Z101" s="991"/>
      <c r="AB101" s="460" t="s">
        <v>31</v>
      </c>
      <c r="AC101" s="614" t="s">
        <v>32</v>
      </c>
      <c r="AD101" s="725"/>
      <c r="AE101" s="686"/>
      <c r="AF101" s="686"/>
      <c r="AG101" s="690"/>
    </row>
    <row r="102" spans="1:33" s="2" customFormat="1" ht="19.899999999999999" customHeight="1">
      <c r="A102" s="647"/>
      <c r="U102" s="1002"/>
      <c r="V102" s="739" t="s">
        <v>33</v>
      </c>
      <c r="W102" s="745" t="s">
        <v>34</v>
      </c>
      <c r="Y102" s="760" t="s">
        <v>35</v>
      </c>
      <c r="Z102" s="754" t="s">
        <v>36</v>
      </c>
      <c r="AB102" s="460" t="s">
        <v>37</v>
      </c>
      <c r="AC102" s="687" t="s">
        <v>38</v>
      </c>
      <c r="AD102" s="725"/>
      <c r="AE102" s="686"/>
      <c r="AF102" s="686"/>
      <c r="AG102" s="690"/>
    </row>
    <row r="103" spans="1:33" s="2" customFormat="1" ht="19.899999999999999" customHeight="1">
      <c r="A103" s="647"/>
      <c r="U103" s="1002"/>
      <c r="V103" s="698" t="s">
        <v>39</v>
      </c>
      <c r="W103" s="702" t="s">
        <v>40</v>
      </c>
      <c r="Y103" s="761" t="s">
        <v>41</v>
      </c>
      <c r="Z103" s="747" t="s">
        <v>42</v>
      </c>
      <c r="AA103" s="690"/>
      <c r="AB103" s="686" t="s">
        <v>43</v>
      </c>
      <c r="AC103" s="615" t="s">
        <v>44</v>
      </c>
      <c r="AD103" s="725"/>
      <c r="AE103" s="686"/>
      <c r="AF103" s="686"/>
      <c r="AG103" s="690"/>
    </row>
    <row r="104" spans="1:33" s="2" customFormat="1" ht="19.899999999999999" customHeight="1">
      <c r="A104" s="647"/>
      <c r="U104" s="1002"/>
      <c r="V104" s="743" t="s">
        <v>45</v>
      </c>
      <c r="W104" s="746" t="s">
        <v>46</v>
      </c>
      <c r="Y104" s="526" t="s">
        <v>47</v>
      </c>
      <c r="Z104" s="689" t="s">
        <v>48</v>
      </c>
      <c r="AB104" s="725"/>
      <c r="AC104" s="725"/>
      <c r="AD104" s="725"/>
      <c r="AE104" s="686"/>
      <c r="AF104" s="686"/>
      <c r="AG104" s="690"/>
    </row>
    <row r="105" spans="1:33" s="2" customFormat="1" ht="19.899999999999999" customHeight="1">
      <c r="A105" s="647"/>
      <c r="U105" s="1002"/>
      <c r="V105" s="692" t="s">
        <v>49</v>
      </c>
      <c r="W105" s="746" t="s">
        <v>50</v>
      </c>
      <c r="Y105" s="526" t="s">
        <v>12</v>
      </c>
      <c r="Z105" s="150" t="s">
        <v>51</v>
      </c>
      <c r="AA105" s="690"/>
      <c r="AB105" s="725"/>
      <c r="AC105" s="725"/>
      <c r="AD105" s="725"/>
      <c r="AE105" s="686"/>
      <c r="AF105" s="686"/>
      <c r="AG105" s="690"/>
    </row>
    <row r="106" spans="1:33" s="2" customFormat="1" ht="19.899999999999999" customHeight="1">
      <c r="A106" s="647"/>
      <c r="U106" s="1002"/>
      <c r="V106" s="692" t="s">
        <v>52</v>
      </c>
      <c r="W106" s="747" t="s">
        <v>53</v>
      </c>
      <c r="AD106" s="725"/>
      <c r="AE106" s="686"/>
      <c r="AF106" s="686"/>
      <c r="AG106" s="690"/>
    </row>
    <row r="107" spans="1:33" s="2" customFormat="1" ht="19.899999999999999" customHeight="1">
      <c r="A107" s="647"/>
      <c r="U107" s="1002"/>
      <c r="V107" s="740" t="s">
        <v>54</v>
      </c>
      <c r="W107" s="755" t="s">
        <v>55</v>
      </c>
      <c r="Y107" s="994" t="s">
        <v>56</v>
      </c>
      <c r="Z107" s="994"/>
      <c r="AA107" s="994"/>
      <c r="AB107" s="994"/>
      <c r="AC107" s="994"/>
      <c r="AD107" s="725"/>
      <c r="AE107" s="686"/>
      <c r="AF107" s="686"/>
      <c r="AG107" s="690"/>
    </row>
    <row r="108" spans="1:33" s="2" customFormat="1" ht="19.899999999999999" customHeight="1">
      <c r="A108" s="647"/>
      <c r="U108" s="1002"/>
      <c r="V108" s="740" t="s">
        <v>57</v>
      </c>
      <c r="W108" s="755" t="s">
        <v>58</v>
      </c>
      <c r="Y108" s="612" t="s">
        <v>59</v>
      </c>
      <c r="Z108" s="758"/>
      <c r="AA108" s="746" t="s">
        <v>60</v>
      </c>
      <c r="AB108" s="694" t="s">
        <v>61</v>
      </c>
      <c r="AC108" s="702" t="s">
        <v>62</v>
      </c>
      <c r="AD108" s="725"/>
      <c r="AE108" s="686"/>
      <c r="AF108" s="686"/>
      <c r="AG108" s="690"/>
    </row>
    <row r="109" spans="1:33" s="2" customFormat="1" ht="19.899999999999999" customHeight="1">
      <c r="A109" s="647"/>
      <c r="U109" s="1002"/>
      <c r="V109" s="740"/>
      <c r="W109" s="755"/>
      <c r="Y109" s="686" t="s">
        <v>63</v>
      </c>
      <c r="AA109" s="746" t="s">
        <v>64</v>
      </c>
    </row>
    <row r="110" spans="1:33" s="2" customFormat="1" ht="19.899999999999999" customHeight="1">
      <c r="A110" s="647"/>
      <c r="U110" s="1002"/>
      <c r="V110" s="51" t="s">
        <v>65</v>
      </c>
      <c r="W110" s="755" t="s">
        <v>66</v>
      </c>
      <c r="X110" s="188"/>
      <c r="Y110" s="704" t="s">
        <v>67</v>
      </c>
      <c r="Z110" s="749"/>
      <c r="AA110" s="2" t="s">
        <v>68</v>
      </c>
      <c r="AB110" s="697" t="s">
        <v>69</v>
      </c>
      <c r="AC110" s="756" t="s">
        <v>70</v>
      </c>
      <c r="AE110" s="686"/>
      <c r="AF110" s="686"/>
      <c r="AG110" s="690"/>
    </row>
    <row r="111" spans="1:33" s="2" customFormat="1" ht="19.899999999999999" customHeight="1">
      <c r="A111" s="647"/>
      <c r="U111" s="1002"/>
      <c r="V111" s="51" t="s">
        <v>71</v>
      </c>
      <c r="W111" s="755" t="s">
        <v>72</v>
      </c>
      <c r="X111" s="188"/>
      <c r="Y111" s="620" t="s">
        <v>73</v>
      </c>
      <c r="AA111" s="943" t="s">
        <v>74</v>
      </c>
      <c r="AB111" s="725"/>
      <c r="AC111" s="725"/>
      <c r="AD111" s="725"/>
      <c r="AE111" s="686"/>
      <c r="AF111" s="686"/>
      <c r="AG111" s="690"/>
    </row>
    <row r="112" spans="1:33" s="2" customFormat="1" ht="19.899999999999999" customHeight="1">
      <c r="A112" s="647"/>
      <c r="U112" s="1002"/>
      <c r="V112" s="51" t="s">
        <v>75</v>
      </c>
      <c r="W112" s="755" t="s">
        <v>76</v>
      </c>
      <c r="X112" s="188"/>
      <c r="AD112" s="725"/>
      <c r="AE112" s="686"/>
      <c r="AF112" s="686"/>
      <c r="AG112" s="690"/>
    </row>
    <row r="113" spans="1:36" s="2" customFormat="1" ht="19.899999999999999" customHeight="1">
      <c r="A113" s="647"/>
      <c r="U113" s="1002"/>
      <c r="V113" s="51" t="s">
        <v>77</v>
      </c>
      <c r="W113" s="755" t="s">
        <v>78</v>
      </c>
      <c r="X113" s="188"/>
      <c r="Y113" s="493" t="s">
        <v>79</v>
      </c>
      <c r="Z113" s="748"/>
      <c r="AA113" s="601"/>
      <c r="AB113" s="703" t="s">
        <v>80</v>
      </c>
      <c r="AD113" s="686"/>
      <c r="AG113" s="690"/>
    </row>
    <row r="114" spans="1:36" s="2" customFormat="1" ht="19.899999999999999" customHeight="1">
      <c r="A114" s="647"/>
      <c r="U114" s="1002"/>
      <c r="V114" s="51" t="s">
        <v>81</v>
      </c>
      <c r="W114" s="755" t="s">
        <v>82</v>
      </c>
      <c r="X114" s="188"/>
      <c r="Y114" s="682" t="s">
        <v>83</v>
      </c>
      <c r="Z114" s="2" t="s">
        <v>84</v>
      </c>
      <c r="AB114" s="683" t="s">
        <v>85</v>
      </c>
      <c r="AD114" s="725"/>
      <c r="AE114" s="686"/>
      <c r="AF114" s="686"/>
      <c r="AG114" s="690"/>
    </row>
    <row r="115" spans="1:36" s="2" customFormat="1" ht="19.899999999999999" customHeight="1">
      <c r="A115" s="647"/>
      <c r="U115" s="1002"/>
      <c r="V115" s="51"/>
      <c r="W115" s="755"/>
      <c r="X115" s="188"/>
      <c r="Y115" s="697"/>
      <c r="AA115" s="690"/>
      <c r="AB115" s="725"/>
      <c r="AC115" s="725"/>
      <c r="AD115" s="725"/>
      <c r="AE115" s="686"/>
      <c r="AF115" s="686"/>
      <c r="AG115" s="690"/>
    </row>
    <row r="116" spans="1:36" s="2" customFormat="1" ht="19.899999999999999" customHeight="1">
      <c r="A116" s="647"/>
      <c r="U116" s="1002"/>
      <c r="V116" s="762" t="s">
        <v>86</v>
      </c>
      <c r="W116" s="763" t="s">
        <v>18</v>
      </c>
      <c r="X116" s="645"/>
      <c r="Y116" s="780" t="s">
        <v>87</v>
      </c>
      <c r="Z116" s="778" t="s">
        <v>88</v>
      </c>
      <c r="AA116" s="687"/>
      <c r="AB116" s="617" t="s">
        <v>89</v>
      </c>
      <c r="AC116" s="773" t="s">
        <v>90</v>
      </c>
      <c r="AD116" s="1005"/>
      <c r="AE116" s="1005"/>
      <c r="AF116" s="1005"/>
      <c r="AG116" s="1005"/>
      <c r="AH116" s="686"/>
    </row>
    <row r="117" spans="1:36" s="2" customFormat="1" ht="19.899999999999999" customHeight="1">
      <c r="A117" s="647"/>
      <c r="U117" s="1002"/>
      <c r="V117" s="764" t="s">
        <v>91</v>
      </c>
      <c r="W117" s="765" t="s">
        <v>92</v>
      </c>
      <c r="X117" s="188"/>
      <c r="Y117" s="699" t="s">
        <v>93</v>
      </c>
      <c r="Z117" s="779" t="s">
        <v>94</v>
      </c>
      <c r="AB117" s="695" t="s">
        <v>95</v>
      </c>
      <c r="AC117" s="773" t="s">
        <v>96</v>
      </c>
      <c r="AF117" s="1005"/>
      <c r="AG117" s="1005"/>
    </row>
    <row r="118" spans="1:36" s="2" customFormat="1" ht="19.899999999999999" customHeight="1">
      <c r="A118" s="647"/>
      <c r="U118" s="1002"/>
      <c r="V118" s="691" t="s">
        <v>97</v>
      </c>
      <c r="W118" s="766" t="s">
        <v>98</v>
      </c>
      <c r="X118" s="188"/>
      <c r="Y118" s="767"/>
      <c r="AB118" s="1005"/>
      <c r="AC118" s="1005"/>
      <c r="AD118" s="1005"/>
      <c r="AE118" s="686"/>
      <c r="AF118" s="686"/>
      <c r="AG118" s="690"/>
    </row>
    <row r="119" spans="1:36" s="2" customFormat="1" ht="19.899999999999999" customHeight="1">
      <c r="A119" s="647"/>
      <c r="U119" s="1002"/>
      <c r="V119" s="692" t="s">
        <v>99</v>
      </c>
      <c r="W119" s="747" t="s">
        <v>99</v>
      </c>
      <c r="X119" s="188"/>
      <c r="Y119" s="781" t="s">
        <v>100</v>
      </c>
      <c r="Z119" s="774" t="s">
        <v>101</v>
      </c>
      <c r="AA119" s="687" t="s">
        <v>60</v>
      </c>
      <c r="AB119" s="687" t="s">
        <v>102</v>
      </c>
      <c r="AE119" s="686"/>
      <c r="AF119" s="686"/>
      <c r="AG119" s="690"/>
    </row>
    <row r="120" spans="1:36" s="2" customFormat="1" ht="19.899999999999999" customHeight="1">
      <c r="A120" s="647"/>
      <c r="U120" s="1002"/>
      <c r="V120" s="768" t="s">
        <v>103</v>
      </c>
      <c r="W120" s="769"/>
      <c r="X120" s="188"/>
      <c r="Y120" s="687" t="s">
        <v>104</v>
      </c>
      <c r="Z120" s="747" t="s">
        <v>105</v>
      </c>
      <c r="AA120" s="688" t="s">
        <v>106</v>
      </c>
      <c r="AB120" s="687" t="s">
        <v>107</v>
      </c>
      <c r="AE120" s="686"/>
      <c r="AF120" s="686"/>
      <c r="AG120" s="690"/>
    </row>
    <row r="121" spans="1:36" s="2" customFormat="1" ht="19.899999999999999" customHeight="1">
      <c r="A121" s="647"/>
      <c r="U121" s="1002"/>
      <c r="V121" s="770" t="s">
        <v>108</v>
      </c>
      <c r="W121" s="771" t="s">
        <v>109</v>
      </c>
      <c r="X121" s="188"/>
      <c r="Y121" s="645" t="s">
        <v>110</v>
      </c>
      <c r="Z121" s="747" t="s">
        <v>111</v>
      </c>
      <c r="AA121" s="686" t="s">
        <v>112</v>
      </c>
      <c r="AB121" s="687" t="s">
        <v>113</v>
      </c>
      <c r="AE121" s="686"/>
      <c r="AF121" s="686"/>
      <c r="AG121" s="690"/>
    </row>
    <row r="122" spans="1:36" s="2" customFormat="1" ht="19.899999999999999" customHeight="1">
      <c r="A122" s="647"/>
      <c r="U122" s="1002"/>
      <c r="V122" s="686" t="s">
        <v>114</v>
      </c>
      <c r="W122" s="687" t="s">
        <v>115</v>
      </c>
      <c r="X122" s="188"/>
      <c r="Y122" s="691" t="s">
        <v>116</v>
      </c>
      <c r="Z122" s="747" t="s">
        <v>117</v>
      </c>
      <c r="AA122" s="686" t="s">
        <v>118</v>
      </c>
      <c r="AB122" s="687" t="s">
        <v>119</v>
      </c>
      <c r="AE122" s="686"/>
      <c r="AF122" s="686"/>
      <c r="AG122" s="690"/>
    </row>
    <row r="123" spans="1:36" s="2" customFormat="1" ht="19.899999999999999" customHeight="1">
      <c r="A123" s="647"/>
      <c r="U123" s="1002"/>
      <c r="V123" s="686"/>
      <c r="W123" s="687"/>
      <c r="X123" s="188"/>
      <c r="Y123" s="2" t="s">
        <v>120</v>
      </c>
      <c r="Z123" s="747" t="s">
        <v>121</v>
      </c>
      <c r="AA123" s="777" t="s">
        <v>122</v>
      </c>
      <c r="AB123" s="687" t="s">
        <v>123</v>
      </c>
      <c r="AC123" s="932"/>
      <c r="AD123" s="932"/>
      <c r="AE123" s="686"/>
      <c r="AF123" s="686"/>
      <c r="AG123" s="690"/>
    </row>
    <row r="124" spans="1:36" s="2" customFormat="1" ht="19.899999999999999" customHeight="1">
      <c r="A124" s="647"/>
      <c r="U124" s="1002"/>
      <c r="V124" s="772" t="s">
        <v>124</v>
      </c>
      <c r="W124" s="773" t="s">
        <v>17</v>
      </c>
      <c r="X124" s="188"/>
      <c r="Y124" s="619" t="s">
        <v>125</v>
      </c>
      <c r="Z124" s="757"/>
      <c r="AA124" s="615" t="s">
        <v>126</v>
      </c>
      <c r="AB124" s="615" t="s">
        <v>127</v>
      </c>
      <c r="AC124" s="615" t="s">
        <v>128</v>
      </c>
      <c r="AD124" s="932"/>
      <c r="AE124" s="686"/>
      <c r="AF124" s="686"/>
      <c r="AG124" s="690"/>
    </row>
    <row r="125" spans="1:36" s="2" customFormat="1" ht="19.899999999999999" customHeight="1">
      <c r="A125" s="648"/>
      <c r="B125" s="620"/>
      <c r="C125" s="616"/>
      <c r="D125" s="616"/>
      <c r="E125" s="616"/>
      <c r="U125" s="1002"/>
      <c r="V125" s="1003" t="s">
        <v>129</v>
      </c>
      <c r="W125" s="1004"/>
      <c r="X125" s="1004"/>
      <c r="Y125" s="1004"/>
      <c r="Z125" s="1004"/>
      <c r="AA125" s="1004"/>
      <c r="AB125" s="1004"/>
      <c r="AC125" s="1004"/>
      <c r="AD125" s="1004"/>
      <c r="AE125" s="705"/>
      <c r="AF125" s="705"/>
      <c r="AG125" s="705"/>
      <c r="AH125" s="705"/>
      <c r="AI125" s="705"/>
      <c r="AJ125" s="705"/>
    </row>
    <row r="126" spans="1:36" s="2" customFormat="1" ht="19.899999999999999" customHeight="1">
      <c r="A126" s="648"/>
      <c r="B126" s="620"/>
      <c r="C126" s="616"/>
      <c r="D126" s="616"/>
      <c r="E126" s="616"/>
      <c r="U126" s="1002"/>
      <c r="V126" s="483" t="s">
        <v>130</v>
      </c>
      <c r="W126" s="773" t="s">
        <v>131</v>
      </c>
      <c r="X126" s="690"/>
      <c r="Y126" s="693" t="s">
        <v>132</v>
      </c>
      <c r="Z126" s="702" t="s">
        <v>133</v>
      </c>
      <c r="AA126" s="2" t="s">
        <v>134</v>
      </c>
      <c r="AB126" s="687" t="s">
        <v>135</v>
      </c>
      <c r="AC126" s="995" t="s">
        <v>136</v>
      </c>
      <c r="AD126" s="615"/>
      <c r="AI126" s="615"/>
    </row>
    <row r="127" spans="1:36" s="2" customFormat="1" ht="19.899999999999999" customHeight="1">
      <c r="A127" s="648"/>
      <c r="B127" s="620"/>
      <c r="C127" s="616"/>
      <c r="D127" s="616"/>
      <c r="E127" s="616"/>
      <c r="U127" s="1002"/>
      <c r="V127" s="2" t="s">
        <v>137</v>
      </c>
      <c r="W127" s="615" t="s">
        <v>138</v>
      </c>
      <c r="X127" s="700" t="s">
        <v>1092</v>
      </c>
      <c r="Y127" s="2" t="s">
        <v>139</v>
      </c>
      <c r="AC127" s="995"/>
      <c r="AD127" s="687"/>
      <c r="AH127" s="686"/>
    </row>
    <row r="128" spans="1:36" s="2" customFormat="1" ht="19.899999999999999" customHeight="1">
      <c r="A128" s="648"/>
      <c r="B128" s="620"/>
      <c r="C128" s="616"/>
      <c r="D128" s="616"/>
      <c r="E128" s="616"/>
      <c r="U128" s="1002"/>
      <c r="V128" s="460" t="s">
        <v>140</v>
      </c>
      <c r="W128" s="702" t="s">
        <v>141</v>
      </c>
      <c r="Z128" s="685" t="s">
        <v>142</v>
      </c>
      <c r="AA128" s="618" t="s">
        <v>143</v>
      </c>
      <c r="AC128" s="996" t="s">
        <v>144</v>
      </c>
    </row>
    <row r="129" spans="1:36" s="2" customFormat="1" ht="19.899999999999999" customHeight="1">
      <c r="A129" s="648"/>
      <c r="B129" s="620"/>
      <c r="C129" s="616"/>
      <c r="D129" s="616"/>
      <c r="E129" s="616"/>
      <c r="U129" s="1002"/>
      <c r="V129" s="687" t="s">
        <v>145</v>
      </c>
      <c r="W129" s="773" t="s">
        <v>146</v>
      </c>
      <c r="Z129" s="696" t="s">
        <v>21</v>
      </c>
      <c r="AA129" s="614" t="s">
        <v>22</v>
      </c>
      <c r="AB129" s="775"/>
      <c r="AC129" s="997"/>
      <c r="AD129" s="614"/>
    </row>
    <row r="130" spans="1:36" s="2" customFormat="1" ht="19.899999999999999" customHeight="1">
      <c r="A130" s="648"/>
      <c r="B130" s="620"/>
      <c r="C130" s="616"/>
      <c r="D130" s="616"/>
      <c r="E130" s="616"/>
      <c r="U130" s="1002"/>
      <c r="V130" s="687" t="s">
        <v>147</v>
      </c>
      <c r="W130" s="776" t="s">
        <v>148</v>
      </c>
      <c r="Z130" s="687" t="s">
        <v>149</v>
      </c>
      <c r="AA130" s="773" t="s">
        <v>150</v>
      </c>
      <c r="AC130" s="997"/>
      <c r="AD130" s="614"/>
    </row>
    <row r="131" spans="1:36" s="2" customFormat="1" ht="19.899999999999999" customHeight="1">
      <c r="A131" s="648"/>
      <c r="B131" s="620"/>
      <c r="C131" s="616"/>
      <c r="D131" s="616"/>
      <c r="E131" s="616"/>
      <c r="U131" s="1002"/>
      <c r="V131" s="687" t="s">
        <v>151</v>
      </c>
      <c r="W131" s="684" t="s">
        <v>152</v>
      </c>
      <c r="Z131" s="687" t="s">
        <v>153</v>
      </c>
      <c r="AA131" s="687" t="s">
        <v>154</v>
      </c>
      <c r="AC131" s="997"/>
      <c r="AF131" s="686"/>
      <c r="AG131" s="686"/>
      <c r="AH131" s="687"/>
      <c r="AI131" s="644"/>
      <c r="AJ131" s="615"/>
    </row>
    <row r="132" spans="1:36" s="2" customFormat="1" ht="19.899999999999999" customHeight="1">
      <c r="A132" s="648"/>
      <c r="B132" s="620"/>
      <c r="C132" s="616"/>
      <c r="D132" s="616"/>
      <c r="E132" s="616"/>
      <c r="U132" s="931"/>
      <c r="V132" s="687"/>
      <c r="W132" s="684"/>
      <c r="Z132" s="687"/>
      <c r="AA132" s="687"/>
      <c r="AC132" s="997"/>
      <c r="AF132" s="686"/>
      <c r="AG132" s="686"/>
      <c r="AH132" s="687"/>
      <c r="AI132" s="644"/>
      <c r="AJ132" s="615"/>
    </row>
    <row r="133" spans="1:36" s="2" customFormat="1" ht="19.899999999999999" customHeight="1">
      <c r="A133" s="648"/>
      <c r="B133" s="620"/>
      <c r="C133" s="616"/>
      <c r="D133" s="616"/>
      <c r="E133" s="616"/>
      <c r="U133" s="686"/>
      <c r="V133" s="976" t="s">
        <v>155</v>
      </c>
      <c r="W133" s="976"/>
      <c r="X133" s="976"/>
      <c r="Y133" s="976"/>
      <c r="Z133" s="976"/>
      <c r="AA133" s="976"/>
      <c r="AB133" s="976"/>
      <c r="AC133" s="976"/>
      <c r="AD133" s="686"/>
      <c r="AE133" s="686"/>
      <c r="AF133" s="686"/>
      <c r="AG133" s="686"/>
      <c r="AH133" s="686"/>
      <c r="AI133" s="686"/>
      <c r="AJ133" s="686"/>
    </row>
    <row r="134" spans="1:36" s="2" customFormat="1" ht="19.899999999999999" customHeight="1">
      <c r="A134" s="648"/>
      <c r="B134" s="620"/>
      <c r="C134" s="616"/>
      <c r="D134" s="616"/>
      <c r="E134" s="616"/>
      <c r="U134" s="686"/>
      <c r="V134" s="740" t="s">
        <v>30</v>
      </c>
      <c r="W134" s="782" t="s">
        <v>156</v>
      </c>
      <c r="X134" s="663" t="s">
        <v>157</v>
      </c>
      <c r="Y134" s="51"/>
      <c r="Z134" s="686" t="s">
        <v>158</v>
      </c>
      <c r="AA134" s="686"/>
      <c r="AB134" s="686"/>
      <c r="AC134" s="686"/>
      <c r="AD134" s="686"/>
      <c r="AE134" s="686"/>
      <c r="AF134" s="686"/>
      <c r="AG134" s="686"/>
      <c r="AH134" s="686"/>
      <c r="AI134" s="686"/>
      <c r="AJ134" s="686"/>
    </row>
    <row r="135" spans="1:36" ht="19.899999999999999" customHeight="1">
      <c r="U135" s="526"/>
      <c r="V135" s="687" t="s">
        <v>159</v>
      </c>
      <c r="W135" s="450" t="s">
        <v>160</v>
      </c>
      <c r="Y135" s="51" t="s">
        <v>161</v>
      </c>
      <c r="Z135" s="526" t="s">
        <v>162</v>
      </c>
      <c r="AA135" s="526"/>
      <c r="AB135" s="526" t="s">
        <v>163</v>
      </c>
      <c r="AC135" s="526"/>
      <c r="AD135" s="526"/>
      <c r="AE135" s="526"/>
      <c r="AF135" s="526"/>
      <c r="AG135" s="526"/>
      <c r="AH135" s="526"/>
      <c r="AI135" s="526"/>
      <c r="AJ135" s="526"/>
    </row>
    <row r="136" spans="1:36" ht="28.15" customHeight="1">
      <c r="U136" s="526"/>
      <c r="Y136" s="51"/>
      <c r="Z136" s="526"/>
      <c r="AA136" s="526"/>
      <c r="AB136" s="526"/>
      <c r="AC136" s="526"/>
      <c r="AD136" s="526"/>
      <c r="AE136" s="526"/>
      <c r="AF136" s="526"/>
      <c r="AG136" s="526"/>
      <c r="AH136" s="526"/>
      <c r="AI136" s="526"/>
      <c r="AJ136" s="526"/>
    </row>
    <row r="137" spans="1:36" ht="28.15" customHeight="1">
      <c r="Y137" s="51"/>
    </row>
    <row r="138" spans="1:36" ht="28.15" customHeight="1">
      <c r="Y138" s="51"/>
    </row>
    <row r="139" spans="1:36" ht="28.15" customHeight="1">
      <c r="V139" s="740" t="s">
        <v>164</v>
      </c>
      <c r="W139" s="950">
        <v>12</v>
      </c>
      <c r="X139" s="82" t="s">
        <v>51</v>
      </c>
      <c r="Y139" s="51"/>
    </row>
    <row r="140" spans="1:36" ht="28.15" customHeight="1">
      <c r="V140" s="740" t="s">
        <v>165</v>
      </c>
      <c r="W140" s="950">
        <v>10</v>
      </c>
      <c r="X140" s="82" t="s">
        <v>51</v>
      </c>
      <c r="Y140" s="51"/>
    </row>
    <row r="141" spans="1:36" ht="28.15" customHeight="1">
      <c r="V141" s="740" t="s">
        <v>166</v>
      </c>
      <c r="W141" s="950">
        <v>20</v>
      </c>
      <c r="X141" s="82" t="s">
        <v>51</v>
      </c>
      <c r="Y141" s="51"/>
    </row>
    <row r="142" spans="1:36" ht="28.15" customHeight="1">
      <c r="V142" s="741" t="s">
        <v>167</v>
      </c>
      <c r="W142" s="950">
        <v>15</v>
      </c>
      <c r="X142" s="82" t="s">
        <v>51</v>
      </c>
      <c r="Y142" s="51"/>
    </row>
    <row r="143" spans="1:36" ht="28.15" customHeight="1">
      <c r="V143" s="740" t="s">
        <v>168</v>
      </c>
      <c r="W143" s="742">
        <v>20</v>
      </c>
      <c r="X143" s="82" t="s">
        <v>51</v>
      </c>
      <c r="Y143" s="51"/>
    </row>
    <row r="144" spans="1:36" ht="28.15" customHeight="1">
      <c r="V144" s="740" t="s">
        <v>169</v>
      </c>
      <c r="W144" s="950">
        <v>15</v>
      </c>
      <c r="X144" s="82" t="s">
        <v>170</v>
      </c>
      <c r="Y144" s="51"/>
    </row>
    <row r="145" spans="22:25" ht="28.15" customHeight="1">
      <c r="Y145" s="51"/>
    </row>
    <row r="146" spans="22:25" ht="28.15" customHeight="1">
      <c r="V146" s="740" t="s">
        <v>171</v>
      </c>
    </row>
  </sheetData>
  <mergeCells count="223">
    <mergeCell ref="C4:F4"/>
    <mergeCell ref="G4:J4"/>
    <mergeCell ref="K4:M4"/>
    <mergeCell ref="N4:P4"/>
    <mergeCell ref="Q4:R4"/>
    <mergeCell ref="A5:A6"/>
    <mergeCell ref="B5:B6"/>
    <mergeCell ref="A1:C1"/>
    <mergeCell ref="D1:F1"/>
    <mergeCell ref="J1:K1"/>
    <mergeCell ref="L1:M1"/>
    <mergeCell ref="R1:S1"/>
    <mergeCell ref="A2:A3"/>
    <mergeCell ref="B2:B3"/>
    <mergeCell ref="C10:F10"/>
    <mergeCell ref="G10:J10"/>
    <mergeCell ref="K10:M10"/>
    <mergeCell ref="N10:P10"/>
    <mergeCell ref="Q10:R10"/>
    <mergeCell ref="A11:A12"/>
    <mergeCell ref="B11:B12"/>
    <mergeCell ref="C7:F7"/>
    <mergeCell ref="G7:J7"/>
    <mergeCell ref="K7:M7"/>
    <mergeCell ref="N7:P7"/>
    <mergeCell ref="Q7:R7"/>
    <mergeCell ref="A8:A9"/>
    <mergeCell ref="B8:B9"/>
    <mergeCell ref="C16:F16"/>
    <mergeCell ref="G16:J16"/>
    <mergeCell ref="K16:M16"/>
    <mergeCell ref="N16:P16"/>
    <mergeCell ref="Q16:R16"/>
    <mergeCell ref="A17:A18"/>
    <mergeCell ref="C13:F13"/>
    <mergeCell ref="G13:J13"/>
    <mergeCell ref="K13:M13"/>
    <mergeCell ref="N13:P13"/>
    <mergeCell ref="Q13:R13"/>
    <mergeCell ref="A14:A15"/>
    <mergeCell ref="B14:B15"/>
    <mergeCell ref="Q22:R22"/>
    <mergeCell ref="A23:C23"/>
    <mergeCell ref="D23:F23"/>
    <mergeCell ref="J23:K23"/>
    <mergeCell ref="L23:M23"/>
    <mergeCell ref="R23:S23"/>
    <mergeCell ref="C19:F19"/>
    <mergeCell ref="G19:J19"/>
    <mergeCell ref="K19:M19"/>
    <mergeCell ref="N19:P19"/>
    <mergeCell ref="Q19:R19"/>
    <mergeCell ref="A20:A21"/>
    <mergeCell ref="A24:A25"/>
    <mergeCell ref="C26:F26"/>
    <mergeCell ref="G26:J26"/>
    <mergeCell ref="K26:M26"/>
    <mergeCell ref="N26:P26"/>
    <mergeCell ref="C22:F22"/>
    <mergeCell ref="G22:J22"/>
    <mergeCell ref="K22:M22"/>
    <mergeCell ref="N22:P22"/>
    <mergeCell ref="A30:A31"/>
    <mergeCell ref="C32:F32"/>
    <mergeCell ref="G32:J32"/>
    <mergeCell ref="K32:M32"/>
    <mergeCell ref="Q26:R26"/>
    <mergeCell ref="A27:A28"/>
    <mergeCell ref="C29:F29"/>
    <mergeCell ref="G29:J29"/>
    <mergeCell ref="K29:M29"/>
    <mergeCell ref="N29:P29"/>
    <mergeCell ref="Q29:R29"/>
    <mergeCell ref="A36:A37"/>
    <mergeCell ref="G38:J38"/>
    <mergeCell ref="K38:M38"/>
    <mergeCell ref="N38:P38"/>
    <mergeCell ref="Q38:R38"/>
    <mergeCell ref="B36:B37"/>
    <mergeCell ref="N32:P32"/>
    <mergeCell ref="Q32:R32"/>
    <mergeCell ref="A33:A34"/>
    <mergeCell ref="G35:J35"/>
    <mergeCell ref="K35:M35"/>
    <mergeCell ref="N35:P35"/>
    <mergeCell ref="Q35:R35"/>
    <mergeCell ref="A42:A43"/>
    <mergeCell ref="G44:J44"/>
    <mergeCell ref="K44:M44"/>
    <mergeCell ref="N44:P44"/>
    <mergeCell ref="Q44:R44"/>
    <mergeCell ref="B42:B43"/>
    <mergeCell ref="A39:A40"/>
    <mergeCell ref="G41:J41"/>
    <mergeCell ref="K41:M41"/>
    <mergeCell ref="N41:P41"/>
    <mergeCell ref="Q41:R41"/>
    <mergeCell ref="B39:B40"/>
    <mergeCell ref="G52:J52"/>
    <mergeCell ref="K52:M52"/>
    <mergeCell ref="N52:P52"/>
    <mergeCell ref="Q52:R52"/>
    <mergeCell ref="A53:A54"/>
    <mergeCell ref="B53:B54"/>
    <mergeCell ref="A45:C45"/>
    <mergeCell ref="D45:F45"/>
    <mergeCell ref="J45:K45"/>
    <mergeCell ref="L45:M45"/>
    <mergeCell ref="R45:S45"/>
    <mergeCell ref="A50:A51"/>
    <mergeCell ref="B50:B51"/>
    <mergeCell ref="A46:A47"/>
    <mergeCell ref="G48:J48"/>
    <mergeCell ref="K48:M48"/>
    <mergeCell ref="N48:P48"/>
    <mergeCell ref="Q48:R48"/>
    <mergeCell ref="B46:B47"/>
    <mergeCell ref="G58:J58"/>
    <mergeCell ref="K58:M58"/>
    <mergeCell ref="N58:P58"/>
    <mergeCell ref="Q58:R58"/>
    <mergeCell ref="A59:A60"/>
    <mergeCell ref="B59:B60"/>
    <mergeCell ref="G55:J55"/>
    <mergeCell ref="K55:M55"/>
    <mergeCell ref="N55:P55"/>
    <mergeCell ref="Q55:R55"/>
    <mergeCell ref="A56:A57"/>
    <mergeCell ref="B56:B57"/>
    <mergeCell ref="G64:J64"/>
    <mergeCell ref="K64:M64"/>
    <mergeCell ref="N64:P64"/>
    <mergeCell ref="Q64:R64"/>
    <mergeCell ref="A65:A66"/>
    <mergeCell ref="B65:B66"/>
    <mergeCell ref="G61:J61"/>
    <mergeCell ref="K61:M61"/>
    <mergeCell ref="N61:P61"/>
    <mergeCell ref="Q61:R61"/>
    <mergeCell ref="A62:A63"/>
    <mergeCell ref="B62:B63"/>
    <mergeCell ref="D68:F68"/>
    <mergeCell ref="J68:K68"/>
    <mergeCell ref="L68:M68"/>
    <mergeCell ref="R68:S68"/>
    <mergeCell ref="G67:J67"/>
    <mergeCell ref="K67:M67"/>
    <mergeCell ref="N67:P67"/>
    <mergeCell ref="Q67:R67"/>
    <mergeCell ref="A69:A70"/>
    <mergeCell ref="B69:B70"/>
    <mergeCell ref="A76:A77"/>
    <mergeCell ref="B82:B83"/>
    <mergeCell ref="G78:J78"/>
    <mergeCell ref="K78:M78"/>
    <mergeCell ref="N78:P78"/>
    <mergeCell ref="Q78:R78"/>
    <mergeCell ref="B76:B77"/>
    <mergeCell ref="A73:A74"/>
    <mergeCell ref="B73:B74"/>
    <mergeCell ref="G75:J75"/>
    <mergeCell ref="K75:M75"/>
    <mergeCell ref="N75:P75"/>
    <mergeCell ref="Q75:R75"/>
    <mergeCell ref="A82:A83"/>
    <mergeCell ref="G84:J84"/>
    <mergeCell ref="K84:M84"/>
    <mergeCell ref="N84:P84"/>
    <mergeCell ref="Q84:R84"/>
    <mergeCell ref="A79:A80"/>
    <mergeCell ref="B79:B80"/>
    <mergeCell ref="G81:J81"/>
    <mergeCell ref="K81:M81"/>
    <mergeCell ref="N81:P81"/>
    <mergeCell ref="Q81:R81"/>
    <mergeCell ref="A88:A89"/>
    <mergeCell ref="B88:B89"/>
    <mergeCell ref="G90:J90"/>
    <mergeCell ref="K90:M90"/>
    <mergeCell ref="N90:P90"/>
    <mergeCell ref="Q90:R90"/>
    <mergeCell ref="A85:A86"/>
    <mergeCell ref="B85:B86"/>
    <mergeCell ref="G87:J87"/>
    <mergeCell ref="K87:M87"/>
    <mergeCell ref="N87:P87"/>
    <mergeCell ref="Q87:R87"/>
    <mergeCell ref="A94:A95"/>
    <mergeCell ref="B94:B95"/>
    <mergeCell ref="G96:J96"/>
    <mergeCell ref="K96:M96"/>
    <mergeCell ref="N96:P96"/>
    <mergeCell ref="Q96:R96"/>
    <mergeCell ref="A91:A92"/>
    <mergeCell ref="B91:B92"/>
    <mergeCell ref="G93:J93"/>
    <mergeCell ref="K93:M93"/>
    <mergeCell ref="N93:P93"/>
    <mergeCell ref="Q93:R93"/>
    <mergeCell ref="AC126:AC127"/>
    <mergeCell ref="AC128:AC132"/>
    <mergeCell ref="V133:AC133"/>
    <mergeCell ref="B17:B18"/>
    <mergeCell ref="B20:B21"/>
    <mergeCell ref="B24:B25"/>
    <mergeCell ref="B27:B28"/>
    <mergeCell ref="B30:B31"/>
    <mergeCell ref="B33:B34"/>
    <mergeCell ref="V99:AD99"/>
    <mergeCell ref="U100:U131"/>
    <mergeCell ref="V100:W100"/>
    <mergeCell ref="AB100:AC100"/>
    <mergeCell ref="Y101:Z101"/>
    <mergeCell ref="Y107:AC107"/>
    <mergeCell ref="AD116:AG116"/>
    <mergeCell ref="AF117:AG117"/>
    <mergeCell ref="AB118:AD118"/>
    <mergeCell ref="V125:AD125"/>
    <mergeCell ref="G71:J71"/>
    <mergeCell ref="K71:M71"/>
    <mergeCell ref="N71:P71"/>
    <mergeCell ref="Q71:R71"/>
    <mergeCell ref="A68:C68"/>
  </mergeCells>
  <printOptions horizontalCentered="1" verticalCentered="1" gridLines="1"/>
  <pageMargins left="0.2" right="0.18" top="0.17" bottom="0.19" header="0.17" footer="0.17"/>
  <pageSetup orientation="landscape" r:id="rId1"/>
  <headerFooter alignWithMargins="0">
    <oddFooter xml:space="preserve">&amp;L
&amp;D &amp;T  .......  .......  &amp;A ........&amp;F
&amp;C
&amp;R 
</oddFooter>
  </headerFooter>
  <rowBreaks count="3" manualBreakCount="3">
    <brk id="22" max="18" man="1"/>
    <brk id="44" max="18" man="1"/>
    <brk id="67" max="18"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34C79-6D79-4A66-8C67-13AAF537B451}">
  <sheetPr codeName="Sheet15">
    <tabColor rgb="FFFFFF00"/>
  </sheetPr>
  <dimension ref="A1:BA144"/>
  <sheetViews>
    <sheetView view="pageBreakPreview" zoomScaleNormal="100" zoomScaleSheetLayoutView="100" workbookViewId="0">
      <selection sqref="A1:C1"/>
    </sheetView>
  </sheetViews>
  <sheetFormatPr defaultColWidth="5.28515625" defaultRowHeight="28.15" customHeight="1"/>
  <cols>
    <col min="1" max="1" width="3" style="646" customWidth="1"/>
    <col min="2" max="2" width="11.85546875" style="488" customWidth="1"/>
    <col min="3" max="3" width="7.28515625" style="148" customWidth="1"/>
    <col min="4" max="5" width="6.7109375" style="148" customWidth="1"/>
    <col min="6" max="6" width="6.7109375" customWidth="1"/>
    <col min="7" max="7" width="7.85546875" customWidth="1"/>
    <col min="8" max="8" width="7.7109375" customWidth="1"/>
    <col min="9" max="18" width="6.7109375" customWidth="1"/>
    <col min="19" max="19" width="8.7109375" customWidth="1"/>
    <col min="21" max="21" width="1.85546875" customWidth="1"/>
    <col min="22" max="22" width="21.42578125" customWidth="1"/>
    <col min="23" max="23" width="10.7109375" style="352" customWidth="1"/>
    <col min="24" max="24" width="3.5703125" customWidth="1"/>
    <col min="25" max="25" width="17.42578125" customWidth="1"/>
    <col min="26" max="26" width="10.7109375" customWidth="1"/>
    <col min="27" max="27" width="9.42578125" customWidth="1"/>
    <col min="28" max="28" width="14.28515625" customWidth="1"/>
    <col min="29" max="29" width="11.7109375" customWidth="1"/>
    <col min="30" max="30" width="1.42578125" customWidth="1"/>
    <col min="31" max="31" width="7.7109375" customWidth="1"/>
    <col min="32" max="32" width="6" customWidth="1"/>
    <col min="33" max="33" width="6.7109375" customWidth="1"/>
    <col min="35" max="35" width="6.5703125" customWidth="1"/>
    <col min="36" max="36" width="7.28515625" customWidth="1"/>
    <col min="42" max="42" width="7.7109375" customWidth="1"/>
  </cols>
  <sheetData>
    <row r="1" spans="1:23" ht="22.15" customHeight="1">
      <c r="A1" s="1145" t="s">
        <v>1091</v>
      </c>
      <c r="B1" s="1146"/>
      <c r="C1" s="1146"/>
      <c r="D1" s="992" t="str">
        <f>+'jobinfo(2)'!$C$1</f>
        <v>Hatten, Nedra</v>
      </c>
      <c r="E1" s="992"/>
      <c r="F1" s="992"/>
      <c r="G1" s="818" t="str">
        <f>+'jobinfo(2)'!$C$2</f>
        <v>628 Quilliams Road</v>
      </c>
      <c r="H1" s="818"/>
      <c r="I1" s="818"/>
      <c r="J1" s="1135" t="str">
        <f>'jobinfo(2)'!$C$3</f>
        <v>Cleveland Heights, OH 44121</v>
      </c>
      <c r="K1" s="1135"/>
      <c r="L1" s="1134" t="str">
        <f>'jobinfo(2)'!$O$53</f>
        <v>Basement</v>
      </c>
      <c r="M1" s="1134"/>
      <c r="O1" s="706" t="str">
        <f>'jobinfo(2)'!$C$11</f>
        <v>BATHTUB OVERFLOW</v>
      </c>
      <c r="P1" s="129" t="str">
        <f>'jobinfo(2)'!$C$26</f>
        <v>LIBERTY MUTUAL</v>
      </c>
      <c r="R1" s="977" t="str">
        <f>'jobinfo(2)'!$C$27</f>
        <v>#059633981</v>
      </c>
      <c r="S1" s="977"/>
      <c r="W1" s="759"/>
    </row>
    <row r="2" spans="1:23" s="602" customFormat="1" ht="12" customHeight="1">
      <c r="A2" s="980">
        <f>+'jobinfo(2)'!A53</f>
        <v>1</v>
      </c>
      <c r="B2" s="982" t="str">
        <f>+'jobinfo(2)'!O53</f>
        <v>Basement</v>
      </c>
      <c r="C2" s="707" t="s">
        <v>1</v>
      </c>
      <c r="D2" s="708" t="s">
        <v>16</v>
      </c>
      <c r="E2" s="709" t="s">
        <v>17</v>
      </c>
      <c r="F2" s="710" t="s">
        <v>10</v>
      </c>
      <c r="G2" s="713" t="s">
        <v>5</v>
      </c>
      <c r="H2" s="708" t="s">
        <v>6</v>
      </c>
      <c r="I2" s="709" t="s">
        <v>17</v>
      </c>
      <c r="J2" s="710" t="s">
        <v>10</v>
      </c>
      <c r="K2" s="711" t="s">
        <v>8</v>
      </c>
      <c r="L2" s="708" t="s">
        <v>9</v>
      </c>
      <c r="M2" s="710" t="s">
        <v>10</v>
      </c>
      <c r="N2" s="712" t="s">
        <v>11</v>
      </c>
      <c r="O2" s="713" t="s">
        <v>12</v>
      </c>
      <c r="P2" s="710" t="s">
        <v>10</v>
      </c>
      <c r="Q2" s="709" t="s">
        <v>13</v>
      </c>
      <c r="R2" s="708" t="s">
        <v>14</v>
      </c>
      <c r="S2" s="711" t="s">
        <v>10</v>
      </c>
      <c r="T2"/>
      <c r="U2" s="603"/>
      <c r="V2" s="603"/>
      <c r="W2" s="751"/>
    </row>
    <row r="3" spans="1:23" ht="31.9" customHeight="1">
      <c r="A3" s="981"/>
      <c r="B3" s="983"/>
      <c r="C3" s="715"/>
      <c r="D3" s="716"/>
      <c r="E3" s="717"/>
      <c r="F3" s="716"/>
      <c r="G3" s="715"/>
      <c r="H3" s="716"/>
      <c r="I3" s="718"/>
      <c r="J3" s="716"/>
      <c r="K3" s="715"/>
      <c r="L3" s="716"/>
      <c r="M3" s="717"/>
      <c r="N3" s="716"/>
      <c r="O3" s="715"/>
      <c r="P3" s="716"/>
      <c r="Q3" s="718"/>
      <c r="R3" s="716"/>
      <c r="S3" s="718"/>
      <c r="W3" s="750"/>
    </row>
    <row r="4" spans="1:23" ht="34.15" customHeight="1">
      <c r="A4" s="787" t="s">
        <v>15</v>
      </c>
      <c r="C4" s="1136"/>
      <c r="D4" s="1137"/>
      <c r="E4" s="1137"/>
      <c r="F4" s="1137"/>
      <c r="G4" s="1136"/>
      <c r="H4" s="1137"/>
      <c r="I4" s="1137"/>
      <c r="J4" s="1137"/>
      <c r="K4" s="1136"/>
      <c r="L4" s="1137"/>
      <c r="M4" s="1138"/>
      <c r="N4" s="1136"/>
      <c r="O4" s="1137"/>
      <c r="P4" s="1138"/>
      <c r="Q4" s="1136"/>
      <c r="R4" s="1137"/>
      <c r="S4" s="966"/>
      <c r="T4" s="49"/>
      <c r="U4" s="49"/>
      <c r="W4" s="750"/>
    </row>
    <row r="5" spans="1:23" ht="12" customHeight="1">
      <c r="A5" s="980">
        <f>+'jobinfo(2)'!A54</f>
        <v>2</v>
      </c>
      <c r="B5" s="982" t="str">
        <f>+'jobinfo(2)'!O54</f>
        <v>Basement STAIRS</v>
      </c>
      <c r="C5" s="707" t="s">
        <v>1</v>
      </c>
      <c r="D5" s="708" t="s">
        <v>16</v>
      </c>
      <c r="E5" s="709" t="s">
        <v>17</v>
      </c>
      <c r="F5" s="710" t="s">
        <v>10</v>
      </c>
      <c r="G5" s="711" t="str">
        <f>G2</f>
        <v>WALL</v>
      </c>
      <c r="H5" s="708" t="s">
        <v>6</v>
      </c>
      <c r="I5" s="709" t="s">
        <v>17</v>
      </c>
      <c r="J5" s="710" t="s">
        <v>10</v>
      </c>
      <c r="K5" s="711" t="s">
        <v>8</v>
      </c>
      <c r="L5" s="708" t="s">
        <v>9</v>
      </c>
      <c r="M5" s="710" t="s">
        <v>10</v>
      </c>
      <c r="N5" s="712" t="s">
        <v>11</v>
      </c>
      <c r="O5" s="713" t="s">
        <v>12</v>
      </c>
      <c r="P5" s="710" t="s">
        <v>10</v>
      </c>
      <c r="Q5" s="714" t="s">
        <v>18</v>
      </c>
      <c r="R5" s="708" t="s">
        <v>14</v>
      </c>
      <c r="S5" s="711" t="s">
        <v>10</v>
      </c>
      <c r="T5" s="49"/>
      <c r="U5" s="49"/>
      <c r="W5" s="750"/>
    </row>
    <row r="6" spans="1:23" ht="31.9" customHeight="1">
      <c r="A6" s="981"/>
      <c r="B6" s="983"/>
      <c r="C6" s="715"/>
      <c r="D6" s="716"/>
      <c r="E6" s="717"/>
      <c r="F6" s="716"/>
      <c r="G6" s="715"/>
      <c r="H6" s="716"/>
      <c r="I6" s="718"/>
      <c r="J6" s="716"/>
      <c r="K6" s="715"/>
      <c r="L6" s="716"/>
      <c r="M6" s="717"/>
      <c r="N6" s="716"/>
      <c r="O6" s="715"/>
      <c r="P6" s="716"/>
      <c r="Q6" s="718"/>
      <c r="R6" s="716"/>
      <c r="S6" s="718"/>
      <c r="W6" s="750"/>
    </row>
    <row r="7" spans="1:23" ht="33" customHeight="1">
      <c r="A7" s="787" t="s">
        <v>15</v>
      </c>
      <c r="B7" s="784"/>
      <c r="C7" s="1136"/>
      <c r="D7" s="1137"/>
      <c r="E7" s="1137"/>
      <c r="F7" s="1137"/>
      <c r="G7" s="1136"/>
      <c r="H7" s="1137"/>
      <c r="I7" s="1137"/>
      <c r="J7" s="1137"/>
      <c r="K7" s="1136"/>
      <c r="L7" s="1137"/>
      <c r="M7" s="1138"/>
      <c r="N7" s="1136"/>
      <c r="O7" s="1137"/>
      <c r="P7" s="1138"/>
      <c r="Q7" s="1136"/>
      <c r="R7" s="1137"/>
      <c r="S7" s="966"/>
      <c r="W7" s="750"/>
    </row>
    <row r="8" spans="1:23" ht="15.6">
      <c r="A8" s="980">
        <f>+'jobinfo(2)'!A55</f>
        <v>3</v>
      </c>
      <c r="B8" s="988" t="str">
        <f>+'jobinfo(2)'!O55</f>
        <v>Under Stairs Storage</v>
      </c>
      <c r="C8" s="707" t="s">
        <v>1</v>
      </c>
      <c r="D8" s="708" t="s">
        <v>16</v>
      </c>
      <c r="E8" s="709" t="s">
        <v>17</v>
      </c>
      <c r="F8" s="710" t="s">
        <v>10</v>
      </c>
      <c r="G8" s="711" t="str">
        <f>$G$5</f>
        <v>WALL</v>
      </c>
      <c r="H8" s="708" t="s">
        <v>6</v>
      </c>
      <c r="I8" s="709" t="s">
        <v>17</v>
      </c>
      <c r="J8" s="710" t="s">
        <v>10</v>
      </c>
      <c r="K8" s="711" t="s">
        <v>8</v>
      </c>
      <c r="L8" s="708" t="s">
        <v>9</v>
      </c>
      <c r="M8" s="710" t="s">
        <v>10</v>
      </c>
      <c r="N8" s="712" t="s">
        <v>11</v>
      </c>
      <c r="O8" s="713" t="s">
        <v>12</v>
      </c>
      <c r="P8" s="710" t="s">
        <v>10</v>
      </c>
      <c r="Q8" s="714" t="s">
        <v>18</v>
      </c>
      <c r="R8" s="708" t="s">
        <v>14</v>
      </c>
      <c r="S8" s="711" t="s">
        <v>10</v>
      </c>
      <c r="W8" s="750"/>
    </row>
    <row r="9" spans="1:23" ht="31.9" customHeight="1">
      <c r="A9" s="981"/>
      <c r="B9" s="989"/>
      <c r="C9" s="715"/>
      <c r="D9" s="716"/>
      <c r="E9" s="717"/>
      <c r="F9" s="716"/>
      <c r="G9" s="715"/>
      <c r="H9" s="716"/>
      <c r="I9" s="718"/>
      <c r="J9" s="716"/>
      <c r="K9" s="715"/>
      <c r="L9" s="716"/>
      <c r="M9" s="717"/>
      <c r="N9" s="716"/>
      <c r="O9" s="715"/>
      <c r="P9" s="716"/>
      <c r="Q9" s="718"/>
      <c r="R9" s="716"/>
      <c r="S9" s="718"/>
      <c r="W9" s="750"/>
    </row>
    <row r="10" spans="1:23" ht="33" customHeight="1">
      <c r="A10" s="787" t="s">
        <v>15</v>
      </c>
      <c r="B10" s="784"/>
      <c r="C10" s="1136"/>
      <c r="D10" s="1137"/>
      <c r="E10" s="1137"/>
      <c r="F10" s="1137"/>
      <c r="G10" s="1136"/>
      <c r="H10" s="1137"/>
      <c r="I10" s="1137"/>
      <c r="J10" s="1137"/>
      <c r="K10" s="1136"/>
      <c r="L10" s="1137"/>
      <c r="M10" s="1138"/>
      <c r="N10" s="1136"/>
      <c r="O10" s="1137"/>
      <c r="P10" s="1138"/>
      <c r="Q10" s="1136"/>
      <c r="R10" s="1137"/>
      <c r="S10" s="966"/>
      <c r="T10" s="49"/>
      <c r="U10" s="49"/>
      <c r="W10" s="750"/>
    </row>
    <row r="11" spans="1:23" ht="12" customHeight="1">
      <c r="A11" s="980">
        <f>+'jobinfo(2)'!A56</f>
        <v>4</v>
      </c>
      <c r="B11" s="988" t="str">
        <f>+'jobinfo(2)'!O56</f>
        <v>BASEMENT COMMOM AREA</v>
      </c>
      <c r="C11" s="707" t="s">
        <v>1</v>
      </c>
      <c r="D11" s="708" t="s">
        <v>16</v>
      </c>
      <c r="E11" s="709" t="s">
        <v>17</v>
      </c>
      <c r="F11" s="710" t="s">
        <v>10</v>
      </c>
      <c r="G11" s="711" t="str">
        <f>$G$5</f>
        <v>WALL</v>
      </c>
      <c r="H11" s="708" t="s">
        <v>6</v>
      </c>
      <c r="I11" s="709" t="s">
        <v>17</v>
      </c>
      <c r="J11" s="710" t="s">
        <v>10</v>
      </c>
      <c r="K11" s="711" t="s">
        <v>8</v>
      </c>
      <c r="L11" s="708" t="s">
        <v>9</v>
      </c>
      <c r="M11" s="710" t="s">
        <v>10</v>
      </c>
      <c r="N11" s="712" t="s">
        <v>11</v>
      </c>
      <c r="O11" s="713" t="s">
        <v>12</v>
      </c>
      <c r="P11" s="710" t="s">
        <v>10</v>
      </c>
      <c r="Q11" s="714" t="s">
        <v>18</v>
      </c>
      <c r="R11" s="708" t="s">
        <v>14</v>
      </c>
      <c r="S11" s="711" t="s">
        <v>10</v>
      </c>
      <c r="T11" s="49"/>
      <c r="U11" s="49"/>
      <c r="W11" s="750"/>
    </row>
    <row r="12" spans="1:23" ht="31.9" customHeight="1">
      <c r="A12" s="981"/>
      <c r="B12" s="989"/>
      <c r="C12" s="715"/>
      <c r="D12" s="716"/>
      <c r="E12" s="717"/>
      <c r="F12" s="716"/>
      <c r="G12" s="715"/>
      <c r="H12" s="716"/>
      <c r="I12" s="718"/>
      <c r="J12" s="716"/>
      <c r="K12" s="715"/>
      <c r="L12" s="716"/>
      <c r="M12" s="717"/>
      <c r="N12" s="716"/>
      <c r="O12" s="715"/>
      <c r="P12" s="716"/>
      <c r="Q12" s="718"/>
      <c r="R12" s="716"/>
      <c r="S12" s="718"/>
      <c r="W12" s="750"/>
    </row>
    <row r="13" spans="1:23" ht="33" customHeight="1">
      <c r="A13" s="786" t="s">
        <v>15</v>
      </c>
      <c r="B13" s="785"/>
      <c r="C13" s="1136"/>
      <c r="D13" s="1137"/>
      <c r="E13" s="1137"/>
      <c r="F13" s="1137"/>
      <c r="G13" s="1136"/>
      <c r="H13" s="1137"/>
      <c r="I13" s="1137"/>
      <c r="J13" s="1137"/>
      <c r="K13" s="1136"/>
      <c r="L13" s="1137"/>
      <c r="M13" s="1138"/>
      <c r="N13" s="1136"/>
      <c r="O13" s="1137"/>
      <c r="P13" s="1138"/>
      <c r="Q13" s="1136"/>
      <c r="R13" s="1137"/>
      <c r="S13" s="966"/>
      <c r="W13" s="750"/>
    </row>
    <row r="14" spans="1:23" ht="12" customHeight="1">
      <c r="A14" s="980">
        <f>+'jobinfo(2)'!A57</f>
        <v>5</v>
      </c>
      <c r="B14" s="988" t="str">
        <f>+'jobinfo(2)'!O57</f>
        <v>Laundry Room</v>
      </c>
      <c r="C14" s="707" t="s">
        <v>1</v>
      </c>
      <c r="D14" s="708" t="s">
        <v>16</v>
      </c>
      <c r="E14" s="709" t="s">
        <v>17</v>
      </c>
      <c r="F14" s="710" t="s">
        <v>10</v>
      </c>
      <c r="G14" s="711" t="str">
        <f>$G$5</f>
        <v>WALL</v>
      </c>
      <c r="H14" s="708" t="s">
        <v>6</v>
      </c>
      <c r="I14" s="709" t="s">
        <v>17</v>
      </c>
      <c r="J14" s="710" t="s">
        <v>10</v>
      </c>
      <c r="K14" s="711" t="s">
        <v>8</v>
      </c>
      <c r="L14" s="708" t="s">
        <v>9</v>
      </c>
      <c r="M14" s="710" t="s">
        <v>10</v>
      </c>
      <c r="N14" s="712" t="s">
        <v>11</v>
      </c>
      <c r="O14" s="713" t="s">
        <v>12</v>
      </c>
      <c r="P14" s="710" t="s">
        <v>10</v>
      </c>
      <c r="Q14" s="714" t="s">
        <v>18</v>
      </c>
      <c r="R14" s="708" t="s">
        <v>14</v>
      </c>
      <c r="S14" s="711" t="s">
        <v>10</v>
      </c>
      <c r="W14" s="750"/>
    </row>
    <row r="15" spans="1:23" ht="31.9" customHeight="1">
      <c r="A15" s="981"/>
      <c r="B15" s="989"/>
      <c r="C15" s="715"/>
      <c r="D15" s="716"/>
      <c r="E15" s="717"/>
      <c r="F15" s="716"/>
      <c r="G15" s="715"/>
      <c r="H15" s="716"/>
      <c r="I15" s="718"/>
      <c r="J15" s="716"/>
      <c r="K15" s="715"/>
      <c r="L15" s="716"/>
      <c r="M15" s="717"/>
      <c r="N15" s="716"/>
      <c r="O15" s="715"/>
      <c r="P15" s="716"/>
      <c r="Q15" s="718"/>
      <c r="R15" s="716"/>
      <c r="S15" s="718"/>
      <c r="W15" s="750"/>
    </row>
    <row r="16" spans="1:23" ht="33" customHeight="1">
      <c r="A16" s="786" t="s">
        <v>15</v>
      </c>
      <c r="B16" s="785"/>
      <c r="C16" s="1136"/>
      <c r="D16" s="1137"/>
      <c r="E16" s="1137"/>
      <c r="F16" s="1137"/>
      <c r="G16" s="1136"/>
      <c r="H16" s="1137"/>
      <c r="I16" s="1137"/>
      <c r="J16" s="1137"/>
      <c r="K16" s="1136"/>
      <c r="L16" s="1137"/>
      <c r="M16" s="1138"/>
      <c r="N16" s="1136"/>
      <c r="O16" s="1137"/>
      <c r="P16" s="1138"/>
      <c r="Q16" s="1136"/>
      <c r="R16" s="1137"/>
      <c r="S16" s="966"/>
      <c r="W16" s="750"/>
    </row>
    <row r="17" spans="1:23" ht="12" customHeight="1">
      <c r="A17" s="980">
        <f>+'jobinfo(2)'!A58</f>
        <v>6</v>
      </c>
      <c r="B17" s="1144" t="str">
        <f>+'jobinfo(2)'!O58</f>
        <v>Utility Room</v>
      </c>
      <c r="C17" s="707" t="s">
        <v>1</v>
      </c>
      <c r="D17" s="708" t="s">
        <v>16</v>
      </c>
      <c r="E17" s="709" t="s">
        <v>17</v>
      </c>
      <c r="F17" s="710" t="s">
        <v>10</v>
      </c>
      <c r="G17" s="711" t="str">
        <f>$G$5</f>
        <v>WALL</v>
      </c>
      <c r="H17" s="708" t="s">
        <v>6</v>
      </c>
      <c r="I17" s="709" t="s">
        <v>17</v>
      </c>
      <c r="J17" s="710" t="s">
        <v>10</v>
      </c>
      <c r="K17" s="711" t="s">
        <v>8</v>
      </c>
      <c r="L17" s="708" t="s">
        <v>9</v>
      </c>
      <c r="M17" s="710" t="s">
        <v>10</v>
      </c>
      <c r="N17" s="712" t="s">
        <v>11</v>
      </c>
      <c r="O17" s="713" t="s">
        <v>12</v>
      </c>
      <c r="P17" s="710" t="s">
        <v>10</v>
      </c>
      <c r="Q17" s="714" t="s">
        <v>18</v>
      </c>
      <c r="R17" s="708" t="s">
        <v>14</v>
      </c>
      <c r="S17" s="711" t="s">
        <v>10</v>
      </c>
      <c r="W17" s="750"/>
    </row>
    <row r="18" spans="1:23" ht="31.9" customHeight="1">
      <c r="A18" s="981"/>
      <c r="B18" s="989"/>
      <c r="C18" s="719"/>
      <c r="D18" s="720"/>
      <c r="E18" s="721"/>
      <c r="F18" s="720"/>
      <c r="G18" s="722"/>
      <c r="H18" s="720"/>
      <c r="I18" s="723"/>
      <c r="J18" s="720"/>
      <c r="K18" s="722"/>
      <c r="L18" s="720"/>
      <c r="M18" s="721"/>
      <c r="N18" s="720"/>
      <c r="O18" s="722"/>
      <c r="P18" s="720"/>
      <c r="Q18" s="723"/>
      <c r="R18" s="720"/>
      <c r="S18" s="723"/>
      <c r="W18" s="750"/>
    </row>
    <row r="19" spans="1:23" ht="33" customHeight="1">
      <c r="A19" s="786" t="s">
        <v>15</v>
      </c>
      <c r="B19" s="785"/>
      <c r="C19" s="1139"/>
      <c r="D19" s="1140"/>
      <c r="E19" s="1140"/>
      <c r="F19" s="1141"/>
      <c r="G19" s="1139"/>
      <c r="H19" s="1140"/>
      <c r="I19" s="1140"/>
      <c r="J19" s="1141"/>
      <c r="K19" s="1139"/>
      <c r="L19" s="1140"/>
      <c r="M19" s="1141"/>
      <c r="N19" s="1139"/>
      <c r="O19" s="1140"/>
      <c r="P19" s="1141"/>
      <c r="Q19" s="1139"/>
      <c r="R19" s="1140"/>
      <c r="S19" s="969"/>
      <c r="W19" s="750"/>
    </row>
    <row r="20" spans="1:23" ht="12" customHeight="1">
      <c r="A20" s="980">
        <f>+'jobinfo(2)'!A59</f>
        <v>7</v>
      </c>
      <c r="B20" s="1144" t="str">
        <f>+'jobinfo(2)'!O59</f>
        <v>BSMNT Storage 1</v>
      </c>
      <c r="C20" s="707" t="s">
        <v>1</v>
      </c>
      <c r="D20" s="708" t="s">
        <v>16</v>
      </c>
      <c r="E20" s="709" t="s">
        <v>17</v>
      </c>
      <c r="F20" s="710" t="s">
        <v>10</v>
      </c>
      <c r="G20" s="711" t="str">
        <f>$G$5</f>
        <v>WALL</v>
      </c>
      <c r="H20" s="708" t="s">
        <v>6</v>
      </c>
      <c r="I20" s="709" t="s">
        <v>17</v>
      </c>
      <c r="J20" s="710" t="s">
        <v>10</v>
      </c>
      <c r="K20" s="711" t="s">
        <v>8</v>
      </c>
      <c r="L20" s="708" t="s">
        <v>9</v>
      </c>
      <c r="M20" s="710" t="s">
        <v>10</v>
      </c>
      <c r="N20" s="712" t="s">
        <v>11</v>
      </c>
      <c r="O20" s="713" t="s">
        <v>12</v>
      </c>
      <c r="P20" s="710" t="s">
        <v>10</v>
      </c>
      <c r="Q20" s="714" t="s">
        <v>18</v>
      </c>
      <c r="R20" s="708" t="s">
        <v>14</v>
      </c>
      <c r="S20" s="711" t="s">
        <v>10</v>
      </c>
      <c r="W20" s="750"/>
    </row>
    <row r="21" spans="1:23" ht="31.9" customHeight="1">
      <c r="A21" s="981"/>
      <c r="B21" s="989"/>
      <c r="C21" s="715"/>
      <c r="D21" s="716"/>
      <c r="E21" s="717"/>
      <c r="F21" s="716"/>
      <c r="G21" s="715"/>
      <c r="H21" s="716"/>
      <c r="I21" s="718"/>
      <c r="J21" s="716"/>
      <c r="K21" s="715"/>
      <c r="L21" s="716"/>
      <c r="M21" s="717"/>
      <c r="N21" s="716"/>
      <c r="O21" s="715"/>
      <c r="P21" s="716"/>
      <c r="Q21" s="718"/>
      <c r="R21" s="716"/>
      <c r="S21" s="718"/>
      <c r="W21" s="750"/>
    </row>
    <row r="22" spans="1:23" ht="30" customHeight="1">
      <c r="A22" s="787" t="s">
        <v>15</v>
      </c>
      <c r="B22" s="784"/>
      <c r="C22" s="1136"/>
      <c r="D22" s="1137"/>
      <c r="E22" s="1137"/>
      <c r="F22" s="1137"/>
      <c r="G22" s="1136"/>
      <c r="H22" s="1137"/>
      <c r="I22" s="1137"/>
      <c r="J22" s="1137"/>
      <c r="K22" s="1136"/>
      <c r="L22" s="1137"/>
      <c r="M22" s="1138"/>
      <c r="N22" s="1136"/>
      <c r="O22" s="1137"/>
      <c r="P22" s="1138"/>
      <c r="Q22" s="1136"/>
      <c r="R22" s="1137"/>
      <c r="S22" s="966"/>
      <c r="W22" s="750"/>
    </row>
    <row r="23" spans="1:23" ht="22.15" customHeight="1">
      <c r="A23" s="1148" t="str">
        <f>A1</f>
        <v>Inspect Work SCOPE</v>
      </c>
      <c r="B23" s="1149"/>
      <c r="C23" s="1149"/>
      <c r="D23" s="992" t="str">
        <f>+'jobinfo(2)'!$C$1</f>
        <v>Hatten, Nedra</v>
      </c>
      <c r="E23" s="992"/>
      <c r="F23" s="992"/>
      <c r="G23" s="818" t="str">
        <f>+'jobinfo(2)'!$C$2</f>
        <v>628 Quilliams Road</v>
      </c>
      <c r="H23" s="818"/>
      <c r="I23" s="818"/>
      <c r="J23" s="1135" t="str">
        <f>'jobinfo(2)'!$C$3</f>
        <v>Cleveland Heights, OH 44121</v>
      </c>
      <c r="K23" s="1135"/>
      <c r="L23" s="1134" t="str">
        <f>L1</f>
        <v>Basement</v>
      </c>
      <c r="M23" s="1134"/>
      <c r="O23" s="706" t="str">
        <f>'jobinfo(2)'!$C$11</f>
        <v>BATHTUB OVERFLOW</v>
      </c>
      <c r="P23" s="129" t="str">
        <f>'jobinfo(2)'!$C$26</f>
        <v>LIBERTY MUTUAL</v>
      </c>
      <c r="R23" s="977" t="str">
        <f>'jobinfo(2)'!$C$27</f>
        <v>#059633981</v>
      </c>
      <c r="S23" s="977"/>
      <c r="W23" s="750"/>
    </row>
    <row r="24" spans="1:23" ht="12" customHeight="1">
      <c r="A24" s="980">
        <f>+'jobinfo(2)'!A60</f>
        <v>8</v>
      </c>
      <c r="B24" s="1144" t="str">
        <f>+'jobinfo(2)'!N60</f>
        <v>Basement STAIRS =======</v>
      </c>
      <c r="C24" s="707" t="s">
        <v>1</v>
      </c>
      <c r="D24" s="708" t="s">
        <v>16</v>
      </c>
      <c r="E24" s="709" t="s">
        <v>17</v>
      </c>
      <c r="F24" s="710" t="s">
        <v>10</v>
      </c>
      <c r="G24" s="711" t="str">
        <f>$G$5</f>
        <v>WALL</v>
      </c>
      <c r="H24" s="708" t="s">
        <v>6</v>
      </c>
      <c r="I24" s="709" t="s">
        <v>17</v>
      </c>
      <c r="J24" s="710" t="s">
        <v>10</v>
      </c>
      <c r="K24" s="711" t="s">
        <v>8</v>
      </c>
      <c r="L24" s="708" t="s">
        <v>9</v>
      </c>
      <c r="M24" s="710" t="s">
        <v>10</v>
      </c>
      <c r="N24" s="712" t="s">
        <v>11</v>
      </c>
      <c r="O24" s="713" t="s">
        <v>12</v>
      </c>
      <c r="P24" s="710" t="s">
        <v>10</v>
      </c>
      <c r="Q24" s="714" t="s">
        <v>18</v>
      </c>
      <c r="R24" s="708" t="s">
        <v>14</v>
      </c>
      <c r="S24" s="711" t="s">
        <v>10</v>
      </c>
      <c r="W24" s="750"/>
    </row>
    <row r="25" spans="1:23" ht="30" customHeight="1">
      <c r="A25" s="981"/>
      <c r="B25" s="989"/>
      <c r="C25" s="715"/>
      <c r="D25" s="716"/>
      <c r="E25" s="717"/>
      <c r="F25" s="716"/>
      <c r="G25" s="715"/>
      <c r="H25" s="716"/>
      <c r="I25" s="718"/>
      <c r="J25" s="716"/>
      <c r="K25" s="715"/>
      <c r="L25" s="716"/>
      <c r="M25" s="717"/>
      <c r="N25" s="716"/>
      <c r="O25" s="715"/>
      <c r="P25" s="716"/>
      <c r="Q25" s="718"/>
      <c r="R25" s="716"/>
      <c r="S25" s="718"/>
      <c r="W25" s="750"/>
    </row>
    <row r="26" spans="1:23" ht="30" customHeight="1">
      <c r="A26" s="786" t="s">
        <v>15</v>
      </c>
      <c r="B26" s="785"/>
      <c r="C26" s="1136"/>
      <c r="D26" s="1137"/>
      <c r="E26" s="1137"/>
      <c r="F26" s="1137"/>
      <c r="G26" s="1136"/>
      <c r="H26" s="1137"/>
      <c r="I26" s="1137"/>
      <c r="J26" s="1137"/>
      <c r="K26" s="1136"/>
      <c r="L26" s="1137"/>
      <c r="M26" s="1138"/>
      <c r="N26" s="1136"/>
      <c r="O26" s="1137"/>
      <c r="P26" s="1138"/>
      <c r="Q26" s="1136"/>
      <c r="R26" s="1137"/>
      <c r="S26" s="966"/>
      <c r="W26" s="750"/>
    </row>
    <row r="27" spans="1:23" ht="12" customHeight="1">
      <c r="A27" s="980">
        <f>+'jobinfo(2)'!A61</f>
        <v>9</v>
      </c>
      <c r="B27" s="1144" t="str">
        <f>+'jobinfo(2)'!N61</f>
        <v>Under Stairs Storage</v>
      </c>
      <c r="C27" s="707" t="s">
        <v>1</v>
      </c>
      <c r="D27" s="708" t="s">
        <v>16</v>
      </c>
      <c r="E27" s="709" t="s">
        <v>17</v>
      </c>
      <c r="F27" s="710" t="s">
        <v>10</v>
      </c>
      <c r="G27" s="711" t="str">
        <f>$G$5</f>
        <v>WALL</v>
      </c>
      <c r="H27" s="708" t="s">
        <v>6</v>
      </c>
      <c r="I27" s="709" t="s">
        <v>17</v>
      </c>
      <c r="J27" s="710" t="s">
        <v>10</v>
      </c>
      <c r="K27" s="711" t="s">
        <v>8</v>
      </c>
      <c r="L27" s="708" t="s">
        <v>9</v>
      </c>
      <c r="M27" s="710" t="s">
        <v>10</v>
      </c>
      <c r="N27" s="712" t="s">
        <v>11</v>
      </c>
      <c r="O27" s="713" t="s">
        <v>12</v>
      </c>
      <c r="P27" s="710" t="s">
        <v>10</v>
      </c>
      <c r="Q27" s="714" t="s">
        <v>18</v>
      </c>
      <c r="R27" s="708" t="s">
        <v>14</v>
      </c>
      <c r="S27" s="711" t="s">
        <v>10</v>
      </c>
      <c r="W27" s="750"/>
    </row>
    <row r="28" spans="1:23" ht="30" customHeight="1">
      <c r="A28" s="981"/>
      <c r="B28" s="989"/>
      <c r="C28" s="715"/>
      <c r="D28" s="716"/>
      <c r="E28" s="717"/>
      <c r="F28" s="716"/>
      <c r="G28" s="715"/>
      <c r="H28" s="716"/>
      <c r="I28" s="718"/>
      <c r="J28" s="716"/>
      <c r="K28" s="715"/>
      <c r="L28" s="716"/>
      <c r="M28" s="717"/>
      <c r="N28" s="716"/>
      <c r="O28" s="715"/>
      <c r="P28" s="716"/>
      <c r="Q28" s="718"/>
      <c r="R28" s="716"/>
      <c r="S28" s="718"/>
      <c r="W28" s="750"/>
    </row>
    <row r="29" spans="1:23" ht="30" customHeight="1">
      <c r="A29" s="786" t="s">
        <v>15</v>
      </c>
      <c r="B29" s="785"/>
      <c r="C29" s="1136"/>
      <c r="D29" s="1137"/>
      <c r="E29" s="1137"/>
      <c r="F29" s="1137"/>
      <c r="G29" s="1136"/>
      <c r="H29" s="1137"/>
      <c r="I29" s="1137"/>
      <c r="J29" s="1137"/>
      <c r="K29" s="1136"/>
      <c r="L29" s="1137"/>
      <c r="M29" s="1138"/>
      <c r="N29" s="1136"/>
      <c r="O29" s="1137"/>
      <c r="P29" s="1138"/>
      <c r="Q29" s="1136"/>
      <c r="R29" s="1137"/>
      <c r="S29" s="966"/>
      <c r="W29" s="750"/>
    </row>
    <row r="30" spans="1:23" ht="12" customHeight="1">
      <c r="A30" s="1152">
        <f>+'jobinfo(2)'!A62</f>
        <v>10</v>
      </c>
      <c r="B30" s="1144" t="str">
        <f>+'jobinfo(2)'!N62</f>
        <v>BASEMENT COMMOM AREA</v>
      </c>
      <c r="C30" s="707" t="s">
        <v>1</v>
      </c>
      <c r="D30" s="708" t="s">
        <v>16</v>
      </c>
      <c r="E30" s="709" t="s">
        <v>17</v>
      </c>
      <c r="F30" s="710" t="s">
        <v>10</v>
      </c>
      <c r="G30" s="711" t="str">
        <f>$G$5</f>
        <v>WALL</v>
      </c>
      <c r="H30" s="708" t="s">
        <v>6</v>
      </c>
      <c r="I30" s="709" t="s">
        <v>17</v>
      </c>
      <c r="J30" s="710" t="s">
        <v>10</v>
      </c>
      <c r="K30" s="711" t="s">
        <v>8</v>
      </c>
      <c r="L30" s="708" t="s">
        <v>9</v>
      </c>
      <c r="M30" s="710" t="s">
        <v>10</v>
      </c>
      <c r="N30" s="712" t="s">
        <v>11</v>
      </c>
      <c r="O30" s="713" t="s">
        <v>12</v>
      </c>
      <c r="P30" s="710" t="s">
        <v>10</v>
      </c>
      <c r="Q30" s="714" t="s">
        <v>18</v>
      </c>
      <c r="R30" s="708" t="s">
        <v>14</v>
      </c>
      <c r="S30" s="711" t="s">
        <v>10</v>
      </c>
      <c r="W30" s="750"/>
    </row>
    <row r="31" spans="1:23" ht="28.15" customHeight="1">
      <c r="A31" s="1153"/>
      <c r="B31" s="989"/>
      <c r="C31" s="719" t="s">
        <v>19</v>
      </c>
      <c r="D31" s="720"/>
      <c r="E31" s="721"/>
      <c r="F31" s="720"/>
      <c r="G31" s="722"/>
      <c r="H31" s="720"/>
      <c r="I31" s="723"/>
      <c r="J31" s="720"/>
      <c r="K31" s="722"/>
      <c r="L31" s="720"/>
      <c r="M31" s="721"/>
      <c r="N31" s="720"/>
      <c r="O31" s="722"/>
      <c r="P31" s="720"/>
      <c r="Q31" s="723"/>
      <c r="R31" s="720"/>
      <c r="S31" s="723"/>
      <c r="W31" s="750"/>
    </row>
    <row r="32" spans="1:23" ht="28.15" customHeight="1">
      <c r="A32" s="819" t="s">
        <v>15</v>
      </c>
      <c r="B32" s="820"/>
      <c r="C32" s="1136"/>
      <c r="D32" s="1137"/>
      <c r="E32" s="1137"/>
      <c r="F32" s="1137"/>
      <c r="G32" s="1136"/>
      <c r="H32" s="1137"/>
      <c r="I32" s="1137"/>
      <c r="J32" s="1137"/>
      <c r="K32" s="1136"/>
      <c r="L32" s="1137"/>
      <c r="M32" s="1138"/>
      <c r="N32" s="1136"/>
      <c r="O32" s="1137"/>
      <c r="P32" s="1138"/>
      <c r="Q32" s="1136"/>
      <c r="R32" s="1137"/>
      <c r="S32" s="966"/>
      <c r="W32" s="750"/>
    </row>
    <row r="33" spans="1:23" ht="12" customHeight="1">
      <c r="A33" s="980">
        <f>+'jobinfo(2)'!A63</f>
        <v>11</v>
      </c>
      <c r="B33" s="1147" t="str">
        <f>+'jobinfo(2)'!N63</f>
        <v>Laundry Room</v>
      </c>
      <c r="C33" s="707" t="s">
        <v>1</v>
      </c>
      <c r="D33" s="708" t="s">
        <v>16</v>
      </c>
      <c r="E33" s="724" t="s">
        <v>17</v>
      </c>
      <c r="F33" s="710" t="s">
        <v>10</v>
      </c>
      <c r="G33" s="711" t="str">
        <f>$G$5</f>
        <v>WALL</v>
      </c>
      <c r="H33" s="708" t="s">
        <v>6</v>
      </c>
      <c r="I33" s="709" t="s">
        <v>17</v>
      </c>
      <c r="J33" s="710" t="s">
        <v>10</v>
      </c>
      <c r="K33" s="711" t="s">
        <v>8</v>
      </c>
      <c r="L33" s="708" t="s">
        <v>9</v>
      </c>
      <c r="M33" s="710" t="s">
        <v>10</v>
      </c>
      <c r="N33" s="712" t="s">
        <v>11</v>
      </c>
      <c r="O33" s="713" t="s">
        <v>12</v>
      </c>
      <c r="P33" s="710" t="s">
        <v>10</v>
      </c>
      <c r="Q33" s="714" t="s">
        <v>18</v>
      </c>
      <c r="R33" s="708" t="s">
        <v>14</v>
      </c>
      <c r="S33" s="711" t="s">
        <v>10</v>
      </c>
      <c r="W33" s="750"/>
    </row>
    <row r="34" spans="1:23" ht="28.15" customHeight="1">
      <c r="A34" s="981"/>
      <c r="B34" s="983"/>
      <c r="C34" s="715"/>
      <c r="D34" s="716"/>
      <c r="E34" s="717"/>
      <c r="F34" s="716"/>
      <c r="G34" s="715"/>
      <c r="H34" s="716"/>
      <c r="I34" s="718"/>
      <c r="J34" s="716"/>
      <c r="K34" s="715"/>
      <c r="L34" s="716"/>
      <c r="M34" s="717"/>
      <c r="N34" s="716"/>
      <c r="O34" s="715"/>
      <c r="P34" s="716"/>
      <c r="Q34" s="718"/>
      <c r="R34" s="716"/>
      <c r="S34" s="718"/>
      <c r="W34" s="750"/>
    </row>
    <row r="35" spans="1:23" ht="28.15" customHeight="1">
      <c r="A35" s="786" t="s">
        <v>15</v>
      </c>
      <c r="B35" s="786"/>
      <c r="C35" s="964"/>
      <c r="D35" s="965"/>
      <c r="E35" s="965"/>
      <c r="F35" s="966"/>
      <c r="G35" s="1136"/>
      <c r="H35" s="1137"/>
      <c r="I35" s="1137"/>
      <c r="J35" s="1138"/>
      <c r="K35" s="1136"/>
      <c r="L35" s="1137"/>
      <c r="M35" s="1138"/>
      <c r="N35" s="1136"/>
      <c r="O35" s="1137"/>
      <c r="P35" s="1138"/>
      <c r="Q35" s="1136"/>
      <c r="R35" s="1137"/>
      <c r="S35" s="966"/>
      <c r="W35" s="750"/>
    </row>
    <row r="36" spans="1:23" ht="12" customHeight="1">
      <c r="A36" s="980">
        <f>+'jobinfo(2)'!A64</f>
        <v>12</v>
      </c>
      <c r="B36" s="1147" t="str">
        <f>+'jobinfo(2)'!N64</f>
        <v>Utility Room</v>
      </c>
      <c r="C36" s="707" t="s">
        <v>1</v>
      </c>
      <c r="D36" s="708" t="s">
        <v>16</v>
      </c>
      <c r="E36" s="709" t="s">
        <v>17</v>
      </c>
      <c r="F36" s="710" t="s">
        <v>10</v>
      </c>
      <c r="G36" s="711" t="str">
        <f>G33</f>
        <v>WALL</v>
      </c>
      <c r="H36" s="708" t="s">
        <v>6</v>
      </c>
      <c r="I36" s="709" t="s">
        <v>17</v>
      </c>
      <c r="J36" s="710" t="s">
        <v>10</v>
      </c>
      <c r="K36" s="711" t="s">
        <v>8</v>
      </c>
      <c r="L36" s="708" t="s">
        <v>9</v>
      </c>
      <c r="M36" s="710" t="s">
        <v>10</v>
      </c>
      <c r="N36" s="712" t="s">
        <v>11</v>
      </c>
      <c r="O36" s="713" t="s">
        <v>12</v>
      </c>
      <c r="P36" s="710" t="s">
        <v>10</v>
      </c>
      <c r="Q36" s="714" t="s">
        <v>18</v>
      </c>
      <c r="R36" s="708" t="s">
        <v>14</v>
      </c>
      <c r="S36" s="711" t="s">
        <v>10</v>
      </c>
      <c r="W36" s="750"/>
    </row>
    <row r="37" spans="1:23" ht="28.15" customHeight="1">
      <c r="A37" s="981"/>
      <c r="B37" s="983"/>
      <c r="C37" s="719"/>
      <c r="D37" s="720"/>
      <c r="E37" s="721"/>
      <c r="F37" s="720"/>
      <c r="G37" s="715"/>
      <c r="H37" s="716"/>
      <c r="I37" s="718"/>
      <c r="J37" s="716"/>
      <c r="K37" s="722"/>
      <c r="L37" s="720"/>
      <c r="M37" s="721"/>
      <c r="N37" s="720"/>
      <c r="O37" s="722"/>
      <c r="P37" s="720"/>
      <c r="Q37" s="723"/>
      <c r="R37" s="720"/>
      <c r="S37" s="723"/>
      <c r="W37" s="750"/>
    </row>
    <row r="38" spans="1:23" ht="28.15" customHeight="1">
      <c r="A38" s="787" t="s">
        <v>15</v>
      </c>
      <c r="B38" s="784"/>
      <c r="C38" s="967"/>
      <c r="D38" s="968"/>
      <c r="E38" s="968"/>
      <c r="F38" s="969"/>
      <c r="G38" s="1136"/>
      <c r="H38" s="1137"/>
      <c r="I38" s="1137"/>
      <c r="J38" s="1137"/>
      <c r="K38" s="1139"/>
      <c r="L38" s="1140"/>
      <c r="M38" s="1141"/>
      <c r="N38" s="1139"/>
      <c r="O38" s="1140"/>
      <c r="P38" s="1141"/>
      <c r="Q38" s="1139"/>
      <c r="R38" s="1140"/>
      <c r="S38" s="969"/>
      <c r="W38" s="750"/>
    </row>
    <row r="39" spans="1:23" ht="12" customHeight="1">
      <c r="A39" s="980">
        <f>+'jobinfo(2)'!A65</f>
        <v>13</v>
      </c>
      <c r="B39" s="1147" t="str">
        <f>+'jobinfo(2)'!N65</f>
        <v>BSMNT Storage 1</v>
      </c>
      <c r="C39" s="707" t="s">
        <v>1</v>
      </c>
      <c r="D39" s="708" t="s">
        <v>16</v>
      </c>
      <c r="E39" s="709" t="s">
        <v>17</v>
      </c>
      <c r="F39" s="710" t="s">
        <v>10</v>
      </c>
      <c r="G39" s="711" t="str">
        <f>$G$5</f>
        <v>WALL</v>
      </c>
      <c r="H39" s="708" t="s">
        <v>6</v>
      </c>
      <c r="I39" s="709" t="s">
        <v>17</v>
      </c>
      <c r="J39" s="710" t="s">
        <v>10</v>
      </c>
      <c r="K39" s="711" t="s">
        <v>8</v>
      </c>
      <c r="L39" s="708" t="s">
        <v>9</v>
      </c>
      <c r="M39" s="710" t="s">
        <v>10</v>
      </c>
      <c r="N39" s="712" t="s">
        <v>11</v>
      </c>
      <c r="O39" s="713" t="s">
        <v>12</v>
      </c>
      <c r="P39" s="710" t="s">
        <v>10</v>
      </c>
      <c r="Q39" s="714" t="s">
        <v>18</v>
      </c>
      <c r="R39" s="708" t="s">
        <v>14</v>
      </c>
      <c r="S39" s="711" t="s">
        <v>10</v>
      </c>
      <c r="W39" s="750"/>
    </row>
    <row r="40" spans="1:23" ht="28.15" customHeight="1">
      <c r="A40" s="981"/>
      <c r="B40" s="983"/>
      <c r="C40" s="715"/>
      <c r="D40" s="716"/>
      <c r="E40" s="717"/>
      <c r="F40" s="716"/>
      <c r="G40" s="715"/>
      <c r="H40" s="716"/>
      <c r="I40" s="718"/>
      <c r="J40" s="716"/>
      <c r="K40" s="715"/>
      <c r="L40" s="716"/>
      <c r="M40" s="717"/>
      <c r="N40" s="716"/>
      <c r="O40" s="715"/>
      <c r="P40" s="716"/>
      <c r="Q40" s="718"/>
      <c r="R40" s="716"/>
      <c r="S40" s="718"/>
      <c r="W40" s="750"/>
    </row>
    <row r="41" spans="1:23" ht="28.15" customHeight="1">
      <c r="A41" s="787" t="s">
        <v>15</v>
      </c>
      <c r="B41" s="784"/>
      <c r="C41" s="964"/>
      <c r="D41" s="965"/>
      <c r="E41" s="965"/>
      <c r="F41" s="965"/>
      <c r="G41" s="1136"/>
      <c r="H41" s="1137"/>
      <c r="I41" s="1137"/>
      <c r="J41" s="1137"/>
      <c r="K41" s="1136"/>
      <c r="L41" s="1137"/>
      <c r="M41" s="1138"/>
      <c r="N41" s="1136"/>
      <c r="O41" s="1137"/>
      <c r="P41" s="1138"/>
      <c r="Q41" s="1136"/>
      <c r="R41" s="1137"/>
      <c r="S41" s="966"/>
      <c r="W41" s="750"/>
    </row>
    <row r="42" spans="1:23" ht="12" customHeight="1">
      <c r="A42" s="980">
        <f>+'jobinfo(2)'!A66</f>
        <v>14</v>
      </c>
      <c r="B42" s="1147" t="str">
        <f>+'jobinfo(2)'!N66</f>
        <v>BSMNT Storage 2</v>
      </c>
      <c r="C42" s="707" t="s">
        <v>1</v>
      </c>
      <c r="D42" s="708" t="s">
        <v>16</v>
      </c>
      <c r="E42" s="709" t="s">
        <v>17</v>
      </c>
      <c r="F42" s="710" t="s">
        <v>10</v>
      </c>
      <c r="G42" s="711" t="str">
        <f>$G$5</f>
        <v>WALL</v>
      </c>
      <c r="H42" s="708" t="s">
        <v>6</v>
      </c>
      <c r="I42" s="709" t="s">
        <v>17</v>
      </c>
      <c r="J42" s="710" t="s">
        <v>10</v>
      </c>
      <c r="K42" s="711" t="s">
        <v>8</v>
      </c>
      <c r="L42" s="708" t="s">
        <v>9</v>
      </c>
      <c r="M42" s="710" t="s">
        <v>10</v>
      </c>
      <c r="N42" s="712" t="s">
        <v>11</v>
      </c>
      <c r="O42" s="713" t="s">
        <v>12</v>
      </c>
      <c r="P42" s="710" t="s">
        <v>10</v>
      </c>
      <c r="Q42" s="714" t="s">
        <v>18</v>
      </c>
      <c r="R42" s="708" t="s">
        <v>14</v>
      </c>
      <c r="S42" s="711" t="s">
        <v>10</v>
      </c>
      <c r="W42" s="750"/>
    </row>
    <row r="43" spans="1:23" ht="28.15" customHeight="1">
      <c r="A43" s="981"/>
      <c r="B43" s="983"/>
      <c r="C43" s="715"/>
      <c r="D43" s="716"/>
      <c r="E43" s="717"/>
      <c r="F43" s="716"/>
      <c r="G43" s="715"/>
      <c r="H43" s="716"/>
      <c r="I43" s="718"/>
      <c r="J43" s="716"/>
      <c r="K43" s="715"/>
      <c r="L43" s="716"/>
      <c r="M43" s="717"/>
      <c r="N43" s="716"/>
      <c r="O43" s="715"/>
      <c r="P43" s="716"/>
      <c r="Q43" s="718"/>
      <c r="R43" s="716"/>
      <c r="S43" s="718"/>
      <c r="W43" s="750"/>
    </row>
    <row r="44" spans="1:23" ht="30" customHeight="1">
      <c r="A44" s="786" t="s">
        <v>15</v>
      </c>
      <c r="B44" s="785"/>
      <c r="C44" s="964"/>
      <c r="D44" s="965"/>
      <c r="E44" s="965"/>
      <c r="F44" s="965"/>
      <c r="G44" s="1136"/>
      <c r="H44" s="1137"/>
      <c r="I44" s="1137"/>
      <c r="J44" s="1137"/>
      <c r="K44" s="1136"/>
      <c r="L44" s="1137"/>
      <c r="M44" s="1138"/>
      <c r="N44" s="1136"/>
      <c r="O44" s="1137"/>
      <c r="P44" s="1138"/>
      <c r="Q44" s="1136"/>
      <c r="R44" s="1137"/>
      <c r="S44" s="966"/>
      <c r="W44" s="750"/>
    </row>
    <row r="45" spans="1:23" ht="12" customHeight="1">
      <c r="A45" s="980">
        <f>+'jobinfo(2)'!A66</f>
        <v>14</v>
      </c>
      <c r="B45" s="1144" t="str">
        <f>+'jobinfo(2)'!N67</f>
        <v>EXT SIDING    ==========</v>
      </c>
      <c r="C45" s="707" t="s">
        <v>1</v>
      </c>
      <c r="D45" s="708" t="s">
        <v>16</v>
      </c>
      <c r="E45" s="709" t="s">
        <v>17</v>
      </c>
      <c r="F45" s="710" t="s">
        <v>10</v>
      </c>
      <c r="G45" s="711" t="str">
        <f>$G$5</f>
        <v>WALL</v>
      </c>
      <c r="H45" s="708" t="s">
        <v>6</v>
      </c>
      <c r="I45" s="709" t="s">
        <v>17</v>
      </c>
      <c r="J45" s="710" t="s">
        <v>10</v>
      </c>
      <c r="K45" s="711" t="s">
        <v>8</v>
      </c>
      <c r="L45" s="708" t="s">
        <v>9</v>
      </c>
      <c r="M45" s="710" t="s">
        <v>10</v>
      </c>
      <c r="N45" s="712" t="s">
        <v>11</v>
      </c>
      <c r="O45" s="713" t="s">
        <v>12</v>
      </c>
      <c r="P45" s="710" t="s">
        <v>10</v>
      </c>
      <c r="Q45" s="714" t="s">
        <v>18</v>
      </c>
      <c r="R45" s="708" t="s">
        <v>14</v>
      </c>
      <c r="S45" s="711" t="s">
        <v>10</v>
      </c>
      <c r="W45" s="750"/>
    </row>
    <row r="46" spans="1:23" ht="28.15" customHeight="1">
      <c r="A46" s="981"/>
      <c r="B46" s="989"/>
      <c r="C46" s="715"/>
      <c r="D46" s="716"/>
      <c r="E46" s="717"/>
      <c r="F46" s="716"/>
      <c r="G46" s="715"/>
      <c r="H46" s="716"/>
      <c r="I46" s="718"/>
      <c r="J46" s="716"/>
      <c r="K46" s="715"/>
      <c r="L46" s="716"/>
      <c r="M46" s="717"/>
      <c r="N46" s="716"/>
      <c r="O46" s="715"/>
      <c r="P46" s="716"/>
      <c r="Q46" s="718"/>
      <c r="R46" s="716"/>
      <c r="S46" s="718"/>
      <c r="W46" s="750"/>
    </row>
    <row r="47" spans="1:23" ht="28.15" customHeight="1">
      <c r="A47" s="786" t="s">
        <v>15</v>
      </c>
      <c r="B47" s="785"/>
      <c r="C47" s="964"/>
      <c r="D47" s="965"/>
      <c r="E47" s="965"/>
      <c r="F47" s="965"/>
      <c r="G47" s="1136"/>
      <c r="H47" s="1137"/>
      <c r="I47" s="1137"/>
      <c r="J47" s="1137"/>
      <c r="K47" s="1136"/>
      <c r="L47" s="1137"/>
      <c r="M47" s="1138"/>
      <c r="N47" s="1136"/>
      <c r="O47" s="1137"/>
      <c r="P47" s="1138"/>
      <c r="Q47" s="1136"/>
      <c r="R47" s="1137"/>
      <c r="S47" s="966"/>
      <c r="W47" s="750"/>
    </row>
    <row r="48" spans="1:23" ht="22.15" customHeight="1">
      <c r="A48" s="1145" t="s">
        <v>1091</v>
      </c>
      <c r="B48" s="1146"/>
      <c r="C48" s="1146"/>
      <c r="D48" s="992" t="str">
        <f>+'jobinfo(2)'!$C$1</f>
        <v>Hatten, Nedra</v>
      </c>
      <c r="E48" s="992"/>
      <c r="F48" s="992"/>
      <c r="G48" s="818" t="str">
        <f>+'jobinfo(2)'!$C$2</f>
        <v>628 Quilliams Road</v>
      </c>
      <c r="H48" s="818"/>
      <c r="I48" s="818"/>
      <c r="J48" s="1135" t="str">
        <f>'jobinfo(2)'!$C$3</f>
        <v>Cleveland Heights, OH 44121</v>
      </c>
      <c r="K48" s="1135"/>
      <c r="L48" s="1134" t="str">
        <f>L23</f>
        <v>Basement</v>
      </c>
      <c r="M48" s="1134"/>
      <c r="O48" s="706" t="str">
        <f>'jobinfo(2)'!$C$11</f>
        <v>BATHTUB OVERFLOW</v>
      </c>
      <c r="P48" s="129" t="str">
        <f>'jobinfo(2)'!$C$26</f>
        <v>LIBERTY MUTUAL</v>
      </c>
      <c r="R48" s="977" t="str">
        <f>'jobinfo(2)'!$C$27</f>
        <v>#059633981</v>
      </c>
      <c r="S48" s="977"/>
      <c r="W48" s="750"/>
    </row>
    <row r="49" spans="1:24" ht="12" customHeight="1">
      <c r="A49" s="980">
        <f>+'jobinfo(2)'!A67</f>
        <v>15</v>
      </c>
      <c r="B49" s="1144" t="str">
        <f>+'jobinfo(2)'!N68</f>
        <v>FRONT LOWER PORCH</v>
      </c>
      <c r="C49" s="707" t="s">
        <v>1</v>
      </c>
      <c r="D49" s="708" t="s">
        <v>16</v>
      </c>
      <c r="E49" s="709" t="s">
        <v>17</v>
      </c>
      <c r="F49" s="710" t="s">
        <v>10</v>
      </c>
      <c r="G49" s="711" t="str">
        <f>$G$5</f>
        <v>WALL</v>
      </c>
      <c r="H49" s="708" t="s">
        <v>6</v>
      </c>
      <c r="I49" s="709" t="s">
        <v>17</v>
      </c>
      <c r="J49" s="710" t="s">
        <v>10</v>
      </c>
      <c r="K49" s="711" t="s">
        <v>8</v>
      </c>
      <c r="L49" s="708" t="s">
        <v>9</v>
      </c>
      <c r="M49" s="710" t="s">
        <v>10</v>
      </c>
      <c r="N49" s="712" t="s">
        <v>11</v>
      </c>
      <c r="O49" s="713" t="s">
        <v>12</v>
      </c>
      <c r="P49" s="710" t="s">
        <v>10</v>
      </c>
      <c r="Q49" s="714" t="s">
        <v>18</v>
      </c>
      <c r="R49" s="708" t="s">
        <v>14</v>
      </c>
      <c r="S49" s="711" t="s">
        <v>10</v>
      </c>
      <c r="W49" s="750"/>
    </row>
    <row r="50" spans="1:24" ht="33" customHeight="1">
      <c r="A50" s="981"/>
      <c r="B50" s="989"/>
      <c r="C50" s="715"/>
      <c r="D50" s="716"/>
      <c r="E50" s="717"/>
      <c r="F50" s="716"/>
      <c r="G50" s="722"/>
      <c r="H50" s="720"/>
      <c r="I50" s="723"/>
      <c r="J50" s="720"/>
      <c r="K50" s="715"/>
      <c r="L50" s="716"/>
      <c r="M50" s="717"/>
      <c r="N50" s="716"/>
      <c r="O50" s="715"/>
      <c r="P50" s="716"/>
      <c r="Q50" s="718"/>
      <c r="R50" s="716"/>
      <c r="S50" s="718"/>
      <c r="W50" s="750"/>
    </row>
    <row r="51" spans="1:24" ht="33" customHeight="1">
      <c r="A51" s="786" t="s">
        <v>15</v>
      </c>
      <c r="B51" s="785"/>
      <c r="C51" s="964"/>
      <c r="D51" s="965"/>
      <c r="E51" s="965"/>
      <c r="F51" s="965"/>
      <c r="G51" s="1139"/>
      <c r="H51" s="1140"/>
      <c r="I51" s="1140"/>
      <c r="J51" s="1141"/>
      <c r="K51" s="1136"/>
      <c r="L51" s="1137"/>
      <c r="M51" s="1138"/>
      <c r="N51" s="1136"/>
      <c r="O51" s="1137"/>
      <c r="P51" s="1138"/>
      <c r="Q51" s="1136"/>
      <c r="R51" s="1137"/>
      <c r="S51" s="966"/>
      <c r="W51" s="750"/>
    </row>
    <row r="52" spans="1:24" ht="12" customHeight="1">
      <c r="A52" s="980">
        <f>+'jobinfo(2)'!A68</f>
        <v>16</v>
      </c>
      <c r="B52" s="1144">
        <f>+'jobinfo(2)'!N69</f>
        <v>0</v>
      </c>
      <c r="C52" s="707" t="s">
        <v>1</v>
      </c>
      <c r="D52" s="708" t="s">
        <v>16</v>
      </c>
      <c r="E52" s="709" t="s">
        <v>17</v>
      </c>
      <c r="F52" s="710" t="s">
        <v>10</v>
      </c>
      <c r="G52" s="711" t="str">
        <f>$G$5</f>
        <v>WALL</v>
      </c>
      <c r="H52" s="708" t="s">
        <v>6</v>
      </c>
      <c r="I52" s="709" t="s">
        <v>17</v>
      </c>
      <c r="J52" s="710" t="s">
        <v>10</v>
      </c>
      <c r="K52" s="711" t="s">
        <v>8</v>
      </c>
      <c r="L52" s="708" t="s">
        <v>9</v>
      </c>
      <c r="M52" s="710" t="s">
        <v>10</v>
      </c>
      <c r="N52" s="712" t="s">
        <v>11</v>
      </c>
      <c r="O52" s="713" t="s">
        <v>12</v>
      </c>
      <c r="P52" s="710" t="s">
        <v>10</v>
      </c>
      <c r="Q52" s="714" t="s">
        <v>18</v>
      </c>
      <c r="R52" s="708" t="s">
        <v>14</v>
      </c>
      <c r="S52" s="711" t="s">
        <v>10</v>
      </c>
      <c r="W52" s="750"/>
    </row>
    <row r="53" spans="1:24" ht="33" customHeight="1">
      <c r="A53" s="981"/>
      <c r="B53" s="989"/>
      <c r="C53" s="715"/>
      <c r="D53" s="716"/>
      <c r="E53" s="717"/>
      <c r="F53" s="716"/>
      <c r="G53" s="715"/>
      <c r="H53" s="716"/>
      <c r="I53" s="718"/>
      <c r="J53" s="716"/>
      <c r="K53" s="715"/>
      <c r="L53" s="716"/>
      <c r="M53" s="717"/>
      <c r="N53" s="716"/>
      <c r="O53" s="715"/>
      <c r="P53" s="716"/>
      <c r="Q53" s="718"/>
      <c r="R53" s="716"/>
      <c r="S53" s="718"/>
      <c r="W53" s="750"/>
    </row>
    <row r="54" spans="1:24" ht="33" customHeight="1">
      <c r="A54" s="787" t="s">
        <v>15</v>
      </c>
      <c r="B54" s="784"/>
      <c r="C54" s="964"/>
      <c r="D54" s="965"/>
      <c r="E54" s="965"/>
      <c r="F54" s="965"/>
      <c r="G54" s="1136"/>
      <c r="H54" s="1137"/>
      <c r="I54" s="1137"/>
      <c r="J54" s="1137"/>
      <c r="K54" s="1136"/>
      <c r="L54" s="1137"/>
      <c r="M54" s="1138"/>
      <c r="N54" s="1136"/>
      <c r="O54" s="1137"/>
      <c r="P54" s="1138"/>
      <c r="Q54" s="1136"/>
      <c r="R54" s="1137"/>
      <c r="S54" s="966"/>
      <c r="W54" s="750"/>
    </row>
    <row r="55" spans="1:24" ht="12" customHeight="1">
      <c r="A55" s="980">
        <f>+'jobinfo(2)'!A69</f>
        <v>17</v>
      </c>
      <c r="B55" s="1144">
        <f>+'jobinfo(2)'!N70</f>
        <v>0</v>
      </c>
      <c r="C55" s="707" t="s">
        <v>1</v>
      </c>
      <c r="D55" s="708" t="s">
        <v>16</v>
      </c>
      <c r="E55" s="709" t="s">
        <v>17</v>
      </c>
      <c r="F55" s="710" t="s">
        <v>10</v>
      </c>
      <c r="G55" s="711" t="str">
        <f>$G$5</f>
        <v>WALL</v>
      </c>
      <c r="H55" s="708" t="s">
        <v>6</v>
      </c>
      <c r="I55" s="709" t="s">
        <v>17</v>
      </c>
      <c r="J55" s="710" t="s">
        <v>10</v>
      </c>
      <c r="K55" s="711" t="s">
        <v>8</v>
      </c>
      <c r="L55" s="708" t="s">
        <v>9</v>
      </c>
      <c r="M55" s="710" t="s">
        <v>10</v>
      </c>
      <c r="N55" s="712" t="s">
        <v>11</v>
      </c>
      <c r="O55" s="713" t="s">
        <v>12</v>
      </c>
      <c r="P55" s="710" t="s">
        <v>10</v>
      </c>
      <c r="Q55" s="714" t="s">
        <v>18</v>
      </c>
      <c r="R55" s="708" t="s">
        <v>14</v>
      </c>
      <c r="S55" s="711" t="s">
        <v>10</v>
      </c>
      <c r="W55" s="750"/>
    </row>
    <row r="56" spans="1:24" ht="33" customHeight="1">
      <c r="A56" s="981"/>
      <c r="B56" s="989"/>
      <c r="C56" s="719"/>
      <c r="D56" s="720"/>
      <c r="E56" s="721"/>
      <c r="F56" s="720"/>
      <c r="G56" s="715"/>
      <c r="H56" s="716"/>
      <c r="I56" s="718"/>
      <c r="J56" s="716"/>
      <c r="K56" s="722"/>
      <c r="L56" s="720"/>
      <c r="M56" s="721"/>
      <c r="N56" s="720"/>
      <c r="O56" s="722"/>
      <c r="P56" s="720"/>
      <c r="Q56" s="723"/>
      <c r="R56" s="720"/>
      <c r="S56" s="723"/>
      <c r="W56" s="750"/>
    </row>
    <row r="57" spans="1:24" ht="33" customHeight="1">
      <c r="A57" s="786" t="s">
        <v>15</v>
      </c>
      <c r="B57" s="785"/>
      <c r="C57" s="967"/>
      <c r="D57" s="968"/>
      <c r="E57" s="968"/>
      <c r="F57" s="969"/>
      <c r="G57" s="1136"/>
      <c r="H57" s="1137"/>
      <c r="I57" s="1137"/>
      <c r="J57" s="1137"/>
      <c r="K57" s="1139"/>
      <c r="L57" s="1140"/>
      <c r="M57" s="1141"/>
      <c r="N57" s="1139"/>
      <c r="O57" s="1140"/>
      <c r="P57" s="1141"/>
      <c r="Q57" s="1139"/>
      <c r="R57" s="1140"/>
      <c r="S57" s="969"/>
      <c r="W57" s="750"/>
    </row>
    <row r="58" spans="1:24" ht="12" customHeight="1">
      <c r="A58" s="980">
        <f>+'jobinfo(2)'!A70</f>
        <v>18</v>
      </c>
      <c r="B58" s="1144">
        <f>+'jobinfo(2)'!N71</f>
        <v>0</v>
      </c>
      <c r="C58" s="707" t="s">
        <v>1</v>
      </c>
      <c r="D58" s="708" t="s">
        <v>16</v>
      </c>
      <c r="E58" s="709" t="s">
        <v>17</v>
      </c>
      <c r="F58" s="710" t="s">
        <v>10</v>
      </c>
      <c r="G58" s="711" t="str">
        <f>$G$5</f>
        <v>WALL</v>
      </c>
      <c r="H58" s="708" t="s">
        <v>6</v>
      </c>
      <c r="I58" s="709" t="s">
        <v>17</v>
      </c>
      <c r="J58" s="710" t="s">
        <v>10</v>
      </c>
      <c r="K58" s="711" t="s">
        <v>8</v>
      </c>
      <c r="L58" s="708" t="s">
        <v>9</v>
      </c>
      <c r="M58" s="710" t="s">
        <v>10</v>
      </c>
      <c r="N58" s="712" t="s">
        <v>11</v>
      </c>
      <c r="O58" s="713" t="s">
        <v>12</v>
      </c>
      <c r="P58" s="710" t="s">
        <v>10</v>
      </c>
      <c r="Q58" s="714" t="s">
        <v>18</v>
      </c>
      <c r="R58" s="708" t="s">
        <v>14</v>
      </c>
      <c r="S58" s="711" t="s">
        <v>10</v>
      </c>
      <c r="W58" s="750"/>
    </row>
    <row r="59" spans="1:24" ht="33" customHeight="1">
      <c r="A59" s="981"/>
      <c r="B59" s="989"/>
      <c r="C59" s="715"/>
      <c r="D59" s="716"/>
      <c r="E59" s="717"/>
      <c r="F59" s="716"/>
      <c r="G59" s="715"/>
      <c r="H59" s="716"/>
      <c r="I59" s="718"/>
      <c r="J59" s="716"/>
      <c r="K59" s="715"/>
      <c r="L59" s="716"/>
      <c r="M59" s="717"/>
      <c r="N59" s="716"/>
      <c r="O59" s="715"/>
      <c r="P59" s="716"/>
      <c r="Q59" s="718"/>
      <c r="R59" s="716"/>
      <c r="S59" s="718"/>
      <c r="T59" s="49"/>
      <c r="U59" s="49"/>
      <c r="V59" s="49"/>
      <c r="W59" s="752"/>
      <c r="X59" s="49"/>
    </row>
    <row r="60" spans="1:24" ht="33" customHeight="1">
      <c r="A60" s="786" t="s">
        <v>15</v>
      </c>
      <c r="B60" s="785"/>
      <c r="C60" s="964"/>
      <c r="D60" s="965"/>
      <c r="E60" s="965"/>
      <c r="F60" s="965"/>
      <c r="G60" s="1136"/>
      <c r="H60" s="1137"/>
      <c r="I60" s="1137"/>
      <c r="J60" s="1137"/>
      <c r="K60" s="1136"/>
      <c r="L60" s="1137"/>
      <c r="M60" s="1138"/>
      <c r="N60" s="1136"/>
      <c r="O60" s="1137"/>
      <c r="P60" s="1138"/>
      <c r="Q60" s="1136"/>
      <c r="R60" s="1137"/>
      <c r="S60" s="966"/>
      <c r="W60" s="750"/>
    </row>
    <row r="61" spans="1:24" ht="12" customHeight="1">
      <c r="A61" s="980">
        <f>+'jobinfo(2)'!A71</f>
        <v>19</v>
      </c>
      <c r="B61" s="1144">
        <f>+'jobinfo(2)'!N72</f>
        <v>0</v>
      </c>
      <c r="C61" s="707" t="s">
        <v>1</v>
      </c>
      <c r="D61" s="708" t="s">
        <v>16</v>
      </c>
      <c r="E61" s="709" t="s">
        <v>17</v>
      </c>
      <c r="F61" s="710" t="s">
        <v>10</v>
      </c>
      <c r="G61" s="711" t="str">
        <f>$G$5</f>
        <v>WALL</v>
      </c>
      <c r="H61" s="708" t="s">
        <v>6</v>
      </c>
      <c r="I61" s="709" t="s">
        <v>17</v>
      </c>
      <c r="J61" s="710" t="s">
        <v>10</v>
      </c>
      <c r="K61" s="711" t="s">
        <v>8</v>
      </c>
      <c r="L61" s="708" t="s">
        <v>9</v>
      </c>
      <c r="M61" s="710" t="s">
        <v>10</v>
      </c>
      <c r="N61" s="712" t="s">
        <v>11</v>
      </c>
      <c r="O61" s="713" t="s">
        <v>12</v>
      </c>
      <c r="P61" s="710" t="s">
        <v>10</v>
      </c>
      <c r="Q61" s="714" t="s">
        <v>18</v>
      </c>
      <c r="R61" s="708" t="s">
        <v>14</v>
      </c>
      <c r="S61" s="711" t="s">
        <v>10</v>
      </c>
      <c r="W61" s="750"/>
    </row>
    <row r="62" spans="1:24" ht="33" customHeight="1">
      <c r="A62" s="981"/>
      <c r="B62" s="989"/>
      <c r="C62" s="715"/>
      <c r="D62" s="716"/>
      <c r="E62" s="717"/>
      <c r="F62" s="716"/>
      <c r="G62" s="722"/>
      <c r="H62" s="720"/>
      <c r="I62" s="723"/>
      <c r="J62" s="720"/>
      <c r="K62" s="715"/>
      <c r="L62" s="716"/>
      <c r="M62" s="717"/>
      <c r="N62" s="716"/>
      <c r="O62" s="715"/>
      <c r="P62" s="716"/>
      <c r="Q62" s="718"/>
      <c r="R62" s="716"/>
      <c r="S62" s="718"/>
      <c r="W62" s="750"/>
    </row>
    <row r="63" spans="1:24" ht="33" customHeight="1">
      <c r="A63" s="786" t="s">
        <v>15</v>
      </c>
      <c r="B63" s="785"/>
      <c r="C63" s="964"/>
      <c r="D63" s="965"/>
      <c r="E63" s="965"/>
      <c r="F63" s="965"/>
      <c r="G63" s="1136"/>
      <c r="H63" s="1137"/>
      <c r="I63" s="1137"/>
      <c r="J63" s="1137"/>
      <c r="K63" s="1136"/>
      <c r="L63" s="1137"/>
      <c r="M63" s="1138"/>
      <c r="N63" s="1136"/>
      <c r="O63" s="1137"/>
      <c r="P63" s="1138"/>
      <c r="Q63" s="1136"/>
      <c r="R63" s="1137"/>
      <c r="S63" s="966"/>
      <c r="W63" s="750"/>
    </row>
    <row r="64" spans="1:24" ht="12" customHeight="1">
      <c r="A64" s="980">
        <f>+'jobinfo(2)'!A72</f>
        <v>20</v>
      </c>
      <c r="B64" s="1144">
        <f>+'jobinfo(2)'!N73</f>
        <v>0</v>
      </c>
      <c r="C64" s="664" t="s">
        <v>1</v>
      </c>
      <c r="D64" s="643" t="s">
        <v>16</v>
      </c>
      <c r="E64" s="665" t="s">
        <v>17</v>
      </c>
      <c r="F64" s="666" t="s">
        <v>10</v>
      </c>
      <c r="G64" s="667" t="s">
        <v>20</v>
      </c>
      <c r="H64" s="643" t="s">
        <v>6</v>
      </c>
      <c r="I64" s="665" t="s">
        <v>17</v>
      </c>
      <c r="J64" s="666" t="s">
        <v>10</v>
      </c>
      <c r="K64" s="667" t="s">
        <v>8</v>
      </c>
      <c r="L64" s="643" t="s">
        <v>9</v>
      </c>
      <c r="M64" s="666" t="s">
        <v>10</v>
      </c>
      <c r="N64" s="668" t="s">
        <v>11</v>
      </c>
      <c r="O64" s="613" t="s">
        <v>12</v>
      </c>
      <c r="P64" s="666" t="s">
        <v>10</v>
      </c>
      <c r="Q64" s="669" t="s">
        <v>18</v>
      </c>
      <c r="R64" s="643" t="s">
        <v>14</v>
      </c>
      <c r="S64" s="667" t="s">
        <v>10</v>
      </c>
      <c r="W64" s="750"/>
    </row>
    <row r="65" spans="1:53" ht="33" customHeight="1">
      <c r="A65" s="981"/>
      <c r="B65" s="989"/>
      <c r="C65" s="149"/>
      <c r="D65" s="150"/>
      <c r="E65" s="467"/>
      <c r="F65" s="150"/>
      <c r="G65" s="149"/>
      <c r="H65" s="150"/>
      <c r="I65" s="599"/>
      <c r="J65" s="150"/>
      <c r="K65" s="149"/>
      <c r="L65" s="150"/>
      <c r="M65" s="467"/>
      <c r="N65" s="150"/>
      <c r="O65" s="149"/>
      <c r="P65" s="150"/>
      <c r="Q65" s="599"/>
      <c r="R65" s="150"/>
      <c r="S65" s="599"/>
      <c r="T65" s="49"/>
      <c r="U65" s="49"/>
      <c r="V65" s="49"/>
      <c r="W65" s="752"/>
      <c r="X65" s="49"/>
    </row>
    <row r="66" spans="1:53" ht="33" customHeight="1">
      <c r="A66" s="786" t="s">
        <v>15</v>
      </c>
      <c r="B66" s="785"/>
      <c r="C66" s="964"/>
      <c r="D66" s="965"/>
      <c r="E66" s="965"/>
      <c r="F66" s="965"/>
      <c r="G66" s="1136"/>
      <c r="H66" s="1137"/>
      <c r="I66" s="1137"/>
      <c r="J66" s="1137"/>
      <c r="K66" s="1136"/>
      <c r="L66" s="1137"/>
      <c r="M66" s="1138"/>
      <c r="N66" s="1136"/>
      <c r="O66" s="1137"/>
      <c r="P66" s="1138"/>
      <c r="Q66" s="1136"/>
      <c r="R66" s="1137"/>
      <c r="S66" s="966"/>
      <c r="W66" s="750"/>
    </row>
    <row r="67" spans="1:53" ht="12" customHeight="1">
      <c r="A67" s="980">
        <f>+'jobinfo(2)'!A73</f>
        <v>21</v>
      </c>
      <c r="B67" s="1144">
        <f>+'jobinfo(2)'!N74</f>
        <v>0</v>
      </c>
      <c r="C67" s="664" t="s">
        <v>1</v>
      </c>
      <c r="D67" s="643" t="s">
        <v>16</v>
      </c>
      <c r="E67" s="665" t="s">
        <v>17</v>
      </c>
      <c r="F67" s="666" t="s">
        <v>10</v>
      </c>
      <c r="G67" s="667" t="s">
        <v>20</v>
      </c>
      <c r="H67" s="643" t="s">
        <v>6</v>
      </c>
      <c r="I67" s="665" t="s">
        <v>17</v>
      </c>
      <c r="J67" s="666" t="s">
        <v>10</v>
      </c>
      <c r="K67" s="667" t="s">
        <v>8</v>
      </c>
      <c r="L67" s="643" t="s">
        <v>9</v>
      </c>
      <c r="M67" s="666" t="s">
        <v>10</v>
      </c>
      <c r="N67" s="668" t="s">
        <v>11</v>
      </c>
      <c r="O67" s="613" t="s">
        <v>12</v>
      </c>
      <c r="P67" s="666" t="s">
        <v>10</v>
      </c>
      <c r="Q67" s="669" t="s">
        <v>18</v>
      </c>
      <c r="R67" s="643" t="s">
        <v>14</v>
      </c>
      <c r="S67" s="667" t="s">
        <v>10</v>
      </c>
      <c r="W67" s="750"/>
    </row>
    <row r="68" spans="1:53" ht="33" customHeight="1">
      <c r="A68" s="981"/>
      <c r="B68" s="989"/>
      <c r="C68" s="149"/>
      <c r="D68" s="150"/>
      <c r="E68" s="467"/>
      <c r="F68" s="150"/>
      <c r="G68" s="149"/>
      <c r="H68" s="150"/>
      <c r="I68" s="599"/>
      <c r="J68" s="150"/>
      <c r="K68" s="149"/>
      <c r="L68" s="150"/>
      <c r="M68" s="467"/>
      <c r="N68" s="150"/>
      <c r="O68" s="149"/>
      <c r="P68" s="150"/>
      <c r="Q68" s="599"/>
      <c r="R68" s="150"/>
      <c r="S68" s="599"/>
      <c r="W68" s="750"/>
    </row>
    <row r="69" spans="1:53" ht="33" customHeight="1">
      <c r="A69" s="786" t="s">
        <v>15</v>
      </c>
      <c r="B69" s="785"/>
      <c r="C69" s="964"/>
      <c r="D69" s="965"/>
      <c r="E69" s="965"/>
      <c r="F69" s="965"/>
      <c r="G69" s="1136"/>
      <c r="H69" s="1137"/>
      <c r="I69" s="1137"/>
      <c r="J69" s="1137"/>
      <c r="K69" s="1136"/>
      <c r="L69" s="1137"/>
      <c r="M69" s="1138"/>
      <c r="N69" s="1136"/>
      <c r="O69" s="1137"/>
      <c r="P69" s="1138"/>
      <c r="Q69" s="1136"/>
      <c r="R69" s="1137"/>
      <c r="S69" s="966"/>
      <c r="W69" s="750"/>
    </row>
    <row r="70" spans="1:53" ht="22.15" customHeight="1">
      <c r="A70" s="1145" t="s">
        <v>1091</v>
      </c>
      <c r="B70" s="1146"/>
      <c r="C70" s="1146"/>
      <c r="D70" s="992" t="str">
        <f>+'jobinfo(2)'!$C$1</f>
        <v>Hatten, Nedra</v>
      </c>
      <c r="E70" s="992"/>
      <c r="F70" s="992"/>
      <c r="G70" s="818" t="str">
        <f>+'jobinfo(2)'!$C$2</f>
        <v>628 Quilliams Road</v>
      </c>
      <c r="H70" s="818"/>
      <c r="I70" s="818"/>
      <c r="J70" s="1135" t="str">
        <f>'jobinfo(2)'!$C$3</f>
        <v>Cleveland Heights, OH 44121</v>
      </c>
      <c r="K70" s="1135"/>
      <c r="L70" s="1134" t="str">
        <f>L48</f>
        <v>Basement</v>
      </c>
      <c r="M70" s="1134"/>
      <c r="O70" s="706" t="str">
        <f>'jobinfo(2)'!$C$11</f>
        <v>BATHTUB OVERFLOW</v>
      </c>
      <c r="P70" s="129" t="str">
        <f>'jobinfo(2)'!$C$26</f>
        <v>LIBERTY MUTUAL</v>
      </c>
      <c r="R70" s="977" t="str">
        <f>R48</f>
        <v>#059633981</v>
      </c>
      <c r="S70" s="977"/>
      <c r="W70" s="750"/>
    </row>
    <row r="71" spans="1:53" ht="12" customHeight="1">
      <c r="A71" s="980">
        <f>+'jobinfo(2)'!A74</f>
        <v>22</v>
      </c>
      <c r="B71" s="1144">
        <f>+'jobinfo(2)'!N75</f>
        <v>0</v>
      </c>
      <c r="C71" s="664" t="s">
        <v>1</v>
      </c>
      <c r="D71" s="643" t="s">
        <v>16</v>
      </c>
      <c r="E71" s="665" t="s">
        <v>17</v>
      </c>
      <c r="F71" s="666" t="s">
        <v>10</v>
      </c>
      <c r="G71" s="667" t="s">
        <v>20</v>
      </c>
      <c r="H71" s="643" t="s">
        <v>6</v>
      </c>
      <c r="I71" s="665" t="s">
        <v>17</v>
      </c>
      <c r="J71" s="666" t="s">
        <v>10</v>
      </c>
      <c r="K71" s="667" t="s">
        <v>8</v>
      </c>
      <c r="L71" s="643" t="s">
        <v>9</v>
      </c>
      <c r="M71" s="666" t="s">
        <v>10</v>
      </c>
      <c r="N71" s="668" t="s">
        <v>11</v>
      </c>
      <c r="O71" s="613" t="s">
        <v>12</v>
      </c>
      <c r="P71" s="666" t="s">
        <v>10</v>
      </c>
      <c r="Q71" s="669" t="s">
        <v>18</v>
      </c>
      <c r="R71" s="643" t="s">
        <v>14</v>
      </c>
      <c r="S71" s="667" t="s">
        <v>10</v>
      </c>
      <c r="W71" s="750"/>
    </row>
    <row r="72" spans="1:53" ht="33" customHeight="1">
      <c r="A72" s="981"/>
      <c r="B72" s="989"/>
      <c r="C72" s="149"/>
      <c r="D72" s="150"/>
      <c r="E72" s="467"/>
      <c r="F72" s="150"/>
      <c r="G72" s="149"/>
      <c r="H72" s="150"/>
      <c r="I72" s="599"/>
      <c r="J72" s="150"/>
      <c r="K72" s="149"/>
      <c r="L72" s="150"/>
      <c r="M72" s="467"/>
      <c r="N72" s="150"/>
      <c r="O72" s="149"/>
      <c r="P72" s="150"/>
      <c r="Q72" s="599"/>
      <c r="R72" s="150"/>
      <c r="S72" s="599"/>
      <c r="T72" s="49"/>
      <c r="U72" s="49"/>
      <c r="V72" s="49"/>
      <c r="W72" s="752"/>
      <c r="X72" s="49"/>
    </row>
    <row r="73" spans="1:53" ht="33" customHeight="1">
      <c r="A73" s="786" t="s">
        <v>15</v>
      </c>
      <c r="B73" s="785"/>
      <c r="C73" s="964"/>
      <c r="D73" s="965"/>
      <c r="E73" s="965"/>
      <c r="F73" s="965"/>
      <c r="G73" s="1136"/>
      <c r="H73" s="1137"/>
      <c r="I73" s="1137"/>
      <c r="J73" s="1137"/>
      <c r="K73" s="1136"/>
      <c r="L73" s="1137"/>
      <c r="M73" s="1138"/>
      <c r="N73" s="1136"/>
      <c r="O73" s="1137"/>
      <c r="P73" s="1138"/>
      <c r="Q73" s="1136"/>
      <c r="R73" s="1137"/>
      <c r="S73" s="966"/>
      <c r="W73" s="750"/>
    </row>
    <row r="74" spans="1:53" ht="12" customHeight="1">
      <c r="A74" s="980">
        <f>+'jobinfo(2)'!A75</f>
        <v>23</v>
      </c>
      <c r="B74" s="1144">
        <f>+'jobinfo(2)'!N76</f>
        <v>0</v>
      </c>
      <c r="C74" s="664" t="s">
        <v>1</v>
      </c>
      <c r="D74" s="643" t="s">
        <v>16</v>
      </c>
      <c r="E74" s="665" t="s">
        <v>17</v>
      </c>
      <c r="F74" s="666" t="s">
        <v>10</v>
      </c>
      <c r="G74" s="667" t="s">
        <v>20</v>
      </c>
      <c r="H74" s="643" t="s">
        <v>6</v>
      </c>
      <c r="I74" s="665" t="s">
        <v>17</v>
      </c>
      <c r="J74" s="666" t="s">
        <v>10</v>
      </c>
      <c r="K74" s="667" t="s">
        <v>8</v>
      </c>
      <c r="L74" s="643" t="s">
        <v>9</v>
      </c>
      <c r="M74" s="666" t="s">
        <v>10</v>
      </c>
      <c r="N74" s="668" t="s">
        <v>11</v>
      </c>
      <c r="O74" s="613" t="s">
        <v>12</v>
      </c>
      <c r="P74" s="666" t="s">
        <v>10</v>
      </c>
      <c r="Q74" s="669" t="s">
        <v>18</v>
      </c>
      <c r="R74" s="643" t="s">
        <v>14</v>
      </c>
      <c r="S74" s="667" t="s">
        <v>10</v>
      </c>
      <c r="W74" s="750"/>
    </row>
    <row r="75" spans="1:53" ht="33" customHeight="1">
      <c r="A75" s="981"/>
      <c r="B75" s="989"/>
      <c r="C75" s="149"/>
      <c r="D75" s="150"/>
      <c r="E75" s="467"/>
      <c r="F75" s="150"/>
      <c r="G75" s="149"/>
      <c r="H75" s="150"/>
      <c r="I75" s="599"/>
      <c r="J75" s="150"/>
      <c r="K75" s="149"/>
      <c r="L75" s="150"/>
      <c r="M75" s="467"/>
      <c r="N75" s="150"/>
      <c r="O75" s="149"/>
      <c r="P75" s="150"/>
      <c r="Q75" s="599"/>
      <c r="R75" s="150"/>
      <c r="S75" s="599"/>
      <c r="T75" s="49"/>
      <c r="U75" s="49"/>
      <c r="V75" s="49"/>
      <c r="W75" s="752"/>
      <c r="X75" s="49"/>
    </row>
    <row r="76" spans="1:53" ht="33" customHeight="1">
      <c r="A76" s="786" t="s">
        <v>15</v>
      </c>
      <c r="B76" s="783"/>
      <c r="C76" s="967"/>
      <c r="D76" s="968"/>
      <c r="E76" s="968"/>
      <c r="F76" s="969"/>
      <c r="G76" s="1139"/>
      <c r="H76" s="1140"/>
      <c r="I76" s="1140"/>
      <c r="J76" s="1141"/>
      <c r="K76" s="1139"/>
      <c r="L76" s="1140"/>
      <c r="M76" s="1141"/>
      <c r="N76" s="1139"/>
      <c r="O76" s="1140"/>
      <c r="P76" s="1141"/>
      <c r="Q76" s="1139"/>
      <c r="R76" s="1140"/>
      <c r="S76" s="969"/>
      <c r="W76" s="750"/>
    </row>
    <row r="77" spans="1:53" ht="12" customHeight="1">
      <c r="A77" s="980">
        <f>+'jobinfo(2)'!A76</f>
        <v>24</v>
      </c>
      <c r="B77" s="1144">
        <f>+'jobinfo(2)'!N77</f>
        <v>0</v>
      </c>
      <c r="C77" s="664" t="s">
        <v>1</v>
      </c>
      <c r="D77" s="643" t="s">
        <v>16</v>
      </c>
      <c r="E77" s="665" t="s">
        <v>17</v>
      </c>
      <c r="F77" s="666" t="s">
        <v>10</v>
      </c>
      <c r="G77" s="667" t="s">
        <v>20</v>
      </c>
      <c r="H77" s="643" t="s">
        <v>6</v>
      </c>
      <c r="I77" s="665" t="s">
        <v>17</v>
      </c>
      <c r="J77" s="666" t="s">
        <v>10</v>
      </c>
      <c r="K77" s="667" t="s">
        <v>8</v>
      </c>
      <c r="L77" s="643" t="s">
        <v>9</v>
      </c>
      <c r="M77" s="666" t="s">
        <v>10</v>
      </c>
      <c r="N77" s="668" t="s">
        <v>11</v>
      </c>
      <c r="O77" s="613" t="s">
        <v>12</v>
      </c>
      <c r="P77" s="666" t="s">
        <v>10</v>
      </c>
      <c r="Q77" s="669" t="s">
        <v>18</v>
      </c>
      <c r="R77" s="643" t="s">
        <v>14</v>
      </c>
      <c r="S77" s="667" t="s">
        <v>10</v>
      </c>
      <c r="W77" s="750"/>
      <c r="AX77" s="2"/>
      <c r="AY77" s="611" t="s">
        <v>21</v>
      </c>
      <c r="AZ77" s="2"/>
      <c r="BA77" s="614" t="s">
        <v>22</v>
      </c>
    </row>
    <row r="78" spans="1:53" ht="33" customHeight="1">
      <c r="A78" s="981"/>
      <c r="B78" s="989"/>
      <c r="C78" s="149"/>
      <c r="D78" s="150"/>
      <c r="E78" s="467"/>
      <c r="F78" s="150"/>
      <c r="G78" s="149"/>
      <c r="H78" s="150"/>
      <c r="I78" s="599"/>
      <c r="J78" s="150"/>
      <c r="K78" s="149"/>
      <c r="L78" s="150"/>
      <c r="M78" s="467"/>
      <c r="N78" s="150"/>
      <c r="O78" s="149"/>
      <c r="P78" s="150"/>
      <c r="Q78" s="599"/>
      <c r="R78" s="150"/>
      <c r="S78" s="599"/>
      <c r="W78" s="750"/>
      <c r="AX78" s="2"/>
      <c r="AY78" s="611"/>
      <c r="AZ78" s="2"/>
      <c r="BA78" s="614"/>
    </row>
    <row r="79" spans="1:53" ht="33" customHeight="1">
      <c r="A79" s="786" t="s">
        <v>15</v>
      </c>
      <c r="B79" s="785"/>
      <c r="C79" s="964"/>
      <c r="D79" s="965"/>
      <c r="E79" s="965"/>
      <c r="F79" s="965"/>
      <c r="G79" s="1136"/>
      <c r="H79" s="1137"/>
      <c r="I79" s="1137"/>
      <c r="J79" s="1137"/>
      <c r="K79" s="1136"/>
      <c r="L79" s="1137"/>
      <c r="M79" s="1138"/>
      <c r="N79" s="1136"/>
      <c r="O79" s="1137"/>
      <c r="P79" s="1138"/>
      <c r="Q79" s="1136"/>
      <c r="R79" s="1137"/>
      <c r="S79" s="966"/>
      <c r="W79" s="750"/>
      <c r="AX79" s="2"/>
      <c r="AY79" s="611"/>
      <c r="AZ79" s="2"/>
      <c r="BA79" s="614"/>
    </row>
    <row r="80" spans="1:53" s="2" customFormat="1" ht="12" customHeight="1">
      <c r="A80" s="980">
        <f>+'jobinfo(2)'!A77</f>
        <v>25</v>
      </c>
      <c r="B80" s="1144">
        <f>+'jobinfo(2)'!N78</f>
        <v>0</v>
      </c>
      <c r="C80" s="664" t="s">
        <v>1</v>
      </c>
      <c r="D80" s="643" t="s">
        <v>16</v>
      </c>
      <c r="E80" s="665" t="s">
        <v>17</v>
      </c>
      <c r="F80" s="666" t="s">
        <v>10</v>
      </c>
      <c r="G80" s="667" t="s">
        <v>20</v>
      </c>
      <c r="H80" s="643" t="s">
        <v>6</v>
      </c>
      <c r="I80" s="665" t="s">
        <v>17</v>
      </c>
      <c r="J80" s="666" t="s">
        <v>10</v>
      </c>
      <c r="K80" s="667" t="s">
        <v>8</v>
      </c>
      <c r="L80" s="643" t="s">
        <v>9</v>
      </c>
      <c r="M80" s="666" t="s">
        <v>10</v>
      </c>
      <c r="N80" s="668" t="s">
        <v>11</v>
      </c>
      <c r="O80" s="613" t="s">
        <v>12</v>
      </c>
      <c r="P80" s="666" t="s">
        <v>10</v>
      </c>
      <c r="Q80" s="669" t="s">
        <v>18</v>
      </c>
      <c r="R80" s="643" t="s">
        <v>14</v>
      </c>
      <c r="S80" s="667" t="s">
        <v>10</v>
      </c>
      <c r="W80" s="753"/>
    </row>
    <row r="81" spans="1:23" s="2" customFormat="1" ht="33" customHeight="1">
      <c r="A81" s="981"/>
      <c r="B81" s="989"/>
      <c r="C81" s="149"/>
      <c r="D81" s="150"/>
      <c r="E81" s="467"/>
      <c r="F81" s="150"/>
      <c r="G81" s="149"/>
      <c r="H81" s="150"/>
      <c r="I81" s="599"/>
      <c r="J81" s="150"/>
      <c r="K81" s="149"/>
      <c r="L81" s="150"/>
      <c r="M81" s="467"/>
      <c r="N81" s="150"/>
      <c r="O81" s="149"/>
      <c r="P81" s="150"/>
      <c r="Q81" s="599"/>
      <c r="R81" s="150"/>
      <c r="S81" s="599"/>
      <c r="W81" s="753"/>
    </row>
    <row r="82" spans="1:23" s="2" customFormat="1" ht="33" customHeight="1">
      <c r="A82" s="786" t="s">
        <v>15</v>
      </c>
      <c r="B82" s="783"/>
      <c r="C82" s="964"/>
      <c r="D82" s="965"/>
      <c r="E82" s="965"/>
      <c r="F82" s="965"/>
      <c r="G82" s="1136"/>
      <c r="H82" s="1137"/>
      <c r="I82" s="1137"/>
      <c r="J82" s="1137"/>
      <c r="K82" s="1136"/>
      <c r="L82" s="1137"/>
      <c r="M82" s="1138"/>
      <c r="N82" s="1136"/>
      <c r="O82" s="1137"/>
      <c r="P82" s="1138"/>
      <c r="Q82" s="1136"/>
      <c r="R82" s="1137"/>
      <c r="S82" s="966"/>
      <c r="W82" s="753"/>
    </row>
    <row r="83" spans="1:23" s="2" customFormat="1" ht="12" customHeight="1">
      <c r="A83" s="980">
        <f>+'jobinfo(2)'!A78</f>
        <v>26</v>
      </c>
      <c r="B83" s="988">
        <f>+'jobinfo(2)'!N79</f>
        <v>0</v>
      </c>
      <c r="C83" s="664" t="s">
        <v>1</v>
      </c>
      <c r="D83" s="643" t="s">
        <v>16</v>
      </c>
      <c r="E83" s="665" t="s">
        <v>17</v>
      </c>
      <c r="F83" s="666" t="s">
        <v>10</v>
      </c>
      <c r="G83" s="667" t="s">
        <v>20</v>
      </c>
      <c r="H83" s="643" t="s">
        <v>6</v>
      </c>
      <c r="I83" s="665" t="s">
        <v>17</v>
      </c>
      <c r="J83" s="666" t="s">
        <v>10</v>
      </c>
      <c r="K83" s="667" t="s">
        <v>8</v>
      </c>
      <c r="L83" s="643" t="s">
        <v>9</v>
      </c>
      <c r="M83" s="666" t="s">
        <v>10</v>
      </c>
      <c r="N83" s="668" t="s">
        <v>11</v>
      </c>
      <c r="O83" s="613" t="s">
        <v>12</v>
      </c>
      <c r="P83" s="666" t="s">
        <v>10</v>
      </c>
      <c r="Q83" s="669" t="s">
        <v>18</v>
      </c>
      <c r="R83" s="643" t="s">
        <v>14</v>
      </c>
      <c r="S83" s="667" t="s">
        <v>10</v>
      </c>
      <c r="W83" s="753"/>
    </row>
    <row r="84" spans="1:23" s="2" customFormat="1" ht="33" customHeight="1">
      <c r="A84" s="981"/>
      <c r="B84" s="989"/>
      <c r="C84" s="149"/>
      <c r="D84" s="150"/>
      <c r="E84" s="467"/>
      <c r="F84" s="150"/>
      <c r="G84" s="149"/>
      <c r="H84" s="150"/>
      <c r="I84" s="599"/>
      <c r="J84" s="150"/>
      <c r="K84" s="149"/>
      <c r="L84" s="150"/>
      <c r="M84" s="467"/>
      <c r="N84" s="150"/>
      <c r="O84" s="149"/>
      <c r="P84" s="150"/>
      <c r="Q84" s="599"/>
      <c r="R84" s="150"/>
      <c r="S84" s="599"/>
      <c r="W84" s="753"/>
    </row>
    <row r="85" spans="1:23" s="2" customFormat="1" ht="33" customHeight="1">
      <c r="A85" s="786" t="s">
        <v>15</v>
      </c>
      <c r="B85" s="785"/>
      <c r="C85" s="967"/>
      <c r="D85" s="968"/>
      <c r="E85" s="968"/>
      <c r="F85" s="969"/>
      <c r="G85" s="1139"/>
      <c r="H85" s="1140"/>
      <c r="I85" s="1140"/>
      <c r="J85" s="1141"/>
      <c r="K85" s="1139"/>
      <c r="L85" s="1140"/>
      <c r="M85" s="1141"/>
      <c r="N85" s="1139"/>
      <c r="O85" s="1140"/>
      <c r="P85" s="1141"/>
      <c r="Q85" s="1139"/>
      <c r="R85" s="1140"/>
      <c r="S85" s="969"/>
      <c r="W85" s="753"/>
    </row>
    <row r="86" spans="1:23" s="2" customFormat="1" ht="12" customHeight="1">
      <c r="A86" s="980">
        <f>+'jobinfo(2)'!A79</f>
        <v>27</v>
      </c>
      <c r="B86" s="1142">
        <f>+'jobinfo(2)'!N80</f>
        <v>0</v>
      </c>
      <c r="C86" s="664" t="s">
        <v>1</v>
      </c>
      <c r="D86" s="643" t="s">
        <v>16</v>
      </c>
      <c r="E86" s="665" t="s">
        <v>17</v>
      </c>
      <c r="F86" s="666" t="s">
        <v>10</v>
      </c>
      <c r="G86" s="667" t="s">
        <v>20</v>
      </c>
      <c r="H86" s="643" t="s">
        <v>6</v>
      </c>
      <c r="I86" s="665" t="s">
        <v>17</v>
      </c>
      <c r="J86" s="666" t="s">
        <v>10</v>
      </c>
      <c r="K86" s="667" t="s">
        <v>8</v>
      </c>
      <c r="L86" s="643" t="s">
        <v>9</v>
      </c>
      <c r="M86" s="666" t="s">
        <v>10</v>
      </c>
      <c r="N86" s="668" t="s">
        <v>11</v>
      </c>
      <c r="O86" s="613" t="s">
        <v>12</v>
      </c>
      <c r="P86" s="666" t="s">
        <v>10</v>
      </c>
      <c r="Q86" s="669" t="s">
        <v>18</v>
      </c>
      <c r="R86" s="643" t="s">
        <v>14</v>
      </c>
      <c r="S86" s="667" t="s">
        <v>10</v>
      </c>
      <c r="W86" s="753"/>
    </row>
    <row r="87" spans="1:23" s="2" customFormat="1" ht="33" customHeight="1">
      <c r="A87" s="981"/>
      <c r="B87" s="1143"/>
      <c r="C87" s="149"/>
      <c r="D87" s="150"/>
      <c r="E87" s="467"/>
      <c r="F87" s="150"/>
      <c r="G87" s="149"/>
      <c r="H87" s="150"/>
      <c r="I87" s="599"/>
      <c r="J87" s="150"/>
      <c r="K87" s="149"/>
      <c r="L87" s="150"/>
      <c r="M87" s="467"/>
      <c r="N87" s="150"/>
      <c r="O87" s="149"/>
      <c r="P87" s="150"/>
      <c r="Q87" s="599"/>
      <c r="R87" s="150"/>
      <c r="S87" s="599"/>
      <c r="W87" s="753"/>
    </row>
    <row r="88" spans="1:23" s="2" customFormat="1" ht="33" customHeight="1">
      <c r="A88" s="786" t="s">
        <v>15</v>
      </c>
      <c r="B88" s="783"/>
      <c r="C88" s="964"/>
      <c r="D88" s="965"/>
      <c r="E88" s="965"/>
      <c r="F88" s="965"/>
      <c r="G88" s="1136"/>
      <c r="H88" s="1137"/>
      <c r="I88" s="1137"/>
      <c r="J88" s="1137"/>
      <c r="K88" s="1136"/>
      <c r="L88" s="1137"/>
      <c r="M88" s="1138"/>
      <c r="N88" s="1136"/>
      <c r="O88" s="1137"/>
      <c r="P88" s="1138"/>
      <c r="Q88" s="1136"/>
      <c r="R88" s="1137"/>
      <c r="S88" s="966"/>
      <c r="W88" s="753"/>
    </row>
    <row r="89" spans="1:23" s="615" customFormat="1" ht="12" customHeight="1">
      <c r="A89" s="980">
        <f>+'jobinfo(2)'!A80</f>
        <v>28</v>
      </c>
      <c r="B89" s="988">
        <f>+'jobinfo(2)'!N81</f>
        <v>0</v>
      </c>
      <c r="C89" s="664" t="s">
        <v>1</v>
      </c>
      <c r="D89" s="643" t="s">
        <v>16</v>
      </c>
      <c r="E89" s="665" t="s">
        <v>17</v>
      </c>
      <c r="F89" s="666" t="s">
        <v>10</v>
      </c>
      <c r="G89" s="667" t="s">
        <v>20</v>
      </c>
      <c r="H89" s="643" t="s">
        <v>6</v>
      </c>
      <c r="I89" s="665" t="s">
        <v>17</v>
      </c>
      <c r="J89" s="666" t="s">
        <v>10</v>
      </c>
      <c r="K89" s="667" t="s">
        <v>8</v>
      </c>
      <c r="L89" s="643" t="s">
        <v>9</v>
      </c>
      <c r="M89" s="666" t="s">
        <v>10</v>
      </c>
      <c r="N89" s="668" t="s">
        <v>11</v>
      </c>
      <c r="O89" s="613" t="s">
        <v>12</v>
      </c>
      <c r="P89" s="666" t="s">
        <v>10</v>
      </c>
      <c r="Q89" s="669" t="s">
        <v>18</v>
      </c>
      <c r="R89" s="643" t="s">
        <v>14</v>
      </c>
      <c r="S89" s="667" t="s">
        <v>10</v>
      </c>
      <c r="W89" s="744"/>
    </row>
    <row r="90" spans="1:23" s="2" customFormat="1" ht="33" customHeight="1">
      <c r="A90" s="981"/>
      <c r="B90" s="989"/>
      <c r="C90" s="149"/>
      <c r="D90" s="150"/>
      <c r="E90" s="467"/>
      <c r="F90" s="150"/>
      <c r="G90" s="149"/>
      <c r="H90" s="150"/>
      <c r="I90" s="599"/>
      <c r="J90" s="150"/>
      <c r="K90" s="149"/>
      <c r="L90" s="150"/>
      <c r="M90" s="467"/>
      <c r="N90" s="150"/>
      <c r="O90" s="149"/>
      <c r="P90" s="150"/>
      <c r="Q90" s="599"/>
      <c r="R90" s="150"/>
      <c r="S90" s="599"/>
      <c r="W90" s="753"/>
    </row>
    <row r="91" spans="1:23" s="2" customFormat="1" ht="33" customHeight="1">
      <c r="A91" s="786" t="s">
        <v>15</v>
      </c>
      <c r="B91" s="785"/>
      <c r="C91" s="964"/>
      <c r="D91" s="965"/>
      <c r="E91" s="965"/>
      <c r="F91" s="965"/>
      <c r="G91" s="1136"/>
      <c r="H91" s="1137"/>
      <c r="I91" s="1137"/>
      <c r="J91" s="1137"/>
      <c r="K91" s="1136"/>
      <c r="L91" s="1137"/>
      <c r="M91" s="1138"/>
      <c r="N91" s="1136"/>
      <c r="O91" s="1137"/>
      <c r="P91" s="1138"/>
      <c r="Q91" s="1136"/>
      <c r="R91" s="1137"/>
      <c r="S91" s="966"/>
      <c r="W91" s="753"/>
    </row>
    <row r="92" spans="1:23" s="615" customFormat="1" ht="12" customHeight="1">
      <c r="A92" s="980"/>
      <c r="B92" s="988"/>
      <c r="C92" s="664"/>
      <c r="D92" s="643"/>
      <c r="E92" s="665"/>
      <c r="F92" s="666"/>
      <c r="G92" s="667"/>
      <c r="H92" s="643"/>
      <c r="I92" s="665"/>
      <c r="J92" s="666"/>
      <c r="K92" s="667"/>
      <c r="L92" s="643"/>
      <c r="M92" s="666"/>
      <c r="N92" s="668"/>
      <c r="O92" s="613"/>
      <c r="P92" s="666"/>
      <c r="Q92" s="669"/>
      <c r="R92" s="643"/>
      <c r="S92" s="667"/>
      <c r="W92" s="744"/>
    </row>
    <row r="93" spans="1:23" s="2" customFormat="1" ht="33" customHeight="1">
      <c r="A93" s="981"/>
      <c r="B93" s="989"/>
      <c r="C93" s="149"/>
      <c r="D93" s="150"/>
      <c r="E93" s="467"/>
      <c r="F93" s="150"/>
      <c r="G93" s="149"/>
      <c r="H93" s="150"/>
      <c r="I93" s="599"/>
      <c r="J93" s="150"/>
      <c r="K93" s="149"/>
      <c r="L93" s="150"/>
      <c r="M93" s="467"/>
      <c r="N93" s="150"/>
      <c r="O93" s="149"/>
      <c r="P93" s="150"/>
      <c r="Q93" s="599"/>
      <c r="R93" s="150"/>
      <c r="S93" s="599"/>
      <c r="W93" s="753"/>
    </row>
    <row r="94" spans="1:23" s="2" customFormat="1" ht="28.15" customHeight="1">
      <c r="A94" s="786"/>
      <c r="B94" s="783"/>
      <c r="C94" s="967"/>
      <c r="D94" s="968"/>
      <c r="E94" s="968"/>
      <c r="F94" s="969"/>
      <c r="G94" s="1139"/>
      <c r="H94" s="1140"/>
      <c r="I94" s="1140"/>
      <c r="J94" s="1141"/>
      <c r="K94" s="1139"/>
      <c r="L94" s="1140"/>
      <c r="M94" s="1141"/>
      <c r="N94" s="1139"/>
      <c r="O94" s="1140"/>
      <c r="P94" s="1141"/>
      <c r="Q94" s="1139"/>
      <c r="R94" s="1140"/>
      <c r="S94" s="969"/>
      <c r="W94" s="753"/>
    </row>
    <row r="95" spans="1:23" s="2" customFormat="1" ht="28.15" customHeight="1">
      <c r="A95" s="786"/>
      <c r="B95" s="788"/>
      <c r="C95" s="789"/>
      <c r="D95" s="789"/>
      <c r="E95" s="789"/>
      <c r="F95" s="789"/>
      <c r="G95" s="789"/>
      <c r="H95" s="789"/>
      <c r="I95" s="789"/>
      <c r="J95" s="789"/>
      <c r="K95" s="789"/>
      <c r="L95" s="789"/>
      <c r="M95" s="789"/>
      <c r="N95" s="789"/>
      <c r="O95" s="789"/>
      <c r="P95" s="789"/>
      <c r="Q95" s="789"/>
      <c r="R95" s="789"/>
      <c r="S95" s="789"/>
      <c r="W95" s="753"/>
    </row>
    <row r="96" spans="1:23" s="2" customFormat="1" ht="28.15" customHeight="1">
      <c r="A96" s="786"/>
      <c r="B96" s="788"/>
      <c r="C96" s="789"/>
      <c r="D96" s="789"/>
      <c r="E96" s="789"/>
      <c r="F96" s="789"/>
      <c r="G96" s="789"/>
      <c r="H96" s="789"/>
      <c r="I96" s="789"/>
      <c r="J96" s="789"/>
      <c r="K96" s="789"/>
      <c r="L96" s="789"/>
      <c r="M96" s="789"/>
      <c r="N96" s="789"/>
      <c r="O96" s="789"/>
      <c r="P96" s="789"/>
      <c r="Q96" s="789"/>
      <c r="R96" s="789"/>
      <c r="S96" s="789"/>
      <c r="W96" s="753"/>
    </row>
    <row r="97" spans="1:33" s="2" customFormat="1" ht="19.899999999999999" customHeight="1">
      <c r="A97" s="647"/>
      <c r="U97" s="610"/>
      <c r="V97" s="998" t="s">
        <v>23</v>
      </c>
      <c r="W97" s="999"/>
      <c r="X97" s="999"/>
      <c r="Y97" s="999"/>
      <c r="Z97" s="999"/>
      <c r="AA97" s="999"/>
      <c r="AB97" s="999"/>
      <c r="AC97" s="999"/>
      <c r="AD97" s="1000"/>
    </row>
    <row r="98" spans="1:33" s="2" customFormat="1" ht="19.899999999999999" customHeight="1">
      <c r="A98" s="647"/>
      <c r="U98" s="1001" t="s">
        <v>24</v>
      </c>
      <c r="V98" s="986" t="s">
        <v>25</v>
      </c>
      <c r="W98" s="987"/>
      <c r="Y98" s="701" t="s">
        <v>26</v>
      </c>
      <c r="AA98" s="526"/>
      <c r="AB98" s="984" t="s">
        <v>27</v>
      </c>
      <c r="AC98" s="985"/>
      <c r="AD98" s="725"/>
      <c r="AG98" s="686"/>
    </row>
    <row r="99" spans="1:33" s="2" customFormat="1" ht="19.899999999999999" customHeight="1">
      <c r="A99" s="647"/>
      <c r="U99" s="1002"/>
      <c r="V99" s="698" t="s">
        <v>28</v>
      </c>
      <c r="W99" s="702" t="s">
        <v>29</v>
      </c>
      <c r="Y99" s="990" t="s">
        <v>30</v>
      </c>
      <c r="Z99" s="991"/>
      <c r="AB99" s="460" t="s">
        <v>31</v>
      </c>
      <c r="AC99" s="614" t="s">
        <v>32</v>
      </c>
      <c r="AD99" s="725"/>
      <c r="AE99" s="686"/>
      <c r="AF99" s="686"/>
      <c r="AG99" s="690"/>
    </row>
    <row r="100" spans="1:33" s="2" customFormat="1" ht="19.899999999999999" customHeight="1">
      <c r="A100" s="647"/>
      <c r="U100" s="1002"/>
      <c r="V100" s="739" t="s">
        <v>33</v>
      </c>
      <c r="W100" s="745" t="s">
        <v>34</v>
      </c>
      <c r="Y100" s="760" t="s">
        <v>35</v>
      </c>
      <c r="Z100" s="754" t="s">
        <v>36</v>
      </c>
      <c r="AB100" s="460" t="s">
        <v>37</v>
      </c>
      <c r="AC100" s="687" t="s">
        <v>38</v>
      </c>
      <c r="AD100" s="725"/>
      <c r="AE100" s="686"/>
      <c r="AF100" s="686"/>
      <c r="AG100" s="690"/>
    </row>
    <row r="101" spans="1:33" s="2" customFormat="1" ht="19.899999999999999" customHeight="1">
      <c r="A101" s="647"/>
      <c r="U101" s="1002"/>
      <c r="V101" s="698" t="s">
        <v>39</v>
      </c>
      <c r="W101" s="702" t="s">
        <v>40</v>
      </c>
      <c r="Y101" s="761" t="s">
        <v>41</v>
      </c>
      <c r="Z101" s="747" t="s">
        <v>42</v>
      </c>
      <c r="AA101" s="690"/>
      <c r="AB101" s="686" t="s">
        <v>43</v>
      </c>
      <c r="AC101" s="615" t="s">
        <v>44</v>
      </c>
      <c r="AD101" s="725"/>
      <c r="AE101" s="686"/>
      <c r="AF101" s="686"/>
      <c r="AG101" s="690"/>
    </row>
    <row r="102" spans="1:33" s="2" customFormat="1" ht="19.899999999999999" customHeight="1">
      <c r="A102" s="647"/>
      <c r="U102" s="1002"/>
      <c r="V102" s="743" t="s">
        <v>45</v>
      </c>
      <c r="W102" s="746" t="s">
        <v>46</v>
      </c>
      <c r="Y102" s="526" t="s">
        <v>47</v>
      </c>
      <c r="Z102" s="689" t="s">
        <v>48</v>
      </c>
      <c r="AB102" s="725"/>
      <c r="AC102" s="725"/>
      <c r="AD102" s="725"/>
      <c r="AE102" s="686"/>
      <c r="AF102" s="686"/>
      <c r="AG102" s="690"/>
    </row>
    <row r="103" spans="1:33" s="2" customFormat="1" ht="19.899999999999999" customHeight="1">
      <c r="A103" s="647"/>
      <c r="U103" s="1002"/>
      <c r="V103" s="692" t="s">
        <v>49</v>
      </c>
      <c r="W103" s="746" t="s">
        <v>50</v>
      </c>
      <c r="Y103" s="526" t="s">
        <v>12</v>
      </c>
      <c r="Z103" s="150" t="s">
        <v>51</v>
      </c>
      <c r="AA103" s="690"/>
      <c r="AB103" s="725"/>
      <c r="AC103" s="725"/>
      <c r="AD103" s="725"/>
      <c r="AE103" s="686"/>
      <c r="AF103" s="686"/>
      <c r="AG103" s="690"/>
    </row>
    <row r="104" spans="1:33" s="2" customFormat="1" ht="19.899999999999999" customHeight="1">
      <c r="A104" s="647"/>
      <c r="U104" s="1002"/>
      <c r="V104" s="692" t="s">
        <v>52</v>
      </c>
      <c r="W104" s="747" t="s">
        <v>53</v>
      </c>
      <c r="AD104" s="725"/>
      <c r="AE104" s="686"/>
      <c r="AF104" s="686"/>
      <c r="AG104" s="690"/>
    </row>
    <row r="105" spans="1:33" s="2" customFormat="1" ht="19.899999999999999" customHeight="1">
      <c r="A105" s="647"/>
      <c r="U105" s="1002"/>
      <c r="V105" s="740" t="s">
        <v>54</v>
      </c>
      <c r="W105" s="755" t="s">
        <v>55</v>
      </c>
      <c r="Y105" s="994" t="s">
        <v>56</v>
      </c>
      <c r="Z105" s="994"/>
      <c r="AA105" s="994"/>
      <c r="AB105" s="994"/>
      <c r="AC105" s="994"/>
      <c r="AD105" s="725"/>
      <c r="AE105" s="686"/>
      <c r="AF105" s="686"/>
      <c r="AG105" s="690"/>
    </row>
    <row r="106" spans="1:33" s="2" customFormat="1" ht="19.899999999999999" customHeight="1">
      <c r="A106" s="647"/>
      <c r="U106" s="1002"/>
      <c r="V106" s="740" t="s">
        <v>57</v>
      </c>
      <c r="W106" s="755" t="s">
        <v>58</v>
      </c>
      <c r="Y106" s="612" t="s">
        <v>59</v>
      </c>
      <c r="Z106" s="758"/>
      <c r="AA106" s="746" t="s">
        <v>60</v>
      </c>
      <c r="AB106" s="694" t="s">
        <v>61</v>
      </c>
      <c r="AC106" s="702" t="s">
        <v>62</v>
      </c>
      <c r="AD106" s="725"/>
      <c r="AE106" s="686"/>
      <c r="AF106" s="686"/>
      <c r="AG106" s="690"/>
    </row>
    <row r="107" spans="1:33" s="2" customFormat="1" ht="19.899999999999999" customHeight="1">
      <c r="A107" s="647"/>
      <c r="U107" s="1002"/>
      <c r="V107" s="740"/>
      <c r="W107" s="755"/>
      <c r="Y107" s="686" t="s">
        <v>63</v>
      </c>
      <c r="AA107" s="746" t="s">
        <v>64</v>
      </c>
    </row>
    <row r="108" spans="1:33" s="2" customFormat="1" ht="19.899999999999999" customHeight="1">
      <c r="A108" s="647"/>
      <c r="U108" s="1002"/>
      <c r="V108" s="51" t="s">
        <v>65</v>
      </c>
      <c r="W108" s="755" t="s">
        <v>66</v>
      </c>
      <c r="X108" s="188"/>
      <c r="Y108" s="704" t="s">
        <v>67</v>
      </c>
      <c r="Z108" s="749"/>
      <c r="AA108" s="2" t="s">
        <v>68</v>
      </c>
      <c r="AB108" s="697" t="s">
        <v>69</v>
      </c>
      <c r="AC108" s="756" t="s">
        <v>70</v>
      </c>
      <c r="AE108" s="686"/>
      <c r="AF108" s="686"/>
      <c r="AG108" s="690"/>
    </row>
    <row r="109" spans="1:33" s="2" customFormat="1" ht="19.899999999999999" customHeight="1">
      <c r="A109" s="647"/>
      <c r="U109" s="1002"/>
      <c r="V109" s="51" t="s">
        <v>71</v>
      </c>
      <c r="W109" s="755" t="s">
        <v>72</v>
      </c>
      <c r="X109" s="188"/>
      <c r="Y109" s="620" t="s">
        <v>73</v>
      </c>
      <c r="AA109" s="943" t="s">
        <v>74</v>
      </c>
      <c r="AB109" s="725"/>
      <c r="AC109" s="725"/>
      <c r="AD109" s="725"/>
      <c r="AE109" s="686"/>
      <c r="AF109" s="686"/>
      <c r="AG109" s="690"/>
    </row>
    <row r="110" spans="1:33" s="2" customFormat="1" ht="19.899999999999999" customHeight="1">
      <c r="A110" s="647"/>
      <c r="U110" s="1002"/>
      <c r="V110" s="51" t="s">
        <v>75</v>
      </c>
      <c r="W110" s="755" t="s">
        <v>76</v>
      </c>
      <c r="X110" s="188"/>
      <c r="AD110" s="725"/>
      <c r="AE110" s="686"/>
      <c r="AF110" s="686"/>
      <c r="AG110" s="690"/>
    </row>
    <row r="111" spans="1:33" s="2" customFormat="1" ht="19.899999999999999" customHeight="1">
      <c r="A111" s="647"/>
      <c r="U111" s="1002"/>
      <c r="V111" s="51" t="s">
        <v>77</v>
      </c>
      <c r="W111" s="755" t="s">
        <v>78</v>
      </c>
      <c r="X111" s="188"/>
      <c r="Y111" s="493" t="s">
        <v>79</v>
      </c>
      <c r="Z111" s="748"/>
      <c r="AA111" s="601"/>
      <c r="AB111" s="703" t="s">
        <v>80</v>
      </c>
      <c r="AD111" s="686"/>
      <c r="AG111" s="690"/>
    </row>
    <row r="112" spans="1:33" s="2" customFormat="1" ht="19.899999999999999" customHeight="1">
      <c r="A112" s="647"/>
      <c r="U112" s="1002"/>
      <c r="V112" s="51" t="s">
        <v>81</v>
      </c>
      <c r="W112" s="755" t="s">
        <v>82</v>
      </c>
      <c r="X112" s="188"/>
      <c r="Y112" s="682" t="s">
        <v>83</v>
      </c>
      <c r="Z112" s="2" t="s">
        <v>84</v>
      </c>
      <c r="AB112" s="683" t="s">
        <v>85</v>
      </c>
      <c r="AD112" s="725"/>
      <c r="AE112" s="686"/>
      <c r="AF112" s="686"/>
      <c r="AG112" s="690"/>
    </row>
    <row r="113" spans="1:36" s="2" customFormat="1" ht="19.899999999999999" customHeight="1">
      <c r="A113" s="647"/>
      <c r="U113" s="1002"/>
      <c r="V113" s="51"/>
      <c r="W113" s="755"/>
      <c r="X113" s="188"/>
      <c r="Y113" s="697"/>
      <c r="AA113" s="690"/>
      <c r="AB113" s="725"/>
      <c r="AC113" s="725"/>
      <c r="AD113" s="725"/>
      <c r="AE113" s="686"/>
      <c r="AF113" s="686"/>
      <c r="AG113" s="690"/>
    </row>
    <row r="114" spans="1:36" s="2" customFormat="1" ht="19.899999999999999" customHeight="1">
      <c r="A114" s="647"/>
      <c r="U114" s="1002"/>
      <c r="V114" s="762" t="s">
        <v>86</v>
      </c>
      <c r="W114" s="763" t="s">
        <v>18</v>
      </c>
      <c r="X114" s="645"/>
      <c r="Y114" s="780" t="s">
        <v>87</v>
      </c>
      <c r="Z114" s="778" t="s">
        <v>88</v>
      </c>
      <c r="AA114" s="687"/>
      <c r="AB114" s="617" t="s">
        <v>89</v>
      </c>
      <c r="AC114" s="773" t="s">
        <v>90</v>
      </c>
      <c r="AD114" s="1005"/>
      <c r="AE114" s="1005"/>
      <c r="AF114" s="1005"/>
      <c r="AG114" s="1005"/>
      <c r="AH114" s="686"/>
    </row>
    <row r="115" spans="1:36" s="2" customFormat="1" ht="19.899999999999999" customHeight="1">
      <c r="A115" s="647"/>
      <c r="U115" s="1002"/>
      <c r="V115" s="764" t="s">
        <v>91</v>
      </c>
      <c r="W115" s="765" t="s">
        <v>92</v>
      </c>
      <c r="X115" s="188"/>
      <c r="Y115" s="699" t="s">
        <v>93</v>
      </c>
      <c r="Z115" s="779" t="s">
        <v>94</v>
      </c>
      <c r="AB115" s="695" t="s">
        <v>95</v>
      </c>
      <c r="AC115" s="773" t="s">
        <v>96</v>
      </c>
      <c r="AF115" s="1005"/>
      <c r="AG115" s="1005"/>
    </row>
    <row r="116" spans="1:36" s="2" customFormat="1" ht="19.899999999999999" customHeight="1">
      <c r="A116" s="647"/>
      <c r="U116" s="1002"/>
      <c r="V116" s="691" t="s">
        <v>97</v>
      </c>
      <c r="W116" s="766" t="s">
        <v>98</v>
      </c>
      <c r="X116" s="188"/>
      <c r="Y116" s="767"/>
      <c r="AB116" s="1005"/>
      <c r="AC116" s="1005"/>
      <c r="AD116" s="1005"/>
      <c r="AE116" s="686"/>
      <c r="AF116" s="686"/>
      <c r="AG116" s="690"/>
    </row>
    <row r="117" spans="1:36" s="2" customFormat="1" ht="19.899999999999999" customHeight="1">
      <c r="A117" s="647"/>
      <c r="U117" s="1002"/>
      <c r="V117" s="692" t="s">
        <v>99</v>
      </c>
      <c r="W117" s="747" t="s">
        <v>99</v>
      </c>
      <c r="X117" s="188"/>
      <c r="Y117" s="781" t="s">
        <v>100</v>
      </c>
      <c r="Z117" s="774" t="s">
        <v>101</v>
      </c>
      <c r="AA117" s="687" t="s">
        <v>60</v>
      </c>
      <c r="AB117" s="687" t="s">
        <v>102</v>
      </c>
      <c r="AE117" s="686"/>
      <c r="AF117" s="686"/>
      <c r="AG117" s="690"/>
    </row>
    <row r="118" spans="1:36" s="2" customFormat="1" ht="19.899999999999999" customHeight="1">
      <c r="A118" s="647"/>
      <c r="U118" s="1002"/>
      <c r="V118" s="768" t="s">
        <v>103</v>
      </c>
      <c r="W118" s="769"/>
      <c r="X118" s="188"/>
      <c r="Y118" s="687" t="s">
        <v>104</v>
      </c>
      <c r="Z118" s="747" t="s">
        <v>105</v>
      </c>
      <c r="AA118" s="688" t="s">
        <v>106</v>
      </c>
      <c r="AB118" s="687" t="s">
        <v>107</v>
      </c>
      <c r="AE118" s="686"/>
      <c r="AF118" s="686"/>
      <c r="AG118" s="690"/>
    </row>
    <row r="119" spans="1:36" s="2" customFormat="1" ht="19.899999999999999" customHeight="1">
      <c r="A119" s="647"/>
      <c r="U119" s="1002"/>
      <c r="V119" s="770" t="s">
        <v>108</v>
      </c>
      <c r="W119" s="771" t="s">
        <v>109</v>
      </c>
      <c r="X119" s="188"/>
      <c r="Y119" s="645" t="s">
        <v>110</v>
      </c>
      <c r="Z119" s="747" t="s">
        <v>111</v>
      </c>
      <c r="AA119" s="686" t="s">
        <v>112</v>
      </c>
      <c r="AB119" s="687" t="s">
        <v>113</v>
      </c>
      <c r="AE119" s="686"/>
      <c r="AF119" s="686"/>
      <c r="AG119" s="690"/>
    </row>
    <row r="120" spans="1:36" s="2" customFormat="1" ht="19.899999999999999" customHeight="1">
      <c r="A120" s="647"/>
      <c r="U120" s="1002"/>
      <c r="V120" s="686" t="s">
        <v>114</v>
      </c>
      <c r="W120" s="687" t="s">
        <v>115</v>
      </c>
      <c r="X120" s="188"/>
      <c r="Y120" s="691" t="s">
        <v>116</v>
      </c>
      <c r="Z120" s="747" t="s">
        <v>117</v>
      </c>
      <c r="AA120" s="686" t="s">
        <v>118</v>
      </c>
      <c r="AB120" s="687" t="s">
        <v>119</v>
      </c>
      <c r="AE120" s="686"/>
      <c r="AF120" s="686"/>
      <c r="AG120" s="690"/>
    </row>
    <row r="121" spans="1:36" s="2" customFormat="1" ht="19.899999999999999" customHeight="1">
      <c r="A121" s="647"/>
      <c r="U121" s="1002"/>
      <c r="V121" s="686"/>
      <c r="W121" s="687"/>
      <c r="X121" s="188"/>
      <c r="Y121" s="2" t="s">
        <v>120</v>
      </c>
      <c r="Z121" s="747" t="s">
        <v>121</v>
      </c>
      <c r="AA121" s="777" t="s">
        <v>122</v>
      </c>
      <c r="AB121" s="687" t="s">
        <v>123</v>
      </c>
      <c r="AC121" s="932"/>
      <c r="AD121" s="932"/>
      <c r="AE121" s="686"/>
      <c r="AF121" s="686"/>
      <c r="AG121" s="690"/>
    </row>
    <row r="122" spans="1:36" s="2" customFormat="1" ht="19.899999999999999" customHeight="1">
      <c r="A122" s="647"/>
      <c r="U122" s="1002"/>
      <c r="V122" s="772" t="s">
        <v>124</v>
      </c>
      <c r="W122" s="773" t="s">
        <v>17</v>
      </c>
      <c r="X122" s="188"/>
      <c r="Y122" s="619" t="s">
        <v>125</v>
      </c>
      <c r="Z122" s="757"/>
      <c r="AA122" s="615" t="s">
        <v>126</v>
      </c>
      <c r="AB122" s="615" t="s">
        <v>127</v>
      </c>
      <c r="AC122" s="615" t="s">
        <v>128</v>
      </c>
      <c r="AD122" s="932"/>
      <c r="AE122" s="686"/>
      <c r="AF122" s="686"/>
      <c r="AG122" s="690"/>
    </row>
    <row r="123" spans="1:36" s="2" customFormat="1" ht="19.899999999999999" customHeight="1">
      <c r="A123" s="648"/>
      <c r="B123" s="620"/>
      <c r="C123" s="616"/>
      <c r="D123" s="616"/>
      <c r="E123" s="616"/>
      <c r="U123" s="1002"/>
      <c r="V123" s="1003" t="s">
        <v>129</v>
      </c>
      <c r="W123" s="1004"/>
      <c r="X123" s="1004"/>
      <c r="Y123" s="1004"/>
      <c r="Z123" s="1004"/>
      <c r="AA123" s="1004"/>
      <c r="AB123" s="1004"/>
      <c r="AC123" s="1004"/>
      <c r="AD123" s="1004"/>
      <c r="AE123" s="705"/>
      <c r="AF123" s="705"/>
      <c r="AG123" s="705"/>
      <c r="AH123" s="705"/>
      <c r="AI123" s="705"/>
      <c r="AJ123" s="705"/>
    </row>
    <row r="124" spans="1:36" s="2" customFormat="1" ht="19.899999999999999" customHeight="1">
      <c r="A124" s="648"/>
      <c r="B124" s="620"/>
      <c r="C124" s="616"/>
      <c r="D124" s="616"/>
      <c r="E124" s="616"/>
      <c r="U124" s="1002"/>
      <c r="V124" s="483" t="s">
        <v>130</v>
      </c>
      <c r="W124" s="773" t="s">
        <v>131</v>
      </c>
      <c r="X124" s="690"/>
      <c r="Y124" s="693" t="s">
        <v>132</v>
      </c>
      <c r="Z124" s="702" t="s">
        <v>133</v>
      </c>
      <c r="AA124" s="2" t="s">
        <v>134</v>
      </c>
      <c r="AB124" s="687" t="s">
        <v>135</v>
      </c>
      <c r="AC124" s="995" t="s">
        <v>136</v>
      </c>
      <c r="AD124" s="615"/>
      <c r="AI124" s="615"/>
    </row>
    <row r="125" spans="1:36" s="2" customFormat="1" ht="19.899999999999999" customHeight="1">
      <c r="A125" s="648"/>
      <c r="B125" s="620"/>
      <c r="C125" s="616"/>
      <c r="D125" s="616"/>
      <c r="E125" s="616"/>
      <c r="U125" s="1002"/>
      <c r="V125" s="2" t="s">
        <v>137</v>
      </c>
      <c r="W125" s="615" t="s">
        <v>138</v>
      </c>
      <c r="X125" s="700" t="s">
        <v>1092</v>
      </c>
      <c r="Y125" s="2" t="s">
        <v>139</v>
      </c>
      <c r="AC125" s="995"/>
      <c r="AD125" s="687"/>
      <c r="AH125" s="686"/>
    </row>
    <row r="126" spans="1:36" s="2" customFormat="1" ht="19.899999999999999" customHeight="1">
      <c r="A126" s="648"/>
      <c r="B126" s="620"/>
      <c r="C126" s="616"/>
      <c r="D126" s="616"/>
      <c r="E126" s="616"/>
      <c r="U126" s="1002"/>
      <c r="V126" s="460" t="s">
        <v>140</v>
      </c>
      <c r="W126" s="702" t="s">
        <v>141</v>
      </c>
      <c r="Z126" s="685" t="s">
        <v>142</v>
      </c>
      <c r="AA126" s="618" t="s">
        <v>143</v>
      </c>
      <c r="AC126" s="996" t="s">
        <v>144</v>
      </c>
    </row>
    <row r="127" spans="1:36" s="2" customFormat="1" ht="19.899999999999999" customHeight="1">
      <c r="A127" s="648"/>
      <c r="B127" s="620"/>
      <c r="C127" s="616"/>
      <c r="D127" s="616"/>
      <c r="E127" s="616"/>
      <c r="U127" s="1002"/>
      <c r="V127" s="687" t="s">
        <v>145</v>
      </c>
      <c r="W127" s="773" t="s">
        <v>146</v>
      </c>
      <c r="Z127" s="696" t="s">
        <v>21</v>
      </c>
      <c r="AA127" s="614" t="s">
        <v>22</v>
      </c>
      <c r="AB127" s="775"/>
      <c r="AC127" s="997"/>
      <c r="AD127" s="614"/>
    </row>
    <row r="128" spans="1:36" s="2" customFormat="1" ht="19.899999999999999" customHeight="1">
      <c r="A128" s="648"/>
      <c r="B128" s="620"/>
      <c r="C128" s="616"/>
      <c r="D128" s="616"/>
      <c r="E128" s="616"/>
      <c r="U128" s="1002"/>
      <c r="V128" s="687" t="s">
        <v>147</v>
      </c>
      <c r="W128" s="776" t="s">
        <v>148</v>
      </c>
      <c r="Z128" s="687" t="s">
        <v>149</v>
      </c>
      <c r="AA128" s="773" t="s">
        <v>150</v>
      </c>
      <c r="AC128" s="997"/>
      <c r="AD128" s="614"/>
    </row>
    <row r="129" spans="1:36" s="2" customFormat="1" ht="19.899999999999999" customHeight="1">
      <c r="A129" s="648"/>
      <c r="B129" s="620"/>
      <c r="C129" s="616"/>
      <c r="D129" s="616"/>
      <c r="E129" s="616"/>
      <c r="U129" s="1002"/>
      <c r="V129" s="687" t="s">
        <v>151</v>
      </c>
      <c r="W129" s="684" t="s">
        <v>152</v>
      </c>
      <c r="Z129" s="687" t="s">
        <v>153</v>
      </c>
      <c r="AA129" s="687" t="s">
        <v>154</v>
      </c>
      <c r="AC129" s="997"/>
      <c r="AF129" s="686"/>
      <c r="AG129" s="686"/>
      <c r="AH129" s="687"/>
      <c r="AI129" s="644"/>
      <c r="AJ129" s="615"/>
    </row>
    <row r="130" spans="1:36" s="2" customFormat="1" ht="19.899999999999999" customHeight="1">
      <c r="A130" s="648"/>
      <c r="B130" s="620"/>
      <c r="C130" s="616"/>
      <c r="D130" s="616"/>
      <c r="E130" s="616"/>
      <c r="U130" s="931"/>
      <c r="V130" s="687"/>
      <c r="W130" s="684"/>
      <c r="Z130" s="687"/>
      <c r="AA130" s="687"/>
      <c r="AC130" s="997"/>
      <c r="AF130" s="686"/>
      <c r="AG130" s="686"/>
      <c r="AH130" s="687"/>
      <c r="AI130" s="644"/>
      <c r="AJ130" s="615"/>
    </row>
    <row r="131" spans="1:36" s="2" customFormat="1" ht="19.899999999999999" customHeight="1">
      <c r="A131" s="648"/>
      <c r="B131" s="620"/>
      <c r="C131" s="616"/>
      <c r="D131" s="616"/>
      <c r="E131" s="616"/>
      <c r="U131" s="686"/>
      <c r="V131" s="976" t="s">
        <v>155</v>
      </c>
      <c r="W131" s="976"/>
      <c r="X131" s="976"/>
      <c r="Y131" s="976"/>
      <c r="Z131" s="976"/>
      <c r="AA131" s="976"/>
      <c r="AB131" s="976"/>
      <c r="AC131" s="976"/>
      <c r="AD131" s="686"/>
      <c r="AE131" s="686"/>
      <c r="AF131" s="686"/>
      <c r="AG131" s="686"/>
      <c r="AH131" s="686"/>
      <c r="AI131" s="686"/>
      <c r="AJ131" s="686"/>
    </row>
    <row r="132" spans="1:36" s="2" customFormat="1" ht="19.899999999999999" customHeight="1">
      <c r="A132" s="648"/>
      <c r="B132" s="620"/>
      <c r="C132" s="616"/>
      <c r="D132" s="616"/>
      <c r="E132" s="616"/>
      <c r="U132" s="686"/>
      <c r="V132" s="740" t="s">
        <v>30</v>
      </c>
      <c r="W132" s="782" t="s">
        <v>156</v>
      </c>
      <c r="X132" s="663" t="s">
        <v>157</v>
      </c>
      <c r="Y132" s="51"/>
      <c r="Z132" s="686" t="s">
        <v>158</v>
      </c>
      <c r="AA132" s="686"/>
      <c r="AB132" s="686"/>
      <c r="AC132" s="686"/>
      <c r="AD132" s="686"/>
      <c r="AE132" s="686"/>
      <c r="AF132" s="686"/>
      <c r="AG132" s="686"/>
      <c r="AH132" s="686"/>
      <c r="AI132" s="686"/>
      <c r="AJ132" s="686"/>
    </row>
    <row r="133" spans="1:36" ht="19.899999999999999" customHeight="1">
      <c r="U133" s="526"/>
      <c r="V133" s="687" t="s">
        <v>159</v>
      </c>
      <c r="W133" s="450" t="s">
        <v>160</v>
      </c>
      <c r="Y133" s="51" t="s">
        <v>161</v>
      </c>
      <c r="Z133" s="526" t="s">
        <v>162</v>
      </c>
      <c r="AA133" s="526"/>
      <c r="AB133" s="526" t="s">
        <v>163</v>
      </c>
      <c r="AC133" s="526"/>
      <c r="AD133" s="526"/>
      <c r="AE133" s="526"/>
      <c r="AF133" s="526"/>
      <c r="AG133" s="526"/>
      <c r="AH133" s="526"/>
      <c r="AI133" s="526"/>
      <c r="AJ133" s="526"/>
    </row>
    <row r="134" spans="1:36" ht="28.15" customHeight="1">
      <c r="U134" s="526"/>
      <c r="Y134" s="51"/>
      <c r="Z134" s="526"/>
      <c r="AA134" s="526"/>
      <c r="AB134" s="526"/>
      <c r="AC134" s="526"/>
      <c r="AD134" s="526"/>
      <c r="AE134" s="526"/>
      <c r="AF134" s="526"/>
      <c r="AG134" s="526"/>
      <c r="AH134" s="526"/>
      <c r="AI134" s="526"/>
      <c r="AJ134" s="526"/>
    </row>
    <row r="135" spans="1:36" ht="28.15" customHeight="1">
      <c r="Y135" s="51"/>
    </row>
    <row r="136" spans="1:36" ht="28.15" customHeight="1">
      <c r="Y136" s="51"/>
    </row>
    <row r="137" spans="1:36" ht="28.15" customHeight="1">
      <c r="V137" s="740" t="s">
        <v>164</v>
      </c>
      <c r="W137" s="950">
        <v>12</v>
      </c>
      <c r="X137" s="82" t="s">
        <v>51</v>
      </c>
      <c r="Y137" s="51"/>
    </row>
    <row r="138" spans="1:36" ht="28.15" customHeight="1">
      <c r="V138" s="740" t="s">
        <v>165</v>
      </c>
      <c r="W138" s="950">
        <v>10</v>
      </c>
      <c r="X138" s="82" t="s">
        <v>51</v>
      </c>
      <c r="Y138" s="51"/>
    </row>
    <row r="139" spans="1:36" ht="28.15" customHeight="1">
      <c r="V139" s="740" t="s">
        <v>166</v>
      </c>
      <c r="W139" s="950">
        <v>20</v>
      </c>
      <c r="X139" s="82" t="s">
        <v>51</v>
      </c>
      <c r="Y139" s="51"/>
    </row>
    <row r="140" spans="1:36" ht="28.15" customHeight="1">
      <c r="V140" s="741" t="s">
        <v>167</v>
      </c>
      <c r="W140" s="950">
        <v>15</v>
      </c>
      <c r="X140" s="82" t="s">
        <v>51</v>
      </c>
      <c r="Y140" s="51"/>
    </row>
    <row r="141" spans="1:36" ht="28.15" customHeight="1">
      <c r="V141" s="740" t="s">
        <v>168</v>
      </c>
      <c r="W141" s="742">
        <v>20</v>
      </c>
      <c r="X141" s="82" t="s">
        <v>51</v>
      </c>
      <c r="Y141" s="51"/>
    </row>
    <row r="142" spans="1:36" ht="28.15" customHeight="1">
      <c r="V142" s="740" t="s">
        <v>169</v>
      </c>
      <c r="W142" s="950">
        <v>15</v>
      </c>
      <c r="X142" s="82" t="s">
        <v>170</v>
      </c>
      <c r="Y142" s="51"/>
    </row>
    <row r="143" spans="1:36" ht="28.15" customHeight="1">
      <c r="Y143" s="51"/>
    </row>
    <row r="144" spans="1:36" ht="28.15" customHeight="1">
      <c r="V144" s="740" t="s">
        <v>171</v>
      </c>
    </row>
  </sheetData>
  <mergeCells count="223">
    <mergeCell ref="C4:F4"/>
    <mergeCell ref="G4:J4"/>
    <mergeCell ref="K4:M4"/>
    <mergeCell ref="N4:P4"/>
    <mergeCell ref="Q4:R4"/>
    <mergeCell ref="A5:A6"/>
    <mergeCell ref="B5:B6"/>
    <mergeCell ref="A1:C1"/>
    <mergeCell ref="D1:F1"/>
    <mergeCell ref="J1:K1"/>
    <mergeCell ref="L1:M1"/>
    <mergeCell ref="R1:S1"/>
    <mergeCell ref="A2:A3"/>
    <mergeCell ref="B2:B3"/>
    <mergeCell ref="C10:F10"/>
    <mergeCell ref="G10:J10"/>
    <mergeCell ref="K10:M10"/>
    <mergeCell ref="N10:P10"/>
    <mergeCell ref="Q10:R10"/>
    <mergeCell ref="A11:A12"/>
    <mergeCell ref="B11:B12"/>
    <mergeCell ref="C7:F7"/>
    <mergeCell ref="G7:J7"/>
    <mergeCell ref="K7:M7"/>
    <mergeCell ref="N7:P7"/>
    <mergeCell ref="Q7:R7"/>
    <mergeCell ref="A8:A9"/>
    <mergeCell ref="B8:B9"/>
    <mergeCell ref="C16:F16"/>
    <mergeCell ref="G16:J16"/>
    <mergeCell ref="K16:M16"/>
    <mergeCell ref="N16:P16"/>
    <mergeCell ref="Q16:R16"/>
    <mergeCell ref="A17:A18"/>
    <mergeCell ref="B17:B18"/>
    <mergeCell ref="C13:F13"/>
    <mergeCell ref="G13:J13"/>
    <mergeCell ref="K13:M13"/>
    <mergeCell ref="N13:P13"/>
    <mergeCell ref="Q13:R13"/>
    <mergeCell ref="A14:A15"/>
    <mergeCell ref="B14:B15"/>
    <mergeCell ref="Q22:R22"/>
    <mergeCell ref="A23:C23"/>
    <mergeCell ref="D23:F23"/>
    <mergeCell ref="J23:K23"/>
    <mergeCell ref="L23:M23"/>
    <mergeCell ref="R23:S23"/>
    <mergeCell ref="C19:F19"/>
    <mergeCell ref="G19:J19"/>
    <mergeCell ref="K19:M19"/>
    <mergeCell ref="N19:P19"/>
    <mergeCell ref="Q19:R19"/>
    <mergeCell ref="A20:A21"/>
    <mergeCell ref="B20:B21"/>
    <mergeCell ref="A24:A25"/>
    <mergeCell ref="B24:B25"/>
    <mergeCell ref="C26:F26"/>
    <mergeCell ref="G26:J26"/>
    <mergeCell ref="K26:M26"/>
    <mergeCell ref="N26:P26"/>
    <mergeCell ref="C22:F22"/>
    <mergeCell ref="G22:J22"/>
    <mergeCell ref="K22:M22"/>
    <mergeCell ref="N22:P22"/>
    <mergeCell ref="A30:A31"/>
    <mergeCell ref="B30:B31"/>
    <mergeCell ref="C32:F32"/>
    <mergeCell ref="G32:J32"/>
    <mergeCell ref="K32:M32"/>
    <mergeCell ref="N32:P32"/>
    <mergeCell ref="Q26:R26"/>
    <mergeCell ref="A27:A28"/>
    <mergeCell ref="B27:B28"/>
    <mergeCell ref="C29:F29"/>
    <mergeCell ref="G29:J29"/>
    <mergeCell ref="K29:M29"/>
    <mergeCell ref="N29:P29"/>
    <mergeCell ref="Q29:R29"/>
    <mergeCell ref="A36:A37"/>
    <mergeCell ref="B36:B37"/>
    <mergeCell ref="G38:J38"/>
    <mergeCell ref="K38:M38"/>
    <mergeCell ref="N38:P38"/>
    <mergeCell ref="Q38:R38"/>
    <mergeCell ref="Q32:R32"/>
    <mergeCell ref="A33:A34"/>
    <mergeCell ref="B33:B34"/>
    <mergeCell ref="G35:J35"/>
    <mergeCell ref="K35:M35"/>
    <mergeCell ref="N35:P35"/>
    <mergeCell ref="Q35:R35"/>
    <mergeCell ref="A42:A43"/>
    <mergeCell ref="B42:B43"/>
    <mergeCell ref="G44:J44"/>
    <mergeCell ref="K44:M44"/>
    <mergeCell ref="N44:P44"/>
    <mergeCell ref="Q44:R44"/>
    <mergeCell ref="A39:A40"/>
    <mergeCell ref="B39:B40"/>
    <mergeCell ref="G41:J41"/>
    <mergeCell ref="K41:M41"/>
    <mergeCell ref="N41:P41"/>
    <mergeCell ref="Q41:R41"/>
    <mergeCell ref="A48:C48"/>
    <mergeCell ref="D48:F48"/>
    <mergeCell ref="J48:K48"/>
    <mergeCell ref="L48:M48"/>
    <mergeCell ref="R48:S48"/>
    <mergeCell ref="A49:A50"/>
    <mergeCell ref="B49:B50"/>
    <mergeCell ref="A45:A46"/>
    <mergeCell ref="B45:B46"/>
    <mergeCell ref="G47:J47"/>
    <mergeCell ref="K47:M47"/>
    <mergeCell ref="N47:P47"/>
    <mergeCell ref="Q47:R47"/>
    <mergeCell ref="G54:J54"/>
    <mergeCell ref="K54:M54"/>
    <mergeCell ref="N54:P54"/>
    <mergeCell ref="Q54:R54"/>
    <mergeCell ref="A55:A56"/>
    <mergeCell ref="B55:B56"/>
    <mergeCell ref="G51:J51"/>
    <mergeCell ref="K51:M51"/>
    <mergeCell ref="N51:P51"/>
    <mergeCell ref="Q51:R51"/>
    <mergeCell ref="A52:A53"/>
    <mergeCell ref="B52:B53"/>
    <mergeCell ref="G60:J60"/>
    <mergeCell ref="K60:M60"/>
    <mergeCell ref="N60:P60"/>
    <mergeCell ref="Q60:R60"/>
    <mergeCell ref="A61:A62"/>
    <mergeCell ref="B61:B62"/>
    <mergeCell ref="G57:J57"/>
    <mergeCell ref="K57:M57"/>
    <mergeCell ref="N57:P57"/>
    <mergeCell ref="Q57:R57"/>
    <mergeCell ref="A58:A59"/>
    <mergeCell ref="B58:B59"/>
    <mergeCell ref="G66:J66"/>
    <mergeCell ref="K66:M66"/>
    <mergeCell ref="N66:P66"/>
    <mergeCell ref="Q66:R66"/>
    <mergeCell ref="A67:A68"/>
    <mergeCell ref="B67:B68"/>
    <mergeCell ref="G63:J63"/>
    <mergeCell ref="K63:M63"/>
    <mergeCell ref="N63:P63"/>
    <mergeCell ref="Q63:R63"/>
    <mergeCell ref="A64:A65"/>
    <mergeCell ref="B64:B65"/>
    <mergeCell ref="G69:J69"/>
    <mergeCell ref="K69:M69"/>
    <mergeCell ref="N69:P69"/>
    <mergeCell ref="Q69:R69"/>
    <mergeCell ref="A70:C70"/>
    <mergeCell ref="D70:F70"/>
    <mergeCell ref="J70:K70"/>
    <mergeCell ref="L70:M70"/>
    <mergeCell ref="R70:S70"/>
    <mergeCell ref="A74:A75"/>
    <mergeCell ref="B74:B75"/>
    <mergeCell ref="G76:J76"/>
    <mergeCell ref="K76:M76"/>
    <mergeCell ref="N76:P76"/>
    <mergeCell ref="Q76:R76"/>
    <mergeCell ref="A71:A72"/>
    <mergeCell ref="B71:B72"/>
    <mergeCell ref="G73:J73"/>
    <mergeCell ref="K73:M73"/>
    <mergeCell ref="N73:P73"/>
    <mergeCell ref="Q73:R73"/>
    <mergeCell ref="A80:A81"/>
    <mergeCell ref="B80:B81"/>
    <mergeCell ref="G82:J82"/>
    <mergeCell ref="K82:M82"/>
    <mergeCell ref="N82:P82"/>
    <mergeCell ref="Q82:R82"/>
    <mergeCell ref="A77:A78"/>
    <mergeCell ref="B77:B78"/>
    <mergeCell ref="G79:J79"/>
    <mergeCell ref="K79:M79"/>
    <mergeCell ref="N79:P79"/>
    <mergeCell ref="Q79:R79"/>
    <mergeCell ref="A86:A87"/>
    <mergeCell ref="B86:B87"/>
    <mergeCell ref="G88:J88"/>
    <mergeCell ref="K88:M88"/>
    <mergeCell ref="N88:P88"/>
    <mergeCell ref="Q88:R88"/>
    <mergeCell ref="A83:A84"/>
    <mergeCell ref="B83:B84"/>
    <mergeCell ref="G85:J85"/>
    <mergeCell ref="K85:M85"/>
    <mergeCell ref="N85:P85"/>
    <mergeCell ref="Q85:R85"/>
    <mergeCell ref="A92:A93"/>
    <mergeCell ref="B92:B93"/>
    <mergeCell ref="G94:J94"/>
    <mergeCell ref="K94:M94"/>
    <mergeCell ref="N94:P94"/>
    <mergeCell ref="Q94:R94"/>
    <mergeCell ref="A89:A90"/>
    <mergeCell ref="B89:B90"/>
    <mergeCell ref="G91:J91"/>
    <mergeCell ref="K91:M91"/>
    <mergeCell ref="N91:P91"/>
    <mergeCell ref="Q91:R91"/>
    <mergeCell ref="AC124:AC125"/>
    <mergeCell ref="AC126:AC130"/>
    <mergeCell ref="V131:AC131"/>
    <mergeCell ref="V97:AD97"/>
    <mergeCell ref="U98:U129"/>
    <mergeCell ref="V98:W98"/>
    <mergeCell ref="AB98:AC98"/>
    <mergeCell ref="Y99:Z99"/>
    <mergeCell ref="Y105:AC105"/>
    <mergeCell ref="AD114:AG114"/>
    <mergeCell ref="AF115:AG115"/>
    <mergeCell ref="AB116:AD116"/>
    <mergeCell ref="V123:AD123"/>
  </mergeCells>
  <printOptions horizontalCentered="1" verticalCentered="1" gridLines="1"/>
  <pageMargins left="0.2" right="0.18" top="0.17" bottom="0.28999999999999998" header="0.17" footer="0.17"/>
  <pageSetup orientation="landscape" r:id="rId1"/>
  <headerFooter>
    <oddFooter>&amp;L
&amp;D    &amp;T
&amp;C
&amp;A
&amp;R 
&amp;F</oddFooter>
  </headerFooter>
  <rowBreaks count="3" manualBreakCount="3">
    <brk id="22" max="18" man="1"/>
    <brk id="47" max="18" man="1"/>
    <brk id="69" max="18" man="1"/>
  </rowBreaks>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Owner</dc:creator>
  <cp:keywords/>
  <dc:description/>
  <cp:lastModifiedBy>mem zer</cp:lastModifiedBy>
  <cp:revision/>
  <dcterms:created xsi:type="dcterms:W3CDTF">2019-05-10T14:44:50Z</dcterms:created>
  <dcterms:modified xsi:type="dcterms:W3CDTF">2026-02-03T00:45:48Z</dcterms:modified>
  <cp:category/>
  <cp:contentStatus/>
</cp:coreProperties>
</file>