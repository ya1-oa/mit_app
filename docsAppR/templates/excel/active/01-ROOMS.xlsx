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d.docs.live.net/11a3f773ac1d9a35/Documents/Templates-Shared/"/>
    </mc:Choice>
  </mc:AlternateContent>
  <xr:revisionPtr revIDLastSave="2562" documentId="14_{3DE5C06B-97B9-4DFC-A152-9352806795F6}" xr6:coauthVersionLast="47" xr6:coauthVersionMax="47" xr10:uidLastSave="{259C4090-0801-4418-81BB-5AF58091D9C2}"/>
  <bookViews>
    <workbookView xWindow="-108" yWindow="-108" windowWidth="23256" windowHeight="13896" tabRatio="836" firstSheet="3" activeTab="3" xr2:uid="{00000000-000D-0000-FFFF-FFFF00000000}"/>
  </bookViews>
  <sheets>
    <sheet name="docs" sheetId="64" r:id="rId1"/>
    <sheet name="quick chklst" sheetId="59" r:id="rId2"/>
    <sheet name="OFS INITIAL CKLST" sheetId="71" r:id="rId3"/>
    <sheet name="jobinfo(2)" sheetId="67" r:id="rId4"/>
    <sheet name="ROOMS#" sheetId="75" r:id="rId5"/>
    <sheet name="ROOMS-out" sheetId="79" r:id="rId6"/>
    <sheet name="DRAWS" sheetId="80" r:id="rId7"/>
    <sheet name="WIP" sheetId="74" r:id="rId8"/>
    <sheet name="kit bath" sheetId="76" r:id="rId9"/>
    <sheet name="BLD codes" sheetId="72" r:id="rId10"/>
    <sheet name="XACTIMATE" sheetId="68" r:id="rId11"/>
    <sheet name="ENC" sheetId="58" r:id="rId12"/>
    <sheet name="Sheet1" sheetId="81" r:id="rId13"/>
    <sheet name="how2" sheetId="57" r:id="rId14"/>
  </sheets>
  <externalReferences>
    <externalReference r:id="rId15"/>
    <externalReference r:id="rId16"/>
  </externalReferences>
  <definedNames>
    <definedName name="a...new_customer" localSheetId="4">#REF!</definedName>
    <definedName name="a...new_customer" localSheetId="5">#REF!</definedName>
    <definedName name="a...new_customer">#REF!</definedName>
    <definedName name="basicroompichow2">#REF!</definedName>
    <definedName name="box_names">+#REF!</definedName>
    <definedName name="Column.a.new.cst">#REF!</definedName>
    <definedName name="culpepper">#REF!</definedName>
    <definedName name="data">#REF!</definedName>
    <definedName name="Document_Stacking_List">#REF!</definedName>
    <definedName name="Enter_new_cst_data">#REF!</definedName>
    <definedName name="Jefferies">#REF!</definedName>
    <definedName name="LOVEJOY_INTERIOR">#REF!</definedName>
    <definedName name="Lovejoy_ROOF">#REF!</definedName>
    <definedName name="LxWxH">#REF!</definedName>
    <definedName name="new_customer">#REF!</definedName>
    <definedName name="PRICE_P">#REF!</definedName>
    <definedName name="_xlnm.Print_Area" localSheetId="9">'BLD codes'!$A$8:$A$109</definedName>
    <definedName name="_xlnm.Print_Area" localSheetId="6">DRAWS!$H$20:$R$85</definedName>
    <definedName name="_xlnm.Print_Area" localSheetId="11">ENC!$A$1:$D$30</definedName>
    <definedName name="_xlnm.Print_Area" localSheetId="13">'how2'!$A$1:$C$144</definedName>
    <definedName name="_xlnm.Print_Area" localSheetId="3">'jobinfo(2)'!$C$51:$J$61</definedName>
    <definedName name="_xlnm.Print_Area" localSheetId="8">'kit bath'!$A$1:$F$32</definedName>
    <definedName name="_xlnm.Print_Area" localSheetId="2">'OFS INITIAL CKLST'!$A$1:$D$37</definedName>
    <definedName name="_xlnm.Print_Area" localSheetId="1">'quick chklst'!$A$1:$E$35</definedName>
    <definedName name="_xlnm.Print_Area" localSheetId="4">'ROOMS-out'!$B$1:$O$32</definedName>
    <definedName name="_xlnm.Print_Area" localSheetId="5">'ROOMS-out'!$F$113:$X$144</definedName>
    <definedName name="_xlnm.Print_Area" localSheetId="12">Sheet1!$A$280:$F$366</definedName>
    <definedName name="_xlnm.Print_Area" localSheetId="10">XACTIMATE!$A$1:$D$70</definedName>
    <definedName name="Robinson">#REF!</definedName>
    <definedName name="sigtj">"Picture 9859"</definedName>
    <definedName name="SubContractor_Summary">#REF!</definedName>
    <definedName name="Wayside_Builders__LLC_…...OH">#REF!</definedName>
    <definedName name="WSB...GA.Wayside_Builders__LLC……GA">#REF!</definedName>
  </definedNames>
  <calcPr calcId="191028" calcMode="manual"/>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28" i="79" l="1"/>
  <c r="V128" i="79"/>
  <c r="X117" i="79"/>
  <c r="X118" i="79" s="1"/>
  <c r="X119" i="79" s="1"/>
  <c r="X120" i="79" s="1"/>
  <c r="X121" i="79" s="1"/>
  <c r="X122" i="79" s="1"/>
  <c r="X123" i="79" s="1"/>
  <c r="X124" i="79" s="1"/>
  <c r="X125" i="79" s="1"/>
  <c r="X130" i="79" s="1"/>
  <c r="X131" i="79" s="1"/>
  <c r="X132" i="79" s="1"/>
  <c r="X133" i="79" s="1"/>
  <c r="X134" i="79" s="1"/>
  <c r="V117" i="79"/>
  <c r="V118" i="79" s="1"/>
  <c r="V119" i="79" s="1"/>
  <c r="V120" i="79" s="1"/>
  <c r="V121" i="79" s="1"/>
  <c r="V122" i="79" s="1"/>
  <c r="V123" i="79" s="1"/>
  <c r="V124" i="79" s="1"/>
  <c r="V125" i="79" s="1"/>
  <c r="V130" i="79" s="1"/>
  <c r="V131" i="79" s="1"/>
  <c r="V132" i="79" s="1"/>
  <c r="V133" i="79" s="1"/>
  <c r="V134" i="79" s="1"/>
  <c r="X116" i="79"/>
  <c r="V116" i="79"/>
  <c r="X115" i="79"/>
  <c r="K51" i="67"/>
  <c r="K53" i="67" s="1"/>
  <c r="K54" i="67" s="1"/>
  <c r="K55" i="67" s="1"/>
  <c r="V115" i="79"/>
  <c r="K52" i="67"/>
  <c r="V135" i="79" l="1"/>
  <c r="V136" i="79" s="1"/>
  <c r="V137" i="79" s="1"/>
  <c r="V138" i="79" s="1"/>
  <c r="V139" i="79" s="1"/>
  <c r="V140" i="79" s="1"/>
  <c r="V141" i="79" s="1"/>
  <c r="V142" i="79" s="1"/>
  <c r="V143" i="79" s="1"/>
  <c r="V144" i="79" s="1"/>
  <c r="X135" i="79"/>
  <c r="X136" i="79" s="1"/>
  <c r="X137" i="79" s="1"/>
  <c r="X138" i="79" s="1"/>
  <c r="X139" i="79" s="1"/>
  <c r="X140" i="79" s="1"/>
  <c r="X141" i="79" s="1"/>
  <c r="X142" i="79" s="1"/>
  <c r="X143" i="79" s="1"/>
  <c r="X144" i="79" s="1"/>
  <c r="K126" i="79"/>
  <c r="J51" i="67" l="1"/>
  <c r="J53" i="67" s="1"/>
  <c r="J54" i="67" s="1"/>
  <c r="J55" i="67" s="1"/>
  <c r="J56" i="67" s="1"/>
  <c r="J57" i="67" s="1"/>
  <c r="J58" i="67" s="1"/>
  <c r="J59" i="67" s="1"/>
  <c r="J60" i="67" s="1"/>
  <c r="J61" i="67" s="1"/>
  <c r="J62" i="67" s="1"/>
  <c r="J63" i="67" s="1"/>
  <c r="J64" i="67" s="1"/>
  <c r="J65" i="67" s="1"/>
  <c r="J66" i="67" s="1"/>
  <c r="J67" i="67" s="1"/>
  <c r="J68" i="67" s="1"/>
  <c r="J69" i="67" s="1"/>
  <c r="J70" i="67" s="1"/>
  <c r="J71" i="67" s="1"/>
  <c r="J72" i="67" s="1"/>
  <c r="J73" i="67" s="1"/>
  <c r="J74" i="67" s="1"/>
  <c r="J75" i="67" s="1"/>
  <c r="J76" i="67" s="1"/>
  <c r="J77" i="67" s="1"/>
  <c r="J78" i="67" s="1"/>
  <c r="J79" i="67" s="1"/>
  <c r="J80" i="67" s="1"/>
  <c r="J81" i="67" s="1"/>
  <c r="J82" i="67" s="1"/>
  <c r="J83" i="67" s="1"/>
  <c r="J84" i="67" s="1"/>
  <c r="J85" i="67" s="1"/>
  <c r="J86" i="67" s="1"/>
  <c r="J87" i="67" s="1"/>
  <c r="J88" i="67" s="1"/>
  <c r="J89" i="67" s="1"/>
  <c r="J90" i="67" s="1"/>
  <c r="J91" i="67" s="1"/>
  <c r="J92" i="67" s="1"/>
  <c r="J93" i="67" s="1"/>
  <c r="J94" i="67" s="1"/>
  <c r="J95" i="67" s="1"/>
  <c r="J96" i="67" s="1"/>
  <c r="J97" i="67" s="1"/>
  <c r="J98" i="67" s="1"/>
  <c r="J99" i="67" s="1"/>
  <c r="I51" i="67"/>
  <c r="I53" i="67" s="1"/>
  <c r="I54" i="67" s="1"/>
  <c r="I55" i="67" s="1"/>
  <c r="I56" i="67" s="1"/>
  <c r="I57" i="67" s="1"/>
  <c r="I58" i="67" s="1"/>
  <c r="I59" i="67" s="1"/>
  <c r="I60" i="67" s="1"/>
  <c r="I61" i="67" s="1"/>
  <c r="I62" i="67" s="1"/>
  <c r="I63" i="67" s="1"/>
  <c r="I64" i="67" s="1"/>
  <c r="I65" i="67" s="1"/>
  <c r="I66" i="67" s="1"/>
  <c r="I67" i="67" s="1"/>
  <c r="I68" i="67" s="1"/>
  <c r="I69" i="67" s="1"/>
  <c r="I70" i="67" s="1"/>
  <c r="I71" i="67" s="1"/>
  <c r="I72" i="67" s="1"/>
  <c r="I73" i="67" s="1"/>
  <c r="I74" i="67" s="1"/>
  <c r="I75" i="67" s="1"/>
  <c r="I76" i="67" s="1"/>
  <c r="I77" i="67" s="1"/>
  <c r="I78" i="67" s="1"/>
  <c r="I79" i="67" s="1"/>
  <c r="I80" i="67" s="1"/>
  <c r="I81" i="67" s="1"/>
  <c r="I82" i="67" s="1"/>
  <c r="I83" i="67" s="1"/>
  <c r="I84" i="67" s="1"/>
  <c r="I85" i="67" s="1"/>
  <c r="I86" i="67" s="1"/>
  <c r="I87" i="67" s="1"/>
  <c r="I88" i="67" s="1"/>
  <c r="I89" i="67" s="1"/>
  <c r="I90" i="67" s="1"/>
  <c r="I91" i="67" s="1"/>
  <c r="I92" i="67" s="1"/>
  <c r="I93" i="67" s="1"/>
  <c r="I94" i="67" s="1"/>
  <c r="I95" i="67" s="1"/>
  <c r="I96" i="67" s="1"/>
  <c r="I97" i="67" s="1"/>
  <c r="I98" i="67" s="1"/>
  <c r="I99" i="67" s="1"/>
  <c r="H51" i="67"/>
  <c r="H53" i="67" s="1"/>
  <c r="G51" i="67"/>
  <c r="G53" i="67" s="1"/>
  <c r="F51" i="67"/>
  <c r="F53" i="67" s="1"/>
  <c r="E51" i="67"/>
  <c r="E53" i="67" s="1"/>
  <c r="D51" i="67"/>
  <c r="D53" i="67" s="1"/>
  <c r="D54" i="67" s="1"/>
  <c r="J52" i="67"/>
  <c r="I52" i="67"/>
  <c r="H52" i="67"/>
  <c r="G52" i="67"/>
  <c r="F52" i="67"/>
  <c r="E52" i="67"/>
  <c r="D52" i="67"/>
  <c r="T128" i="79"/>
  <c r="R128" i="79"/>
  <c r="P128" i="79"/>
  <c r="N128" i="79"/>
  <c r="L128" i="79"/>
  <c r="H128" i="79"/>
  <c r="Q99" i="79"/>
  <c r="Q126" i="79" s="1"/>
  <c r="T115" i="79"/>
  <c r="T116" i="79" s="1"/>
  <c r="T117" i="79" s="1"/>
  <c r="T118" i="79" s="1"/>
  <c r="T119" i="79" s="1"/>
  <c r="T120" i="79" s="1"/>
  <c r="T121" i="79" s="1"/>
  <c r="T122" i="79" s="1"/>
  <c r="T123" i="79" s="1"/>
  <c r="T124" i="79" s="1"/>
  <c r="T125" i="79" s="1"/>
  <c r="T130" i="79" s="1"/>
  <c r="T131" i="79" s="1"/>
  <c r="T132" i="79" s="1"/>
  <c r="T133" i="79" s="1"/>
  <c r="T134" i="79" s="1"/>
  <c r="T135" i="79" s="1"/>
  <c r="T136" i="79" s="1"/>
  <c r="T137" i="79" s="1"/>
  <c r="T138" i="79" s="1"/>
  <c r="T139" i="79" s="1"/>
  <c r="T140" i="79" s="1"/>
  <c r="T141" i="79" s="1"/>
  <c r="T142" i="79" s="1"/>
  <c r="T143" i="79" s="1"/>
  <c r="T144" i="79" s="1"/>
  <c r="R115" i="79"/>
  <c r="R116" i="79" s="1"/>
  <c r="R117" i="79" s="1"/>
  <c r="R118" i="79" s="1"/>
  <c r="R119" i="79" s="1"/>
  <c r="R120" i="79" s="1"/>
  <c r="R121" i="79" s="1"/>
  <c r="R122" i="79" s="1"/>
  <c r="R123" i="79" s="1"/>
  <c r="R124" i="79" s="1"/>
  <c r="R125" i="79" s="1"/>
  <c r="R130" i="79" s="1"/>
  <c r="R131" i="79" s="1"/>
  <c r="R132" i="79" s="1"/>
  <c r="R133" i="79" s="1"/>
  <c r="R134" i="79" s="1"/>
  <c r="R135" i="79" s="1"/>
  <c r="R136" i="79" s="1"/>
  <c r="R137" i="79" s="1"/>
  <c r="R138" i="79" s="1"/>
  <c r="R139" i="79" s="1"/>
  <c r="R140" i="79" s="1"/>
  <c r="R141" i="79" s="1"/>
  <c r="R142" i="79" s="1"/>
  <c r="R143" i="79" s="1"/>
  <c r="R144" i="79" s="1"/>
  <c r="F117" i="79"/>
  <c r="C28" i="75"/>
  <c r="C27" i="75"/>
  <c r="C26" i="75"/>
  <c r="C25" i="75"/>
  <c r="C24" i="75"/>
  <c r="C23" i="75"/>
  <c r="C22" i="75"/>
  <c r="C21" i="75"/>
  <c r="C20" i="75"/>
  <c r="C19" i="75"/>
  <c r="C18" i="75"/>
  <c r="C17" i="75"/>
  <c r="C16" i="75"/>
  <c r="C15" i="75"/>
  <c r="C14" i="75"/>
  <c r="C13" i="75"/>
  <c r="C12" i="75"/>
  <c r="C11" i="75"/>
  <c r="C10" i="75"/>
  <c r="C9" i="75"/>
  <c r="C8" i="75"/>
  <c r="C7" i="75"/>
  <c r="C6" i="75"/>
  <c r="C5" i="75"/>
  <c r="C4" i="75"/>
  <c r="AW4" i="75"/>
  <c r="CC5" i="75"/>
  <c r="CC6" i="75" s="1"/>
  <c r="C146" i="67"/>
  <c r="C145" i="67"/>
  <c r="C144" i="67"/>
  <c r="C143" i="67"/>
  <c r="C142" i="67"/>
  <c r="C141" i="67"/>
  <c r="C140" i="67"/>
  <c r="C139" i="67"/>
  <c r="C138" i="67"/>
  <c r="C135" i="67"/>
  <c r="C134" i="67"/>
  <c r="C133" i="67"/>
  <c r="C132" i="67"/>
  <c r="C131" i="67"/>
  <c r="C130" i="67"/>
  <c r="C129" i="67"/>
  <c r="C128" i="67"/>
  <c r="C127" i="67"/>
  <c r="C52" i="67"/>
  <c r="C22" i="67"/>
  <c r="BK3" i="75"/>
  <c r="BQ3" i="75" s="1"/>
  <c r="BQ4" i="75" s="1"/>
  <c r="BQ5" i="75" s="1"/>
  <c r="BQ6" i="75" s="1"/>
  <c r="BQ7" i="75" s="1"/>
  <c r="BQ8" i="75" s="1"/>
  <c r="BQ9" i="75" s="1"/>
  <c r="BQ10" i="75" s="1"/>
  <c r="BQ11" i="75" s="1"/>
  <c r="BQ12" i="75" s="1"/>
  <c r="BQ13" i="75" s="1"/>
  <c r="BQ14" i="75" s="1"/>
  <c r="BQ15" i="75" s="1"/>
  <c r="BQ16" i="75" s="1"/>
  <c r="BQ17" i="75" s="1"/>
  <c r="BQ18" i="75" s="1"/>
  <c r="BQ19" i="75" s="1"/>
  <c r="BQ20" i="75" s="1"/>
  <c r="BQ21" i="75" s="1"/>
  <c r="BQ22" i="75" s="1"/>
  <c r="BQ23" i="75" s="1"/>
  <c r="BQ24" i="75" s="1"/>
  <c r="BQ25" i="75" s="1"/>
  <c r="BQ26" i="75" s="1"/>
  <c r="BQ27" i="75" s="1"/>
  <c r="BQ28" i="75" s="1"/>
  <c r="BD5" i="75"/>
  <c r="BD6" i="75" s="1"/>
  <c r="BD7" i="75" s="1"/>
  <c r="BD8" i="75" s="1"/>
  <c r="BD9" i="75" s="1"/>
  <c r="BD10" i="75" s="1"/>
  <c r="BD11" i="75" s="1"/>
  <c r="BD12" i="75" s="1"/>
  <c r="BD13" i="75" s="1"/>
  <c r="BD14" i="75" s="1"/>
  <c r="BD15" i="75" s="1"/>
  <c r="BD16" i="75" s="1"/>
  <c r="BD17" i="75" s="1"/>
  <c r="BD18" i="75" s="1"/>
  <c r="BD19" i="75" s="1"/>
  <c r="BD20" i="75" s="1"/>
  <c r="BD21" i="75" s="1"/>
  <c r="BD22" i="75" s="1"/>
  <c r="BD23" i="75" s="1"/>
  <c r="BD24" i="75" s="1"/>
  <c r="BD25" i="75" s="1"/>
  <c r="BD26" i="75" s="1"/>
  <c r="BD27" i="75" s="1"/>
  <c r="BD28" i="75" s="1"/>
  <c r="AS3" i="75"/>
  <c r="AU28" i="75"/>
  <c r="AU27" i="75"/>
  <c r="AU26" i="75"/>
  <c r="AU25" i="75"/>
  <c r="AU24" i="75"/>
  <c r="AU23" i="75"/>
  <c r="AU22" i="75"/>
  <c r="AU21" i="75"/>
  <c r="AU20" i="75"/>
  <c r="AU19" i="75"/>
  <c r="AU18" i="75"/>
  <c r="AU17" i="75"/>
  <c r="AU16" i="75"/>
  <c r="AU15" i="75"/>
  <c r="AU14" i="75"/>
  <c r="AU13" i="75"/>
  <c r="AU12" i="75"/>
  <c r="AU11" i="75"/>
  <c r="AU10" i="75"/>
  <c r="AU9" i="75"/>
  <c r="AU8" i="75"/>
  <c r="AU7" i="75"/>
  <c r="AU6" i="75"/>
  <c r="AU5" i="75"/>
  <c r="AU4" i="75"/>
  <c r="AT4" i="75"/>
  <c r="AT5" i="75" s="1"/>
  <c r="AT6" i="75" s="1"/>
  <c r="AT7" i="75" s="1"/>
  <c r="AT8" i="75" s="1"/>
  <c r="AT9" i="75" s="1"/>
  <c r="AT10" i="75" s="1"/>
  <c r="AT11" i="75" s="1"/>
  <c r="AT12" i="75" s="1"/>
  <c r="AT13" i="75" s="1"/>
  <c r="AT14" i="75" s="1"/>
  <c r="AT15" i="75" s="1"/>
  <c r="AT16" i="75" s="1"/>
  <c r="AT17" i="75" s="1"/>
  <c r="AT18" i="75" s="1"/>
  <c r="AT19" i="75" s="1"/>
  <c r="AT20" i="75" s="1"/>
  <c r="AT21" i="75" s="1"/>
  <c r="AT22" i="75" s="1"/>
  <c r="AT23" i="75" s="1"/>
  <c r="AT24" i="75" s="1"/>
  <c r="AT25" i="75" s="1"/>
  <c r="AT26" i="75" s="1"/>
  <c r="AT27" i="75" s="1"/>
  <c r="AT28" i="75" s="1"/>
  <c r="AQ4" i="75"/>
  <c r="AQ5" i="75" s="1"/>
  <c r="AQ6" i="75" s="1"/>
  <c r="AQ7" i="75" s="1"/>
  <c r="AQ8" i="75" s="1"/>
  <c r="AQ9" i="75" s="1"/>
  <c r="AQ10" i="75" s="1"/>
  <c r="AQ11" i="75" s="1"/>
  <c r="AQ12" i="75" s="1"/>
  <c r="AQ13" i="75" s="1"/>
  <c r="AQ14" i="75" s="1"/>
  <c r="AQ15" i="75" s="1"/>
  <c r="AQ16" i="75" s="1"/>
  <c r="AQ17" i="75" s="1"/>
  <c r="AQ18" i="75" s="1"/>
  <c r="AQ19" i="75" s="1"/>
  <c r="AQ20" i="75" s="1"/>
  <c r="AQ21" i="75" s="1"/>
  <c r="AQ22" i="75" s="1"/>
  <c r="AQ23" i="75" s="1"/>
  <c r="AQ24" i="75" s="1"/>
  <c r="AQ25" i="75" s="1"/>
  <c r="AQ26" i="75" s="1"/>
  <c r="AQ27" i="75" s="1"/>
  <c r="AQ28" i="75" s="1"/>
  <c r="AQ2" i="75"/>
  <c r="P115" i="79"/>
  <c r="P116" i="79" s="1"/>
  <c r="P117" i="79" s="1"/>
  <c r="P118" i="79" s="1"/>
  <c r="P119" i="79" s="1"/>
  <c r="P120" i="79" s="1"/>
  <c r="P121" i="79" s="1"/>
  <c r="P122" i="79" s="1"/>
  <c r="P123" i="79" s="1"/>
  <c r="P124" i="79" s="1"/>
  <c r="P125" i="79" s="1"/>
  <c r="P130" i="79" s="1"/>
  <c r="P131" i="79" s="1"/>
  <c r="P132" i="79" s="1"/>
  <c r="P133" i="79" s="1"/>
  <c r="P134" i="79" s="1"/>
  <c r="P135" i="79" s="1"/>
  <c r="P136" i="79" s="1"/>
  <c r="P137" i="79" s="1"/>
  <c r="P138" i="79" s="1"/>
  <c r="P139" i="79" s="1"/>
  <c r="P140" i="79" s="1"/>
  <c r="P141" i="79" s="1"/>
  <c r="P142" i="79" s="1"/>
  <c r="P143" i="79" s="1"/>
  <c r="P144" i="79" s="1"/>
  <c r="N115" i="79"/>
  <c r="N116" i="79" s="1"/>
  <c r="N117" i="79" s="1"/>
  <c r="N118" i="79" s="1"/>
  <c r="N119" i="79" s="1"/>
  <c r="N120" i="79" s="1"/>
  <c r="N121" i="79" s="1"/>
  <c r="N122" i="79" s="1"/>
  <c r="N123" i="79" s="1"/>
  <c r="N124" i="79" s="1"/>
  <c r="N125" i="79" s="1"/>
  <c r="N130" i="79" s="1"/>
  <c r="N131" i="79" s="1"/>
  <c r="N132" i="79" s="1"/>
  <c r="N133" i="79" s="1"/>
  <c r="N134" i="79" s="1"/>
  <c r="N135" i="79" s="1"/>
  <c r="N136" i="79" s="1"/>
  <c r="N137" i="79" s="1"/>
  <c r="N138" i="79" s="1"/>
  <c r="N139" i="79" s="1"/>
  <c r="N140" i="79" s="1"/>
  <c r="N141" i="79" s="1"/>
  <c r="N142" i="79" s="1"/>
  <c r="N143" i="79" s="1"/>
  <c r="N144" i="79" s="1"/>
  <c r="L115" i="79"/>
  <c r="L116" i="79" s="1"/>
  <c r="L117" i="79" s="1"/>
  <c r="L118" i="79" s="1"/>
  <c r="L119" i="79" s="1"/>
  <c r="L120" i="79" s="1"/>
  <c r="L121" i="79" s="1"/>
  <c r="L122" i="79" s="1"/>
  <c r="L123" i="79" s="1"/>
  <c r="L124" i="79" s="1"/>
  <c r="L125" i="79" s="1"/>
  <c r="L130" i="79" s="1"/>
  <c r="L131" i="79" s="1"/>
  <c r="L132" i="79" s="1"/>
  <c r="L133" i="79" s="1"/>
  <c r="L134" i="79" s="1"/>
  <c r="L135" i="79" s="1"/>
  <c r="L136" i="79" s="1"/>
  <c r="L137" i="79" s="1"/>
  <c r="L138" i="79" s="1"/>
  <c r="L139" i="79" s="1"/>
  <c r="L140" i="79" s="1"/>
  <c r="L141" i="79" s="1"/>
  <c r="L142" i="79" s="1"/>
  <c r="L143" i="79" s="1"/>
  <c r="L144" i="79" s="1"/>
  <c r="J115" i="79"/>
  <c r="J116" i="79" s="1"/>
  <c r="J117" i="79" s="1"/>
  <c r="J118" i="79" s="1"/>
  <c r="J119" i="79" s="1"/>
  <c r="J120" i="79" s="1"/>
  <c r="J121" i="79" s="1"/>
  <c r="J122" i="79" s="1"/>
  <c r="J123" i="79" s="1"/>
  <c r="J124" i="79" s="1"/>
  <c r="J125" i="79" s="1"/>
  <c r="J130" i="79" s="1"/>
  <c r="J131" i="79" s="1"/>
  <c r="J132" i="79" s="1"/>
  <c r="J133" i="79" s="1"/>
  <c r="J134" i="79" s="1"/>
  <c r="J135" i="79" s="1"/>
  <c r="J136" i="79" s="1"/>
  <c r="J137" i="79" s="1"/>
  <c r="J138" i="79" s="1"/>
  <c r="J139" i="79" s="1"/>
  <c r="J140" i="79" s="1"/>
  <c r="J141" i="79" s="1"/>
  <c r="J142" i="79" s="1"/>
  <c r="J143" i="79" s="1"/>
  <c r="J144" i="79" s="1"/>
  <c r="H115" i="79"/>
  <c r="H116" i="79" s="1"/>
  <c r="H117" i="79" s="1"/>
  <c r="H118" i="79" s="1"/>
  <c r="H119" i="79" s="1"/>
  <c r="H120" i="79" s="1"/>
  <c r="H121" i="79" s="1"/>
  <c r="H122" i="79" s="1"/>
  <c r="H123" i="79" s="1"/>
  <c r="H124" i="79" s="1"/>
  <c r="H125" i="79" s="1"/>
  <c r="H130" i="79" s="1"/>
  <c r="H131" i="79" s="1"/>
  <c r="H132" i="79" s="1"/>
  <c r="H133" i="79" s="1"/>
  <c r="H134" i="79" s="1"/>
  <c r="H135" i="79" s="1"/>
  <c r="H136" i="79" s="1"/>
  <c r="H137" i="79" s="1"/>
  <c r="H138" i="79" s="1"/>
  <c r="H139" i="79" s="1"/>
  <c r="H140" i="79" s="1"/>
  <c r="H141" i="79" s="1"/>
  <c r="H142" i="79" s="1"/>
  <c r="H143" i="79" s="1"/>
  <c r="H144" i="79" s="1"/>
  <c r="BW3" i="75" l="1"/>
  <c r="BW4" i="75" s="1"/>
  <c r="BW5" i="75" s="1"/>
  <c r="BW6" i="75" s="1"/>
  <c r="BW7" i="75" s="1"/>
  <c r="BW8" i="75" s="1"/>
  <c r="BW9" i="75" s="1"/>
  <c r="BW10" i="75" s="1"/>
  <c r="BW11" i="75" s="1"/>
  <c r="BW12" i="75" s="1"/>
  <c r="BW13" i="75" s="1"/>
  <c r="BW14" i="75" s="1"/>
  <c r="BW15" i="75" s="1"/>
  <c r="BW16" i="75" s="1"/>
  <c r="BW17" i="75" s="1"/>
  <c r="BW18" i="75" s="1"/>
  <c r="BW19" i="75" s="1"/>
  <c r="BW20" i="75" s="1"/>
  <c r="BW21" i="75" s="1"/>
  <c r="BW22" i="75" s="1"/>
  <c r="BW23" i="75" s="1"/>
  <c r="BW24" i="75" s="1"/>
  <c r="BW25" i="75" s="1"/>
  <c r="BW26" i="75" s="1"/>
  <c r="BW27" i="75" s="1"/>
  <c r="BW28" i="75" s="1"/>
  <c r="CC10" i="75"/>
  <c r="CC11" i="75" s="1"/>
  <c r="CC16" i="75" s="1"/>
  <c r="CC3" i="75"/>
  <c r="BK4" i="75"/>
  <c r="BK5" i="75" s="1"/>
  <c r="BK6" i="75" s="1"/>
  <c r="BK7" i="75" s="1"/>
  <c r="BK8" i="75" s="1"/>
  <c r="BK9" i="75" s="1"/>
  <c r="BK10" i="75" s="1"/>
  <c r="BK11" i="75" s="1"/>
  <c r="BK12" i="75" s="1"/>
  <c r="BK13" i="75" s="1"/>
  <c r="BK14" i="75" s="1"/>
  <c r="BK15" i="75" s="1"/>
  <c r="BK16" i="75" s="1"/>
  <c r="BK17" i="75" s="1"/>
  <c r="BK18" i="75" s="1"/>
  <c r="BK19" i="75" s="1"/>
  <c r="BK20" i="75" s="1"/>
  <c r="BK21" i="75" s="1"/>
  <c r="BK22" i="75" s="1"/>
  <c r="BK23" i="75" s="1"/>
  <c r="BK24" i="75" s="1"/>
  <c r="BK25" i="75" s="1"/>
  <c r="BK26" i="75" s="1"/>
  <c r="BK27" i="75" s="1"/>
  <c r="BK28" i="75" s="1"/>
  <c r="F144" i="79"/>
  <c r="F143" i="79"/>
  <c r="F142" i="79"/>
  <c r="F141" i="79"/>
  <c r="F140" i="79"/>
  <c r="F139" i="79"/>
  <c r="F138" i="79"/>
  <c r="F137" i="79"/>
  <c r="F136" i="79"/>
  <c r="F135" i="79"/>
  <c r="F134" i="79"/>
  <c r="F133" i="79"/>
  <c r="F132" i="79"/>
  <c r="F131" i="79"/>
  <c r="F130" i="79"/>
  <c r="F125" i="79"/>
  <c r="F124" i="79"/>
  <c r="F123" i="79"/>
  <c r="F122" i="79"/>
  <c r="F121" i="79"/>
  <c r="F120" i="79"/>
  <c r="F119" i="79"/>
  <c r="F118" i="79"/>
  <c r="F116" i="79"/>
  <c r="B97" i="79"/>
  <c r="B95" i="79"/>
  <c r="B28" i="79"/>
  <c r="B27" i="79"/>
  <c r="B26" i="79"/>
  <c r="B25" i="79"/>
  <c r="B22" i="79"/>
  <c r="B21" i="79"/>
  <c r="B20" i="79"/>
  <c r="B12" i="79"/>
  <c r="B10" i="79"/>
  <c r="B35" i="79"/>
  <c r="B8" i="79"/>
  <c r="B6" i="79"/>
  <c r="B2" i="79"/>
  <c r="AK4" i="75"/>
  <c r="AK5" i="75" s="1"/>
  <c r="AK6" i="75" s="1"/>
  <c r="AK7" i="75" s="1"/>
  <c r="AK8" i="75" s="1"/>
  <c r="AK9" i="75" s="1"/>
  <c r="AK10" i="75" s="1"/>
  <c r="AK11" i="75" s="1"/>
  <c r="AK12" i="75" s="1"/>
  <c r="AK13" i="75" s="1"/>
  <c r="AK14" i="75" s="1"/>
  <c r="AK15" i="75" s="1"/>
  <c r="AK16" i="75" s="1"/>
  <c r="AK17" i="75" s="1"/>
  <c r="AK18" i="75" s="1"/>
  <c r="AK19" i="75" s="1"/>
  <c r="AK20" i="75" s="1"/>
  <c r="AK21" i="75" s="1"/>
  <c r="AK22" i="75" s="1"/>
  <c r="AK23" i="75" s="1"/>
  <c r="AK24" i="75" s="1"/>
  <c r="AK25" i="75" s="1"/>
  <c r="AK26" i="75" s="1"/>
  <c r="AK27" i="75" s="1"/>
  <c r="AK28" i="75" s="1"/>
  <c r="AE4" i="75"/>
  <c r="AE5" i="75" s="1"/>
  <c r="AE6" i="75" s="1"/>
  <c r="AE7" i="75" s="1"/>
  <c r="AE8" i="75" s="1"/>
  <c r="AE9" i="75" s="1"/>
  <c r="AE10" i="75" s="1"/>
  <c r="AE11" i="75" s="1"/>
  <c r="AE12" i="75" s="1"/>
  <c r="AE13" i="75" s="1"/>
  <c r="AE14" i="75" s="1"/>
  <c r="AE15" i="75" s="1"/>
  <c r="AE16" i="75" s="1"/>
  <c r="AE17" i="75" s="1"/>
  <c r="AE18" i="75" s="1"/>
  <c r="AE19" i="75" s="1"/>
  <c r="AE20" i="75" s="1"/>
  <c r="AE21" i="75" s="1"/>
  <c r="AE22" i="75" s="1"/>
  <c r="AE23" i="75" s="1"/>
  <c r="AE24" i="75" s="1"/>
  <c r="AE25" i="75" s="1"/>
  <c r="AE26" i="75" s="1"/>
  <c r="AE27" i="75" s="1"/>
  <c r="AE28" i="75" s="1"/>
  <c r="Y4" i="75"/>
  <c r="Y5" i="75" s="1"/>
  <c r="Y6" i="75" s="1"/>
  <c r="Y7" i="75" s="1"/>
  <c r="Y8" i="75" s="1"/>
  <c r="Y9" i="75" s="1"/>
  <c r="Y10" i="75" s="1"/>
  <c r="Y11" i="75" s="1"/>
  <c r="Y12" i="75" s="1"/>
  <c r="Y13" i="75" s="1"/>
  <c r="Y14" i="75" s="1"/>
  <c r="Y15" i="75" s="1"/>
  <c r="Y16" i="75" s="1"/>
  <c r="Y17" i="75" s="1"/>
  <c r="Y18" i="75" s="1"/>
  <c r="Y19" i="75" s="1"/>
  <c r="Y20" i="75" s="1"/>
  <c r="Y21" i="75" s="1"/>
  <c r="Y22" i="75" s="1"/>
  <c r="Y23" i="75" s="1"/>
  <c r="Y24" i="75" s="1"/>
  <c r="Y25" i="75" s="1"/>
  <c r="Y26" i="75" s="1"/>
  <c r="Y27" i="75" s="1"/>
  <c r="Y28" i="75" s="1"/>
  <c r="S4" i="75"/>
  <c r="S5" i="75" s="1"/>
  <c r="S6" i="75" s="1"/>
  <c r="S7" i="75" s="1"/>
  <c r="S8" i="75" s="1"/>
  <c r="S9" i="75" s="1"/>
  <c r="S10" i="75" s="1"/>
  <c r="S11" i="75" s="1"/>
  <c r="S12" i="75" s="1"/>
  <c r="S13" i="75" s="1"/>
  <c r="S14" i="75" s="1"/>
  <c r="S15" i="75" s="1"/>
  <c r="S16" i="75" s="1"/>
  <c r="S17" i="75" s="1"/>
  <c r="S18" i="75" s="1"/>
  <c r="S19" i="75" s="1"/>
  <c r="S20" i="75" s="1"/>
  <c r="S21" i="75" s="1"/>
  <c r="S22" i="75" s="1"/>
  <c r="S23" i="75" s="1"/>
  <c r="S24" i="75" s="1"/>
  <c r="S25" i="75" s="1"/>
  <c r="S26" i="75" s="1"/>
  <c r="S27" i="75" s="1"/>
  <c r="S28" i="75" s="1"/>
  <c r="M4" i="75"/>
  <c r="B32" i="79"/>
  <c r="B66" i="79"/>
  <c r="F1" i="76"/>
  <c r="E1" i="76"/>
  <c r="C1" i="76"/>
  <c r="B1" i="76"/>
  <c r="CC12" i="75" l="1"/>
  <c r="CC13" i="75" s="1"/>
  <c r="CC14" i="75" s="1"/>
  <c r="CC15" i="75" s="1"/>
  <c r="M5" i="75"/>
  <c r="J256" i="79"/>
  <c r="N228" i="79"/>
  <c r="J200" i="79"/>
  <c r="C3" i="75"/>
  <c r="CX3" i="75" s="1"/>
  <c r="H287" i="79"/>
  <c r="H288" i="79" s="1"/>
  <c r="CY28" i="75"/>
  <c r="CY27" i="75"/>
  <c r="CY26" i="75"/>
  <c r="CY25" i="75"/>
  <c r="CY24" i="75"/>
  <c r="CY23" i="75"/>
  <c r="CY22" i="75"/>
  <c r="CY21" i="75"/>
  <c r="CY20" i="75"/>
  <c r="CY19" i="75"/>
  <c r="CY18" i="75"/>
  <c r="CY17" i="75"/>
  <c r="CY16" i="75"/>
  <c r="CY15" i="75"/>
  <c r="CY14" i="75"/>
  <c r="CY13" i="75"/>
  <c r="CY12" i="75"/>
  <c r="CY11" i="75"/>
  <c r="CY10" i="75"/>
  <c r="CY9" i="75"/>
  <c r="CY8" i="75"/>
  <c r="CY7" i="75"/>
  <c r="CY6" i="75"/>
  <c r="CY5" i="75"/>
  <c r="CY4" i="75"/>
  <c r="CX28" i="75"/>
  <c r="CX27" i="75"/>
  <c r="CX26" i="75"/>
  <c r="CX25" i="75"/>
  <c r="CX24" i="75"/>
  <c r="CX23" i="75"/>
  <c r="CX22" i="75"/>
  <c r="CX21" i="75"/>
  <c r="CX20" i="75"/>
  <c r="CX19" i="75"/>
  <c r="CX18" i="75"/>
  <c r="CX17" i="75"/>
  <c r="CX16" i="75"/>
  <c r="CX15" i="75"/>
  <c r="CX14" i="75"/>
  <c r="CX13" i="75"/>
  <c r="CX12" i="75"/>
  <c r="CX11" i="75"/>
  <c r="CX10" i="75"/>
  <c r="CX9" i="75"/>
  <c r="CX8" i="75"/>
  <c r="CX7" i="75"/>
  <c r="CX6" i="75"/>
  <c r="CX5" i="75"/>
  <c r="CX4" i="75"/>
  <c r="AY28" i="75"/>
  <c r="AY27" i="75"/>
  <c r="AY26" i="75"/>
  <c r="AY25" i="75"/>
  <c r="AY24" i="75"/>
  <c r="AY23" i="75"/>
  <c r="AY22" i="75"/>
  <c r="AY21" i="75"/>
  <c r="AY20" i="75"/>
  <c r="AY19" i="75"/>
  <c r="AY18" i="75"/>
  <c r="AY17" i="75"/>
  <c r="CD3" i="75"/>
  <c r="CA3" i="75"/>
  <c r="N511" i="79"/>
  <c r="M6" i="75" l="1"/>
  <c r="B536" i="79"/>
  <c r="B535" i="79"/>
  <c r="B534" i="79"/>
  <c r="B527" i="79"/>
  <c r="B526" i="79"/>
  <c r="B525" i="79"/>
  <c r="B510" i="79"/>
  <c r="B509" i="79"/>
  <c r="K99" i="79"/>
  <c r="F99" i="79"/>
  <c r="F126" i="79" s="1"/>
  <c r="J113" i="79"/>
  <c r="J128" i="79" s="1"/>
  <c r="M7" i="75" l="1"/>
  <c r="J83" i="80"/>
  <c r="J81" i="80"/>
  <c r="N78" i="80"/>
  <c r="N80" i="80" s="1"/>
  <c r="Q77" i="80"/>
  <c r="K65" i="80"/>
  <c r="Q53" i="80"/>
  <c r="R53" i="80" s="1"/>
  <c r="N53" i="80"/>
  <c r="O53" i="80" s="1"/>
  <c r="K53" i="80"/>
  <c r="L53" i="80" s="1"/>
  <c r="Q52" i="80"/>
  <c r="R52" i="80" s="1"/>
  <c r="N52" i="80"/>
  <c r="O52" i="80" s="1"/>
  <c r="K52" i="80"/>
  <c r="L52" i="80" s="1"/>
  <c r="K51" i="80"/>
  <c r="Q50" i="80"/>
  <c r="R50" i="80" s="1"/>
  <c r="N50" i="80"/>
  <c r="O50" i="80" s="1"/>
  <c r="K50" i="80"/>
  <c r="L50" i="80" s="1"/>
  <c r="K49" i="80"/>
  <c r="J49" i="80"/>
  <c r="I74" i="80" s="1"/>
  <c r="Q48" i="80"/>
  <c r="R48" i="80" s="1"/>
  <c r="N48" i="80"/>
  <c r="O48" i="80" s="1"/>
  <c r="K48" i="80"/>
  <c r="L48" i="80" s="1"/>
  <c r="K47" i="80"/>
  <c r="J47" i="80"/>
  <c r="R46" i="80"/>
  <c r="O46" i="80"/>
  <c r="Q42" i="80"/>
  <c r="R42" i="80" s="1"/>
  <c r="N42" i="80"/>
  <c r="O42" i="80" s="1"/>
  <c r="L42" i="80"/>
  <c r="Q41" i="80"/>
  <c r="R41" i="80" s="1"/>
  <c r="N41" i="80"/>
  <c r="O41" i="80" s="1"/>
  <c r="L41" i="80"/>
  <c r="J40" i="80"/>
  <c r="J51" i="80" s="1"/>
  <c r="Q39" i="80"/>
  <c r="R39" i="80" s="1"/>
  <c r="N39" i="80"/>
  <c r="O39" i="80" s="1"/>
  <c r="L39" i="80"/>
  <c r="Q38" i="80"/>
  <c r="R38" i="80" s="1"/>
  <c r="N38" i="80"/>
  <c r="O38" i="80" s="1"/>
  <c r="L38" i="80"/>
  <c r="Q37" i="80"/>
  <c r="R37" i="80" s="1"/>
  <c r="N37" i="80"/>
  <c r="O37" i="80" s="1"/>
  <c r="L37" i="80"/>
  <c r="Q36" i="80"/>
  <c r="N36" i="80"/>
  <c r="L36" i="80"/>
  <c r="R35" i="80"/>
  <c r="R32" i="80"/>
  <c r="Q32" i="80"/>
  <c r="P32" i="80"/>
  <c r="O32" i="80"/>
  <c r="L32" i="80"/>
  <c r="K32" i="80"/>
  <c r="I32" i="80"/>
  <c r="H32" i="80"/>
  <c r="R31" i="80"/>
  <c r="Q31" i="80"/>
  <c r="P31" i="80"/>
  <c r="O31" i="80"/>
  <c r="K31" i="80"/>
  <c r="J31" i="80"/>
  <c r="I31" i="80"/>
  <c r="H31" i="80"/>
  <c r="P30" i="80"/>
  <c r="O30" i="80"/>
  <c r="K30" i="80"/>
  <c r="J30" i="80"/>
  <c r="I30" i="80"/>
  <c r="H30" i="80"/>
  <c r="P29" i="80"/>
  <c r="O29" i="80"/>
  <c r="M29" i="80"/>
  <c r="L29" i="80"/>
  <c r="K29" i="80"/>
  <c r="J29" i="80"/>
  <c r="I29" i="80"/>
  <c r="H29" i="80"/>
  <c r="P28" i="80"/>
  <c r="O28" i="80"/>
  <c r="M28" i="80"/>
  <c r="L28" i="80"/>
  <c r="K28" i="80"/>
  <c r="J28" i="80"/>
  <c r="I28" i="80"/>
  <c r="H28" i="80"/>
  <c r="P27" i="80"/>
  <c r="O27" i="80"/>
  <c r="M27" i="80"/>
  <c r="L27" i="80"/>
  <c r="K27" i="80"/>
  <c r="J27" i="80"/>
  <c r="I27" i="80"/>
  <c r="H27" i="80"/>
  <c r="P26" i="80"/>
  <c r="O26" i="80"/>
  <c r="M26" i="80"/>
  <c r="L26" i="80"/>
  <c r="K26" i="80"/>
  <c r="J26" i="80"/>
  <c r="I26" i="80"/>
  <c r="H26" i="80"/>
  <c r="P25" i="80"/>
  <c r="O25" i="80"/>
  <c r="M25" i="80"/>
  <c r="L25" i="80"/>
  <c r="K25" i="80"/>
  <c r="J25" i="80"/>
  <c r="I25" i="80"/>
  <c r="H25" i="80"/>
  <c r="M24" i="80"/>
  <c r="L24" i="80"/>
  <c r="K24" i="80"/>
  <c r="J24" i="80"/>
  <c r="I24" i="80"/>
  <c r="H24" i="80"/>
  <c r="P23" i="80"/>
  <c r="P22" i="80"/>
  <c r="K22" i="80"/>
  <c r="H22" i="80"/>
  <c r="P21" i="80"/>
  <c r="K21" i="80"/>
  <c r="L35" i="80" s="1"/>
  <c r="O35" i="80" s="1"/>
  <c r="H21" i="80"/>
  <c r="P20" i="80"/>
  <c r="F15" i="80"/>
  <c r="F16" i="80" s="1"/>
  <c r="F17" i="80" s="1"/>
  <c r="F18" i="80" s="1"/>
  <c r="F14" i="80"/>
  <c r="D7" i="80"/>
  <c r="C7" i="80"/>
  <c r="D6" i="80"/>
  <c r="C6" i="80"/>
  <c r="B6" i="80"/>
  <c r="D5" i="80"/>
  <c r="C5" i="80"/>
  <c r="B5" i="80"/>
  <c r="D4" i="80"/>
  <c r="C4" i="80"/>
  <c r="B4" i="80"/>
  <c r="D3" i="80"/>
  <c r="C3" i="80"/>
  <c r="B3" i="80"/>
  <c r="D2" i="80"/>
  <c r="C2" i="80"/>
  <c r="B2" i="80"/>
  <c r="M8" i="75" l="1"/>
  <c r="Q51" i="80"/>
  <c r="R51" i="80" s="1"/>
  <c r="N51" i="80"/>
  <c r="O51" i="80" s="1"/>
  <c r="L51" i="80"/>
  <c r="J54" i="80"/>
  <c r="J56" i="80" s="1"/>
  <c r="K80" i="80"/>
  <c r="J75" i="80"/>
  <c r="K75" i="80" s="1"/>
  <c r="O36" i="80"/>
  <c r="R36" i="80"/>
  <c r="L40" i="80"/>
  <c r="L43" i="80" s="1"/>
  <c r="N40" i="80"/>
  <c r="O40" i="80" s="1"/>
  <c r="Q40" i="80"/>
  <c r="R40" i="80" s="1"/>
  <c r="J43" i="80"/>
  <c r="L47" i="80"/>
  <c r="N47" i="80"/>
  <c r="Q47" i="80"/>
  <c r="L49" i="80"/>
  <c r="N49" i="80"/>
  <c r="O49" i="80" s="1"/>
  <c r="Q49" i="80"/>
  <c r="R49" i="80" s="1"/>
  <c r="J57" i="80"/>
  <c r="J58" i="80" s="1"/>
  <c r="M9" i="75" l="1"/>
  <c r="J59" i="80"/>
  <c r="K59" i="80" s="1"/>
  <c r="K76" i="80" s="1"/>
  <c r="K81" i="80" s="1"/>
  <c r="Q54" i="80"/>
  <c r="R47" i="80"/>
  <c r="R54" i="80" s="1"/>
  <c r="N54" i="80"/>
  <c r="O47" i="80"/>
  <c r="O54" i="80" s="1"/>
  <c r="L54" i="80"/>
  <c r="R43" i="80"/>
  <c r="O43" i="80"/>
  <c r="K82" i="80"/>
  <c r="Q78" i="80" s="1"/>
  <c r="Q79" i="80" s="1"/>
  <c r="Q43" i="80"/>
  <c r="N43" i="80"/>
  <c r="M10" i="75" l="1"/>
  <c r="J60" i="80"/>
  <c r="J63" i="80" s="1"/>
  <c r="J67" i="80" s="1"/>
  <c r="J70" i="80" s="1"/>
  <c r="J76" i="80" s="1"/>
  <c r="J80" i="80" s="1"/>
  <c r="J82" i="80" s="1"/>
  <c r="J84" i="80" s="1"/>
  <c r="N81" i="80" s="1"/>
  <c r="M11" i="75" l="1"/>
  <c r="Q80" i="80"/>
  <c r="Q82" i="80" s="1"/>
  <c r="N82" i="80"/>
  <c r="M12" i="75" l="1"/>
  <c r="BG4" i="75"/>
  <c r="BF3" i="75"/>
  <c r="B511" i="79" s="1"/>
  <c r="BM3" i="75"/>
  <c r="D31" i="68"/>
  <c r="M13" i="75" l="1"/>
  <c r="AI28" i="75"/>
  <c r="AI27" i="75"/>
  <c r="AI26" i="75"/>
  <c r="AI25" i="75"/>
  <c r="AI24" i="75"/>
  <c r="AI23" i="75"/>
  <c r="AI22" i="75"/>
  <c r="AI21" i="75"/>
  <c r="AI20" i="75"/>
  <c r="AI19" i="75"/>
  <c r="AI18" i="75"/>
  <c r="AI17" i="75"/>
  <c r="AI16" i="75"/>
  <c r="AI15" i="75"/>
  <c r="AI14" i="75"/>
  <c r="AI13" i="75"/>
  <c r="AI12" i="75"/>
  <c r="AI11" i="75"/>
  <c r="AI10" i="75"/>
  <c r="AI9" i="75"/>
  <c r="AI8" i="75"/>
  <c r="AI7" i="75"/>
  <c r="AI6" i="75"/>
  <c r="AI5" i="75"/>
  <c r="AI4" i="75"/>
  <c r="AG3" i="75"/>
  <c r="AH4" i="75" s="1"/>
  <c r="AH5" i="75" s="1"/>
  <c r="AH6" i="75" s="1"/>
  <c r="AH7" i="75" s="1"/>
  <c r="AH8" i="75" s="1"/>
  <c r="AH9" i="75" s="1"/>
  <c r="AH10" i="75" s="1"/>
  <c r="AH11" i="75" s="1"/>
  <c r="AH12" i="75" s="1"/>
  <c r="AH13" i="75" s="1"/>
  <c r="AH14" i="75" s="1"/>
  <c r="AH15" i="75" s="1"/>
  <c r="AH16" i="75" s="1"/>
  <c r="AH17" i="75" s="1"/>
  <c r="AH18" i="75" s="1"/>
  <c r="AH19" i="75" s="1"/>
  <c r="AH20" i="75" s="1"/>
  <c r="AH21" i="75" s="1"/>
  <c r="AH22" i="75" s="1"/>
  <c r="AH23" i="75" s="1"/>
  <c r="AH24" i="75" s="1"/>
  <c r="AH25" i="75" s="1"/>
  <c r="AH26" i="75" s="1"/>
  <c r="AH27" i="75" s="1"/>
  <c r="AH28" i="75" s="1"/>
  <c r="M14" i="75" l="1"/>
  <c r="AZ4" i="75"/>
  <c r="AZ5" i="75" s="1"/>
  <c r="AZ6" i="75" s="1"/>
  <c r="AZ7" i="75" s="1"/>
  <c r="AZ8" i="75" s="1"/>
  <c r="AZ9" i="75" s="1"/>
  <c r="AZ10" i="75" s="1"/>
  <c r="AZ11" i="75" s="1"/>
  <c r="AZ12" i="75" s="1"/>
  <c r="AZ13" i="75" s="1"/>
  <c r="AZ14" i="75" s="1"/>
  <c r="AZ15" i="75" s="1"/>
  <c r="AZ16" i="75" s="1"/>
  <c r="AZ17" i="75" s="1"/>
  <c r="AZ18" i="75" s="1"/>
  <c r="AZ19" i="75" s="1"/>
  <c r="AZ20" i="75" s="1"/>
  <c r="AZ21" i="75" s="1"/>
  <c r="AZ22" i="75" s="1"/>
  <c r="AZ23" i="75" s="1"/>
  <c r="AZ24" i="75" s="1"/>
  <c r="AZ25" i="75" s="1"/>
  <c r="AZ26" i="75" s="1"/>
  <c r="AZ27" i="75" s="1"/>
  <c r="AZ28" i="75" s="1"/>
  <c r="AW2" i="75"/>
  <c r="AY16" i="75"/>
  <c r="AY15" i="75"/>
  <c r="AY14" i="75"/>
  <c r="AY13" i="75"/>
  <c r="AY12" i="75"/>
  <c r="AY11" i="75"/>
  <c r="AY10" i="75"/>
  <c r="AY9" i="75"/>
  <c r="AY8" i="75"/>
  <c r="AY7" i="75"/>
  <c r="AY6" i="75"/>
  <c r="M15" i="75" l="1"/>
  <c r="AW5" i="75"/>
  <c r="AW6" i="75" s="1"/>
  <c r="AW7" i="75" s="1"/>
  <c r="AW8" i="75" s="1"/>
  <c r="AW9" i="75" s="1"/>
  <c r="AW10" i="75" s="1"/>
  <c r="AW11" i="75" s="1"/>
  <c r="AW12" i="75" s="1"/>
  <c r="AW13" i="75" s="1"/>
  <c r="AW14" i="75" s="1"/>
  <c r="AW15" i="75" s="1"/>
  <c r="AW16" i="75" s="1"/>
  <c r="AW17" i="75" s="1"/>
  <c r="AW18" i="75" s="1"/>
  <c r="AW19" i="75" s="1"/>
  <c r="AW20" i="75" s="1"/>
  <c r="AW21" i="75" s="1"/>
  <c r="AW22" i="75" s="1"/>
  <c r="AW23" i="75" s="1"/>
  <c r="AW24" i="75" s="1"/>
  <c r="AW25" i="75" s="1"/>
  <c r="AW26" i="75" s="1"/>
  <c r="AW27" i="75" s="1"/>
  <c r="AW28" i="75" s="1"/>
  <c r="AY5" i="75"/>
  <c r="AY4" i="75"/>
  <c r="M16" i="75" l="1"/>
  <c r="B291" i="79"/>
  <c r="H284" i="79"/>
  <c r="H340" i="79" s="1"/>
  <c r="H396" i="79" s="1"/>
  <c r="H424" i="79" s="1"/>
  <c r="B478" i="79"/>
  <c r="H282" i="79"/>
  <c r="H338" i="79" s="1"/>
  <c r="H394" i="79" s="1"/>
  <c r="H422" i="79" s="1"/>
  <c r="B476" i="79"/>
  <c r="B475" i="79"/>
  <c r="B473" i="79"/>
  <c r="H277" i="79"/>
  <c r="H333" i="79" s="1"/>
  <c r="H389" i="79" s="1"/>
  <c r="H417" i="79" s="1"/>
  <c r="H276" i="79"/>
  <c r="H332" i="79" s="1"/>
  <c r="H388" i="79" s="1"/>
  <c r="H416" i="79" s="1"/>
  <c r="B470" i="79"/>
  <c r="H273" i="79"/>
  <c r="H329" i="79" s="1"/>
  <c r="H385" i="79" s="1"/>
  <c r="H413" i="79" s="1"/>
  <c r="H272" i="79"/>
  <c r="H328" i="79" s="1"/>
  <c r="H384" i="79" s="1"/>
  <c r="H412" i="79" s="1"/>
  <c r="H271" i="79"/>
  <c r="H327" i="79" s="1"/>
  <c r="H383" i="79" s="1"/>
  <c r="H411" i="79" s="1"/>
  <c r="B465" i="79"/>
  <c r="B464" i="79"/>
  <c r="B463" i="79"/>
  <c r="H267" i="79"/>
  <c r="H323" i="79" s="1"/>
  <c r="H379" i="79" s="1"/>
  <c r="H407" i="79" s="1"/>
  <c r="B461" i="79"/>
  <c r="B460" i="79"/>
  <c r="H264" i="79"/>
  <c r="H320" i="79" s="1"/>
  <c r="H376" i="79" s="1"/>
  <c r="H404" i="79" s="1"/>
  <c r="B458" i="79"/>
  <c r="H262" i="79"/>
  <c r="H318" i="79" s="1"/>
  <c r="H374" i="79" s="1"/>
  <c r="H402" i="79" s="1"/>
  <c r="F259" i="79"/>
  <c r="B203" i="79"/>
  <c r="F480" i="79"/>
  <c r="B480" i="79"/>
  <c r="J424" i="79"/>
  <c r="J396" i="79"/>
  <c r="I368" i="79"/>
  <c r="J340" i="79"/>
  <c r="I312" i="79"/>
  <c r="J284" i="79"/>
  <c r="I284" i="79"/>
  <c r="I256" i="79"/>
  <c r="J228" i="79"/>
  <c r="F200" i="79"/>
  <c r="F228" i="79" s="1"/>
  <c r="F256" i="79" s="1"/>
  <c r="B200" i="79"/>
  <c r="F479" i="79"/>
  <c r="J423" i="79"/>
  <c r="J395" i="79"/>
  <c r="I367" i="79"/>
  <c r="J339" i="79"/>
  <c r="I311" i="79"/>
  <c r="J283" i="79"/>
  <c r="I283" i="79"/>
  <c r="J255" i="79"/>
  <c r="I255" i="79"/>
  <c r="N227" i="79"/>
  <c r="J227" i="79"/>
  <c r="J199" i="79"/>
  <c r="F199" i="79"/>
  <c r="F227" i="79" s="1"/>
  <c r="F255" i="79" s="1"/>
  <c r="B199" i="79"/>
  <c r="F478" i="79"/>
  <c r="J422" i="79"/>
  <c r="J394" i="79"/>
  <c r="I366" i="79"/>
  <c r="J338" i="79"/>
  <c r="I310" i="79"/>
  <c r="J282" i="79"/>
  <c r="I282" i="79"/>
  <c r="J254" i="79"/>
  <c r="I254" i="79"/>
  <c r="N226" i="79"/>
  <c r="J226" i="79"/>
  <c r="J198" i="79"/>
  <c r="F198" i="79"/>
  <c r="F226" i="79" s="1"/>
  <c r="F254" i="79" s="1"/>
  <c r="B198" i="79"/>
  <c r="F477" i="79"/>
  <c r="F449" i="79"/>
  <c r="F450" i="79" s="1"/>
  <c r="F452" i="79" s="1"/>
  <c r="B449" i="79"/>
  <c r="B450" i="79" s="1"/>
  <c r="B451" i="79" s="1"/>
  <c r="B452" i="79" s="1"/>
  <c r="J421" i="79"/>
  <c r="J393" i="79"/>
  <c r="I365" i="79"/>
  <c r="J337" i="79"/>
  <c r="I309" i="79"/>
  <c r="J281" i="79"/>
  <c r="I281" i="79"/>
  <c r="J253" i="79"/>
  <c r="I253" i="79"/>
  <c r="N225" i="79"/>
  <c r="J225" i="79"/>
  <c r="J197" i="79"/>
  <c r="F197" i="79"/>
  <c r="F225" i="79" s="1"/>
  <c r="F253" i="79" s="1"/>
  <c r="B197" i="79"/>
  <c r="F476" i="79"/>
  <c r="J420" i="79"/>
  <c r="J392" i="79"/>
  <c r="I364" i="79"/>
  <c r="J336" i="79"/>
  <c r="I308" i="79"/>
  <c r="J280" i="79"/>
  <c r="I280" i="79"/>
  <c r="J252" i="79"/>
  <c r="I252" i="79"/>
  <c r="N224" i="79"/>
  <c r="J224" i="79"/>
  <c r="J196" i="79"/>
  <c r="F196" i="79"/>
  <c r="F224" i="79" s="1"/>
  <c r="F252" i="79" s="1"/>
  <c r="B196" i="79"/>
  <c r="F475" i="79"/>
  <c r="J419" i="79"/>
  <c r="J391" i="79"/>
  <c r="I363" i="79"/>
  <c r="J335" i="79"/>
  <c r="I307" i="79"/>
  <c r="J279" i="79"/>
  <c r="I279" i="79"/>
  <c r="J251" i="79"/>
  <c r="I251" i="79"/>
  <c r="N223" i="79"/>
  <c r="J223" i="79"/>
  <c r="J195" i="79"/>
  <c r="F195" i="79"/>
  <c r="F223" i="79" s="1"/>
  <c r="F251" i="79" s="1"/>
  <c r="B195" i="79"/>
  <c r="F474" i="79"/>
  <c r="J418" i="79"/>
  <c r="J390" i="79"/>
  <c r="I362" i="79"/>
  <c r="J334" i="79"/>
  <c r="I306" i="79"/>
  <c r="J278" i="79"/>
  <c r="I278" i="79"/>
  <c r="J250" i="79"/>
  <c r="I250" i="79"/>
  <c r="N222" i="79"/>
  <c r="J222" i="79"/>
  <c r="J194" i="79"/>
  <c r="F194" i="79"/>
  <c r="F222" i="79" s="1"/>
  <c r="F250" i="79" s="1"/>
  <c r="B194" i="79"/>
  <c r="F473" i="79"/>
  <c r="J417" i="79"/>
  <c r="J389" i="79"/>
  <c r="I361" i="79"/>
  <c r="J333" i="79"/>
  <c r="I305" i="79"/>
  <c r="J277" i="79"/>
  <c r="I277" i="79"/>
  <c r="J249" i="79"/>
  <c r="I249" i="79"/>
  <c r="N221" i="79"/>
  <c r="J221" i="79"/>
  <c r="J193" i="79"/>
  <c r="F193" i="79"/>
  <c r="F221" i="79" s="1"/>
  <c r="F249" i="79" s="1"/>
  <c r="B193" i="79"/>
  <c r="F472" i="79"/>
  <c r="J416" i="79"/>
  <c r="J388" i="79"/>
  <c r="I360" i="79"/>
  <c r="J332" i="79"/>
  <c r="I304" i="79"/>
  <c r="J276" i="79"/>
  <c r="I276" i="79"/>
  <c r="J248" i="79"/>
  <c r="I248" i="79"/>
  <c r="N220" i="79"/>
  <c r="J220" i="79"/>
  <c r="J192" i="79"/>
  <c r="F192" i="79"/>
  <c r="F220" i="79" s="1"/>
  <c r="F248" i="79" s="1"/>
  <c r="B192" i="79"/>
  <c r="F471" i="79"/>
  <c r="J415" i="79"/>
  <c r="J387" i="79"/>
  <c r="I359" i="79"/>
  <c r="J331" i="79"/>
  <c r="I303" i="79"/>
  <c r="J275" i="79"/>
  <c r="I275" i="79"/>
  <c r="J247" i="79"/>
  <c r="I247" i="79"/>
  <c r="N219" i="79"/>
  <c r="J219" i="79"/>
  <c r="J191" i="79"/>
  <c r="F191" i="79"/>
  <c r="F219" i="79" s="1"/>
  <c r="F247" i="79" s="1"/>
  <c r="B191" i="79"/>
  <c r="F470" i="79"/>
  <c r="F442" i="79"/>
  <c r="F443" i="79" s="1"/>
  <c r="F445" i="79" s="1"/>
  <c r="B442" i="79"/>
  <c r="B443" i="79" s="1"/>
  <c r="B444" i="79" s="1"/>
  <c r="B445" i="79" s="1"/>
  <c r="B446" i="79" s="1"/>
  <c r="J414" i="79"/>
  <c r="J386" i="79"/>
  <c r="I358" i="79"/>
  <c r="J330" i="79"/>
  <c r="I302" i="79"/>
  <c r="J274" i="79"/>
  <c r="I274" i="79"/>
  <c r="J246" i="79"/>
  <c r="I246" i="79"/>
  <c r="N218" i="79"/>
  <c r="J218" i="79"/>
  <c r="J190" i="79"/>
  <c r="F190" i="79"/>
  <c r="F218" i="79" s="1"/>
  <c r="F246" i="79" s="1"/>
  <c r="B190" i="79"/>
  <c r="F469" i="79"/>
  <c r="J413" i="79"/>
  <c r="J385" i="79"/>
  <c r="I357" i="79"/>
  <c r="J329" i="79"/>
  <c r="I301" i="79"/>
  <c r="J273" i="79"/>
  <c r="I273" i="79"/>
  <c r="J245" i="79"/>
  <c r="I245" i="79"/>
  <c r="N217" i="79"/>
  <c r="J217" i="79"/>
  <c r="J189" i="79"/>
  <c r="F189" i="79"/>
  <c r="F217" i="79" s="1"/>
  <c r="F245" i="79" s="1"/>
  <c r="B189" i="79"/>
  <c r="F468" i="79"/>
  <c r="J412" i="79"/>
  <c r="J384" i="79"/>
  <c r="I356" i="79"/>
  <c r="J328" i="79"/>
  <c r="I300" i="79"/>
  <c r="J272" i="79"/>
  <c r="I272" i="79"/>
  <c r="J244" i="79"/>
  <c r="I244" i="79"/>
  <c r="N216" i="79"/>
  <c r="J216" i="79"/>
  <c r="J188" i="79"/>
  <c r="F188" i="79"/>
  <c r="F216" i="79" s="1"/>
  <c r="F244" i="79" s="1"/>
  <c r="B188" i="79"/>
  <c r="F467" i="79"/>
  <c r="J411" i="79"/>
  <c r="J383" i="79"/>
  <c r="I355" i="79"/>
  <c r="J327" i="79"/>
  <c r="I299" i="79"/>
  <c r="J271" i="79"/>
  <c r="I271" i="79"/>
  <c r="J243" i="79"/>
  <c r="I243" i="79"/>
  <c r="N215" i="79"/>
  <c r="J215" i="79"/>
  <c r="J187" i="79"/>
  <c r="F187" i="79"/>
  <c r="F215" i="79" s="1"/>
  <c r="F243" i="79" s="1"/>
  <c r="B187" i="79"/>
  <c r="F466" i="79"/>
  <c r="J410" i="79"/>
  <c r="J382" i="79"/>
  <c r="I354" i="79"/>
  <c r="J326" i="79"/>
  <c r="I298" i="79"/>
  <c r="J270" i="79"/>
  <c r="I270" i="79"/>
  <c r="J242" i="79"/>
  <c r="I242" i="79"/>
  <c r="N214" i="79"/>
  <c r="J214" i="79"/>
  <c r="J186" i="79"/>
  <c r="F186" i="79"/>
  <c r="F214" i="79" s="1"/>
  <c r="F242" i="79" s="1"/>
  <c r="B186" i="79"/>
  <c r="F465" i="79"/>
  <c r="J409" i="79"/>
  <c r="J381" i="79"/>
  <c r="I353" i="79"/>
  <c r="J325" i="79"/>
  <c r="I297" i="79"/>
  <c r="J269" i="79"/>
  <c r="I269" i="79"/>
  <c r="J241" i="79"/>
  <c r="I241" i="79"/>
  <c r="N213" i="79"/>
  <c r="J213" i="79"/>
  <c r="J185" i="79"/>
  <c r="F185" i="79"/>
  <c r="F213" i="79" s="1"/>
  <c r="F241" i="79" s="1"/>
  <c r="B185" i="79"/>
  <c r="F464" i="79"/>
  <c r="B436" i="79"/>
  <c r="B437" i="79" s="1"/>
  <c r="B438" i="79" s="1"/>
  <c r="B439" i="79" s="1"/>
  <c r="B440" i="79" s="1"/>
  <c r="J408" i="79"/>
  <c r="J380" i="79"/>
  <c r="I352" i="79"/>
  <c r="J324" i="79"/>
  <c r="I296" i="79"/>
  <c r="J268" i="79"/>
  <c r="I268" i="79"/>
  <c r="J240" i="79"/>
  <c r="I240" i="79"/>
  <c r="N212" i="79"/>
  <c r="J212" i="79"/>
  <c r="J184" i="79"/>
  <c r="H268" i="79"/>
  <c r="H324" i="79" s="1"/>
  <c r="H380" i="79" s="1"/>
  <c r="H408" i="79" s="1"/>
  <c r="F184" i="79"/>
  <c r="F212" i="79" s="1"/>
  <c r="F240" i="79" s="1"/>
  <c r="B184" i="79"/>
  <c r="F463" i="79"/>
  <c r="F435" i="79"/>
  <c r="F436" i="79" s="1"/>
  <c r="J407" i="79"/>
  <c r="J379" i="79"/>
  <c r="I351" i="79"/>
  <c r="J323" i="79"/>
  <c r="I295" i="79"/>
  <c r="J267" i="79"/>
  <c r="I267" i="79"/>
  <c r="J239" i="79"/>
  <c r="I239" i="79"/>
  <c r="N211" i="79"/>
  <c r="J211" i="79"/>
  <c r="J183" i="79"/>
  <c r="F183" i="79"/>
  <c r="F211" i="79" s="1"/>
  <c r="F239" i="79" s="1"/>
  <c r="B183" i="79"/>
  <c r="F462" i="79"/>
  <c r="B434" i="79"/>
  <c r="J406" i="79"/>
  <c r="J378" i="79"/>
  <c r="I350" i="79"/>
  <c r="J322" i="79"/>
  <c r="I294" i="79"/>
  <c r="J266" i="79"/>
  <c r="I266" i="79"/>
  <c r="J238" i="79"/>
  <c r="I238" i="79"/>
  <c r="N210" i="79"/>
  <c r="J210" i="79"/>
  <c r="J182" i="79"/>
  <c r="F182" i="79"/>
  <c r="F210" i="79" s="1"/>
  <c r="F238" i="79" s="1"/>
  <c r="B182" i="79"/>
  <c r="U350" i="79"/>
  <c r="U352" i="79" s="1"/>
  <c r="U354" i="79" s="1"/>
  <c r="U356" i="79" s="1"/>
  <c r="U358" i="79" s="1"/>
  <c r="T350" i="79"/>
  <c r="T352" i="79" s="1"/>
  <c r="T354" i="79" s="1"/>
  <c r="T356" i="79" s="1"/>
  <c r="T358" i="79" s="1"/>
  <c r="S350" i="79"/>
  <c r="S352" i="79" s="1"/>
  <c r="S354" i="79" s="1"/>
  <c r="S356" i="79" s="1"/>
  <c r="S358" i="79" s="1"/>
  <c r="R350" i="79"/>
  <c r="R352" i="79" s="1"/>
  <c r="R354" i="79" s="1"/>
  <c r="R356" i="79" s="1"/>
  <c r="R358" i="79" s="1"/>
  <c r="F461" i="79"/>
  <c r="J405" i="79"/>
  <c r="J377" i="79"/>
  <c r="I349" i="79"/>
  <c r="J321" i="79"/>
  <c r="I293" i="79"/>
  <c r="J265" i="79"/>
  <c r="I265" i="79"/>
  <c r="J237" i="79"/>
  <c r="I237" i="79"/>
  <c r="N209" i="79"/>
  <c r="J209" i="79"/>
  <c r="J181" i="79"/>
  <c r="F181" i="79"/>
  <c r="F209" i="79" s="1"/>
  <c r="F237" i="79" s="1"/>
  <c r="B181" i="79"/>
  <c r="F460" i="79"/>
  <c r="J404" i="79"/>
  <c r="J376" i="79"/>
  <c r="I348" i="79"/>
  <c r="J320" i="79"/>
  <c r="I292" i="79"/>
  <c r="J264" i="79"/>
  <c r="I264" i="79"/>
  <c r="J236" i="79"/>
  <c r="I236" i="79"/>
  <c r="N208" i="79"/>
  <c r="J208" i="79"/>
  <c r="J180" i="79"/>
  <c r="F180" i="79"/>
  <c r="F208" i="79" s="1"/>
  <c r="F236" i="79" s="1"/>
  <c r="B180" i="79"/>
  <c r="F459" i="79"/>
  <c r="J403" i="79"/>
  <c r="J375" i="79"/>
  <c r="I347" i="79"/>
  <c r="J319" i="79"/>
  <c r="I291" i="79"/>
  <c r="J263" i="79"/>
  <c r="I263" i="79"/>
  <c r="J235" i="79"/>
  <c r="I235" i="79"/>
  <c r="N207" i="79"/>
  <c r="J207" i="79"/>
  <c r="J179" i="79"/>
  <c r="F179" i="79"/>
  <c r="F207" i="79" s="1"/>
  <c r="F235" i="79" s="1"/>
  <c r="B179" i="79"/>
  <c r="F458" i="79"/>
  <c r="B430" i="79"/>
  <c r="B431" i="79" s="1"/>
  <c r="B432" i="79" s="1"/>
  <c r="B433" i="79" s="1"/>
  <c r="J402" i="79"/>
  <c r="J374" i="79"/>
  <c r="I346" i="79"/>
  <c r="J318" i="79"/>
  <c r="I290" i="79"/>
  <c r="B290" i="79"/>
  <c r="J262" i="79"/>
  <c r="I262" i="79"/>
  <c r="J234" i="79"/>
  <c r="I234" i="79"/>
  <c r="N206" i="79"/>
  <c r="J206" i="79"/>
  <c r="J178" i="79"/>
  <c r="F178" i="79"/>
  <c r="F206" i="79" s="1"/>
  <c r="F234" i="79" s="1"/>
  <c r="B178" i="79"/>
  <c r="S346" i="79"/>
  <c r="R346" i="79"/>
  <c r="F457" i="79"/>
  <c r="F429" i="79"/>
  <c r="F430" i="79" s="1"/>
  <c r="F431" i="79" s="1"/>
  <c r="F432" i="79" s="1"/>
  <c r="F433" i="79" s="1"/>
  <c r="J401" i="79"/>
  <c r="J373" i="79"/>
  <c r="I345" i="79"/>
  <c r="J317" i="79"/>
  <c r="I289" i="79"/>
  <c r="B289" i="79"/>
  <c r="J261" i="79"/>
  <c r="I261" i="79"/>
  <c r="J233" i="79"/>
  <c r="I233" i="79"/>
  <c r="N205" i="79"/>
  <c r="J205" i="79"/>
  <c r="J177" i="79"/>
  <c r="F177" i="79"/>
  <c r="F205" i="79" s="1"/>
  <c r="F233" i="79" s="1"/>
  <c r="B177" i="79"/>
  <c r="K513" i="79"/>
  <c r="B373" i="79" s="1"/>
  <c r="H513" i="79"/>
  <c r="H514" i="79" s="1"/>
  <c r="H515" i="79" s="1"/>
  <c r="B347" i="79" s="1"/>
  <c r="F513" i="79"/>
  <c r="F514" i="79" s="1"/>
  <c r="B318" i="79" s="1"/>
  <c r="F456" i="79"/>
  <c r="F428" i="79"/>
  <c r="J400" i="79"/>
  <c r="B400" i="79"/>
  <c r="B399" i="79" s="1"/>
  <c r="J372" i="79"/>
  <c r="B372" i="79"/>
  <c r="B371" i="79" s="1"/>
  <c r="I344" i="79"/>
  <c r="B344" i="79"/>
  <c r="B343" i="79" s="1"/>
  <c r="J316" i="79"/>
  <c r="I316" i="79"/>
  <c r="I317" i="79" s="1"/>
  <c r="I318" i="79" s="1"/>
  <c r="I319" i="79" s="1"/>
  <c r="I320" i="79" s="1"/>
  <c r="I321" i="79" s="1"/>
  <c r="I322" i="79" s="1"/>
  <c r="I323" i="79" s="1"/>
  <c r="I324" i="79" s="1"/>
  <c r="I325" i="79" s="1"/>
  <c r="I326" i="79" s="1"/>
  <c r="I327" i="79" s="1"/>
  <c r="I328" i="79" s="1"/>
  <c r="I329" i="79" s="1"/>
  <c r="I330" i="79" s="1"/>
  <c r="I331" i="79" s="1"/>
  <c r="I332" i="79" s="1"/>
  <c r="I333" i="79" s="1"/>
  <c r="I334" i="79" s="1"/>
  <c r="I335" i="79" s="1"/>
  <c r="I336" i="79" s="1"/>
  <c r="I337" i="79" s="1"/>
  <c r="I338" i="79" s="1"/>
  <c r="I339" i="79" s="1"/>
  <c r="I340" i="79" s="1"/>
  <c r="B316" i="79"/>
  <c r="B315" i="79" s="1"/>
  <c r="I288" i="79"/>
  <c r="H289" i="79"/>
  <c r="H290" i="79" s="1"/>
  <c r="H291" i="79" s="1"/>
  <c r="H292" i="79" s="1"/>
  <c r="H293" i="79" s="1"/>
  <c r="H294" i="79" s="1"/>
  <c r="H295" i="79" s="1"/>
  <c r="H296" i="79" s="1"/>
  <c r="H297" i="79" s="1"/>
  <c r="H298" i="79" s="1"/>
  <c r="H299" i="79" s="1"/>
  <c r="H300" i="79" s="1"/>
  <c r="H301" i="79" s="1"/>
  <c r="H302" i="79" s="1"/>
  <c r="H303" i="79" s="1"/>
  <c r="H304" i="79" s="1"/>
  <c r="H305" i="79" s="1"/>
  <c r="H306" i="79" s="1"/>
  <c r="H307" i="79" s="1"/>
  <c r="H308" i="79" s="1"/>
  <c r="H309" i="79" s="1"/>
  <c r="H310" i="79" s="1"/>
  <c r="H311" i="79" s="1"/>
  <c r="H312" i="79" s="1"/>
  <c r="B288" i="79"/>
  <c r="J260" i="79"/>
  <c r="I260" i="79"/>
  <c r="F260" i="79"/>
  <c r="J232" i="79"/>
  <c r="I232" i="79"/>
  <c r="B232" i="79"/>
  <c r="N204" i="79"/>
  <c r="J204" i="79"/>
  <c r="B204" i="79"/>
  <c r="J176" i="79"/>
  <c r="F176" i="79"/>
  <c r="F204" i="79" s="1"/>
  <c r="F232" i="79" s="1"/>
  <c r="B176" i="79"/>
  <c r="F455" i="79"/>
  <c r="B427" i="79"/>
  <c r="J399" i="79"/>
  <c r="J371" i="79"/>
  <c r="I343" i="79"/>
  <c r="J315" i="79"/>
  <c r="H259" i="79"/>
  <c r="F175" i="79"/>
  <c r="F203" i="79" s="1"/>
  <c r="F231" i="79" s="1"/>
  <c r="B147" i="79"/>
  <c r="B175" i="79" s="1"/>
  <c r="K511" i="79"/>
  <c r="H511" i="79"/>
  <c r="F511" i="79"/>
  <c r="B287" i="79"/>
  <c r="B231" i="79"/>
  <c r="B286" i="79"/>
  <c r="I258" i="79"/>
  <c r="B174" i="79"/>
  <c r="I181" i="79" s="1"/>
  <c r="B369" i="79"/>
  <c r="I372" i="79" s="1"/>
  <c r="I373" i="79" s="1"/>
  <c r="I374" i="79" s="1"/>
  <c r="I375" i="79" s="1"/>
  <c r="I376" i="79" s="1"/>
  <c r="I377" i="79" s="1"/>
  <c r="I378" i="79" s="1"/>
  <c r="I379" i="79" s="1"/>
  <c r="I380" i="79" s="1"/>
  <c r="I381" i="79" s="1"/>
  <c r="I382" i="79" s="1"/>
  <c r="I383" i="79" s="1"/>
  <c r="I384" i="79" s="1"/>
  <c r="I385" i="79" s="1"/>
  <c r="I386" i="79" s="1"/>
  <c r="I387" i="79" s="1"/>
  <c r="I388" i="79" s="1"/>
  <c r="I389" i="79" s="1"/>
  <c r="I390" i="79" s="1"/>
  <c r="I391" i="79" s="1"/>
  <c r="I392" i="79" s="1"/>
  <c r="I393" i="79" s="1"/>
  <c r="I394" i="79" s="1"/>
  <c r="I395" i="79" s="1"/>
  <c r="I396" i="79" s="1"/>
  <c r="B341" i="79"/>
  <c r="H344" i="79" s="1"/>
  <c r="H345" i="79" s="1"/>
  <c r="H346" i="79" s="1"/>
  <c r="H347" i="79" s="1"/>
  <c r="H348" i="79" s="1"/>
  <c r="H349" i="79" s="1"/>
  <c r="H350" i="79" s="1"/>
  <c r="H351" i="79" s="1"/>
  <c r="H352" i="79" s="1"/>
  <c r="H353" i="79" s="1"/>
  <c r="H354" i="79" s="1"/>
  <c r="H355" i="79" s="1"/>
  <c r="H356" i="79" s="1"/>
  <c r="H357" i="79" s="1"/>
  <c r="H358" i="79" s="1"/>
  <c r="H359" i="79" s="1"/>
  <c r="H360" i="79" s="1"/>
  <c r="H361" i="79" s="1"/>
  <c r="H362" i="79" s="1"/>
  <c r="H363" i="79" s="1"/>
  <c r="H364" i="79" s="1"/>
  <c r="H365" i="79" s="1"/>
  <c r="H366" i="79" s="1"/>
  <c r="H367" i="79" s="1"/>
  <c r="H368" i="79" s="1"/>
  <c r="H28" i="75"/>
  <c r="N28" i="75" s="1"/>
  <c r="H27" i="75"/>
  <c r="N27" i="75" s="1"/>
  <c r="H26" i="75"/>
  <c r="H25" i="75"/>
  <c r="N25" i="75" s="1"/>
  <c r="H24" i="75"/>
  <c r="N24" i="75" s="1"/>
  <c r="H23" i="75"/>
  <c r="N23" i="75" s="1"/>
  <c r="H22" i="75"/>
  <c r="N22" i="75" s="1"/>
  <c r="H21" i="75"/>
  <c r="H20" i="75"/>
  <c r="H19" i="75"/>
  <c r="H18" i="75"/>
  <c r="H17" i="75"/>
  <c r="N17" i="75" s="1"/>
  <c r="H16" i="75"/>
  <c r="H15" i="75"/>
  <c r="H14" i="75"/>
  <c r="H13" i="75"/>
  <c r="H12" i="75"/>
  <c r="N12" i="75" s="1"/>
  <c r="H11" i="75"/>
  <c r="H10" i="75"/>
  <c r="H9" i="75"/>
  <c r="H8" i="75"/>
  <c r="H7" i="75"/>
  <c r="H6" i="75"/>
  <c r="H5" i="75"/>
  <c r="N5" i="75" s="1"/>
  <c r="H4" i="75"/>
  <c r="H3" i="75"/>
  <c r="N3" i="75" s="1"/>
  <c r="CD16" i="75"/>
  <c r="CD22" i="75" s="1"/>
  <c r="CD10" i="75"/>
  <c r="I28" i="75"/>
  <c r="I27" i="75"/>
  <c r="G28" i="75"/>
  <c r="G27" i="75"/>
  <c r="G26" i="75"/>
  <c r="G25" i="75"/>
  <c r="G24" i="75"/>
  <c r="G23" i="75"/>
  <c r="G22" i="75"/>
  <c r="G21" i="75"/>
  <c r="G20" i="75"/>
  <c r="G19" i="75"/>
  <c r="G18" i="75"/>
  <c r="G17" i="75"/>
  <c r="G16" i="75"/>
  <c r="G15" i="75"/>
  <c r="G14" i="75"/>
  <c r="G13" i="75"/>
  <c r="G12" i="75"/>
  <c r="G11" i="75"/>
  <c r="G10" i="75"/>
  <c r="G9" i="75"/>
  <c r="G8" i="75"/>
  <c r="G7" i="75"/>
  <c r="G6" i="75"/>
  <c r="G5" i="75"/>
  <c r="G4" i="75"/>
  <c r="B533" i="79"/>
  <c r="B532" i="79"/>
  <c r="B531" i="79"/>
  <c r="B530" i="79"/>
  <c r="B529" i="79"/>
  <c r="B528" i="79"/>
  <c r="B524" i="79"/>
  <c r="B523" i="79"/>
  <c r="B522" i="79"/>
  <c r="B521" i="79"/>
  <c r="B520" i="79"/>
  <c r="B519" i="79"/>
  <c r="B518" i="79"/>
  <c r="B517" i="79"/>
  <c r="B516" i="79"/>
  <c r="B515" i="79"/>
  <c r="B514" i="79"/>
  <c r="B513" i="79"/>
  <c r="B512" i="79"/>
  <c r="CC17" i="75"/>
  <c r="CC22" i="75" s="1"/>
  <c r="CC23" i="75" s="1"/>
  <c r="CE11" i="75"/>
  <c r="CA28" i="75"/>
  <c r="CA27" i="75"/>
  <c r="CA26" i="75"/>
  <c r="CA25" i="75"/>
  <c r="CA24" i="75"/>
  <c r="CA23" i="75"/>
  <c r="CA22" i="75"/>
  <c r="CA21" i="75"/>
  <c r="CA20" i="75"/>
  <c r="CA19" i="75"/>
  <c r="CA18" i="75"/>
  <c r="CA17" i="75"/>
  <c r="CA16" i="75"/>
  <c r="CA15" i="75"/>
  <c r="CA14" i="75"/>
  <c r="CA13" i="75"/>
  <c r="CA12" i="75"/>
  <c r="CA11" i="75"/>
  <c r="CA10" i="75"/>
  <c r="CA9" i="75"/>
  <c r="CA8" i="75"/>
  <c r="CA7" i="75"/>
  <c r="CA6" i="75"/>
  <c r="CA5" i="75"/>
  <c r="CA4" i="75"/>
  <c r="BU28" i="75"/>
  <c r="BU27" i="75"/>
  <c r="BU26" i="75"/>
  <c r="BU25" i="75"/>
  <c r="BU24" i="75"/>
  <c r="BU23" i="75"/>
  <c r="BU22" i="75"/>
  <c r="BU21" i="75"/>
  <c r="BU20" i="75"/>
  <c r="BU19" i="75"/>
  <c r="BU18" i="75"/>
  <c r="BU17" i="75"/>
  <c r="BU16" i="75"/>
  <c r="BU15" i="75"/>
  <c r="BU14" i="75"/>
  <c r="BU13" i="75"/>
  <c r="BU12" i="75"/>
  <c r="BU11" i="75"/>
  <c r="BU10" i="75"/>
  <c r="BU9" i="75"/>
  <c r="BU8" i="75"/>
  <c r="BU7" i="75"/>
  <c r="BU6" i="75"/>
  <c r="BU5" i="75"/>
  <c r="BU4" i="75"/>
  <c r="BO28" i="75"/>
  <c r="BO27" i="75"/>
  <c r="BO26" i="75"/>
  <c r="BO25" i="75"/>
  <c r="BO24" i="75"/>
  <c r="BO23" i="75"/>
  <c r="BO22" i="75"/>
  <c r="BO21" i="75"/>
  <c r="BO20" i="75"/>
  <c r="BO19" i="75"/>
  <c r="BO18" i="75"/>
  <c r="BO17" i="75"/>
  <c r="BO16" i="75"/>
  <c r="BO15" i="75"/>
  <c r="BO14" i="75"/>
  <c r="BO13" i="75"/>
  <c r="BO12" i="75"/>
  <c r="BO11" i="75"/>
  <c r="BO10" i="75"/>
  <c r="BO9" i="75"/>
  <c r="BO8" i="75"/>
  <c r="BO7" i="75"/>
  <c r="BO6" i="75"/>
  <c r="BO5" i="75"/>
  <c r="BO4" i="75"/>
  <c r="BI28" i="75"/>
  <c r="BI27" i="75"/>
  <c r="BI26" i="75"/>
  <c r="BI25" i="75"/>
  <c r="BI24" i="75"/>
  <c r="BI23" i="75"/>
  <c r="BI22" i="75"/>
  <c r="BI21" i="75"/>
  <c r="BI20" i="75"/>
  <c r="BI19" i="75"/>
  <c r="BI18" i="75"/>
  <c r="BI17" i="75"/>
  <c r="BI16" i="75"/>
  <c r="BI15" i="75"/>
  <c r="BI14" i="75"/>
  <c r="BI13" i="75"/>
  <c r="BI12" i="75"/>
  <c r="BI11" i="75"/>
  <c r="BI10" i="75"/>
  <c r="BI9" i="75"/>
  <c r="BI8" i="75"/>
  <c r="BI7" i="75"/>
  <c r="BI6" i="75"/>
  <c r="BI5" i="75"/>
  <c r="BI4" i="75"/>
  <c r="AO28" i="75"/>
  <c r="AO27" i="75"/>
  <c r="AO26" i="75"/>
  <c r="AO25" i="75"/>
  <c r="AO24" i="75"/>
  <c r="AO23" i="75"/>
  <c r="AO22" i="75"/>
  <c r="AO21" i="75"/>
  <c r="AO20" i="75"/>
  <c r="AO19" i="75"/>
  <c r="AO18" i="75"/>
  <c r="AO17" i="75"/>
  <c r="AO16" i="75"/>
  <c r="AO15" i="75"/>
  <c r="AO14" i="75"/>
  <c r="AO13" i="75"/>
  <c r="AO12" i="75"/>
  <c r="AO11" i="75"/>
  <c r="AO10" i="75"/>
  <c r="AO9" i="75"/>
  <c r="AO8" i="75"/>
  <c r="AO7" i="75"/>
  <c r="AO6" i="75"/>
  <c r="AO5" i="75"/>
  <c r="AO4" i="75"/>
  <c r="AC28" i="75"/>
  <c r="AC27" i="75"/>
  <c r="AC26" i="75"/>
  <c r="AC25" i="75"/>
  <c r="AC24" i="75"/>
  <c r="AC23" i="75"/>
  <c r="AC22" i="75"/>
  <c r="AC21" i="75"/>
  <c r="AC20" i="75"/>
  <c r="AC19" i="75"/>
  <c r="AC18" i="75"/>
  <c r="AC17" i="75"/>
  <c r="AC16" i="75"/>
  <c r="AC15" i="75"/>
  <c r="AC14" i="75"/>
  <c r="AC13" i="75"/>
  <c r="AC12" i="75"/>
  <c r="AC11" i="75"/>
  <c r="AC10" i="75"/>
  <c r="AC9" i="75"/>
  <c r="AC8" i="75"/>
  <c r="AC7" i="75"/>
  <c r="AC6" i="75"/>
  <c r="AC5" i="75"/>
  <c r="AC4" i="75"/>
  <c r="W28" i="75"/>
  <c r="W27" i="75"/>
  <c r="W26" i="75"/>
  <c r="W25" i="75"/>
  <c r="W24" i="75"/>
  <c r="W23" i="75"/>
  <c r="W22" i="75"/>
  <c r="W21" i="75"/>
  <c r="W20" i="75"/>
  <c r="W19" i="75"/>
  <c r="W18" i="75"/>
  <c r="W17" i="75"/>
  <c r="W16" i="75"/>
  <c r="W15" i="75"/>
  <c r="W14" i="75"/>
  <c r="W13" i="75"/>
  <c r="W12" i="75"/>
  <c r="W11" i="75"/>
  <c r="W10" i="75"/>
  <c r="W9" i="75"/>
  <c r="W8" i="75"/>
  <c r="W7" i="75"/>
  <c r="W6" i="75"/>
  <c r="W5" i="75"/>
  <c r="W4" i="75"/>
  <c r="Q28" i="75"/>
  <c r="Q27" i="75"/>
  <c r="Q26" i="75"/>
  <c r="Q25" i="75"/>
  <c r="Q24" i="75"/>
  <c r="Q23" i="75"/>
  <c r="Q22" i="75"/>
  <c r="Q21" i="75"/>
  <c r="Q20" i="75"/>
  <c r="Q19" i="75"/>
  <c r="Q18" i="75"/>
  <c r="Q17" i="75"/>
  <c r="Q16" i="75"/>
  <c r="Q15" i="75"/>
  <c r="Q14" i="75"/>
  <c r="Q13" i="75"/>
  <c r="Q12" i="75"/>
  <c r="Q11" i="75"/>
  <c r="Q10" i="75"/>
  <c r="Q9" i="75"/>
  <c r="Q8" i="75"/>
  <c r="Q7" i="75"/>
  <c r="Q6" i="75"/>
  <c r="Q5" i="75"/>
  <c r="Q4" i="75"/>
  <c r="K28" i="75"/>
  <c r="K27" i="75"/>
  <c r="K26" i="75"/>
  <c r="K25" i="75"/>
  <c r="K24" i="75"/>
  <c r="K23" i="75"/>
  <c r="K22" i="75"/>
  <c r="K21" i="75"/>
  <c r="K20" i="75"/>
  <c r="K19" i="75"/>
  <c r="K18" i="75"/>
  <c r="K17" i="75"/>
  <c r="K16" i="75"/>
  <c r="K15" i="75"/>
  <c r="K14" i="75"/>
  <c r="K13" i="75"/>
  <c r="K12" i="75"/>
  <c r="K11" i="75"/>
  <c r="K10" i="75"/>
  <c r="K9" i="75"/>
  <c r="K8" i="75"/>
  <c r="K7" i="75"/>
  <c r="K6" i="75"/>
  <c r="K5" i="75"/>
  <c r="K4" i="75"/>
  <c r="CC18" i="75" l="1"/>
  <c r="CC19" i="75" s="1"/>
  <c r="CC20" i="75" s="1"/>
  <c r="CC21" i="75" s="1"/>
  <c r="CC24" i="75"/>
  <c r="CC25" i="75" s="1"/>
  <c r="CC26" i="75" s="1"/>
  <c r="M17" i="75"/>
  <c r="B479" i="79"/>
  <c r="H281" i="79"/>
  <c r="H337" i="79" s="1"/>
  <c r="H393" i="79" s="1"/>
  <c r="H421" i="79" s="1"/>
  <c r="H280" i="79"/>
  <c r="H336" i="79" s="1"/>
  <c r="H392" i="79" s="1"/>
  <c r="H420" i="79" s="1"/>
  <c r="B462" i="79"/>
  <c r="B292" i="79"/>
  <c r="B459" i="79"/>
  <c r="H283" i="79"/>
  <c r="H339" i="79" s="1"/>
  <c r="H395" i="79" s="1"/>
  <c r="H423" i="79" s="1"/>
  <c r="N21" i="75"/>
  <c r="H265" i="79"/>
  <c r="H321" i="79" s="1"/>
  <c r="H377" i="79" s="1"/>
  <c r="H405" i="79" s="1"/>
  <c r="N13" i="75"/>
  <c r="T13" i="75" s="1"/>
  <c r="Z13" i="75" s="1"/>
  <c r="B471" i="79"/>
  <c r="T5" i="75"/>
  <c r="T23" i="75"/>
  <c r="T24" i="75"/>
  <c r="T25" i="75"/>
  <c r="T17" i="75"/>
  <c r="T3" i="75"/>
  <c r="T22" i="75"/>
  <c r="T27" i="75"/>
  <c r="T12" i="75"/>
  <c r="T28" i="75"/>
  <c r="N19" i="75"/>
  <c r="N18" i="75"/>
  <c r="N4" i="75"/>
  <c r="N20" i="75"/>
  <c r="N15" i="75"/>
  <c r="N7" i="75"/>
  <c r="N8" i="75"/>
  <c r="N16" i="75"/>
  <c r="N6" i="75"/>
  <c r="N9" i="75"/>
  <c r="N14" i="75"/>
  <c r="N10" i="75"/>
  <c r="N26" i="75"/>
  <c r="N11" i="75"/>
  <c r="H279" i="79"/>
  <c r="H335" i="79" s="1"/>
  <c r="H391" i="79" s="1"/>
  <c r="H419" i="79" s="1"/>
  <c r="H260" i="79"/>
  <c r="H316" i="79" s="1"/>
  <c r="H372" i="79" s="1"/>
  <c r="H400" i="79" s="1"/>
  <c r="B472" i="79"/>
  <c r="H269" i="79"/>
  <c r="H325" i="79" s="1"/>
  <c r="H381" i="79" s="1"/>
  <c r="H409" i="79" s="1"/>
  <c r="H266" i="79"/>
  <c r="H322" i="79" s="1"/>
  <c r="H378" i="79" s="1"/>
  <c r="H406" i="79" s="1"/>
  <c r="H261" i="79"/>
  <c r="H317" i="79" s="1"/>
  <c r="H373" i="79" s="1"/>
  <c r="H401" i="79" s="1"/>
  <c r="B455" i="79"/>
  <c r="B456" i="79"/>
  <c r="B466" i="79"/>
  <c r="H275" i="79"/>
  <c r="H331" i="79" s="1"/>
  <c r="H387" i="79" s="1"/>
  <c r="H415" i="79" s="1"/>
  <c r="H270" i="79"/>
  <c r="H326" i="79" s="1"/>
  <c r="H382" i="79" s="1"/>
  <c r="H410" i="79" s="1"/>
  <c r="B467" i="79"/>
  <c r="B469" i="79"/>
  <c r="B477" i="79"/>
  <c r="H263" i="79"/>
  <c r="H319" i="79" s="1"/>
  <c r="H375" i="79" s="1"/>
  <c r="H403" i="79" s="1"/>
  <c r="B457" i="79"/>
  <c r="H274" i="79"/>
  <c r="H330" i="79" s="1"/>
  <c r="H386" i="79" s="1"/>
  <c r="H414" i="79" s="1"/>
  <c r="B474" i="79"/>
  <c r="H278" i="79"/>
  <c r="H334" i="79" s="1"/>
  <c r="H390" i="79" s="1"/>
  <c r="H418" i="79" s="1"/>
  <c r="B468" i="79"/>
  <c r="B401" i="79"/>
  <c r="B317" i="79"/>
  <c r="B345" i="79"/>
  <c r="I200" i="79"/>
  <c r="I180" i="79"/>
  <c r="I186" i="79"/>
  <c r="I198" i="79"/>
  <c r="I193" i="79"/>
  <c r="I196" i="79"/>
  <c r="I176" i="79"/>
  <c r="I191" i="79"/>
  <c r="K514" i="79"/>
  <c r="K515" i="79" s="1"/>
  <c r="B375" i="79" s="1"/>
  <c r="I185" i="79"/>
  <c r="I183" i="79"/>
  <c r="I195" i="79"/>
  <c r="H516" i="79"/>
  <c r="H517" i="79" s="1"/>
  <c r="B349" i="79" s="1"/>
  <c r="I188" i="79"/>
  <c r="I178" i="79"/>
  <c r="F437" i="79"/>
  <c r="F439" i="79" s="1"/>
  <c r="F438" i="79"/>
  <c r="F440" i="79" s="1"/>
  <c r="F444" i="79"/>
  <c r="F446" i="79" s="1"/>
  <c r="B397" i="79"/>
  <c r="I400" i="79" s="1"/>
  <c r="I401" i="79" s="1"/>
  <c r="I402" i="79" s="1"/>
  <c r="I403" i="79" s="1"/>
  <c r="I404" i="79" s="1"/>
  <c r="I405" i="79" s="1"/>
  <c r="I406" i="79" s="1"/>
  <c r="I407" i="79" s="1"/>
  <c r="I408" i="79" s="1"/>
  <c r="I409" i="79" s="1"/>
  <c r="I410" i="79" s="1"/>
  <c r="I411" i="79" s="1"/>
  <c r="I412" i="79" s="1"/>
  <c r="I413" i="79" s="1"/>
  <c r="I414" i="79" s="1"/>
  <c r="I415" i="79" s="1"/>
  <c r="I416" i="79" s="1"/>
  <c r="I417" i="79" s="1"/>
  <c r="I418" i="79" s="1"/>
  <c r="I419" i="79" s="1"/>
  <c r="I420" i="79" s="1"/>
  <c r="I421" i="79" s="1"/>
  <c r="I422" i="79" s="1"/>
  <c r="I423" i="79" s="1"/>
  <c r="I424" i="79" s="1"/>
  <c r="B346" i="79"/>
  <c r="F515" i="79"/>
  <c r="F451" i="79"/>
  <c r="B402" i="79"/>
  <c r="I190" i="79"/>
  <c r="I187" i="79"/>
  <c r="I194" i="79"/>
  <c r="I182" i="79"/>
  <c r="I192" i="79"/>
  <c r="I177" i="79"/>
  <c r="I184" i="79"/>
  <c r="I189" i="79"/>
  <c r="I197" i="79"/>
  <c r="I199" i="79"/>
  <c r="I179" i="79"/>
  <c r="E4" i="71"/>
  <c r="E5" i="71" s="1"/>
  <c r="E6" i="71" s="1"/>
  <c r="E7" i="71" s="1"/>
  <c r="E8" i="71" s="1"/>
  <c r="E9" i="71" s="1"/>
  <c r="E10" i="71" s="1"/>
  <c r="E11" i="71" s="1"/>
  <c r="E12" i="71" s="1"/>
  <c r="E14" i="71" s="1"/>
  <c r="E15" i="71" s="1"/>
  <c r="E16" i="71" s="1"/>
  <c r="E17" i="71" s="1"/>
  <c r="E18" i="71" s="1"/>
  <c r="E19" i="71" s="1"/>
  <c r="E20" i="71" s="1"/>
  <c r="E21" i="71" s="1"/>
  <c r="E22" i="71" s="1"/>
  <c r="E23" i="71" s="1"/>
  <c r="E24" i="71" s="1"/>
  <c r="E25" i="71" s="1"/>
  <c r="E26" i="71" s="1"/>
  <c r="E27" i="71" s="1"/>
  <c r="E28" i="71" s="1"/>
  <c r="CE24" i="75"/>
  <c r="CE17" i="75"/>
  <c r="CE18" i="75" s="1"/>
  <c r="CE4" i="75"/>
  <c r="CE5" i="75"/>
  <c r="CE6" i="75" s="1"/>
  <c r="CE7" i="75" s="1"/>
  <c r="CE8" i="75" s="1"/>
  <c r="CE9" i="75" s="1"/>
  <c r="CC7" i="75"/>
  <c r="CC8" i="75" s="1"/>
  <c r="CC9" i="75" s="1"/>
  <c r="BY3" i="75"/>
  <c r="BS3" i="75"/>
  <c r="BT4" i="75"/>
  <c r="BT5" i="75" s="1"/>
  <c r="BT6" i="75" s="1"/>
  <c r="BT7" i="75" s="1"/>
  <c r="BT8" i="75" s="1"/>
  <c r="BT9" i="75" s="1"/>
  <c r="BT10" i="75" s="1"/>
  <c r="BT11" i="75" s="1"/>
  <c r="BT12" i="75" s="1"/>
  <c r="BT13" i="75" s="1"/>
  <c r="BT14" i="75" s="1"/>
  <c r="BT15" i="75" s="1"/>
  <c r="BT16" i="75" s="1"/>
  <c r="BT17" i="75" s="1"/>
  <c r="BT18" i="75" s="1"/>
  <c r="BT19" i="75" s="1"/>
  <c r="BT20" i="75" s="1"/>
  <c r="BT21" i="75" s="1"/>
  <c r="BT22" i="75" s="1"/>
  <c r="BT23" i="75" s="1"/>
  <c r="BT24" i="75" s="1"/>
  <c r="BT25" i="75" s="1"/>
  <c r="BT26" i="75" s="1"/>
  <c r="BT27" i="75" s="1"/>
  <c r="BT28" i="75" s="1"/>
  <c r="BN4" i="75"/>
  <c r="BN5" i="75" s="1"/>
  <c r="BN6" i="75" s="1"/>
  <c r="BN7" i="75" s="1"/>
  <c r="BN8" i="75" s="1"/>
  <c r="BN9" i="75" s="1"/>
  <c r="BN10" i="75" s="1"/>
  <c r="BN11" i="75" s="1"/>
  <c r="BN12" i="75" s="1"/>
  <c r="BN13" i="75" s="1"/>
  <c r="BN14" i="75" s="1"/>
  <c r="BN15" i="75" s="1"/>
  <c r="BN16" i="75" s="1"/>
  <c r="BN17" i="75" s="1"/>
  <c r="BN18" i="75" s="1"/>
  <c r="BN19" i="75" s="1"/>
  <c r="BN20" i="75" s="1"/>
  <c r="BN21" i="75" s="1"/>
  <c r="BN22" i="75" s="1"/>
  <c r="BN23" i="75" s="1"/>
  <c r="BN24" i="75" s="1"/>
  <c r="BN25" i="75" s="1"/>
  <c r="BN26" i="75" s="1"/>
  <c r="BN27" i="75" s="1"/>
  <c r="BN28" i="75" s="1"/>
  <c r="BG5" i="75"/>
  <c r="BG6" i="75" s="1"/>
  <c r="BG7" i="75" s="1"/>
  <c r="BG8" i="75" s="1"/>
  <c r="BG9" i="75" s="1"/>
  <c r="BG10" i="75" s="1"/>
  <c r="BG11" i="75" s="1"/>
  <c r="BG12" i="75" s="1"/>
  <c r="BG13" i="75" s="1"/>
  <c r="BG14" i="75" s="1"/>
  <c r="BG15" i="75" s="1"/>
  <c r="BG16" i="75" s="1"/>
  <c r="BG17" i="75" s="1"/>
  <c r="BG18" i="75" s="1"/>
  <c r="BG19" i="75" s="1"/>
  <c r="BG20" i="75" s="1"/>
  <c r="BG21" i="75" s="1"/>
  <c r="BG22" i="75" s="1"/>
  <c r="BG23" i="75" s="1"/>
  <c r="BG24" i="75" s="1"/>
  <c r="BG25" i="75" s="1"/>
  <c r="BG26" i="75" s="1"/>
  <c r="BG27" i="75" s="1"/>
  <c r="BG28" i="75" s="1"/>
  <c r="T1" i="76"/>
  <c r="AN4" i="75"/>
  <c r="AN5" i="75" s="1"/>
  <c r="AN6" i="75" s="1"/>
  <c r="AN7" i="75" s="1"/>
  <c r="AN8" i="75" s="1"/>
  <c r="AN9" i="75" s="1"/>
  <c r="AN10" i="75" s="1"/>
  <c r="AN11" i="75" s="1"/>
  <c r="AN12" i="75" s="1"/>
  <c r="AN13" i="75" s="1"/>
  <c r="AN14" i="75" s="1"/>
  <c r="AN15" i="75" s="1"/>
  <c r="AN16" i="75" s="1"/>
  <c r="AN17" i="75" s="1"/>
  <c r="AN18" i="75" s="1"/>
  <c r="AN19" i="75" s="1"/>
  <c r="AN20" i="75" s="1"/>
  <c r="AN21" i="75" s="1"/>
  <c r="AN22" i="75" s="1"/>
  <c r="AN23" i="75" s="1"/>
  <c r="AN24" i="75" s="1"/>
  <c r="AN25" i="75" s="1"/>
  <c r="AN26" i="75" s="1"/>
  <c r="AN27" i="75" s="1"/>
  <c r="AN28" i="75" s="1"/>
  <c r="AB4" i="75"/>
  <c r="AB2" i="75"/>
  <c r="AA3" i="75"/>
  <c r="A3" i="75"/>
  <c r="N512" i="79"/>
  <c r="AK2" i="75"/>
  <c r="AB26" i="75"/>
  <c r="I25" i="75"/>
  <c r="I22" i="75"/>
  <c r="I21" i="75"/>
  <c r="I19" i="75"/>
  <c r="I18" i="75"/>
  <c r="I17" i="75"/>
  <c r="I16" i="75"/>
  <c r="I15" i="75"/>
  <c r="I14" i="75"/>
  <c r="I13" i="75"/>
  <c r="I12" i="75"/>
  <c r="I11" i="75"/>
  <c r="I9" i="75"/>
  <c r="I8" i="75"/>
  <c r="I7" i="75"/>
  <c r="I6" i="75"/>
  <c r="I5" i="75"/>
  <c r="I4" i="75"/>
  <c r="V20" i="75"/>
  <c r="P26" i="75"/>
  <c r="N514" i="79"/>
  <c r="G2" i="75"/>
  <c r="J28" i="75" s="1"/>
  <c r="D25" i="71"/>
  <c r="M18" i="75" l="1"/>
  <c r="B205" i="79"/>
  <c r="B233" i="79"/>
  <c r="F261" i="79"/>
  <c r="B293" i="79"/>
  <c r="T21" i="75"/>
  <c r="Z21" i="75" s="1"/>
  <c r="Z5" i="75"/>
  <c r="T7" i="75"/>
  <c r="Z27" i="75"/>
  <c r="T10" i="75"/>
  <c r="T16" i="75"/>
  <c r="T14" i="75"/>
  <c r="T19" i="75"/>
  <c r="Z17" i="75"/>
  <c r="T8" i="75"/>
  <c r="Z25" i="75"/>
  <c r="T9" i="75"/>
  <c r="T15" i="75"/>
  <c r="T20" i="75"/>
  <c r="T4" i="75"/>
  <c r="Z3" i="75"/>
  <c r="Z24" i="75"/>
  <c r="Z22" i="75"/>
  <c r="T11" i="75"/>
  <c r="Z28" i="75"/>
  <c r="T18" i="75"/>
  <c r="T6" i="75"/>
  <c r="Z23" i="75"/>
  <c r="T26" i="75"/>
  <c r="Z12" i="75"/>
  <c r="B348" i="79"/>
  <c r="B374" i="79"/>
  <c r="H518" i="79"/>
  <c r="B350" i="79" s="1"/>
  <c r="K516" i="79"/>
  <c r="K517" i="79" s="1"/>
  <c r="B403" i="79"/>
  <c r="F516" i="79"/>
  <c r="B319" i="79"/>
  <c r="G3" i="75"/>
  <c r="O4" i="75"/>
  <c r="O25" i="75"/>
  <c r="O6" i="75"/>
  <c r="O15" i="75"/>
  <c r="O21" i="75"/>
  <c r="O8" i="75"/>
  <c r="O14" i="75"/>
  <c r="O16" i="75"/>
  <c r="O18" i="75"/>
  <c r="O9" i="75"/>
  <c r="O11" i="75"/>
  <c r="O17" i="75"/>
  <c r="O19" i="75"/>
  <c r="O22" i="75"/>
  <c r="O7" i="75"/>
  <c r="O12" i="75"/>
  <c r="O13" i="75"/>
  <c r="O5" i="75"/>
  <c r="CC27" i="75"/>
  <c r="CE25" i="75"/>
  <c r="CE27" i="75" s="1"/>
  <c r="CE26" i="75"/>
  <c r="CE19" i="75"/>
  <c r="CE21" i="75" s="1"/>
  <c r="CE20" i="75"/>
  <c r="CE12" i="75"/>
  <c r="BZ4" i="75"/>
  <c r="BZ5" i="75" s="1"/>
  <c r="BZ6" i="75" s="1"/>
  <c r="BZ7" i="75" s="1"/>
  <c r="BZ8" i="75" s="1"/>
  <c r="BZ9" i="75" s="1"/>
  <c r="BZ10" i="75" s="1"/>
  <c r="BZ11" i="75" s="1"/>
  <c r="BZ12" i="75" s="1"/>
  <c r="BZ13" i="75" s="1"/>
  <c r="BZ14" i="75" s="1"/>
  <c r="BZ15" i="75" s="1"/>
  <c r="BZ16" i="75" s="1"/>
  <c r="BZ17" i="75" s="1"/>
  <c r="BZ18" i="75" s="1"/>
  <c r="BZ19" i="75" s="1"/>
  <c r="BZ20" i="75" s="1"/>
  <c r="BZ21" i="75" s="1"/>
  <c r="BZ22" i="75" s="1"/>
  <c r="BZ23" i="75" s="1"/>
  <c r="BZ24" i="75" s="1"/>
  <c r="BZ25" i="75" s="1"/>
  <c r="BZ26" i="75" s="1"/>
  <c r="BZ27" i="75" s="1"/>
  <c r="BZ28" i="75" s="1"/>
  <c r="O3" i="75"/>
  <c r="I3" i="75"/>
  <c r="U3" i="75"/>
  <c r="N513" i="79"/>
  <c r="O28" i="75"/>
  <c r="I26" i="75"/>
  <c r="AB7" i="75"/>
  <c r="AB27" i="75"/>
  <c r="I20" i="75"/>
  <c r="I23" i="75"/>
  <c r="AB23" i="75"/>
  <c r="AB28" i="75"/>
  <c r="I24" i="75"/>
  <c r="AB11" i="75"/>
  <c r="AB12" i="75"/>
  <c r="AB13" i="75"/>
  <c r="AB16" i="75"/>
  <c r="O27" i="75"/>
  <c r="AB19" i="75"/>
  <c r="AB14" i="75"/>
  <c r="AB15" i="75"/>
  <c r="AB17" i="75"/>
  <c r="AB18" i="75"/>
  <c r="AB20" i="75"/>
  <c r="AB5" i="75"/>
  <c r="AB21" i="75"/>
  <c r="I10" i="75"/>
  <c r="AB6" i="75"/>
  <c r="AB22" i="75"/>
  <c r="AB8" i="75"/>
  <c r="AB24" i="75"/>
  <c r="AB9" i="75"/>
  <c r="AB25" i="75"/>
  <c r="AB10" i="75"/>
  <c r="V6" i="75"/>
  <c r="V17" i="75"/>
  <c r="V25" i="75"/>
  <c r="V14" i="75"/>
  <c r="V12" i="75"/>
  <c r="V9" i="75"/>
  <c r="V7" i="75"/>
  <c r="V19" i="75"/>
  <c r="V27" i="75"/>
  <c r="V21" i="75"/>
  <c r="V26" i="75"/>
  <c r="V24" i="75"/>
  <c r="V13" i="75"/>
  <c r="V18" i="75"/>
  <c r="V10" i="75"/>
  <c r="V23" i="75"/>
  <c r="V5" i="75"/>
  <c r="V4" i="75"/>
  <c r="V28" i="75"/>
  <c r="V22" i="75"/>
  <c r="V11" i="75"/>
  <c r="V15" i="75"/>
  <c r="V8" i="75"/>
  <c r="V16" i="75"/>
  <c r="P4" i="75"/>
  <c r="P5" i="75"/>
  <c r="P12" i="75"/>
  <c r="J16" i="75"/>
  <c r="F262" i="79"/>
  <c r="B235" i="79"/>
  <c r="P20" i="75"/>
  <c r="P7" i="75"/>
  <c r="P11" i="75"/>
  <c r="P28" i="75"/>
  <c r="P9" i="75"/>
  <c r="P6" i="75"/>
  <c r="P8" i="75"/>
  <c r="P25" i="75"/>
  <c r="P10" i="75"/>
  <c r="P23" i="75"/>
  <c r="P27" i="75"/>
  <c r="J6" i="75"/>
  <c r="J17" i="75"/>
  <c r="J5" i="75"/>
  <c r="J15" i="75"/>
  <c r="J24" i="75"/>
  <c r="J18" i="75"/>
  <c r="J7" i="75"/>
  <c r="J20" i="75"/>
  <c r="N515" i="79"/>
  <c r="J23" i="75"/>
  <c r="P13" i="75"/>
  <c r="P14" i="75"/>
  <c r="P21" i="75"/>
  <c r="P22" i="75"/>
  <c r="J25" i="75"/>
  <c r="J19" i="75"/>
  <c r="P24" i="75"/>
  <c r="J11" i="75"/>
  <c r="J8" i="75"/>
  <c r="P15" i="75"/>
  <c r="P16" i="75"/>
  <c r="P17" i="75"/>
  <c r="P18" i="75"/>
  <c r="J12" i="75"/>
  <c r="J26" i="75"/>
  <c r="J4" i="75"/>
  <c r="P19" i="75"/>
  <c r="J9" i="75"/>
  <c r="J27" i="75"/>
  <c r="J13" i="75"/>
  <c r="J14" i="75"/>
  <c r="J21" i="75"/>
  <c r="J22" i="75"/>
  <c r="J10" i="75"/>
  <c r="M19" i="75" l="1"/>
  <c r="B376" i="79"/>
  <c r="B294" i="79"/>
  <c r="B234" i="79"/>
  <c r="B206" i="79"/>
  <c r="Z6" i="75"/>
  <c r="Z20" i="75"/>
  <c r="Z16" i="75"/>
  <c r="Z19" i="75"/>
  <c r="Z18" i="75"/>
  <c r="Z15" i="75"/>
  <c r="Z10" i="75"/>
  <c r="Z9" i="75"/>
  <c r="Z8" i="75"/>
  <c r="Z14" i="75"/>
  <c r="Z4" i="75"/>
  <c r="Z11" i="75"/>
  <c r="Z7" i="75"/>
  <c r="Z26" i="75"/>
  <c r="H519" i="79"/>
  <c r="H520" i="79" s="1"/>
  <c r="B320" i="79"/>
  <c r="F517" i="79"/>
  <c r="B377" i="79"/>
  <c r="K518" i="79"/>
  <c r="B404" i="79"/>
  <c r="U28" i="75"/>
  <c r="U4" i="75"/>
  <c r="U27" i="75"/>
  <c r="U18" i="75"/>
  <c r="U16" i="75"/>
  <c r="U14" i="75"/>
  <c r="U8" i="75"/>
  <c r="O24" i="75"/>
  <c r="U22" i="75"/>
  <c r="U19" i="75"/>
  <c r="U21" i="75"/>
  <c r="O26" i="75"/>
  <c r="U17" i="75"/>
  <c r="U15" i="75"/>
  <c r="O20" i="75"/>
  <c r="U13" i="75"/>
  <c r="U12" i="75"/>
  <c r="U7" i="75"/>
  <c r="U11" i="75"/>
  <c r="O23" i="75"/>
  <c r="U6" i="75"/>
  <c r="O10" i="75"/>
  <c r="U9" i="75"/>
  <c r="U25" i="75"/>
  <c r="U5" i="75"/>
  <c r="CE14" i="75"/>
  <c r="CE13" i="75"/>
  <c r="CE15" i="75" s="1"/>
  <c r="F263" i="79"/>
  <c r="B236" i="79"/>
  <c r="G54" i="67"/>
  <c r="G55" i="67" s="1"/>
  <c r="G56" i="67" s="1"/>
  <c r="G57" i="67" s="1"/>
  <c r="G58" i="67" s="1"/>
  <c r="G59" i="67" s="1"/>
  <c r="G60" i="67" s="1"/>
  <c r="G61" i="67" s="1"/>
  <c r="G62" i="67" s="1"/>
  <c r="G63" i="67" s="1"/>
  <c r="G64" i="67" s="1"/>
  <c r="G65" i="67" s="1"/>
  <c r="G66" i="67" s="1"/>
  <c r="G67" i="67" s="1"/>
  <c r="G68" i="67" s="1"/>
  <c r="G69" i="67" s="1"/>
  <c r="G70" i="67" s="1"/>
  <c r="G71" i="67" s="1"/>
  <c r="G72" i="67" s="1"/>
  <c r="G73" i="67" s="1"/>
  <c r="G74" i="67" s="1"/>
  <c r="G75" i="67" s="1"/>
  <c r="G76" i="67" s="1"/>
  <c r="G77" i="67" s="1"/>
  <c r="G78" i="67" s="1"/>
  <c r="G79" i="67" s="1"/>
  <c r="G80" i="67" s="1"/>
  <c r="G81" i="67" s="1"/>
  <c r="G82" i="67" s="1"/>
  <c r="G83" i="67" s="1"/>
  <c r="G84" i="67" s="1"/>
  <c r="G85" i="67" s="1"/>
  <c r="G86" i="67" s="1"/>
  <c r="G87" i="67" s="1"/>
  <c r="G88" i="67" s="1"/>
  <c r="G89" i="67" s="1"/>
  <c r="G90" i="67" s="1"/>
  <c r="G91" i="67" s="1"/>
  <c r="G92" i="67" s="1"/>
  <c r="G93" i="67" s="1"/>
  <c r="G94" i="67" s="1"/>
  <c r="G95" i="67" s="1"/>
  <c r="G96" i="67" s="1"/>
  <c r="G97" i="67" s="1"/>
  <c r="G98" i="67" s="1"/>
  <c r="G99" i="67" s="1"/>
  <c r="F54" i="67"/>
  <c r="F55" i="67" s="1"/>
  <c r="F56" i="67" s="1"/>
  <c r="F57" i="67" s="1"/>
  <c r="F58" i="67" s="1"/>
  <c r="F59" i="67" s="1"/>
  <c r="F60" i="67" s="1"/>
  <c r="F61" i="67" s="1"/>
  <c r="F62" i="67" s="1"/>
  <c r="F63" i="67" s="1"/>
  <c r="F64" i="67" s="1"/>
  <c r="F65" i="67" s="1"/>
  <c r="F66" i="67" s="1"/>
  <c r="F67" i="67" s="1"/>
  <c r="F68" i="67" s="1"/>
  <c r="F69" i="67" s="1"/>
  <c r="F70" i="67" s="1"/>
  <c r="F71" i="67" s="1"/>
  <c r="F72" i="67" s="1"/>
  <c r="F73" i="67" s="1"/>
  <c r="F74" i="67" s="1"/>
  <c r="F75" i="67" s="1"/>
  <c r="F76" i="67" s="1"/>
  <c r="F77" i="67" s="1"/>
  <c r="F78" i="67" s="1"/>
  <c r="F79" i="67" s="1"/>
  <c r="F80" i="67" s="1"/>
  <c r="F81" i="67" s="1"/>
  <c r="F82" i="67" s="1"/>
  <c r="F83" i="67" s="1"/>
  <c r="F84" i="67" s="1"/>
  <c r="F85" i="67" s="1"/>
  <c r="F86" i="67" s="1"/>
  <c r="F87" i="67" s="1"/>
  <c r="F88" i="67" s="1"/>
  <c r="F89" i="67" s="1"/>
  <c r="F90" i="67" s="1"/>
  <c r="F91" i="67" s="1"/>
  <c r="F92" i="67" s="1"/>
  <c r="F93" i="67" s="1"/>
  <c r="F94" i="67" s="1"/>
  <c r="F95" i="67" s="1"/>
  <c r="F96" i="67" s="1"/>
  <c r="F97" i="67" s="1"/>
  <c r="F98" i="67" s="1"/>
  <c r="F99" i="67" s="1"/>
  <c r="H54" i="67"/>
  <c r="H55" i="67" s="1"/>
  <c r="H56" i="67" s="1"/>
  <c r="H57" i="67" s="1"/>
  <c r="H58" i="67" s="1"/>
  <c r="H59" i="67" s="1"/>
  <c r="H60" i="67" s="1"/>
  <c r="H61" i="67" s="1"/>
  <c r="H62" i="67" s="1"/>
  <c r="H63" i="67" s="1"/>
  <c r="H64" i="67" s="1"/>
  <c r="H65" i="67" s="1"/>
  <c r="H66" i="67" s="1"/>
  <c r="H67" i="67" s="1"/>
  <c r="H68" i="67" s="1"/>
  <c r="H69" i="67" s="1"/>
  <c r="H70" i="67" s="1"/>
  <c r="H71" i="67" s="1"/>
  <c r="H72" i="67" s="1"/>
  <c r="H73" i="67" s="1"/>
  <c r="H74" i="67" s="1"/>
  <c r="H75" i="67" s="1"/>
  <c r="H76" i="67" s="1"/>
  <c r="H77" i="67" s="1"/>
  <c r="H78" i="67" s="1"/>
  <c r="H79" i="67" s="1"/>
  <c r="H80" i="67" s="1"/>
  <c r="H81" i="67" s="1"/>
  <c r="H82" i="67" s="1"/>
  <c r="H83" i="67" s="1"/>
  <c r="H84" i="67" s="1"/>
  <c r="H85" i="67" s="1"/>
  <c r="H86" i="67" s="1"/>
  <c r="H87" i="67" s="1"/>
  <c r="H88" i="67" s="1"/>
  <c r="H89" i="67" s="1"/>
  <c r="H90" i="67" s="1"/>
  <c r="H91" i="67" s="1"/>
  <c r="H92" i="67" s="1"/>
  <c r="H93" i="67" s="1"/>
  <c r="H94" i="67" s="1"/>
  <c r="H95" i="67" s="1"/>
  <c r="H96" i="67" s="1"/>
  <c r="H97" i="67" s="1"/>
  <c r="H98" i="67" s="1"/>
  <c r="H99" i="67" s="1"/>
  <c r="E54" i="67"/>
  <c r="E55" i="67" s="1"/>
  <c r="E56" i="67" s="1"/>
  <c r="E57" i="67" s="1"/>
  <c r="E58" i="67" s="1"/>
  <c r="E59" i="67" s="1"/>
  <c r="E60" i="67" s="1"/>
  <c r="E61" i="67" s="1"/>
  <c r="E62" i="67" s="1"/>
  <c r="E63" i="67" s="1"/>
  <c r="E64" i="67" s="1"/>
  <c r="E65" i="67" s="1"/>
  <c r="E66" i="67" s="1"/>
  <c r="E67" i="67" s="1"/>
  <c r="E68" i="67" s="1"/>
  <c r="E69" i="67" s="1"/>
  <c r="E70" i="67" s="1"/>
  <c r="E71" i="67" s="1"/>
  <c r="E72" i="67" s="1"/>
  <c r="E73" i="67" s="1"/>
  <c r="E74" i="67" s="1"/>
  <c r="E75" i="67" s="1"/>
  <c r="E76" i="67" s="1"/>
  <c r="E77" i="67" s="1"/>
  <c r="E78" i="67" s="1"/>
  <c r="E79" i="67" s="1"/>
  <c r="E80" i="67" s="1"/>
  <c r="E81" i="67" s="1"/>
  <c r="E82" i="67" s="1"/>
  <c r="E83" i="67" s="1"/>
  <c r="E84" i="67" s="1"/>
  <c r="E85" i="67" s="1"/>
  <c r="E86" i="67" s="1"/>
  <c r="E87" i="67" s="1"/>
  <c r="E88" i="67" s="1"/>
  <c r="E89" i="67" s="1"/>
  <c r="E90" i="67" s="1"/>
  <c r="E91" i="67" s="1"/>
  <c r="E92" i="67" s="1"/>
  <c r="E93" i="67" s="1"/>
  <c r="E94" i="67" s="1"/>
  <c r="E95" i="67" s="1"/>
  <c r="E96" i="67" s="1"/>
  <c r="E97" i="67" s="1"/>
  <c r="E98" i="67" s="1"/>
  <c r="E99" i="67" s="1"/>
  <c r="D55" i="67"/>
  <c r="D56" i="67" s="1"/>
  <c r="D57" i="67" s="1"/>
  <c r="D58" i="67" s="1"/>
  <c r="D59" i="67" s="1"/>
  <c r="D60" i="67" s="1"/>
  <c r="D61" i="67" s="1"/>
  <c r="D62" i="67" s="1"/>
  <c r="D63" i="67" s="1"/>
  <c r="D64" i="67" s="1"/>
  <c r="D65" i="67" s="1"/>
  <c r="D66" i="67" s="1"/>
  <c r="D67" i="67" s="1"/>
  <c r="D68" i="67" s="1"/>
  <c r="D69" i="67" s="1"/>
  <c r="D70" i="67" s="1"/>
  <c r="D71" i="67" s="1"/>
  <c r="D72" i="67" s="1"/>
  <c r="D73" i="67" s="1"/>
  <c r="D74" i="67" s="1"/>
  <c r="D75" i="67" s="1"/>
  <c r="D76" i="67" s="1"/>
  <c r="D77" i="67" s="1"/>
  <c r="D78" i="67" s="1"/>
  <c r="D79" i="67" s="1"/>
  <c r="D80" i="67" s="1"/>
  <c r="D81" i="67" s="1"/>
  <c r="D82" i="67" s="1"/>
  <c r="D83" i="67" s="1"/>
  <c r="D84" i="67" s="1"/>
  <c r="D85" i="67" s="1"/>
  <c r="D86" i="67" s="1"/>
  <c r="D87" i="67" s="1"/>
  <c r="D88" i="67" s="1"/>
  <c r="D89" i="67" s="1"/>
  <c r="D90" i="67" s="1"/>
  <c r="D91" i="67" s="1"/>
  <c r="D92" i="67" s="1"/>
  <c r="D93" i="67" s="1"/>
  <c r="D94" i="67" s="1"/>
  <c r="D95" i="67" s="1"/>
  <c r="D96" i="67" s="1"/>
  <c r="D97" i="67" s="1"/>
  <c r="D98" i="67" s="1"/>
  <c r="D99" i="67" s="1"/>
  <c r="D7" i="71"/>
  <c r="D10" i="71"/>
  <c r="D1" i="71"/>
  <c r="D4" i="71"/>
  <c r="D8" i="71"/>
  <c r="D16" i="71"/>
  <c r="C2" i="59"/>
  <c r="D37" i="59"/>
  <c r="C38" i="59"/>
  <c r="D38" i="59"/>
  <c r="D39" i="59"/>
  <c r="D40" i="59"/>
  <c r="D79" i="59"/>
  <c r="D80" i="59"/>
  <c r="D81" i="59"/>
  <c r="D83" i="59"/>
  <c r="D84" i="59"/>
  <c r="D87" i="59"/>
  <c r="D88" i="59"/>
  <c r="D89" i="59"/>
  <c r="D90" i="59"/>
  <c r="D91" i="59"/>
  <c r="D92" i="59"/>
  <c r="J84" i="71"/>
  <c r="J83" i="71"/>
  <c r="J82" i="71"/>
  <c r="J81" i="71"/>
  <c r="J80" i="71"/>
  <c r="J79" i="71"/>
  <c r="J77" i="71"/>
  <c r="J76" i="71"/>
  <c r="J74" i="71"/>
  <c r="J73" i="71"/>
  <c r="J72" i="71"/>
  <c r="J51" i="71"/>
  <c r="I51" i="71"/>
  <c r="J50" i="71"/>
  <c r="I49" i="71"/>
  <c r="B17" i="68"/>
  <c r="D19" i="68"/>
  <c r="M20" i="75" l="1"/>
  <c r="B351" i="79"/>
  <c r="B207" i="79"/>
  <c r="B295" i="79"/>
  <c r="B405" i="79"/>
  <c r="K519" i="79"/>
  <c r="B378" i="79"/>
  <c r="F518" i="79"/>
  <c r="B321" i="79"/>
  <c r="H521" i="79"/>
  <c r="B352" i="79"/>
  <c r="AA4" i="75"/>
  <c r="AA28" i="75"/>
  <c r="AA27" i="75"/>
  <c r="U24" i="75"/>
  <c r="AA11" i="75"/>
  <c r="AA21" i="75"/>
  <c r="AA9" i="75"/>
  <c r="U20" i="75"/>
  <c r="AA8" i="75"/>
  <c r="AA7" i="75"/>
  <c r="AA25" i="75"/>
  <c r="U10" i="75"/>
  <c r="AA15" i="75"/>
  <c r="AA14" i="75"/>
  <c r="AA19" i="75"/>
  <c r="AA12" i="75"/>
  <c r="AA22" i="75"/>
  <c r="AA13" i="75"/>
  <c r="AA6" i="75"/>
  <c r="AA17" i="75"/>
  <c r="AA16" i="75"/>
  <c r="U23" i="75"/>
  <c r="U26" i="75"/>
  <c r="AA18" i="75"/>
  <c r="AA5" i="75"/>
  <c r="N517" i="79"/>
  <c r="N516" i="79"/>
  <c r="F264" i="79"/>
  <c r="B237" i="79"/>
  <c r="A57" i="68"/>
  <c r="C56" i="68"/>
  <c r="A56" i="68"/>
  <c r="C55" i="68"/>
  <c r="A55" i="68"/>
  <c r="C54" i="68"/>
  <c r="A54" i="68"/>
  <c r="C53" i="68"/>
  <c r="A53" i="68"/>
  <c r="C52" i="68"/>
  <c r="A52" i="68"/>
  <c r="C51" i="68"/>
  <c r="A51" i="68"/>
  <c r="C50" i="68"/>
  <c r="A50" i="68"/>
  <c r="C49" i="68"/>
  <c r="A49" i="68"/>
  <c r="C48" i="68"/>
  <c r="A48" i="68"/>
  <c r="C47" i="68"/>
  <c r="A47" i="68"/>
  <c r="C46" i="68"/>
  <c r="A46" i="68"/>
  <c r="C45" i="68"/>
  <c r="A45" i="68"/>
  <c r="I75" i="68"/>
  <c r="I76" i="68" s="1"/>
  <c r="I77" i="68" s="1"/>
  <c r="I78" i="68" s="1"/>
  <c r="I79" i="68" s="1"/>
  <c r="I80" i="68" s="1"/>
  <c r="I81" i="68" s="1"/>
  <c r="I82" i="68" s="1"/>
  <c r="M21" i="75" l="1"/>
  <c r="B296" i="79"/>
  <c r="B208" i="79"/>
  <c r="AM5" i="75"/>
  <c r="AG5" i="75"/>
  <c r="AS5" i="75" s="1"/>
  <c r="AM18" i="75"/>
  <c r="AG18" i="75"/>
  <c r="AS18" i="75" s="1"/>
  <c r="AM16" i="75"/>
  <c r="AG16" i="75"/>
  <c r="AS16" i="75" s="1"/>
  <c r="AM17" i="75"/>
  <c r="AG17" i="75"/>
  <c r="AS17" i="75" s="1"/>
  <c r="AM6" i="75"/>
  <c r="BF6" i="75" s="1"/>
  <c r="BM6" i="75" s="1"/>
  <c r="BS6" i="75" s="1"/>
  <c r="BY6" i="75" s="1"/>
  <c r="AG6" i="75"/>
  <c r="AS6" i="75" s="1"/>
  <c r="AM13" i="75"/>
  <c r="BF13" i="75" s="1"/>
  <c r="BM13" i="75" s="1"/>
  <c r="AG13" i="75"/>
  <c r="AS13" i="75" s="1"/>
  <c r="AM22" i="75"/>
  <c r="BF22" i="75" s="1"/>
  <c r="BM22" i="75" s="1"/>
  <c r="BS22" i="75" s="1"/>
  <c r="BY22" i="75" s="1"/>
  <c r="AG22" i="75"/>
  <c r="AS22" i="75" s="1"/>
  <c r="AM12" i="75"/>
  <c r="BF12" i="75" s="1"/>
  <c r="BM12" i="75" s="1"/>
  <c r="AG12" i="75"/>
  <c r="AS12" i="75" s="1"/>
  <c r="AM19" i="75"/>
  <c r="BF19" i="75" s="1"/>
  <c r="BM19" i="75" s="1"/>
  <c r="BS19" i="75" s="1"/>
  <c r="BY19" i="75" s="1"/>
  <c r="AG19" i="75"/>
  <c r="AS19" i="75" s="1"/>
  <c r="AM14" i="75"/>
  <c r="BF14" i="75" s="1"/>
  <c r="BM14" i="75" s="1"/>
  <c r="AG14" i="75"/>
  <c r="AS14" i="75" s="1"/>
  <c r="AM15" i="75"/>
  <c r="BF15" i="75" s="1"/>
  <c r="BM15" i="75" s="1"/>
  <c r="AG15" i="75"/>
  <c r="AS15" i="75" s="1"/>
  <c r="AM25" i="75"/>
  <c r="BF25" i="75" s="1"/>
  <c r="BM25" i="75" s="1"/>
  <c r="BS25" i="75" s="1"/>
  <c r="BY25" i="75" s="1"/>
  <c r="AG25" i="75"/>
  <c r="AS25" i="75" s="1"/>
  <c r="AM7" i="75"/>
  <c r="BF7" i="75" s="1"/>
  <c r="BM7" i="75" s="1"/>
  <c r="BS7" i="75" s="1"/>
  <c r="BY7" i="75" s="1"/>
  <c r="AG7" i="75"/>
  <c r="AS7" i="75" s="1"/>
  <c r="AM8" i="75"/>
  <c r="BF8" i="75" s="1"/>
  <c r="BM8" i="75" s="1"/>
  <c r="BS8" i="75" s="1"/>
  <c r="BY8" i="75" s="1"/>
  <c r="AG8" i="75"/>
  <c r="AS8" i="75" s="1"/>
  <c r="AM9" i="75"/>
  <c r="BF9" i="75" s="1"/>
  <c r="BM9" i="75" s="1"/>
  <c r="BS9" i="75" s="1"/>
  <c r="BY9" i="75" s="1"/>
  <c r="AG9" i="75"/>
  <c r="AS9" i="75" s="1"/>
  <c r="AM21" i="75"/>
  <c r="BF21" i="75" s="1"/>
  <c r="BM21" i="75" s="1"/>
  <c r="BS21" i="75" s="1"/>
  <c r="BY21" i="75" s="1"/>
  <c r="AG21" i="75"/>
  <c r="AS21" i="75" s="1"/>
  <c r="AM11" i="75"/>
  <c r="BF11" i="75" s="1"/>
  <c r="BM11" i="75" s="1"/>
  <c r="BS11" i="75" s="1"/>
  <c r="BY11" i="75" s="1"/>
  <c r="AG11" i="75"/>
  <c r="AS11" i="75" s="1"/>
  <c r="AM27" i="75"/>
  <c r="BF27" i="75" s="1"/>
  <c r="BM27" i="75" s="1"/>
  <c r="BS27" i="75" s="1"/>
  <c r="BY27" i="75" s="1"/>
  <c r="AG27" i="75"/>
  <c r="AS27" i="75" s="1"/>
  <c r="AM28" i="75"/>
  <c r="BF28" i="75" s="1"/>
  <c r="BM28" i="75" s="1"/>
  <c r="BS28" i="75" s="1"/>
  <c r="BY28" i="75" s="1"/>
  <c r="AG28" i="75"/>
  <c r="AS28" i="75" s="1"/>
  <c r="AM4" i="75"/>
  <c r="BF4" i="75" s="1"/>
  <c r="BM4" i="75" s="1"/>
  <c r="AG4" i="75"/>
  <c r="AS4" i="75" s="1"/>
  <c r="BF5" i="75"/>
  <c r="BM5" i="75" s="1"/>
  <c r="BS5" i="75" s="1"/>
  <c r="BY5" i="75" s="1"/>
  <c r="BF18" i="75"/>
  <c r="BM18" i="75" s="1"/>
  <c r="BS18" i="75" s="1"/>
  <c r="BY18" i="75" s="1"/>
  <c r="BF16" i="75"/>
  <c r="BM16" i="75" s="1"/>
  <c r="BS16" i="75" s="1"/>
  <c r="BY16" i="75" s="1"/>
  <c r="BF17" i="75"/>
  <c r="BM17" i="75" s="1"/>
  <c r="BS17" i="75" s="1"/>
  <c r="BY17" i="75" s="1"/>
  <c r="H522" i="79"/>
  <c r="B353" i="79"/>
  <c r="K520" i="79"/>
  <c r="B379" i="79"/>
  <c r="F519" i="79"/>
  <c r="B322" i="79"/>
  <c r="B406" i="79"/>
  <c r="AA20" i="75"/>
  <c r="AA23" i="75"/>
  <c r="AA26" i="75"/>
  <c r="AA10" i="75"/>
  <c r="AA24" i="75"/>
  <c r="N518" i="79"/>
  <c r="F265" i="79"/>
  <c r="B238" i="79"/>
  <c r="A7" i="68"/>
  <c r="M22" i="75" l="1"/>
  <c r="B209" i="79"/>
  <c r="B297" i="79"/>
  <c r="BS4" i="75"/>
  <c r="BY4" i="75" s="1"/>
  <c r="BS15" i="75"/>
  <c r="BY15" i="75" s="1"/>
  <c r="BS14" i="75"/>
  <c r="BY14" i="75" s="1"/>
  <c r="BS12" i="75"/>
  <c r="BY12" i="75" s="1"/>
  <c r="BS13" i="75"/>
  <c r="BY13" i="75" s="1"/>
  <c r="AM24" i="75"/>
  <c r="BF24" i="75" s="1"/>
  <c r="BM24" i="75" s="1"/>
  <c r="BS24" i="75" s="1"/>
  <c r="BY24" i="75" s="1"/>
  <c r="AG24" i="75"/>
  <c r="AS24" i="75" s="1"/>
  <c r="AM10" i="75"/>
  <c r="BF10" i="75" s="1"/>
  <c r="BM10" i="75" s="1"/>
  <c r="BS10" i="75" s="1"/>
  <c r="BY10" i="75" s="1"/>
  <c r="AG10" i="75"/>
  <c r="AS10" i="75" s="1"/>
  <c r="AM26" i="75"/>
  <c r="BF26" i="75" s="1"/>
  <c r="BM26" i="75" s="1"/>
  <c r="BS26" i="75" s="1"/>
  <c r="BY26" i="75" s="1"/>
  <c r="AG26" i="75"/>
  <c r="AS26" i="75" s="1"/>
  <c r="AM23" i="75"/>
  <c r="BF23" i="75" s="1"/>
  <c r="BM23" i="75" s="1"/>
  <c r="BS23" i="75" s="1"/>
  <c r="BY23" i="75" s="1"/>
  <c r="AG23" i="75"/>
  <c r="AS23" i="75" s="1"/>
  <c r="AM20" i="75"/>
  <c r="BF20" i="75" s="1"/>
  <c r="BM20" i="75" s="1"/>
  <c r="BS20" i="75" s="1"/>
  <c r="BY20" i="75" s="1"/>
  <c r="AG20" i="75"/>
  <c r="AS20" i="75" s="1"/>
  <c r="B407" i="79"/>
  <c r="B323" i="79"/>
  <c r="F520" i="79"/>
  <c r="B380" i="79"/>
  <c r="K521" i="79"/>
  <c r="B354" i="79"/>
  <c r="H523" i="79"/>
  <c r="N519" i="79"/>
  <c r="F266" i="79"/>
  <c r="B239" i="79"/>
  <c r="B8" i="64"/>
  <c r="B7" i="64"/>
  <c r="M23" i="75" l="1"/>
  <c r="B298" i="79"/>
  <c r="B210" i="79"/>
  <c r="H524" i="79"/>
  <c r="B355" i="79"/>
  <c r="K522" i="79"/>
  <c r="B381" i="79"/>
  <c r="F521" i="79"/>
  <c r="B324" i="79"/>
  <c r="B408" i="79"/>
  <c r="F267" i="79"/>
  <c r="B240" i="79"/>
  <c r="D17" i="68"/>
  <c r="D4" i="59"/>
  <c r="A23" i="58"/>
  <c r="C11" i="68"/>
  <c r="M24" i="75" l="1"/>
  <c r="B211" i="79"/>
  <c r="B299" i="79"/>
  <c r="B409" i="79"/>
  <c r="B325" i="79"/>
  <c r="F522" i="79"/>
  <c r="K523" i="79"/>
  <c r="B382" i="79"/>
  <c r="H525" i="79"/>
  <c r="B356" i="79"/>
  <c r="N520" i="79"/>
  <c r="N521" i="79"/>
  <c r="F268" i="79"/>
  <c r="B241" i="79"/>
  <c r="P43" i="67"/>
  <c r="M25" i="75" l="1"/>
  <c r="B300" i="79"/>
  <c r="B212" i="79"/>
  <c r="H526" i="79"/>
  <c r="B357" i="79"/>
  <c r="F523" i="79"/>
  <c r="B326" i="79"/>
  <c r="K524" i="79"/>
  <c r="B383" i="79"/>
  <c r="B410" i="79"/>
  <c r="N522" i="79"/>
  <c r="F269" i="79"/>
  <c r="B242" i="79"/>
  <c r="M26" i="75" l="1"/>
  <c r="B213" i="79"/>
  <c r="B301" i="79"/>
  <c r="B411" i="79"/>
  <c r="K525" i="79"/>
  <c r="B384" i="79"/>
  <c r="B327" i="79"/>
  <c r="F524" i="79"/>
  <c r="H527" i="79"/>
  <c r="B358" i="79"/>
  <c r="N523" i="79"/>
  <c r="F270" i="79"/>
  <c r="B243" i="79"/>
  <c r="G36" i="59"/>
  <c r="M27" i="75" l="1"/>
  <c r="B302" i="79"/>
  <c r="B214" i="79"/>
  <c r="B328" i="79"/>
  <c r="F525" i="79"/>
  <c r="B385" i="79"/>
  <c r="K526" i="79"/>
  <c r="B359" i="79"/>
  <c r="H528" i="79"/>
  <c r="B412" i="79"/>
  <c r="N524" i="79"/>
  <c r="F271" i="79"/>
  <c r="B244" i="79"/>
  <c r="C19" i="58"/>
  <c r="C38" i="68"/>
  <c r="D56" i="68"/>
  <c r="D55" i="68"/>
  <c r="D54" i="68"/>
  <c r="D53" i="68"/>
  <c r="D52" i="68"/>
  <c r="D51" i="68"/>
  <c r="D50" i="68"/>
  <c r="D49" i="68"/>
  <c r="D48" i="68"/>
  <c r="D47" i="68"/>
  <c r="D46" i="68"/>
  <c r="D45" i="68"/>
  <c r="B57" i="68"/>
  <c r="B56" i="68"/>
  <c r="B55" i="68"/>
  <c r="B54" i="68"/>
  <c r="B53" i="68"/>
  <c r="B52" i="68"/>
  <c r="B51" i="68"/>
  <c r="B50" i="68"/>
  <c r="B49" i="68"/>
  <c r="B48" i="68"/>
  <c r="B47" i="68"/>
  <c r="B46" i="68"/>
  <c r="B45" i="68"/>
  <c r="D20" i="68"/>
  <c r="B10" i="68"/>
  <c r="B27" i="68" s="1"/>
  <c r="A10" i="68"/>
  <c r="M28" i="75" l="1"/>
  <c r="B215" i="79"/>
  <c r="B303" i="79"/>
  <c r="B413" i="79"/>
  <c r="K527" i="79"/>
  <c r="B386" i="79"/>
  <c r="F526" i="79"/>
  <c r="B329" i="79"/>
  <c r="H529" i="79"/>
  <c r="B360" i="79"/>
  <c r="N525" i="79"/>
  <c r="F272" i="79"/>
  <c r="B245" i="79"/>
  <c r="C20" i="68"/>
  <c r="A20" i="68"/>
  <c r="A21" i="58"/>
  <c r="B1" i="68"/>
  <c r="B5" i="58"/>
  <c r="D5" i="58" s="1"/>
  <c r="B28" i="68"/>
  <c r="A17" i="58"/>
  <c r="B7" i="68"/>
  <c r="A25" i="58"/>
  <c r="A5" i="58"/>
  <c r="D17" i="58"/>
  <c r="B9" i="58"/>
  <c r="D9" i="58"/>
  <c r="A9" i="58"/>
  <c r="B13" i="58"/>
  <c r="D2" i="59"/>
  <c r="A13" i="58"/>
  <c r="D1" i="59"/>
  <c r="A14" i="68"/>
  <c r="B304" i="79" l="1"/>
  <c r="B216" i="79"/>
  <c r="B361" i="79"/>
  <c r="H530" i="79"/>
  <c r="B330" i="79"/>
  <c r="F527" i="79"/>
  <c r="B387" i="79"/>
  <c r="K528" i="79"/>
  <c r="B414" i="79"/>
  <c r="N526" i="79"/>
  <c r="F273" i="79"/>
  <c r="B246" i="79"/>
  <c r="A19" i="58"/>
  <c r="B217" i="79" l="1"/>
  <c r="B305" i="79"/>
  <c r="B415" i="79"/>
  <c r="K529" i="79"/>
  <c r="B388" i="79"/>
  <c r="B331" i="79"/>
  <c r="F528" i="79"/>
  <c r="H531" i="79"/>
  <c r="B362" i="79"/>
  <c r="N527" i="79"/>
  <c r="F274" i="79"/>
  <c r="B247" i="79"/>
  <c r="B306" i="79" l="1"/>
  <c r="B218" i="79"/>
  <c r="B363" i="79"/>
  <c r="H532" i="79"/>
  <c r="B332" i="79"/>
  <c r="F529" i="79"/>
  <c r="B389" i="79"/>
  <c r="K530" i="79"/>
  <c r="B416" i="79"/>
  <c r="N528" i="79"/>
  <c r="F275" i="79"/>
  <c r="B248" i="79"/>
  <c r="B11" i="64"/>
  <c r="B10" i="64"/>
  <c r="B9" i="64"/>
  <c r="B4" i="64"/>
  <c r="B6" i="64"/>
  <c r="B219" i="79" l="1"/>
  <c r="B307" i="79"/>
  <c r="B417" i="79"/>
  <c r="F530" i="79"/>
  <c r="B333" i="79"/>
  <c r="K531" i="79"/>
  <c r="B390" i="79"/>
  <c r="H533" i="79"/>
  <c r="B364" i="79"/>
  <c r="N529" i="79"/>
  <c r="F276" i="79"/>
  <c r="B249" i="79"/>
  <c r="B308" i="79" l="1"/>
  <c r="B220" i="79"/>
  <c r="B391" i="79"/>
  <c r="K532" i="79"/>
  <c r="B365" i="79"/>
  <c r="H534" i="79"/>
  <c r="B334" i="79"/>
  <c r="F531" i="79"/>
  <c r="B418" i="79"/>
  <c r="N530" i="79"/>
  <c r="F277" i="79"/>
  <c r="B250" i="79"/>
  <c r="B221" i="79" l="1"/>
  <c r="B309" i="79"/>
  <c r="B419" i="79"/>
  <c r="H535" i="79"/>
  <c r="B366" i="79"/>
  <c r="K533" i="79"/>
  <c r="B392" i="79"/>
  <c r="F532" i="79"/>
  <c r="B335" i="79"/>
  <c r="N531" i="79"/>
  <c r="F278" i="79"/>
  <c r="B251" i="79"/>
  <c r="B310" i="79" l="1"/>
  <c r="B222" i="79"/>
  <c r="B336" i="79"/>
  <c r="F533" i="79"/>
  <c r="B393" i="79"/>
  <c r="K534" i="79"/>
  <c r="B367" i="79"/>
  <c r="H536" i="79"/>
  <c r="B368" i="79" s="1"/>
  <c r="B420" i="79"/>
  <c r="N532" i="79"/>
  <c r="F279" i="79"/>
  <c r="B252" i="79"/>
  <c r="B223" i="79" l="1"/>
  <c r="B311" i="79"/>
  <c r="B421" i="79"/>
  <c r="K535" i="79"/>
  <c r="B394" i="79"/>
  <c r="F534" i="79"/>
  <c r="B337" i="79"/>
  <c r="N533" i="79"/>
  <c r="F280" i="79"/>
  <c r="B253" i="79"/>
  <c r="B312" i="79" l="1"/>
  <c r="B224" i="79"/>
  <c r="B338" i="79"/>
  <c r="F535" i="79"/>
  <c r="B395" i="79"/>
  <c r="K536" i="79"/>
  <c r="B396" i="79" s="1"/>
  <c r="B422" i="79"/>
  <c r="N534" i="79"/>
  <c r="F281" i="79"/>
  <c r="B254" i="79"/>
  <c r="B225" i="79" l="1"/>
  <c r="B423" i="79"/>
  <c r="B424" i="79"/>
  <c r="F536" i="79"/>
  <c r="B340" i="79" s="1"/>
  <c r="B339" i="79"/>
  <c r="N535" i="79"/>
  <c r="F282" i="79"/>
  <c r="B255" i="79"/>
  <c r="B226" i="79" l="1"/>
  <c r="N536" i="79"/>
  <c r="F283" i="79"/>
  <c r="B256" i="79" l="1"/>
  <c r="B227" i="79"/>
  <c r="F284" i="79" l="1"/>
  <c r="B228" i="7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<sst xmlns="http://schemas.openxmlformats.org/spreadsheetml/2006/main" count="2805" uniqueCount="1456">
  <si>
    <t>DOCS Table of Contents</t>
  </si>
  <si>
    <t>01 Info Page Only</t>
  </si>
  <si>
    <t>O</t>
  </si>
  <si>
    <t>JOB INFO</t>
  </si>
  <si>
    <t>JOB INFO (2)      ….........  for exporting</t>
  </si>
  <si>
    <t>BASIC SUMMARY OF RESTORATION PROCESS; (Quick version).</t>
  </si>
  <si>
    <t>JOB</t>
  </si>
  <si>
    <t>Introduction, Analysis &amp; Verification</t>
  </si>
  <si>
    <t>Introduction, Analysis &amp; Verification  /source/referred by:</t>
  </si>
  <si>
    <t>Status Notes / %</t>
  </si>
  <si>
    <t xml:space="preserve">Who is the Insurance Company ?!? </t>
  </si>
  <si>
    <t>POI</t>
  </si>
  <si>
    <t>Does customer Comprehend Our Role in the process?</t>
  </si>
  <si>
    <t>Y</t>
  </si>
  <si>
    <t>Is this a COVERED INSURANCE Claim? Or Self Pay ?</t>
  </si>
  <si>
    <t>IS THE DAMAGE $ MORE THAN THE DEDUCTIBLE?</t>
  </si>
  <si>
    <t>Do they have coverage; for AOB? = POLICY &amp; DEC PAGE</t>
  </si>
  <si>
    <t>Contracts &amp; Documentation</t>
  </si>
  <si>
    <t xml:space="preserve"> Contracts &amp; Documentation </t>
  </si>
  <si>
    <t>Has Customer been fully advised of Contract Contents?</t>
  </si>
  <si>
    <t>Has Customer had a full Consultation to Our Terms &amp; Conditions?</t>
  </si>
  <si>
    <t>DOC</t>
  </si>
  <si>
    <t>Does Customer FULLY Agree to Terms &amp;Conditions? Signed / Initials?</t>
  </si>
  <si>
    <t>Notary Page explained/ Fast track</t>
  </si>
  <si>
    <t>mou</t>
  </si>
  <si>
    <t>Company investment (dollars, time ,materials)into their Project?</t>
  </si>
  <si>
    <t>Mutual trust , cooperation &amp; confidence</t>
  </si>
  <si>
    <t>CLAIM REPORTING;DOES THE CUSTOMER HAVE REQUIRED INFO?</t>
  </si>
  <si>
    <t>INS</t>
  </si>
  <si>
    <t>Insurer Mitigation / DMO / CPS Approval Info Sheet</t>
  </si>
  <si>
    <t>PICS</t>
  </si>
  <si>
    <r>
      <t xml:space="preserve">Create </t>
    </r>
    <r>
      <rPr>
        <i/>
        <u/>
        <sz val="14"/>
        <color rgb="FF000000"/>
        <rFont val="Arial Narrow"/>
        <family val="2"/>
      </rPr>
      <t>ENCIRCLE</t>
    </r>
    <r>
      <rPr>
        <b/>
        <i/>
        <u/>
        <sz val="14"/>
        <color rgb="FF000000"/>
        <rFont val="Arial Narrow"/>
        <family val="2"/>
      </rPr>
      <t xml:space="preserve"> project      (Pictures critical part of PAYMENTprocess!</t>
    </r>
  </si>
  <si>
    <t>mit</t>
  </si>
  <si>
    <t>Mitigation &amp; Demolition</t>
  </si>
  <si>
    <t>Mitigation &amp; Demolition   (ROOM LABELS POSTED)</t>
  </si>
  <si>
    <t>Roof &amp; EXT Mitigation  TEMPORARY &amp; EMERGENCY REPAIRS</t>
  </si>
  <si>
    <t>Contents_ item list_; storage details; security explained?</t>
  </si>
  <si>
    <t>Interior Mitigation; household disruption explained?</t>
  </si>
  <si>
    <t>NA</t>
  </si>
  <si>
    <t>HMR / Secondary Damages; Equipment &amp; Electricity $</t>
  </si>
  <si>
    <t>esx</t>
  </si>
  <si>
    <t xml:space="preserve"> Estimates</t>
  </si>
  <si>
    <t xml:space="preserve"> Estimates   (Inspection/Scope Form)  </t>
  </si>
  <si>
    <t xml:space="preserve"> SKETCH/DRAWING;[1] sheet per floor</t>
  </si>
  <si>
    <t xml:space="preserve">Interior  &amp;  EXTERIOR REBUILD  </t>
  </si>
  <si>
    <t>EXTERIOR MITIGATION</t>
  </si>
  <si>
    <t>INTERIOR Mitigation &amp; Demolition</t>
  </si>
  <si>
    <t>Insurance Company Meetings</t>
  </si>
  <si>
    <t>adj</t>
  </si>
  <si>
    <r>
      <t xml:space="preserve">Docs for adjuster meeting; Print &amp; bind docs </t>
    </r>
    <r>
      <rPr>
        <sz val="12"/>
        <rFont val="Arial Narrow"/>
        <family val="2"/>
      </rPr>
      <t>BE PRESENT WHEN ADJUSTER VISITS The PROPERTY.</t>
    </r>
  </si>
  <si>
    <t>Cashflow    General Contractor / Subcontracts</t>
  </si>
  <si>
    <t xml:space="preserve"> Cashflow                  General Contractor / Subcontracts </t>
  </si>
  <si>
    <t>job</t>
  </si>
  <si>
    <t>Contents</t>
  </si>
  <si>
    <r>
      <rPr>
        <sz val="12"/>
        <rFont val="Arial Black"/>
        <family val="2"/>
      </rPr>
      <t xml:space="preserve">&amp;                 </t>
    </r>
    <r>
      <rPr>
        <sz val="12"/>
        <rFont val="Arial"/>
        <family val="2"/>
        <scheme val="minor"/>
      </rPr>
      <t>EXterior Mitigation &amp; Demolition</t>
    </r>
  </si>
  <si>
    <t>Interior Mitigation &amp; Demolition</t>
  </si>
  <si>
    <t>Closeout                  Interior Mitigation &amp; Demolition</t>
  </si>
  <si>
    <t>Rebuild</t>
  </si>
  <si>
    <t>Does customer Comprehend DEDUCTABLE PAYMENT?       PAID____</t>
  </si>
  <si>
    <t>Customer full Consultation to Our Terms &amp; Conditions? Comprehend Our Role in process?</t>
  </si>
  <si>
    <t>CONTRACT SIGNED / Notary Page explained/ Fast track</t>
  </si>
  <si>
    <t>Mutual trust/cooperation &amp; confidence/Company investment dollars, time ,materials?</t>
  </si>
  <si>
    <t>EGV</t>
  </si>
  <si>
    <t xml:space="preserve">Order REPORT ; Eagleview Roof/ Siding / PLUMBERS / FIRE  / POLICE </t>
  </si>
  <si>
    <r>
      <t xml:space="preserve">Create </t>
    </r>
    <r>
      <rPr>
        <i/>
        <u/>
        <sz val="14"/>
        <color rgb="FF000000"/>
        <rFont val="Arial Narrow"/>
        <family val="2"/>
      </rPr>
      <t>ENCIRCLE</t>
    </r>
    <r>
      <rPr>
        <b/>
        <i/>
        <u/>
        <sz val="14"/>
        <color rgb="FF000000"/>
        <rFont val="Arial Narrow"/>
        <family val="2"/>
      </rPr>
      <t xml:space="preserve"> project; ENTER NEW CUSTOMER INFO; SHARE 2 TEAM</t>
    </r>
  </si>
  <si>
    <t>Create ENCIRCLE FLOOR PLAN &amp; VERIFY COMPLETE</t>
  </si>
  <si>
    <t>EXCEL</t>
  </si>
  <si>
    <t>CREATE EXCEL FILE; Copy &amp; Paste DATA from Encircle</t>
  </si>
  <si>
    <t>RUN EXCEL MACRO &amp; VERIFY</t>
  </si>
  <si>
    <t>CREATE &amp; SEND; MIT EQUIPMENT SETUP / CPS / ROOMS SCOPE FORM /</t>
  </si>
  <si>
    <t>CREATE XACTIMATE PROJECT; Copy &amp; Paste DATA from Encircle</t>
  </si>
  <si>
    <t>GET Inspection/Scope Form [ ENCIRCLE or Genius Scan]</t>
  </si>
  <si>
    <t>IMPORT The ENCIRCLE FLOOR PLAN to XACTIMATE/ CREATE PROJECT SKETCH</t>
  </si>
  <si>
    <t>Insurance Company Meetings ENCIRCLE FLOOR PLAN &amp; SCOPE SHEET</t>
  </si>
  <si>
    <r>
      <t xml:space="preserve">Adjuster meeting DOCS; Print &amp; bind docs      / </t>
    </r>
    <r>
      <rPr>
        <sz val="12"/>
        <rFont val="Arial Narrow"/>
        <family val="2"/>
      </rPr>
      <t>PRESENT FOR ADJUSTER VISITS</t>
    </r>
  </si>
  <si>
    <r>
      <t>ENCIRLE / EXCEL / XACTIMATE REPORTS: …</t>
    </r>
    <r>
      <rPr>
        <sz val="14"/>
        <color theme="1"/>
        <rFont val="Arial Narrow"/>
        <family val="2"/>
      </rPr>
      <t>Retrieve/DOWNLOAD REPORTS; (</t>
    </r>
    <r>
      <rPr>
        <sz val="12"/>
        <color theme="1"/>
        <rFont val="Arial Narrow"/>
        <family val="2"/>
      </rPr>
      <t>Create as needed</t>
    </r>
    <r>
      <rPr>
        <sz val="14"/>
        <color theme="1"/>
        <rFont val="Arial Narrow"/>
        <family val="2"/>
      </rPr>
      <t>)</t>
    </r>
  </si>
  <si>
    <t>MIT …. Ext &amp; INT …...CPS….... REPL = CON …..... REBUILD</t>
  </si>
  <si>
    <t xml:space="preserve"> EMAIL Estimates &amp; REPORTS to Insurer.  </t>
  </si>
  <si>
    <t>Followup &amp; Collect Payments</t>
  </si>
  <si>
    <t>BASIC JOB WORKFLOW</t>
  </si>
  <si>
    <t>Has Customer had a full Consultation to  WORK PROCESS</t>
  </si>
  <si>
    <t>explain</t>
  </si>
  <si>
    <t>CPS; storage details; security explained?</t>
  </si>
  <si>
    <t>INT MIT DMO household disruption?</t>
  </si>
  <si>
    <t>MIT EQUIPMENT RUNNING (3 DAYS); ELECTRIC BILL REIMBURSEMENT</t>
  </si>
  <si>
    <r>
      <t xml:space="preserve">Create </t>
    </r>
    <r>
      <rPr>
        <i/>
        <u/>
        <sz val="14"/>
        <color rgb="FF000000"/>
        <rFont val="Arial Narrow"/>
        <family val="2"/>
      </rPr>
      <t>ENCIRCLE</t>
    </r>
    <r>
      <rPr>
        <b/>
        <i/>
        <u/>
        <sz val="14"/>
        <color rgb="FF000000"/>
        <rFont val="Arial Narrow"/>
        <family val="2"/>
      </rPr>
      <t xml:space="preserve"> project      </t>
    </r>
    <r>
      <rPr>
        <b/>
        <i/>
        <u/>
        <sz val="12"/>
        <color rgb="FF000000"/>
        <rFont val="Arial Narrow"/>
        <family val="2"/>
      </rPr>
      <t>(Pictures critical part of PAYMENTprocess!)</t>
    </r>
  </si>
  <si>
    <t>CREW TO   …...... JOB</t>
  </si>
  <si>
    <t>Create &amp; Post room Labels            (Traffic Area  = foot coverings)</t>
  </si>
  <si>
    <t xml:space="preserve"> Verify &amp; Add Rooms to Encircle; as needed; Verify</t>
  </si>
  <si>
    <t>Take Room Overview Pics =      ….   Job Scope FORM</t>
  </si>
  <si>
    <t>Inspection/Scope Form [Send to ENCIRCLE or via Genius scan]</t>
  </si>
  <si>
    <t>Take CPS # 1 Pics contents Overview Pics ... (CPS#2, Cps#3, CPS#4)</t>
  </si>
  <si>
    <r>
      <t>Scan/Create Floor Plan / Submit to Encircle; /</t>
    </r>
    <r>
      <rPr>
        <sz val="14"/>
        <rFont val="Arial"/>
        <family val="2"/>
        <scheme val="minor"/>
      </rPr>
      <t xml:space="preserve"> Print Copy for Adjuster</t>
    </r>
  </si>
  <si>
    <t>MITIGATION CHECKLIST/WORK  FLOW</t>
  </si>
  <si>
    <t>Set Up Basic Equipment….... / ....... Protect Contents, Floors, &amp; Walls</t>
  </si>
  <si>
    <t>Roof &amp; EXT / Interior Mitigation  TEMPORARY &amp; EMERGENCY REPAIRS</t>
  </si>
  <si>
    <t>INTERIOR Mitigation &amp; Demolition; household disruption explained?</t>
  </si>
  <si>
    <t xml:space="preserve">Interior  &amp;  EXTERIOR REBUILD    Estimates   (Inspection/Scope Forms)   </t>
  </si>
  <si>
    <t>Run Excel Macro; create Templates &amp; Subfolders</t>
  </si>
  <si>
    <r>
      <t xml:space="preserve">Enter Room Sizes (from Encircle Floor Plan) &amp; Damage Percentages %: @ </t>
    </r>
    <r>
      <rPr>
        <b/>
        <sz val="12"/>
        <rFont val="Arial"/>
        <family val="2"/>
        <scheme val="minor"/>
      </rPr>
      <t>jobinfo2</t>
    </r>
  </si>
  <si>
    <t>Calculate MIT Equipment (MITEqpmnt ALL) &amp; Deliver To Jobsite/Set Up Equipment</t>
  </si>
  <si>
    <t>Calculate CPS Supplies &amp; Deliver to Jobsite…..... Packout Contents; boxes/tape/wrap</t>
  </si>
  <si>
    <t>Email # 1                         1 &amp; 2 .    CONTRACT        . 3.    W9      .4. JOB VERIFICATION /SOURCE OF LOSS</t>
  </si>
  <si>
    <t>5.   MIT.. CPS .. REBUILD ,,, REPLACE ITEMS      6. XACT INVOICE &amp; ESX</t>
  </si>
  <si>
    <t xml:space="preserve">  Email  # 2  …   7..ROOMS Overview …./.. 8. MIT CPS REBUILD REPLACE  /… 9. TMPL30  /…10 OTHER</t>
  </si>
  <si>
    <t>Adjuster Meeting… Onsite or Phone Conference</t>
  </si>
  <si>
    <t>Subcontract Rebuild Work</t>
  </si>
  <si>
    <t>OFFICE QUICKLIST</t>
  </si>
  <si>
    <t>INITIAL DOCS IN ( to start claim)</t>
  </si>
  <si>
    <r>
      <t xml:space="preserve">VERIFY / ASSESS DAMAGE; Full Consultation to Our Terms/Conditions?  </t>
    </r>
    <r>
      <rPr>
        <b/>
        <u/>
        <sz val="14"/>
        <color rgb="FF000000"/>
        <rFont val="Arial Narrow"/>
        <family val="2"/>
      </rPr>
      <t>MOU</t>
    </r>
    <r>
      <rPr>
        <u/>
        <sz val="14"/>
        <color rgb="FF000000"/>
        <rFont val="Arial Narrow"/>
        <family val="2"/>
      </rPr>
      <t xml:space="preserve">    Our Role in process?</t>
    </r>
  </si>
  <si>
    <t>REQUEST IN &amp; OUT</t>
  </si>
  <si>
    <r>
      <rPr>
        <b/>
        <i/>
        <u/>
        <sz val="14"/>
        <color rgb="FF000000"/>
        <rFont val="Arial Narrow"/>
        <family val="2"/>
      </rPr>
      <t>POLICY &amp; DEC PAGE</t>
    </r>
    <r>
      <rPr>
        <i/>
        <u/>
        <sz val="14"/>
        <color rgb="FF000000"/>
        <rFont val="Arial Narrow"/>
        <family val="2"/>
      </rPr>
      <t xml:space="preserve"> = ACV or Replacement</t>
    </r>
    <r>
      <rPr>
        <b/>
        <i/>
        <u/>
        <sz val="14"/>
        <color rgb="FF000000"/>
        <rFont val="Arial Narrow"/>
        <family val="2"/>
      </rPr>
      <t xml:space="preserve"> </t>
    </r>
    <r>
      <rPr>
        <i/>
        <u/>
        <sz val="14"/>
        <color rgb="FF000000"/>
        <rFont val="Arial Narrow"/>
        <family val="2"/>
      </rPr>
      <t xml:space="preserve"> Do they have coverage;</t>
    </r>
    <r>
      <rPr>
        <b/>
        <i/>
        <u/>
        <sz val="14"/>
        <color rgb="FF000000"/>
        <rFont val="Arial Narrow"/>
        <family val="2"/>
      </rPr>
      <t xml:space="preserve"> </t>
    </r>
  </si>
  <si>
    <t>REQUEST IN</t>
  </si>
  <si>
    <r>
      <t>Does customer Comprehend</t>
    </r>
    <r>
      <rPr>
        <b/>
        <i/>
        <u/>
        <sz val="14"/>
        <color rgb="FF000000"/>
        <rFont val="Arial Narrow"/>
        <family val="2"/>
      </rPr>
      <t xml:space="preserve">  AOB?     DEDUCTABLE PAYMENT?       PAID_</t>
    </r>
    <r>
      <rPr>
        <i/>
        <u/>
        <sz val="14"/>
        <color rgb="FF000000"/>
        <rFont val="Arial Narrow"/>
        <family val="2"/>
      </rPr>
      <t>___</t>
    </r>
  </si>
  <si>
    <r>
      <t>Create ENCIRCLE project; CONTRACT SIGNED</t>
    </r>
    <r>
      <rPr>
        <sz val="12"/>
        <rFont val="Arial"/>
        <family val="2"/>
        <scheme val="minor"/>
      </rPr>
      <t xml:space="preserve"> / Notary Page explained = Fast track</t>
    </r>
    <r>
      <rPr>
        <b/>
        <i/>
        <u/>
        <sz val="12"/>
        <rFont val="Arial"/>
        <family val="2"/>
        <scheme val="minor"/>
      </rPr>
      <t xml:space="preserve"> ….AOB?  </t>
    </r>
  </si>
  <si>
    <t>REQUEST SENT &amp; IN</t>
  </si>
  <si>
    <t xml:space="preserve">JOBSITE VERIFICATION PICS &amp; ROOMS VIDEO …..&amp;  SHORT ROOM LIST...   (upon initial visit)  </t>
  </si>
  <si>
    <t>CREATE</t>
  </si>
  <si>
    <t>INITIAL DOCS OUT TO CUSTOMER ( to start claim)</t>
  </si>
  <si>
    <r>
      <rPr>
        <b/>
        <sz val="12"/>
        <color rgb="FF000000"/>
        <rFont val="Arial"/>
        <family val="2"/>
        <scheme val="minor"/>
      </rPr>
      <t>CLAIM REPORTING Info Sheet;Insurer Approval [</t>
    </r>
    <r>
      <rPr>
        <sz val="12"/>
        <color rgb="FF000000"/>
        <rFont val="Arial"/>
        <family val="2"/>
        <scheme val="minor"/>
      </rPr>
      <t>Mitigation/DMO/CPS] DOCUMENT CONTACT</t>
    </r>
  </si>
  <si>
    <t>MOU SENT OUT TO CUSTOMER</t>
  </si>
  <si>
    <t xml:space="preserve"> INITIAL REPORTS/DOCS GENERATED ( to start claim) </t>
  </si>
  <si>
    <t xml:space="preserve">Order REPORT ..; Eagleview Roof / …. Siding  / ….. PLUMBERS  / …. FIRE  / …..POLICE </t>
  </si>
  <si>
    <t>LEAD HMR TESTING</t>
  </si>
  <si>
    <t>ENCIRCLE FLOOR PLAN         …...................         CREATED @ JOBSITE</t>
  </si>
  <si>
    <r>
      <t xml:space="preserve">Create </t>
    </r>
    <r>
      <rPr>
        <i/>
        <u/>
        <sz val="14"/>
        <color rgb="FF000000"/>
        <rFont val="Arial Narrow"/>
        <family val="2"/>
      </rPr>
      <t>ENCIRCLE</t>
    </r>
    <r>
      <rPr>
        <b/>
        <i/>
        <u/>
        <sz val="14"/>
        <color rgb="FF000000"/>
        <rFont val="Arial Narrow"/>
        <family val="2"/>
      </rPr>
      <t xml:space="preserve"> Project;   ROOM LISTS…..       SHARE 2 TEAM     Option ( V2 then Merge)</t>
    </r>
  </si>
  <si>
    <r>
      <t xml:space="preserve">SELECT JOB TYPE   per </t>
    </r>
    <r>
      <rPr>
        <i/>
        <u/>
        <sz val="14"/>
        <color rgb="FF000000"/>
        <rFont val="Arial Narrow"/>
        <family val="2"/>
      </rPr>
      <t>STOCK ROOM LISTS;</t>
    </r>
    <r>
      <rPr>
        <b/>
        <i/>
        <u/>
        <sz val="14"/>
        <color rgb="FF000000"/>
        <rFont val="Arial Narrow"/>
        <family val="2"/>
      </rPr>
      <t xml:space="preserve"> </t>
    </r>
    <r>
      <rPr>
        <i/>
        <u/>
        <sz val="14"/>
        <color rgb="FF000000"/>
        <rFont val="Arial Narrow"/>
        <family val="2"/>
      </rPr>
      <t xml:space="preserve"> =   WTR / FIRE    or  RFG  &amp; WTR</t>
    </r>
  </si>
  <si>
    <t>Determine / Input job Room names per jobsite visit      ROOM ORDER SET-UP</t>
  </si>
  <si>
    <t>GENERATE  ROOM LABELS  &amp;   CPS BOX LABELS ;  EMAIL OUT</t>
  </si>
  <si>
    <t>100 ROOMS Overview / 360   =    Scope Form</t>
  </si>
  <si>
    <t xml:space="preserve">400 SOURCE OF LOSS      500 CPS DAY 1  / 2 / 3 / 4     </t>
  </si>
  <si>
    <t xml:space="preserve">800 MIT W.I.P. &amp;  EQPT               Mitigation LABELS (Demolition)    </t>
  </si>
  <si>
    <t>READINGS DAY  1 / 2  / 3  / 4 …  6000 MC    &amp;    7000 RHT+GPP</t>
  </si>
  <si>
    <t>IMPORT &amp; EDIT The ENCIRCLE FLOOR PLAN                (PRINT AS NEEDED)</t>
  </si>
  <si>
    <t>IN</t>
  </si>
  <si>
    <t xml:space="preserve">(UPDATE AS NEEDED) CREATE ROOM Names LISTS in ENCIRCLE &amp; EXCEL                </t>
  </si>
  <si>
    <r>
      <rPr>
        <b/>
        <sz val="14"/>
        <color theme="1"/>
        <rFont val="Arial"/>
        <family val="2"/>
        <scheme val="minor"/>
      </rPr>
      <t>RUN EXCEL MACRO</t>
    </r>
    <r>
      <rPr>
        <b/>
        <sz val="14"/>
        <rFont val="Arial"/>
        <family val="2"/>
        <scheme val="minor"/>
      </rPr>
      <t xml:space="preserve"> &amp; VERIFY TEMPLATES</t>
    </r>
  </si>
  <si>
    <t xml:space="preserve">AUTOMATE THE FOLLOWING </t>
  </si>
  <si>
    <t>GENERATE LABELS = ROOMS / CPS BOXES / MITIGATION EQUIPTMENT PLACEMENT; ….</t>
  </si>
  <si>
    <t>EMAIL OUT</t>
  </si>
  <si>
    <t>RUN EXCEL MACRO 4 MITIGATION WORK &amp; EQUIPMENT</t>
  </si>
  <si>
    <t>CREATE &amp; SEND; ROOMS SCOPE FORM                   (FUTURE = 360 CAMERA)</t>
  </si>
  <si>
    <t xml:space="preserve"> Mitigation LABELS (Demolition)    </t>
  </si>
  <si>
    <t>Calculate MIT Equipment (MIT Eqpmnt ALL) &amp; Deliver To Jobsite/Set Up Equipment</t>
  </si>
  <si>
    <t>CREATE &amp; SEND; MIT EQUIPMENT SETUP  WORK &amp; EQUIPMENT FORM</t>
  </si>
  <si>
    <t xml:space="preserve">Calculate/Estimate CPS Supplies </t>
  </si>
  <si>
    <t>Order &amp; Deliver to Jobsite…..... Packout Supplies =  boxes / tape / shrink wrap</t>
  </si>
  <si>
    <t>GET Inspection/Scope Form [ ENCIRCLE or Genius Scan] sent from app</t>
  </si>
  <si>
    <t>CREATE XACTIMATE PROJECT;                    (Copy &amp; Paste DATA from Encircle)</t>
  </si>
  <si>
    <t>JOBSITE FLOW SHEET</t>
  </si>
  <si>
    <t xml:space="preserve">ACCESS or Create ENCIRCLE project;  SHARE 2 TEAM </t>
  </si>
  <si>
    <t xml:space="preserve"> Create ENCIRCLE FLOOR PLAN &amp; VERIFY COMPLETE </t>
  </si>
  <si>
    <t xml:space="preserve">Customer </t>
  </si>
  <si>
    <t>Property-Owner Name</t>
  </si>
  <si>
    <t>BROWNLEE, KEN</t>
  </si>
  <si>
    <t>Enter info here</t>
  </si>
  <si>
    <t>ADD SOS LINK</t>
  </si>
  <si>
    <t>Property address: street</t>
  </si>
  <si>
    <t>3922 E 189 STR</t>
  </si>
  <si>
    <t>New Customer Info required</t>
  </si>
  <si>
    <t>NEEDS TO SELF POPULATE</t>
  </si>
  <si>
    <t>LINK TO VIDEOS</t>
  </si>
  <si>
    <t>Property city, state, zip</t>
  </si>
  <si>
    <t>CLEVELAND, OH 44128</t>
  </si>
  <si>
    <t>BEFORE AND AFTER P[CS</t>
  </si>
  <si>
    <t>Customer Email</t>
  </si>
  <si>
    <t>KHAIAKEN@SBCGLOBAL.NET</t>
  </si>
  <si>
    <t>CLE ATL NY NC NY</t>
  </si>
  <si>
    <t>Cst-owner Phone#</t>
  </si>
  <si>
    <t>Co-Owner.cst#2</t>
  </si>
  <si>
    <t>cst ph # 2</t>
  </si>
  <si>
    <t>RFG WIP…CURRENT JOBS</t>
  </si>
  <si>
    <t>Cst address # 2</t>
  </si>
  <si>
    <t>SIGNAGE</t>
  </si>
  <si>
    <t>city, state-cst#2</t>
  </si>
  <si>
    <t>email-cst #2</t>
  </si>
  <si>
    <t>Loss Info</t>
  </si>
  <si>
    <t>Cause of Loss</t>
  </si>
  <si>
    <t>WATER</t>
  </si>
  <si>
    <t>Wind = Roof</t>
  </si>
  <si>
    <t xml:space="preserve">Water Damage=WTR </t>
  </si>
  <si>
    <t>Fire Smoke</t>
  </si>
  <si>
    <t>Wind=Tree</t>
  </si>
  <si>
    <t>Hurricane =HURR</t>
  </si>
  <si>
    <t>date of loss</t>
  </si>
  <si>
    <t xml:space="preserve">rebuild  type </t>
  </si>
  <si>
    <t>rebuild  type 1</t>
  </si>
  <si>
    <t>interior repairs LVL1</t>
  </si>
  <si>
    <t>roofing shingles replacement</t>
  </si>
  <si>
    <t>fencing</t>
  </si>
  <si>
    <t>rebuild  type 2</t>
  </si>
  <si>
    <t>interior repairs LVL2</t>
  </si>
  <si>
    <t>interior repairs</t>
  </si>
  <si>
    <t>shed</t>
  </si>
  <si>
    <t>rebuild  type 3</t>
  </si>
  <si>
    <t>exterior repairs</t>
  </si>
  <si>
    <t>porch patio</t>
  </si>
  <si>
    <t>DEMO</t>
  </si>
  <si>
    <t>Mitigation</t>
  </si>
  <si>
    <t>Other Structures</t>
  </si>
  <si>
    <t>CPS</t>
  </si>
  <si>
    <t>Replacement</t>
  </si>
  <si>
    <t>CPS / CLN / CON/ CGN</t>
  </si>
  <si>
    <t>Year Built</t>
  </si>
  <si>
    <t>TBD</t>
  </si>
  <si>
    <t>Contract Date</t>
  </si>
  <si>
    <t xml:space="preserve">pre 1980 </t>
  </si>
  <si>
    <t>post 1980</t>
  </si>
  <si>
    <t>Loss of use/ ALE</t>
  </si>
  <si>
    <t>sample cost 3</t>
  </si>
  <si>
    <t>Breathing issue</t>
  </si>
  <si>
    <t>doctor letter</t>
  </si>
  <si>
    <t>HMR</t>
  </si>
  <si>
    <t>lab test</t>
  </si>
  <si>
    <t xml:space="preserve">Insurance Co. Name </t>
  </si>
  <si>
    <t>ALLSTATE INS CO.</t>
  </si>
  <si>
    <t xml:space="preserve">    Insurance Company Supplied Info</t>
  </si>
  <si>
    <t>Per declaration pages</t>
  </si>
  <si>
    <t>34-H-6822C9-2</t>
  </si>
  <si>
    <t>Insurance Co.</t>
  </si>
  <si>
    <t xml:space="preserve">Claim # </t>
  </si>
  <si>
    <t>CLM</t>
  </si>
  <si>
    <t>Assigned by Insurer</t>
  </si>
  <si>
    <t>policy #</t>
  </si>
  <si>
    <t>PL3\</t>
  </si>
  <si>
    <t>OFP DWF 7266580</t>
  </si>
  <si>
    <t>Email INS. co.</t>
  </si>
  <si>
    <t>claims@claims.allstate.com</t>
  </si>
  <si>
    <t>DESK Adjuster DA</t>
  </si>
  <si>
    <t>DA Phone</t>
  </si>
  <si>
    <t>customer service rep</t>
  </si>
  <si>
    <t>DA Ph. Ext. #</t>
  </si>
  <si>
    <t>Hazel</t>
  </si>
  <si>
    <t xml:space="preserve">DA Email </t>
  </si>
  <si>
    <t>Field Adjuster Name</t>
  </si>
  <si>
    <t>5pm</t>
  </si>
  <si>
    <t>Phone # field adj</t>
  </si>
  <si>
    <t>Field adj email</t>
  </si>
  <si>
    <t>adj contents</t>
  </si>
  <si>
    <t>adj CPS phone #</t>
  </si>
  <si>
    <t>adj CPS email</t>
  </si>
  <si>
    <t>TMP adj</t>
  </si>
  <si>
    <t>TMP adj phone #</t>
  </si>
  <si>
    <t>adj TMP email</t>
  </si>
  <si>
    <t>ATT: Loss Draft Dept.</t>
  </si>
  <si>
    <t>address ins overnight mail</t>
  </si>
  <si>
    <t>city, state-zip ins</t>
  </si>
  <si>
    <t xml:space="preserve">Insurance Co. Phone </t>
  </si>
  <si>
    <t>Website Ins Co.</t>
  </si>
  <si>
    <t>Mailing   address INS</t>
  </si>
  <si>
    <t>Mail city, state, zip INS</t>
  </si>
  <si>
    <t>Leave Label/ID tag in place for each room/area until final completion !!!</t>
  </si>
  <si>
    <t>FAX Ins. Co</t>
  </si>
  <si>
    <t>NEW CUSTOMER #</t>
  </si>
  <si>
    <t>OH25 BROWNLEE @E189</t>
  </si>
  <si>
    <t>ROOM ID</t>
  </si>
  <si>
    <t>Scope</t>
  </si>
  <si>
    <t>Pics</t>
  </si>
  <si>
    <t>Floor 1</t>
  </si>
  <si>
    <t>Floor 2</t>
  </si>
  <si>
    <t>BASEMENT</t>
  </si>
  <si>
    <t>Affected Areas, Include Line of Sight room /areas</t>
  </si>
  <si>
    <t xml:space="preserve">  Room/Area 101  </t>
  </si>
  <si>
    <t xml:space="preserve">Living Room, </t>
  </si>
  <si>
    <t>Foyer</t>
  </si>
  <si>
    <t>Stairs UP</t>
  </si>
  <si>
    <t>Basement</t>
  </si>
  <si>
    <t xml:space="preserve"> ROOM Name &amp; Number </t>
  </si>
  <si>
    <t>LOCATION &amp; Basic damage / work Description</t>
  </si>
  <si>
    <t xml:space="preserve">  Room/Area 102  </t>
  </si>
  <si>
    <t>HALLWAY</t>
  </si>
  <si>
    <t>Guest Closet</t>
  </si>
  <si>
    <t>Bathroom</t>
  </si>
  <si>
    <t>Stairs 1</t>
  </si>
  <si>
    <t>example # 0 = Master bedroom</t>
  </si>
  <si>
    <t xml:space="preserve"> Ceilings N corner </t>
  </si>
  <si>
    <t xml:space="preserve"> repair water damage  drywall paint </t>
  </si>
  <si>
    <t xml:space="preserve">  Room/Area 103  </t>
  </si>
  <si>
    <t xml:space="preserve">Kitchen, </t>
  </si>
  <si>
    <t>Front Hall</t>
  </si>
  <si>
    <t xml:space="preserve"> Hallway- up</t>
  </si>
  <si>
    <t>Storage</t>
  </si>
  <si>
    <t xml:space="preserve"> Scope</t>
  </si>
  <si>
    <t xml:space="preserve">   Pics</t>
  </si>
  <si>
    <t>Sketch</t>
  </si>
  <si>
    <t xml:space="preserve">  Room/Area 104  </t>
  </si>
  <si>
    <t>DEN</t>
  </si>
  <si>
    <t>Living Room</t>
  </si>
  <si>
    <t>Linen CLST</t>
  </si>
  <si>
    <t>Hallway- DN</t>
  </si>
  <si>
    <t xml:space="preserve"> {#=_1_} </t>
  </si>
  <si>
    <t xml:space="preserve">                                                       {____} </t>
  </si>
  <si>
    <t xml:space="preserve"> {_______}     {_ _____} </t>
  </si>
  <si>
    <t xml:space="preserve">  Room/Area 105  </t>
  </si>
  <si>
    <t>STAIRS UP</t>
  </si>
  <si>
    <t>Dining Room</t>
  </si>
  <si>
    <t>Bedroom # 1</t>
  </si>
  <si>
    <t>Laundry</t>
  </si>
  <si>
    <t xml:space="preserve">   Room/Area 1   </t>
  </si>
  <si>
    <t xml:space="preserve">  Room/Area 106  </t>
  </si>
  <si>
    <t>HALL UP</t>
  </si>
  <si>
    <t xml:space="preserve"> Hallway- DN</t>
  </si>
  <si>
    <t>Closet  BR # 1</t>
  </si>
  <si>
    <t>Utility</t>
  </si>
  <si>
    <t xml:space="preserve">  Room/Area 107  </t>
  </si>
  <si>
    <t>PBR UP</t>
  </si>
  <si>
    <t>Bedroom  # 2</t>
  </si>
  <si>
    <t>Man cave</t>
  </si>
  <si>
    <t xml:space="preserve">  Room/Area 8  </t>
  </si>
  <si>
    <t>BATH UP</t>
  </si>
  <si>
    <t>FAMILY ROOM</t>
  </si>
  <si>
    <t>Closet  BR # 2</t>
  </si>
  <si>
    <t>Crawlspace</t>
  </si>
  <si>
    <t xml:space="preserve">  Room/Area 9  </t>
  </si>
  <si>
    <t>BR-2 UP</t>
  </si>
  <si>
    <t>Kitchen</t>
  </si>
  <si>
    <t>Bedroom # 3</t>
  </si>
  <si>
    <t>EXTERIOR</t>
  </si>
  <si>
    <t>Jobsite Verification (Address Photos)</t>
  </si>
  <si>
    <t xml:space="preserve">  Room/Area 10  </t>
  </si>
  <si>
    <t>Pantry</t>
  </si>
  <si>
    <t>Closet  BR # 3</t>
  </si>
  <si>
    <t>Roof shingle replace</t>
  </si>
  <si>
    <t>Source of Loss Pics</t>
  </si>
  <si>
    <t xml:space="preserve">  Room/Area 11  </t>
  </si>
  <si>
    <t>Nook</t>
  </si>
  <si>
    <t>Master Bedroom</t>
  </si>
  <si>
    <t>Vinyl siding</t>
  </si>
  <si>
    <t>FOYER/ENTRY ROOM</t>
  </si>
  <si>
    <t xml:space="preserve">  Room/Area 12  </t>
  </si>
  <si>
    <t>Guest Bath</t>
  </si>
  <si>
    <t>Master BR Closet</t>
  </si>
  <si>
    <t xml:space="preserve">  Room/Area 13  </t>
  </si>
  <si>
    <t>Office</t>
  </si>
  <si>
    <t>Master Bathroom</t>
  </si>
  <si>
    <t xml:space="preserve">  Room/Area 14  </t>
  </si>
  <si>
    <t>SUNROOM</t>
  </si>
  <si>
    <t xml:space="preserve">  Room/Area 15  </t>
  </si>
  <si>
    <t xml:space="preserve"> ATTIC </t>
  </si>
  <si>
    <t>Porches</t>
  </si>
  <si>
    <t xml:space="preserve">  Room/Area 16  </t>
  </si>
  <si>
    <t xml:space="preserve"> Garage </t>
  </si>
  <si>
    <t xml:space="preserve">  Room/Area 17  </t>
  </si>
  <si>
    <t>Stairs 2</t>
  </si>
  <si>
    <t>Deck/patio</t>
  </si>
  <si>
    <t xml:space="preserve">  Room/Area 18  </t>
  </si>
  <si>
    <t>yard area</t>
  </si>
  <si>
    <t xml:space="preserve">  Room/Area 19  </t>
  </si>
  <si>
    <t>Windows</t>
  </si>
  <si>
    <t xml:space="preserve">  Room/Area 20  </t>
  </si>
  <si>
    <t xml:space="preserve">  Room/Area 21</t>
  </si>
  <si>
    <t xml:space="preserve">  Room/Area 22</t>
  </si>
  <si>
    <t xml:space="preserve">  Room/Area 23</t>
  </si>
  <si>
    <t xml:space="preserve">  Room/Area 24</t>
  </si>
  <si>
    <t xml:space="preserve">  Room/Area 25</t>
  </si>
  <si>
    <t xml:space="preserve">Mortgage co       </t>
  </si>
  <si>
    <t xml:space="preserve">    Customer Supplied Info</t>
  </si>
  <si>
    <t>Per mortgage statement</t>
  </si>
  <si>
    <t>Account# Mtge Co.</t>
  </si>
  <si>
    <t>Loan status</t>
  </si>
  <si>
    <t>Loan status =
current,   
foreclosure,
  Paid in full,  
Late days</t>
  </si>
  <si>
    <t>contact person mtge</t>
  </si>
  <si>
    <t>Phone # MTGE contact</t>
  </si>
  <si>
    <t>Ph. Ext. Mtge contact</t>
  </si>
  <si>
    <t>Mortgage Company</t>
  </si>
  <si>
    <t>Attn.: Loss Draft Dept</t>
  </si>
  <si>
    <t>Mtge OVN mail</t>
  </si>
  <si>
    <t>city, St., zip ,mtge OVN</t>
  </si>
  <si>
    <t>Phone # MTGE co.</t>
  </si>
  <si>
    <t>email mtge</t>
  </si>
  <si>
    <t>mtge website</t>
  </si>
  <si>
    <t>MTGE co. Fax #</t>
  </si>
  <si>
    <t>Mailing   address mtge</t>
  </si>
  <si>
    <t>Mail city, state, zip mtge</t>
  </si>
  <si>
    <t>Initial Offer / phase 1 contract amount</t>
  </si>
  <si>
    <t>Draw Request</t>
  </si>
  <si>
    <t>Cust id</t>
  </si>
  <si>
    <t>co name</t>
  </si>
  <si>
    <t>All Phase Consulting, LLC</t>
  </si>
  <si>
    <t>AK Builders Group LLC</t>
  </si>
  <si>
    <t>Platinum One Properties, LLC </t>
  </si>
  <si>
    <t>PROVISO INVESTMENTS</t>
  </si>
  <si>
    <t xml:space="preserve">J THOMAS CONTRACTING, LLC </t>
  </si>
  <si>
    <t>ALL PHASE CONSULTING, LLC</t>
  </si>
  <si>
    <t>Wayside Builders, LLC</t>
  </si>
  <si>
    <t>Alpha Omega Construction</t>
  </si>
  <si>
    <t>YASMEEN PROPERTIES.INC</t>
  </si>
  <si>
    <t>Co. website</t>
  </si>
  <si>
    <t>WWW.MYAPCLLC.COM</t>
  </si>
  <si>
    <t>How may we verify my online order is in stock?</t>
  </si>
  <si>
    <t>www.akbuilds.com</t>
  </si>
  <si>
    <t>PROVISOINVESTMENTS.COM</t>
  </si>
  <si>
    <t xml:space="preserve">      www.myapcllc.com.      </t>
  </si>
  <si>
    <t>waysidebuilders.com</t>
  </si>
  <si>
    <t>WEB</t>
  </si>
  <si>
    <t>co. EMAIL/co. status</t>
  </si>
  <si>
    <t>info@myapcllc.com</t>
  </si>
  <si>
    <t>mail@akbuilds.com</t>
  </si>
  <si>
    <t>Properties.platinum@gmail.com</t>
  </si>
  <si>
    <t>PROVISOINVESTMENTS@GMAIL.COM</t>
  </si>
  <si>
    <t>jthomascontracting@gmail.com</t>
  </si>
  <si>
    <t>Licensed Insured Bonded</t>
  </si>
  <si>
    <t>co adress</t>
  </si>
  <si>
    <t>375 Rockbridge Road, Suite 172-343</t>
  </si>
  <si>
    <t>1700 Northside Drive Suite A7 PMB 887</t>
  </si>
  <si>
    <t>4447 Lee RD</t>
  </si>
  <si>
    <t>1898 CARONIA DR</t>
  </si>
  <si>
    <t>1094 DORSH RD.</t>
  </si>
  <si>
    <t>375 Rockbridge Rd, #172-343</t>
  </si>
  <si>
    <t>34194 Aurora Rd #218</t>
  </si>
  <si>
    <t>23209 Vera Str</t>
  </si>
  <si>
    <t>CLAUDECarson@yahoo.com</t>
  </si>
  <si>
    <t>LAYLAMYBABY@AOL.COM</t>
  </si>
  <si>
    <t>co. city state</t>
  </si>
  <si>
    <t>Lilburn, GA, 30047</t>
  </si>
  <si>
    <t>Atlanta, GA 30318</t>
  </si>
  <si>
    <t>Cleveland Ohio 44128</t>
  </si>
  <si>
    <t>CLEVELAND, OH 44124</t>
  </si>
  <si>
    <t>S. EUCLID, OH 44121</t>
  </si>
  <si>
    <t>Solon, Oh 44139</t>
  </si>
  <si>
    <t>Cleveland, OH 44128</t>
  </si>
  <si>
    <t>34194 Aurora Rd #252</t>
  </si>
  <si>
    <t>(216) 214-5700</t>
  </si>
  <si>
    <t>co. address 2</t>
  </si>
  <si>
    <t>ECI 531 FIFTH AVE,</t>
  </si>
  <si>
    <t>Solon OH 44139</t>
  </si>
  <si>
    <t>Cleveland, OH 44105</t>
  </si>
  <si>
    <t>co. city state 2</t>
  </si>
  <si>
    <t>PELHAM, NY 10803</t>
  </si>
  <si>
    <t>co adress 3</t>
  </si>
  <si>
    <t>20810 AURORA RD</t>
  </si>
  <si>
    <t>co. city state 3</t>
  </si>
  <si>
    <t>BEDFORD,OH 44146</t>
  </si>
  <si>
    <t>Co. logo 1</t>
  </si>
  <si>
    <t>Providing Cost Estimating &amp; Project Management Services</t>
  </si>
  <si>
    <t>"We seek to provide an enabling environment</t>
  </si>
  <si>
    <t>PREMIER SERVICE</t>
  </si>
  <si>
    <t xml:space="preserve"> WHERE VISIONS ARE CREATED </t>
  </si>
  <si>
    <t xml:space="preserve">      Providing Cost Estimating &amp; Project Management Services      </t>
  </si>
  <si>
    <t>Five Generations of Great Work</t>
  </si>
  <si>
    <t>Co. logo 2</t>
  </si>
  <si>
    <t xml:space="preserve">" for people to enjoy </t>
  </si>
  <si>
    <t>QUALITY WORK</t>
  </si>
  <si>
    <t>Five Generations of Pride &amp; Skills</t>
  </si>
  <si>
    <t>Co. logo 3</t>
  </si>
  <si>
    <t>long, healthy and creative lives."</t>
  </si>
  <si>
    <t>FAMILY OWNED</t>
  </si>
  <si>
    <t>Co. REP. / PH</t>
  </si>
  <si>
    <t>Joe Jones, PM  216.450.7228</t>
  </si>
  <si>
    <t>Akumba Ashanti (678) 590-5736</t>
  </si>
  <si>
    <t>QUINTON DURHAM 216 214 6747</t>
  </si>
  <si>
    <t>JAMAL (216) 835-8544</t>
  </si>
  <si>
    <t>JOHN FLOWERS 216 466 4751</t>
  </si>
  <si>
    <t>Tony Jones 216.347.2656</t>
  </si>
  <si>
    <t>Joe Jones   216.450.7228</t>
  </si>
  <si>
    <t>CO.REP.
email</t>
  </si>
  <si>
    <t>wsbjoe9@gmail.com</t>
  </si>
  <si>
    <t>akbuildersgroupllc@gmail.com</t>
  </si>
  <si>
    <t>tonyjonesteam247@gmail.com</t>
  </si>
  <si>
    <t>phone 216 990 8132</t>
  </si>
  <si>
    <t>Co PH # 2</t>
  </si>
  <si>
    <t>404-446-9060</t>
  </si>
  <si>
    <t>CO.REP. email 2</t>
  </si>
  <si>
    <t>tonyjonesteam365@gmail.com</t>
  </si>
  <si>
    <t>MO (216) 214-5700</t>
  </si>
  <si>
    <t>TIN W9</t>
  </si>
  <si>
    <t>TIN 83-226 0563</t>
  </si>
  <si>
    <t>EIN # 81 477 4379</t>
  </si>
  <si>
    <t>EIN # 270 62 7387</t>
  </si>
  <si>
    <t>EIN #  46 111 9340</t>
  </si>
  <si>
    <t>EIN # 85-171 1092</t>
  </si>
  <si>
    <t>83- 226-0563</t>
  </si>
  <si>
    <t>TIN 26-1574654</t>
  </si>
  <si>
    <t xml:space="preserve">  FedEx     account # </t>
  </si>
  <si>
    <t xml:space="preserve">  FEDEX    # 9836-2151-1</t>
  </si>
  <si>
    <t>9836-2151-1</t>
  </si>
  <si>
    <t>claim report date</t>
  </si>
  <si>
    <t>FEDEX#</t>
  </si>
  <si>
    <t>Time OF CLAIM REPORT</t>
  </si>
  <si>
    <t>co.represesntative</t>
  </si>
  <si>
    <t>phone ext</t>
  </si>
  <si>
    <t>Tarp ext TMP ok</t>
  </si>
  <si>
    <t>Int TMP ok</t>
  </si>
  <si>
    <t>DRY/PLA CUTOUT MOLD SPRAY  OK</t>
  </si>
  <si>
    <t>Save</t>
  </si>
  <si>
    <t>ALE INFO</t>
  </si>
  <si>
    <t>tenant lesee</t>
  </si>
  <si>
    <t>end date</t>
  </si>
  <si>
    <t xml:space="preserve">START DATE </t>
  </si>
  <si>
    <t>END DATE</t>
  </si>
  <si>
    <t>ENTER DATA BELOW</t>
  </si>
  <si>
    <t>LESSOR</t>
  </si>
  <si>
    <t>bedrooms</t>
  </si>
  <si>
    <t>months</t>
  </si>
  <si>
    <t>start</t>
  </si>
  <si>
    <t>Amount / Month</t>
  </si>
  <si>
    <t>BEDROOMS=</t>
  </si>
  <si>
    <t>TERMS $ AMOUNT</t>
  </si>
  <si>
    <t>===========</t>
  </si>
  <si>
    <t>Lessor</t>
  </si>
  <si>
    <t>Leased Address</t>
  </si>
  <si>
    <t>city zip</t>
  </si>
  <si>
    <t>phone #</t>
  </si>
  <si>
    <t>Email</t>
  </si>
  <si>
    <t>++++++++++</t>
  </si>
  <si>
    <t>Lessor mailing Address</t>
  </si>
  <si>
    <t>LISTS</t>
  </si>
  <si>
    <t>INPUT = ROOM NAMES</t>
  </si>
  <si>
    <t>LOS / TRAVEL</t>
  </si>
  <si>
    <t>OUTPUT =</t>
  </si>
  <si>
    <t xml:space="preserve"> ROOM NAME ADD TO ENCIRCLE ROOM LISTS</t>
  </si>
  <si>
    <t>OUTPUT = ENC ROOM NAME</t>
  </si>
  <si>
    <t>,,,,,, DMO = DEMOLITION …....</t>
  </si>
  <si>
    <t>… WTR MITIGATION  EQUIPMENT &amp; W.I.P . ...</t>
  </si>
  <si>
    <t>… HMR MITIGATION  EQUIPMENT &amp; W.I.P . ...</t>
  </si>
  <si>
    <t>… DAY # 0  … MC READINGS STABILIZATION</t>
  </si>
  <si>
    <t xml:space="preserve">  ...  DAY1    MC READINGS ..</t>
  </si>
  <si>
    <t xml:space="preserve">  ...  DAY2    MC READINGS ..</t>
  </si>
  <si>
    <t xml:space="preserve">  ...  DAY3    MC READINGS ..</t>
  </si>
  <si>
    <t xml:space="preserve">  ...  DAY4    MC READINGS </t>
  </si>
  <si>
    <t>RH &amp;T &amp; GPP  DRY CHAMBERS [DC] .READ INGS</t>
  </si>
  <si>
    <t>DEFAULT TMP1 1</t>
  </si>
  <si>
    <t>WTR METER</t>
  </si>
  <si>
    <t>ADD CPS OVERVIEW =  MULTIPLE ROOMS / WITH LABELS</t>
  </si>
  <si>
    <t>ROOM LABELS</t>
  </si>
  <si>
    <t xml:space="preserve"> = … JOB/ROOMS OVERVIEW PICS ..</t>
  </si>
  <si>
    <t>….. SOURCE of  LOSS PICS …..</t>
  </si>
  <si>
    <t>…..  C.P.S.  …...</t>
  </si>
  <si>
    <t>NON SALVAGEABLE ITEMS</t>
  </si>
  <si>
    <t>.. DAY 1 …</t>
  </si>
  <si>
    <t xml:space="preserve">….. DAY 2 ….. </t>
  </si>
  <si>
    <t xml:space="preserve">….. DAY 3 ….. </t>
  </si>
  <si>
    <t xml:space="preserve">….. DAY 4 ….. </t>
  </si>
  <si>
    <t xml:space="preserve">….. DAY 1 ….. </t>
  </si>
  <si>
    <t>KITCHEN CABINETS SIZES</t>
  </si>
  <si>
    <t>BATHROOM VANITY SIZE &amp; FIXTURES</t>
  </si>
  <si>
    <t>….</t>
  </si>
  <si>
    <t>,</t>
  </si>
  <si>
    <t>=======</t>
  </si>
  <si>
    <t>======</t>
  </si>
  <si>
    <t>====================</t>
  </si>
  <si>
    <t>==============</t>
  </si>
  <si>
    <t>==============================</t>
  </si>
  <si>
    <t>.</t>
  </si>
  <si>
    <t>MITIGATION  EQUIPMENT &amp; W.I.P. ================ MIT &amp; WIP  ===</t>
  </si>
  <si>
    <t>…..</t>
  </si>
  <si>
    <t>======= DAY # 0  …..  MC READINGS STABILIZATION ===============</t>
  </si>
  <si>
    <t>=========</t>
  </si>
  <si>
    <t>===============</t>
  </si>
  <si>
    <t>=====</t>
  </si>
  <si>
    <t>=====================</t>
  </si>
  <si>
    <t>----------------</t>
  </si>
  <si>
    <t>DEFAULT LIST EXISTS (AS BELOW); CLICK DROPDOWN  MENU; ADD JOB TYPES AS NEEDED</t>
  </si>
  <si>
    <t>….........</t>
  </si>
  <si>
    <t>RH &amp;T &amp; GPP  DRY CHAMBERS [DC] .READ INGS  ===========</t>
  </si>
  <si>
    <t>JOBSITE VERIFICATION</t>
  </si>
  <si>
    <t>…..........</t>
  </si>
  <si>
    <t>EXTERIOR &amp; UNAFFECTED AREA</t>
  </si>
  <si>
    <t xml:space="preserve">RH &amp;T &amp; GPP </t>
  </si>
  <si>
    <t>MECHANICALS =  WATER METER READING &amp; PLUMBING REPORT/INVOICE</t>
  </si>
  <si>
    <t>DRY CHAMBER # 1</t>
  </si>
  <si>
    <t>MECHANICALS =  ELECTRICAL HAZARDS</t>
  </si>
  <si>
    <t>DRY CHAMBER # 2</t>
  </si>
  <si>
    <t xml:space="preserve">EXT DAMAGE IF APPLICABLE </t>
  </si>
  <si>
    <t>ROOF TARPS ….............................</t>
  </si>
  <si>
    <t>DRY CHAMBER # 3</t>
  </si>
  <si>
    <t>LEAD &amp; HMR TESTING</t>
  </si>
  <si>
    <t>LAB RESULTS</t>
  </si>
  <si>
    <t>DRY CHAMBER # 4</t>
  </si>
  <si>
    <t>U &amp; L =LF/ CT = SF;     APPLIANCES</t>
  </si>
  <si>
    <t>BATHROOM FIXTURES</t>
  </si>
  <si>
    <t>CAB SIZE &amp; FIXTURES &amp; TYPE</t>
  </si>
  <si>
    <t>CPS DAY2 WIP</t>
  </si>
  <si>
    <t>OVERVIEW WIP BOXES PACKOUT PICS</t>
  </si>
  <si>
    <t>CPS3 DAY3 STORAGE</t>
  </si>
  <si>
    <t>OVERVIEW STORAGE MOVE OUT PICS</t>
  </si>
  <si>
    <t>CPS4 DAY4 PACKBACK</t>
  </si>
  <si>
    <t>OVERVIEW PACK-BACK / RESET PICS</t>
  </si>
  <si>
    <t xml:space="preserve">REPLACEMENT 1 CON OVERVIEW DAY PICS, </t>
  </si>
  <si>
    <t xml:space="preserve">REPLACEMENT 2 CON WIP, </t>
  </si>
  <si>
    <t xml:space="preserve">REPLACEMENT 3 CON STORAGE </t>
  </si>
  <si>
    <t xml:space="preserve">REPLACEMENT 4 CON DISPOSAL, </t>
  </si>
  <si>
    <t xml:space="preserve">REBUILD OVERVIEW WORK IN PROGRESS.......WIP, </t>
  </si>
  <si>
    <t xml:space="preserve">REBUILD INTERIOR COMPLETED WORK, </t>
  </si>
  <si>
    <t>FORMAT OF ROOM LISTS</t>
  </si>
  <si>
    <t xml:space="preserve">  ...  MC READINGS ..</t>
  </si>
  <si>
    <t>MUST BE 5 COLUMNS WIDE</t>
  </si>
  <si>
    <t>LOGIC</t>
  </si>
  <si>
    <t xml:space="preserve">each work type will have leading numerical prefix </t>
  </si>
  <si>
    <t>Group work tpys together for easier field id of rooms ti capture picturs for</t>
  </si>
  <si>
    <t xml:space="preserve">   Bedroom 2   </t>
  </si>
  <si>
    <t>FCC CARPET/FCW</t>
  </si>
  <si>
    <t>WALL/PLASTER</t>
  </si>
  <si>
    <t>ROOMS PREFIX CODE #</t>
  </si>
  <si>
    <t>OLD#</t>
  </si>
  <si>
    <t>EXTERIOR DAMAGES</t>
  </si>
  <si>
    <t>( IF APPLICABLE )</t>
  </si>
  <si>
    <t>ROOMS OVERVIEW</t>
  </si>
  <si>
    <t>SOURCE of LOSS</t>
  </si>
  <si>
    <t>PPR</t>
  </si>
  <si>
    <t>DMO DEMO</t>
  </si>
  <si>
    <t>MC ...  READ INGS</t>
  </si>
  <si>
    <t>LOS</t>
  </si>
  <si>
    <t xml:space="preserve"> OVERVIEW PICS ..</t>
  </si>
  <si>
    <t>WTR MIT  EQUIP.</t>
  </si>
  <si>
    <t>TRVL</t>
  </si>
  <si>
    <t>ROOM</t>
  </si>
  <si>
    <t xml:space="preserve"> = … ROOM OVERVIEW PICS ... DAY 1 …</t>
  </si>
  <si>
    <t>OUTPUT = ROOM NAME ADD TO ENCIRCLE ROOM LISTS</t>
  </si>
  <si>
    <t>….. SOURCE of  LOSS …..</t>
  </si>
  <si>
    <t>… MITIGATION  EQUIPMENT &amp; W.I.P . ...</t>
  </si>
  <si>
    <t>DMO DEMOLITION</t>
  </si>
  <si>
    <t xml:space="preserve">  …...  MC READINGS …</t>
  </si>
  <si>
    <t>DAY1</t>
  </si>
  <si>
    <t>DAY2</t>
  </si>
  <si>
    <t>DAY3</t>
  </si>
  <si>
    <t>DAY4</t>
  </si>
  <si>
    <t>STABILIZATION READINGS</t>
  </si>
  <si>
    <t>DRY CHAMBER 1</t>
  </si>
  <si>
    <t>DRY CHAMBER 2</t>
  </si>
  <si>
    <t>DRY CHAMBER 3</t>
  </si>
  <si>
    <t>DRY CHAMBER 4</t>
  </si>
  <si>
    <t>DRY CHAMBER 5</t>
  </si>
  <si>
    <t>DRAW SCHEDULE</t>
  </si>
  <si>
    <t xml:space="preserve">Property-owner Name </t>
  </si>
  <si>
    <t>_______________________</t>
  </si>
  <si>
    <t>Customer may wish to alter the original job work scope and or add additional work.</t>
  </si>
  <si>
    <t>Each item will be individually addressed with the best interest of the customer in mind.</t>
  </si>
  <si>
    <t>Scope notes</t>
  </si>
  <si>
    <t>Photos</t>
  </si>
  <si>
    <t># 0 = Master bedroom</t>
  </si>
  <si>
    <t>Ceilings N corner</t>
  </si>
  <si>
    <t>repair water damage  drywall paint</t>
  </si>
  <si>
    <t>DRAW #</t>
  </si>
  <si>
    <t>PERCENTAGE OF WORK COMPLETED</t>
  </si>
  <si>
    <t>{_______}</t>
  </si>
  <si>
    <t>TTD</t>
  </si>
  <si>
    <t>INITIAL DEPOSIT</t>
  </si>
  <si>
    <t>GC &amp; SUB TERMS %</t>
  </si>
  <si>
    <t xml:space="preserve">CASH FLOW </t>
  </si>
  <si>
    <t>JOB =</t>
  </si>
  <si>
    <t>APC</t>
  </si>
  <si>
    <t>ESTIMATES</t>
  </si>
  <si>
    <t>BEST CASE SCENARIO</t>
  </si>
  <si>
    <t>MOST LIKELY</t>
  </si>
  <si>
    <t>WORST CASE SCENARIO</t>
  </si>
  <si>
    <t>SUB</t>
  </si>
  <si>
    <t>Roof &amp; EXT Mitigation  TEMP. &amp; EMERGENCY REPAIRS</t>
  </si>
  <si>
    <t>TREE &amp; EXT Mitigation  TEMP. &amp; EMERGENCY REPAIRS</t>
  </si>
  <si>
    <t xml:space="preserve">Mitigation  INTERIOR </t>
  </si>
  <si>
    <t>Contents_ PERSONAL PROPERTY Packout = CPS</t>
  </si>
  <si>
    <t xml:space="preserve">REBUILD  Interior  &amp;  EXTERIOR </t>
  </si>
  <si>
    <t xml:space="preserve">Roof &amp; EXT REBUILD </t>
  </si>
  <si>
    <t>PERSONAL PROPERTY REPLACEMENT Customer's *</t>
  </si>
  <si>
    <t>TOTALS</t>
  </si>
  <si>
    <t>POTENTIAL ADDITIONAL FUNDS</t>
  </si>
  <si>
    <t>GROSS TOTAL TO DATE</t>
  </si>
  <si>
    <t>HENDKING</t>
  </si>
  <si>
    <t>advance</t>
  </si>
  <si>
    <t>repayment</t>
  </si>
  <si>
    <t>MIT TOTAL T APC</t>
  </si>
  <si>
    <t>NET DUE</t>
  </si>
  <si>
    <t>DEPRECIATION HELD</t>
  </si>
  <si>
    <t>DUE IAN/HARDROCK</t>
  </si>
  <si>
    <t xml:space="preserve">HOW2 </t>
  </si>
  <si>
    <t>L3</t>
  </si>
  <si>
    <t>3 LEVELS NO ROOF; 2NDFLOOR WATER LEAK ; CPS [Y]</t>
  </si>
  <si>
    <t>RETREIVE</t>
  </si>
  <si>
    <t>3 LEVELS NO ROOF; 2NDFLOOR WATER LEAK ; CPS [N]</t>
  </si>
  <si>
    <t>ATTIC ROOMS ONLY</t>
  </si>
  <si>
    <t>All Room list Fire Smoke All</t>
  </si>
  <si>
    <t>3 LEVELS HOUSE; NO ROOF; 2NDFLOOR WATER LEAK ; CPS [Y]</t>
  </si>
  <si>
    <t>Jobsite Verification</t>
  </si>
  <si>
    <t>LEVEL1 = PRIMARY ROOM [A]</t>
  </si>
  <si>
    <t xml:space="preserve">Garage, </t>
  </si>
  <si>
    <t xml:space="preserve">FOYER, </t>
  </si>
  <si>
    <t xml:space="preserve">Dining Room, </t>
  </si>
  <si>
    <t xml:space="preserve">Guest Closet, </t>
  </si>
  <si>
    <t>Kitchen,</t>
  </si>
  <si>
    <t xml:space="preserve">Nook, </t>
  </si>
  <si>
    <t xml:space="preserve">Pantry, </t>
  </si>
  <si>
    <t>Hallway,</t>
  </si>
  <si>
    <t>Nook,</t>
  </si>
  <si>
    <t xml:space="preserve">Linen Closet, </t>
  </si>
  <si>
    <t xml:space="preserve">Bedroom 1, </t>
  </si>
  <si>
    <t xml:space="preserve">Hallway, </t>
  </si>
  <si>
    <t xml:space="preserve">Bedroom Closet 1, </t>
  </si>
  <si>
    <t xml:space="preserve">Bedroom 2, </t>
  </si>
  <si>
    <t>DEN/SUNROOM/REC ROOM</t>
  </si>
  <si>
    <t>BATH GUEST</t>
  </si>
  <si>
    <t>FOYER, REAR/SIDE</t>
  </si>
  <si>
    <t>ADD A ROOM LEVEL 1</t>
  </si>
  <si>
    <t>LEVEL1 = POTENTIAL ADDITIONAL ROOMS [B]</t>
  </si>
  <si>
    <t>OFFICE</t>
  </si>
  <si>
    <t>LAUNDRY</t>
  </si>
  <si>
    <t xml:space="preserve">Primary Bedroom, </t>
  </si>
  <si>
    <t>PBR Closet 1</t>
  </si>
  <si>
    <t>PBR Closet 2</t>
  </si>
  <si>
    <t xml:space="preserve">PBR Bathroom, </t>
  </si>
  <si>
    <t xml:space="preserve">Rec Room/ office, </t>
  </si>
  <si>
    <t>FIREPLACE DN</t>
  </si>
  <si>
    <t>LEVEL  2  = PRIMARY ROOM [A]</t>
  </si>
  <si>
    <t>LINEN CLOSET</t>
  </si>
  <si>
    <t xml:space="preserve">Bedroom Closet 2, </t>
  </si>
  <si>
    <t>BR1 Closet</t>
  </si>
  <si>
    <t>“who is the Regional Claims VP for Ohio?”</t>
  </si>
  <si>
    <t>Bedroom 2</t>
  </si>
  <si>
    <t xml:space="preserve">Primary Bedroom Closet 2, </t>
  </si>
  <si>
    <t>BR2 Closet</t>
  </si>
  <si>
    <t xml:space="preserve">Primary Bathroom, </t>
  </si>
  <si>
    <t>Bath 2</t>
  </si>
  <si>
    <t>Guest Bathroom</t>
  </si>
  <si>
    <t>LEVEL 2  =  POTENTIAL ADDITIONAL ROOMS [B]</t>
  </si>
  <si>
    <t>LINEN CLOSET 2</t>
  </si>
  <si>
    <t>Bath 3</t>
  </si>
  <si>
    <t>LEVEL BASEMENT  = PRIMARY ROOMS [A]</t>
  </si>
  <si>
    <t>FOYER SIDE ENTRY</t>
  </si>
  <si>
    <t>STAIRS TO BASEMENT</t>
  </si>
  <si>
    <t>FAMILYROOM/MAN CAVE</t>
  </si>
  <si>
    <t>UTILITY ROOM</t>
  </si>
  <si>
    <t>LAUNDRY ROOM</t>
  </si>
  <si>
    <t>Bathroom DN</t>
  </si>
  <si>
    <t>STORAGE UNDER STAIRS</t>
  </si>
  <si>
    <t xml:space="preserve">STORAGE ROOM # 1 </t>
  </si>
  <si>
    <t>STORAGE ROOM # 2</t>
  </si>
  <si>
    <t>PHASE 2</t>
  </si>
  <si>
    <t>SELECT ANY ROOMS THAT ARE TRAVEL AREAS ONLY</t>
  </si>
  <si>
    <t>SELECT ANY ROOMS THAT ARE LINE OF SIGHT/CONTINUOS ROOMS= LOS</t>
  </si>
  <si>
    <t xml:space="preserve">MAYBE BOTH ADD "TRAVEL AREAS" AND /OR L.O.S. TO SELECTED ROOM NAMES </t>
  </si>
  <si>
    <t xml:space="preserve"> ADD "TRAVEL AREAS" AND /OR L.O.S. TO SELECTED ROOM NAMES (SUFFIX)</t>
  </si>
  <si>
    <t xml:space="preserve">552. CPS2 DAY2 CONTENTS OVERVIEW WIP BOXES PACKOUT PICS, </t>
  </si>
  <si>
    <t xml:space="preserve">553. CPS3 DAY3 CONTENTS OVERVIEW STORAGE MOVE OUT PICS , </t>
  </si>
  <si>
    <t xml:space="preserve">554. CPS4 CONTENTS OVERVIEW PACK-BACK / RESET PICS, </t>
  </si>
  <si>
    <t>ADD KITCHEN CABINETS SIZE ; COUNTERTOP &amp; APPLIANCES PIC &amp; TYPE</t>
  </si>
  <si>
    <t>ADD BATHROOM VANITY CABINETS SIZE &amp; APPLIANCES PIC &amp; TYPE</t>
  </si>
  <si>
    <t>OPERATIONAL FUNCTIONALITY</t>
  </si>
  <si>
    <t>OPTION TO EITHER SELECT ROOMS TO USE OR DELETE ROOMS</t>
  </si>
  <si>
    <t>BASEMENT Yor NO</t>
  </si>
  <si>
    <t>Attic Yes  or No</t>
  </si>
  <si>
    <t>FUTURE</t>
  </si>
  <si>
    <t>PULL ROOM NAMES FROM FLOOR PLAN SKETCH</t>
  </si>
  <si>
    <t xml:space="preserve">ARRANGE ROOMS IN CLOCKWISE / LEFT TO RIGHT ORDER </t>
  </si>
  <si>
    <t>STARTING AT FRONT ENTRY, LEVEL1  THEN LEVEL 2, THEN BASEMENT</t>
  </si>
  <si>
    <r>
      <t>15.</t>
    </r>
    <r>
      <rPr>
        <sz val="11"/>
        <color theme="1"/>
        <rFont val="Arial"/>
        <family val="2"/>
        <scheme val="minor"/>
      </rPr>
      <t xml:space="preserve">   </t>
    </r>
    <r>
      <rPr>
        <sz val="10"/>
        <color rgb="FF637183"/>
        <rFont val="Arial"/>
        <family val="2"/>
      </rPr>
      <t xml:space="preserve">11. REPLACEMENT 1 CON OVERVIEW DAY PICS, </t>
    </r>
  </si>
  <si>
    <r>
      <t>16.</t>
    </r>
    <r>
      <rPr>
        <sz val="11"/>
        <color theme="1"/>
        <rFont val="Arial"/>
        <family val="2"/>
        <scheme val="minor"/>
      </rPr>
      <t xml:space="preserve">   </t>
    </r>
    <r>
      <rPr>
        <sz val="10"/>
        <color rgb="FF637183"/>
        <rFont val="Arial"/>
        <family val="2"/>
      </rPr>
      <t xml:space="preserve">12. REPLACEMENT 2 CON WIP, </t>
    </r>
  </si>
  <si>
    <r>
      <t>17.</t>
    </r>
    <r>
      <rPr>
        <sz val="11"/>
        <color theme="1"/>
        <rFont val="Arial"/>
        <family val="2"/>
        <scheme val="minor"/>
      </rPr>
      <t xml:space="preserve">   </t>
    </r>
    <r>
      <rPr>
        <sz val="10"/>
        <color rgb="FF637183"/>
        <rFont val="Arial"/>
        <family val="2"/>
      </rPr>
      <t xml:space="preserve">13. REPLACEMENT 3 CON STORAGE </t>
    </r>
  </si>
  <si>
    <r>
      <t>18.</t>
    </r>
    <r>
      <rPr>
        <sz val="11"/>
        <color theme="1"/>
        <rFont val="Arial"/>
        <family val="2"/>
        <scheme val="minor"/>
      </rPr>
      <t xml:space="preserve">   </t>
    </r>
    <r>
      <rPr>
        <sz val="10"/>
        <color rgb="FF637183"/>
        <rFont val="Arial"/>
        <family val="2"/>
      </rPr>
      <t xml:space="preserve">14. REPLACEMENT 4 CON DISPOSAL, </t>
    </r>
  </si>
  <si>
    <r>
      <t>19.</t>
    </r>
    <r>
      <rPr>
        <sz val="11"/>
        <color theme="1"/>
        <rFont val="Arial"/>
        <family val="2"/>
        <scheme val="minor"/>
      </rPr>
      <t xml:space="preserve">   </t>
    </r>
    <r>
      <rPr>
        <sz val="10"/>
        <color rgb="FF637183"/>
        <rFont val="Arial"/>
        <family val="2"/>
      </rPr>
      <t xml:space="preserve">15. REBUILD OVERVIEW WORK IN PROGRESS.......WIP, </t>
    </r>
  </si>
  <si>
    <r>
      <t>20.</t>
    </r>
    <r>
      <rPr>
        <sz val="11"/>
        <color theme="1"/>
        <rFont val="Arial"/>
        <family val="2"/>
        <scheme val="minor"/>
      </rPr>
      <t xml:space="preserve">   </t>
    </r>
    <r>
      <rPr>
        <sz val="10"/>
        <color rgb="FF637183"/>
        <rFont val="Arial"/>
        <family val="2"/>
      </rPr>
      <t xml:space="preserve">16. REBUILD INTERIOR COMPLETED WORK, </t>
    </r>
  </si>
  <si>
    <t>Interior list &amp; ROOF</t>
  </si>
  <si>
    <r>
      <t>1.</t>
    </r>
    <r>
      <rPr>
        <sz val="11"/>
        <color theme="1"/>
        <rFont val="Arial"/>
        <family val="2"/>
        <scheme val="minor"/>
      </rPr>
      <t xml:space="preserve">      </t>
    </r>
    <r>
      <rPr>
        <sz val="10"/>
        <color rgb="FF637183"/>
        <rFont val="Arial"/>
        <family val="2"/>
      </rPr>
      <t>1.Jobsite Verification (Address Photos)</t>
    </r>
  </si>
  <si>
    <t>Foyer DN</t>
  </si>
  <si>
    <r>
      <t>2.</t>
    </r>
    <r>
      <rPr>
        <sz val="11"/>
        <color theme="1"/>
        <rFont val="Arial"/>
        <family val="2"/>
        <scheme val="minor"/>
      </rPr>
      <t xml:space="preserve">      </t>
    </r>
    <r>
      <rPr>
        <sz val="10"/>
        <color rgb="FF637183"/>
        <rFont val="Arial"/>
        <family val="2"/>
      </rPr>
      <t xml:space="preserve">2.Source of Loss Pics (ROOMS / STRUCTURAL) , </t>
    </r>
  </si>
  <si>
    <t>Living Room DN</t>
  </si>
  <si>
    <r>
      <t>3.</t>
    </r>
    <r>
      <rPr>
        <sz val="11"/>
        <color theme="1"/>
        <rFont val="Arial"/>
        <family val="2"/>
        <scheme val="minor"/>
      </rPr>
      <t xml:space="preserve">      </t>
    </r>
    <r>
      <rPr>
        <sz val="10"/>
        <color rgb="FF637183"/>
        <rFont val="Arial"/>
        <family val="2"/>
      </rPr>
      <t>3.FOYER/ENTRY ROOM,</t>
    </r>
  </si>
  <si>
    <t>Guest Closet DN</t>
  </si>
  <si>
    <r>
      <t>4.</t>
    </r>
    <r>
      <rPr>
        <sz val="11"/>
        <color theme="1"/>
        <rFont val="Arial"/>
        <family val="2"/>
        <scheme val="minor"/>
      </rPr>
      <t xml:space="preserve">      </t>
    </r>
    <r>
      <rPr>
        <sz val="10"/>
        <color rgb="FF637183"/>
        <rFont val="Arial"/>
        <family val="2"/>
      </rPr>
      <t>ROOM2</t>
    </r>
  </si>
  <si>
    <r>
      <t>5.</t>
    </r>
    <r>
      <rPr>
        <sz val="11"/>
        <color theme="1"/>
        <rFont val="Arial"/>
        <family val="2"/>
        <scheme val="minor"/>
      </rPr>
      <t xml:space="preserve">      </t>
    </r>
    <r>
      <rPr>
        <sz val="10"/>
        <color rgb="FF637183"/>
        <rFont val="Arial"/>
        <family val="2"/>
      </rPr>
      <t>ROOM3</t>
    </r>
  </si>
  <si>
    <t>Dining Room DN</t>
  </si>
  <si>
    <r>
      <t>6.</t>
    </r>
    <r>
      <rPr>
        <sz val="11"/>
        <color theme="1"/>
        <rFont val="Arial"/>
        <family val="2"/>
        <scheme val="minor"/>
      </rPr>
      <t xml:space="preserve">      </t>
    </r>
    <r>
      <rPr>
        <sz val="10"/>
        <color rgb="FF637183"/>
        <rFont val="Arial"/>
        <family val="2"/>
      </rPr>
      <t>ROOM4</t>
    </r>
  </si>
  <si>
    <t>Hallway DN @ BR&amp;BATH</t>
  </si>
  <si>
    <r>
      <t>7.</t>
    </r>
    <r>
      <rPr>
        <sz val="11"/>
        <color theme="1"/>
        <rFont val="Arial"/>
        <family val="2"/>
        <scheme val="minor"/>
      </rPr>
      <t xml:space="preserve">      </t>
    </r>
    <r>
      <rPr>
        <sz val="10"/>
        <color rgb="FF637183"/>
        <rFont val="Arial"/>
        <family val="2"/>
      </rPr>
      <t xml:space="preserve">ROOM5 </t>
    </r>
  </si>
  <si>
    <t>Bedroom 1 DN</t>
  </si>
  <si>
    <r>
      <t>8.</t>
    </r>
    <r>
      <rPr>
        <sz val="11"/>
        <color theme="1"/>
        <rFont val="Arial"/>
        <family val="2"/>
        <scheme val="minor"/>
      </rPr>
      <t xml:space="preserve">      </t>
    </r>
    <r>
      <rPr>
        <sz val="10"/>
        <color rgb="FF637183"/>
        <rFont val="Arial"/>
        <family val="2"/>
      </rPr>
      <t>4. CPS1 DAY 1 CONTENTS ROOM OVERVIEW / DOCUMENT PICS</t>
    </r>
  </si>
  <si>
    <t>Primary BR DN</t>
  </si>
  <si>
    <r>
      <t>9.</t>
    </r>
    <r>
      <rPr>
        <sz val="11"/>
        <color theme="1"/>
        <rFont val="Arial"/>
        <family val="2"/>
        <scheme val="minor"/>
      </rPr>
      <t xml:space="preserve">      </t>
    </r>
    <r>
      <rPr>
        <sz val="10"/>
        <color rgb="FF637183"/>
        <rFont val="Arial"/>
        <family val="2"/>
      </rPr>
      <t xml:space="preserve">5. CPS2 DAY2 CONTENTS OVERVIEW WIP BOXES PACKOUT PICS, </t>
    </r>
  </si>
  <si>
    <t>Primary BR Closet DN</t>
  </si>
  <si>
    <r>
      <t>10.</t>
    </r>
    <r>
      <rPr>
        <sz val="11"/>
        <color theme="1"/>
        <rFont val="Arial"/>
        <family val="2"/>
        <scheme val="minor"/>
      </rPr>
      <t xml:space="preserve">   </t>
    </r>
    <r>
      <rPr>
        <sz val="10"/>
        <color rgb="FF637183"/>
        <rFont val="Arial"/>
        <family val="2"/>
      </rPr>
      <t xml:space="preserve">6. CPS3 DAY3 CONTENTS OVERVIEW STORAGE MOVE OUT PICS, </t>
    </r>
  </si>
  <si>
    <t>Bedroom 2 DN</t>
  </si>
  <si>
    <r>
      <t>11.</t>
    </r>
    <r>
      <rPr>
        <sz val="11"/>
        <color theme="1"/>
        <rFont val="Arial"/>
        <family val="2"/>
        <scheme val="minor"/>
      </rPr>
      <t xml:space="preserve">   </t>
    </r>
    <r>
      <rPr>
        <sz val="10"/>
        <color rgb="FF637183"/>
        <rFont val="Arial"/>
        <family val="2"/>
      </rPr>
      <t xml:space="preserve">7. CPS4 CONTENTS OVERVIEW PACK-BACK / RESET PICS, </t>
    </r>
  </si>
  <si>
    <t>BR 2 Closet DN</t>
  </si>
  <si>
    <r>
      <t>12.</t>
    </r>
    <r>
      <rPr>
        <sz val="11"/>
        <color theme="1"/>
        <rFont val="Arial"/>
        <family val="2"/>
        <scheme val="minor"/>
      </rPr>
      <t xml:space="preserve">   </t>
    </r>
    <r>
      <rPr>
        <sz val="10"/>
        <color rgb="FF637183"/>
        <rFont val="Arial"/>
        <family val="2"/>
      </rPr>
      <t xml:space="preserve">8. MITIGATION EQUIPMENT OVERVIEW INTERIOR &amp; WIP, </t>
    </r>
  </si>
  <si>
    <r>
      <t>13.</t>
    </r>
    <r>
      <rPr>
        <sz val="11"/>
        <color theme="1"/>
        <rFont val="Arial"/>
        <family val="2"/>
        <scheme val="minor"/>
      </rPr>
      <t xml:space="preserve">   </t>
    </r>
    <r>
      <rPr>
        <sz val="10"/>
        <color rgb="FF637183"/>
        <rFont val="Arial"/>
        <family val="2"/>
      </rPr>
      <t xml:space="preserve">9. MITIGATION Readings Moisture = MC, </t>
    </r>
  </si>
  <si>
    <t>Linen Closet DN</t>
  </si>
  <si>
    <r>
      <t>14.</t>
    </r>
    <r>
      <rPr>
        <sz val="11"/>
        <color theme="1"/>
        <rFont val="Arial"/>
        <family val="2"/>
        <scheme val="minor"/>
      </rPr>
      <t xml:space="preserve">   </t>
    </r>
    <r>
      <rPr>
        <sz val="10"/>
        <color rgb="FF637183"/>
        <rFont val="Arial"/>
        <family val="2"/>
      </rPr>
      <t xml:space="preserve">10. MITIGATION READINGS = RH, TEMP F &amp; DEH &amp; EXTERIOR, </t>
    </r>
  </si>
  <si>
    <t>Kitchen DN</t>
  </si>
  <si>
    <t>Pantry Down DN</t>
  </si>
  <si>
    <t>Hallway/ Closet Dn</t>
  </si>
  <si>
    <t>SIDE DN FOYER HALL STAIRS</t>
  </si>
  <si>
    <t>Frt Stairwell / Hallway Up ======</t>
  </si>
  <si>
    <t>Living Room 2nd</t>
  </si>
  <si>
    <t>Guest Closet 2nd</t>
  </si>
  <si>
    <r>
      <t>21.</t>
    </r>
    <r>
      <rPr>
        <sz val="11"/>
        <color theme="1"/>
        <rFont val="Arial"/>
        <family val="2"/>
        <scheme val="minor"/>
      </rPr>
      <t xml:space="preserve">   </t>
    </r>
    <r>
      <rPr>
        <sz val="10"/>
        <color rgb="FF637183"/>
        <rFont val="Arial"/>
        <family val="2"/>
      </rPr>
      <t xml:space="preserve">17. Roof Scope = DAMAGES &amp; LINE ITEMS, </t>
    </r>
  </si>
  <si>
    <t>Fireplace 2nd up</t>
  </si>
  <si>
    <r>
      <t>22.</t>
    </r>
    <r>
      <rPr>
        <sz val="11"/>
        <color theme="1"/>
        <rFont val="Arial"/>
        <family val="2"/>
        <scheme val="minor"/>
      </rPr>
      <t xml:space="preserve">   </t>
    </r>
    <r>
      <rPr>
        <sz val="10"/>
        <color rgb="FF637183"/>
        <rFont val="Arial"/>
        <family val="2"/>
      </rPr>
      <t xml:space="preserve">18. ROOF EXTERIOR PAID WHEN INSTALLED (PWI ITEMS), </t>
    </r>
  </si>
  <si>
    <t>Dining Room 2nd</t>
  </si>
  <si>
    <r>
      <t>23.</t>
    </r>
    <r>
      <rPr>
        <sz val="11"/>
        <color theme="1"/>
        <rFont val="Arial"/>
        <family val="2"/>
        <scheme val="minor"/>
      </rPr>
      <t xml:space="preserve">   </t>
    </r>
    <r>
      <rPr>
        <sz val="10"/>
        <color rgb="FF637183"/>
        <rFont val="Arial"/>
        <family val="2"/>
      </rPr>
      <t xml:space="preserve">EMPLOYEES SIGNATURE CHECK LIST ROOM, </t>
    </r>
  </si>
  <si>
    <t>Hallway Bathroom 2nd</t>
  </si>
  <si>
    <r>
      <t>24.</t>
    </r>
    <r>
      <rPr>
        <sz val="11"/>
        <color theme="1"/>
        <rFont val="Arial"/>
        <family val="2"/>
        <scheme val="minor"/>
      </rPr>
      <t xml:space="preserve">   </t>
    </r>
    <r>
      <rPr>
        <sz val="10"/>
        <color rgb="FF637183"/>
        <rFont val="Arial"/>
        <family val="2"/>
      </rPr>
      <t>RHT DAY 1,</t>
    </r>
  </si>
  <si>
    <t>Bedroom 1 2nd</t>
  </si>
  <si>
    <r>
      <t>25.</t>
    </r>
    <r>
      <rPr>
        <sz val="11"/>
        <color theme="1"/>
        <rFont val="Arial"/>
        <family val="2"/>
        <scheme val="minor"/>
      </rPr>
      <t xml:space="preserve">   </t>
    </r>
    <r>
      <rPr>
        <sz val="10"/>
        <color rgb="FF637183"/>
        <rFont val="Arial"/>
        <family val="2"/>
      </rPr>
      <t xml:space="preserve">RHT DAY 2, </t>
    </r>
  </si>
  <si>
    <t>Primary Bedroom 2nd</t>
  </si>
  <si>
    <r>
      <t>26.</t>
    </r>
    <r>
      <rPr>
        <sz val="11"/>
        <color theme="1"/>
        <rFont val="Arial"/>
        <family val="2"/>
        <scheme val="minor"/>
      </rPr>
      <t xml:space="preserve">   </t>
    </r>
    <r>
      <rPr>
        <sz val="10"/>
        <color rgb="FF637183"/>
        <rFont val="Arial"/>
        <family val="2"/>
      </rPr>
      <t xml:space="preserve">RHT DAY 3, </t>
    </r>
  </si>
  <si>
    <t>Primary Bedroom Closet 2nd</t>
  </si>
  <si>
    <r>
      <t>27.</t>
    </r>
    <r>
      <rPr>
        <sz val="11"/>
        <color theme="1"/>
        <rFont val="Arial"/>
        <family val="2"/>
        <scheme val="minor"/>
      </rPr>
      <t xml:space="preserve">   </t>
    </r>
    <r>
      <rPr>
        <sz val="10"/>
        <color rgb="FF637183"/>
        <rFont val="Arial"/>
        <family val="2"/>
      </rPr>
      <t xml:space="preserve">RHT DAY 4, </t>
    </r>
  </si>
  <si>
    <t>Bedroom 2 2nd</t>
  </si>
  <si>
    <r>
      <t>28.</t>
    </r>
    <r>
      <rPr>
        <sz val="11"/>
        <color theme="1"/>
        <rFont val="Arial"/>
        <family val="2"/>
        <scheme val="minor"/>
      </rPr>
      <t xml:space="preserve">   </t>
    </r>
    <r>
      <rPr>
        <sz val="10"/>
        <color rgb="FF637183"/>
        <rFont val="Arial"/>
        <family val="2"/>
      </rPr>
      <t xml:space="preserve">RHT DAY 5, </t>
    </r>
  </si>
  <si>
    <t>BR 2 Closet 2nd</t>
  </si>
  <si>
    <r>
      <t>29.</t>
    </r>
    <r>
      <rPr>
        <sz val="11"/>
        <color theme="1"/>
        <rFont val="Arial"/>
        <family val="2"/>
        <scheme val="minor"/>
      </rPr>
      <t xml:space="preserve">   </t>
    </r>
    <r>
      <rPr>
        <sz val="10"/>
        <color rgb="FF637183"/>
        <rFont val="Arial"/>
        <family val="2"/>
      </rPr>
      <t xml:space="preserve">MC DAY 1, </t>
    </r>
  </si>
  <si>
    <t>Linen Closet 2ND</t>
  </si>
  <si>
    <r>
      <t>30.</t>
    </r>
    <r>
      <rPr>
        <sz val="11"/>
        <color theme="1"/>
        <rFont val="Arial"/>
        <family val="2"/>
        <scheme val="minor"/>
      </rPr>
      <t xml:space="preserve">   </t>
    </r>
    <r>
      <rPr>
        <sz val="10"/>
        <color rgb="FF637183"/>
        <rFont val="Arial"/>
        <family val="2"/>
      </rPr>
      <t xml:space="preserve">MC DAY 2, </t>
    </r>
  </si>
  <si>
    <t>Bathroom UP 2nd</t>
  </si>
  <si>
    <r>
      <t>31.</t>
    </r>
    <r>
      <rPr>
        <sz val="11"/>
        <color theme="1"/>
        <rFont val="Arial"/>
        <family val="2"/>
        <scheme val="minor"/>
      </rPr>
      <t xml:space="preserve">   </t>
    </r>
    <r>
      <rPr>
        <sz val="10"/>
        <color rgb="FF637183"/>
        <rFont val="Arial"/>
        <family val="2"/>
      </rPr>
      <t xml:space="preserve">MC DAY 3, </t>
    </r>
  </si>
  <si>
    <t>Kitchen 2nd</t>
  </si>
  <si>
    <r>
      <t>32.</t>
    </r>
    <r>
      <rPr>
        <sz val="11"/>
        <color theme="1"/>
        <rFont val="Arial"/>
        <family val="2"/>
        <scheme val="minor"/>
      </rPr>
      <t xml:space="preserve">   </t>
    </r>
    <r>
      <rPr>
        <sz val="10"/>
        <color rgb="FF637183"/>
        <rFont val="Arial"/>
        <family val="2"/>
      </rPr>
      <t xml:space="preserve">MC DAY 4, </t>
    </r>
  </si>
  <si>
    <t>Rear/entry Foyer 2nd</t>
  </si>
  <si>
    <r>
      <t>33.</t>
    </r>
    <r>
      <rPr>
        <sz val="11"/>
        <color theme="1"/>
        <rFont val="Arial"/>
        <family val="2"/>
        <scheme val="minor"/>
      </rPr>
      <t xml:space="preserve">   </t>
    </r>
    <r>
      <rPr>
        <sz val="10"/>
        <color rgb="FF637183"/>
        <rFont val="Arial"/>
        <family val="2"/>
      </rPr>
      <t xml:space="preserve">MC DAY 5, </t>
    </r>
  </si>
  <si>
    <t>Stairs -Up =REAR ========</t>
  </si>
  <si>
    <r>
      <t>34.</t>
    </r>
    <r>
      <rPr>
        <sz val="11"/>
        <color theme="1"/>
        <rFont val="Arial"/>
        <family val="2"/>
        <scheme val="minor"/>
      </rPr>
      <t xml:space="preserve">   </t>
    </r>
    <r>
      <rPr>
        <sz val="10"/>
        <color rgb="FF637183"/>
        <rFont val="Arial"/>
        <family val="2"/>
      </rPr>
      <t xml:space="preserve">STABILIZATION READINGS, </t>
    </r>
  </si>
  <si>
    <t>Pantry 2nd</t>
  </si>
  <si>
    <r>
      <t>35.</t>
    </r>
    <r>
      <rPr>
        <sz val="11"/>
        <color theme="1"/>
        <rFont val="Arial"/>
        <family val="2"/>
        <scheme val="minor"/>
      </rPr>
      <t xml:space="preserve">   </t>
    </r>
    <r>
      <rPr>
        <sz val="10"/>
        <color rgb="FF637183"/>
        <rFont val="Arial"/>
        <family val="2"/>
      </rPr>
      <t xml:space="preserve">MIT LABELS, </t>
    </r>
  </si>
  <si>
    <t>=== ATTIC 3RD FLOOR=====</t>
  </si>
  <si>
    <r>
      <t>36.</t>
    </r>
    <r>
      <rPr>
        <sz val="11"/>
        <color theme="1"/>
        <rFont val="Arial"/>
        <family val="2"/>
        <scheme val="minor"/>
      </rPr>
      <t xml:space="preserve">   </t>
    </r>
    <r>
      <rPr>
        <sz val="10"/>
        <color rgb="FF637183"/>
        <rFont val="Arial"/>
        <family val="2"/>
      </rPr>
      <t>ROOM LABELS</t>
    </r>
  </si>
  <si>
    <t>3rd Floor Up Stairs</t>
  </si>
  <si>
    <t>3rd Floot Bedroom Closet</t>
  </si>
  <si>
    <t>3rd Floor Bedroom/REC 1</t>
  </si>
  <si>
    <t>3rd Floor Living Room</t>
  </si>
  <si>
    <t>3rd Floor Kitchen</t>
  </si>
  <si>
    <t>3rd Floor Storage 1</t>
  </si>
  <si>
    <t>3rd Floor Hallway Bedroom</t>
  </si>
  <si>
    <t>Interior list &amp; ROOF / 5DAY MIT</t>
  </si>
  <si>
    <t>3rd Floor Closet Hall</t>
  </si>
  <si>
    <t>1. Jobsite Verification (Address Photos),</t>
  </si>
  <si>
    <t>3rd Floor Guest Closet 1</t>
  </si>
  <si>
    <t xml:space="preserve"> 2. Source of Loss Pics (ROOMS / STRUCTURAL) , </t>
  </si>
  <si>
    <t>3rd Floor Guest Closet 2</t>
  </si>
  <si>
    <t xml:space="preserve">3.FOYER/ENTRY ROOM, </t>
  </si>
  <si>
    <t>Bathroom 3rd Floor</t>
  </si>
  <si>
    <t xml:space="preserve">5. CPS2 DAY2 CONTENTS OVERVIEW WIP BOXES PACKOUT PICS, </t>
  </si>
  <si>
    <t>3RD FLR Storage 2</t>
  </si>
  <si>
    <t xml:space="preserve">6. CPS3 DAY3 CONTENTS OVERVIEW STORAGE MOVE OUT PICS , </t>
  </si>
  <si>
    <t>3rd Floor Porch</t>
  </si>
  <si>
    <t xml:space="preserve">7. CPS4 CONTENTS OVERVIEW PACK-BACK / RESET PICS, </t>
  </si>
  <si>
    <t>Basement COMMON AREA ====</t>
  </si>
  <si>
    <t xml:space="preserve">8. MITIGATION EQUIPMENT OVERVIEW INTERIOR &amp; WIP , </t>
  </si>
  <si>
    <t>Laundry Room</t>
  </si>
  <si>
    <t xml:space="preserve">9. MITIGATION Readings Moisture = MC, </t>
  </si>
  <si>
    <t>STORAGE RR</t>
  </si>
  <si>
    <t xml:space="preserve">10. MITIGATION READINGS = RH, TEMP F &amp; DEH &amp; EXTERIOR, </t>
  </si>
  <si>
    <t>=== MITIGATION LABELS =====</t>
  </si>
  <si>
    <t xml:space="preserve">11. REPLACEMENT 1 CON OVERVIEW DAY PICS, </t>
  </si>
  <si>
    <t>Mitigation Equipment</t>
  </si>
  <si>
    <t xml:space="preserve">12. REPLACEMENT 2 CON WIP, </t>
  </si>
  <si>
    <t>STABILIZATION</t>
  </si>
  <si>
    <t xml:space="preserve">13. REPLACEMENT 3 CON STORAGE , </t>
  </si>
  <si>
    <t>MC DAY1</t>
  </si>
  <si>
    <t xml:space="preserve">14. REPLACEMENT 4 CON DISPOSAL, </t>
  </si>
  <si>
    <t>MC DAY2</t>
  </si>
  <si>
    <t xml:space="preserve">15. REBUILD OVERVIEW WORK IN PROGRESS.......WIP, </t>
  </si>
  <si>
    <t>MC DAY 3</t>
  </si>
  <si>
    <t xml:space="preserve">16. REBUILD INTERIOR COMPLETED WORK, </t>
  </si>
  <si>
    <t>MC DAY 4</t>
  </si>
  <si>
    <t xml:space="preserve">17. Roof Scope = DAMAGES &amp; LINE ITEMS, </t>
  </si>
  <si>
    <t>MC DAY 5</t>
  </si>
  <si>
    <t xml:space="preserve">18. ROOF EXTERIOR PAID WHEN INSTALLED (PWI ITEMS), </t>
  </si>
  <si>
    <t>RHT DAY 1</t>
  </si>
  <si>
    <t xml:space="preserve">4. CPS1 DAY 1 CONTENTS ROOM OVERVIEW / DOCUMENT PICS, </t>
  </si>
  <si>
    <t>RHT DAY 2</t>
  </si>
  <si>
    <t>RHT DAY 1,</t>
  </si>
  <si>
    <t>RHT DAY 3</t>
  </si>
  <si>
    <t xml:space="preserve"> RHT DAY 2,</t>
  </si>
  <si>
    <t>RHT DAY 4</t>
  </si>
  <si>
    <t xml:space="preserve"> RHT DAY 3,</t>
  </si>
  <si>
    <t>RHT DAY 5</t>
  </si>
  <si>
    <t xml:space="preserve"> RHT DAY 4, </t>
  </si>
  <si>
    <t>PPR REPLACEMENT ITEMS</t>
  </si>
  <si>
    <t xml:space="preserve">RHT DAY 5, </t>
  </si>
  <si>
    <t xml:space="preserve">MC DAY1 , </t>
  </si>
  <si>
    <t xml:space="preserve">MC DAY 2, </t>
  </si>
  <si>
    <t xml:space="preserve">MC DAY3, </t>
  </si>
  <si>
    <t xml:space="preserve">MC DAY 4, </t>
  </si>
  <si>
    <t xml:space="preserve">MC DAY 5, </t>
  </si>
  <si>
    <t xml:space="preserve">STABILIZATION READINGS, </t>
  </si>
  <si>
    <t>MIT LABELS,</t>
  </si>
  <si>
    <t xml:space="preserve"> ROOM LABELS</t>
  </si>
  <si>
    <t>Jobsite Verification &amp; Source of Loss</t>
  </si>
  <si>
    <r>
      <t>1.</t>
    </r>
    <r>
      <rPr>
        <sz val="11"/>
        <color theme="1"/>
        <rFont val="Arial"/>
        <family val="2"/>
        <scheme val="minor"/>
      </rPr>
      <t xml:space="preserve">     </t>
    </r>
    <r>
      <rPr>
        <sz val="11"/>
        <color theme="1"/>
        <rFont val="Arial"/>
        <family val="2"/>
        <scheme val="minor"/>
      </rPr>
      <t>Jobsite Verification (Address Photos)</t>
    </r>
  </si>
  <si>
    <r>
      <t>2.</t>
    </r>
    <r>
      <rPr>
        <sz val="11"/>
        <color theme="1"/>
        <rFont val="Arial"/>
        <family val="2"/>
        <scheme val="minor"/>
      </rPr>
      <t xml:space="preserve">     </t>
    </r>
    <r>
      <rPr>
        <sz val="11"/>
        <color theme="1"/>
        <rFont val="Arial"/>
        <family val="2"/>
        <scheme val="minor"/>
      </rPr>
      <t>Pics (ROOMS / STRUCTURAL) ----- ---------------------------------------                                                                                                         ROOMS ------------------------------------------------------------------------------</t>
    </r>
  </si>
  <si>
    <r>
      <t>3.</t>
    </r>
    <r>
      <rPr>
        <sz val="11"/>
        <color theme="1"/>
        <rFont val="Arial"/>
        <family val="2"/>
        <scheme val="minor"/>
      </rPr>
      <t xml:space="preserve">     </t>
    </r>
    <r>
      <rPr>
        <sz val="11"/>
        <color theme="1"/>
        <rFont val="Arial"/>
        <family val="2"/>
        <scheme val="minor"/>
      </rPr>
      <t xml:space="preserve">FOYER/ENTRY ROOM  </t>
    </r>
  </si>
  <si>
    <r>
      <t>4.</t>
    </r>
    <r>
      <rPr>
        <sz val="11"/>
        <color theme="1"/>
        <rFont val="Arial"/>
        <family val="2"/>
        <scheme val="minor"/>
      </rPr>
      <t xml:space="preserve">     </t>
    </r>
    <r>
      <rPr>
        <sz val="11"/>
        <color theme="1"/>
        <rFont val="Arial"/>
        <family val="2"/>
        <scheme val="minor"/>
      </rPr>
      <t>ROOMS TRAVEL AREAS</t>
    </r>
  </si>
  <si>
    <r>
      <t>5.</t>
    </r>
    <r>
      <rPr>
        <sz val="11"/>
        <color theme="1"/>
        <rFont val="Arial"/>
        <family val="2"/>
        <scheme val="minor"/>
      </rPr>
      <t xml:space="preserve">     </t>
    </r>
    <r>
      <rPr>
        <sz val="11"/>
        <color theme="1"/>
        <rFont val="Arial"/>
        <family val="2"/>
        <scheme val="minor"/>
      </rPr>
      <t>AFFECTED ROOM ______________</t>
    </r>
  </si>
  <si>
    <r>
      <t>6.</t>
    </r>
    <r>
      <rPr>
        <sz val="11"/>
        <color theme="1"/>
        <rFont val="Arial"/>
        <family val="2"/>
        <scheme val="minor"/>
      </rPr>
      <t xml:space="preserve">     </t>
    </r>
    <r>
      <rPr>
        <sz val="11"/>
        <color theme="1"/>
        <rFont val="Arial"/>
        <family val="2"/>
        <scheme val="minor"/>
      </rPr>
      <t>AFFECTED ROOM ______________</t>
    </r>
  </si>
  <si>
    <r>
      <t>7.</t>
    </r>
    <r>
      <rPr>
        <sz val="11"/>
        <color theme="1"/>
        <rFont val="Arial"/>
        <family val="2"/>
        <scheme val="minor"/>
      </rPr>
      <t xml:space="preserve">     </t>
    </r>
    <r>
      <rPr>
        <sz val="11"/>
        <color theme="1"/>
        <rFont val="Arial"/>
        <family val="2"/>
        <scheme val="minor"/>
      </rPr>
      <t>AFFECTED ROOM ______________</t>
    </r>
  </si>
  <si>
    <r>
      <t>8.</t>
    </r>
    <r>
      <rPr>
        <sz val="11"/>
        <color theme="1"/>
        <rFont val="Arial"/>
        <family val="2"/>
        <scheme val="minor"/>
      </rPr>
      <t xml:space="preserve">     </t>
    </r>
    <r>
      <rPr>
        <sz val="11"/>
        <color theme="1"/>
        <rFont val="Arial"/>
        <family val="2"/>
        <scheme val="minor"/>
      </rPr>
      <t>AFFECTED ROOM ______________</t>
    </r>
  </si>
  <si>
    <r>
      <t>9.</t>
    </r>
    <r>
      <rPr>
        <sz val="11"/>
        <color theme="1"/>
        <rFont val="Arial"/>
        <family val="2"/>
        <scheme val="minor"/>
      </rPr>
      <t xml:space="preserve">     </t>
    </r>
    <r>
      <rPr>
        <sz val="11"/>
        <color theme="1"/>
        <rFont val="Arial"/>
        <family val="2"/>
        <scheme val="minor"/>
      </rPr>
      <t>AFFECTED ROOM ______________</t>
    </r>
  </si>
  <si>
    <r>
      <t>10.</t>
    </r>
    <r>
      <rPr>
        <sz val="11"/>
        <color theme="1"/>
        <rFont val="Arial"/>
        <family val="2"/>
        <scheme val="minor"/>
      </rPr>
      <t xml:space="preserve">  </t>
    </r>
    <r>
      <rPr>
        <sz val="11"/>
        <color theme="1"/>
        <rFont val="Arial"/>
        <family val="2"/>
        <scheme val="minor"/>
      </rPr>
      <t>AFFECTED ROOM ______________</t>
    </r>
  </si>
  <si>
    <t xml:space="preserve"> CPS ----------------</t>
  </si>
  <si>
    <r>
      <t>11.</t>
    </r>
    <r>
      <rPr>
        <sz val="11"/>
        <color theme="1"/>
        <rFont val="Arial"/>
        <family val="2"/>
        <scheme val="minor"/>
      </rPr>
      <t xml:space="preserve">  </t>
    </r>
    <r>
      <rPr>
        <sz val="11"/>
        <color theme="1"/>
        <rFont val="Arial"/>
        <family val="2"/>
        <scheme val="minor"/>
      </rPr>
      <t>CPS1 DAY1 CONTENTS OVERVIEW/DOCUMENT PICS</t>
    </r>
  </si>
  <si>
    <r>
      <t>12.</t>
    </r>
    <r>
      <rPr>
        <sz val="11"/>
        <color theme="1"/>
        <rFont val="Arial"/>
        <family val="2"/>
        <scheme val="minor"/>
      </rPr>
      <t xml:space="preserve">  </t>
    </r>
    <r>
      <rPr>
        <sz val="11"/>
        <color theme="1"/>
        <rFont val="Arial"/>
        <family val="2"/>
        <scheme val="minor"/>
      </rPr>
      <t>CPS2 DAY2 CONTENTS OVERVIEW WIP BOXES PACKOUT PICS</t>
    </r>
  </si>
  <si>
    <r>
      <t>13.</t>
    </r>
    <r>
      <rPr>
        <sz val="11"/>
        <color theme="1"/>
        <rFont val="Arial"/>
        <family val="2"/>
        <scheme val="minor"/>
      </rPr>
      <t xml:space="preserve">  </t>
    </r>
    <r>
      <rPr>
        <sz val="11"/>
        <color theme="1"/>
        <rFont val="Arial"/>
        <family val="2"/>
        <scheme val="minor"/>
      </rPr>
      <t>CPS3 DAY3 CONTENTS OVERVIEW STORAGE MOVE OUT PICS</t>
    </r>
  </si>
  <si>
    <r>
      <t>14.</t>
    </r>
    <r>
      <rPr>
        <sz val="11"/>
        <color theme="1"/>
        <rFont val="Arial"/>
        <family val="2"/>
        <scheme val="minor"/>
      </rPr>
      <t xml:space="preserve">  </t>
    </r>
    <r>
      <rPr>
        <sz val="11"/>
        <color theme="1"/>
        <rFont val="Arial"/>
        <family val="2"/>
        <scheme val="minor"/>
      </rPr>
      <t xml:space="preserve">CPS4 CONTENTS OVERVIEW PACK-BACK / RESET PICS ---------------------------------------------- </t>
    </r>
  </si>
  <si>
    <t>MITIGATION ---------------------------------------------------------</t>
  </si>
  <si>
    <r>
      <t>15.</t>
    </r>
    <r>
      <rPr>
        <sz val="11"/>
        <color theme="1"/>
        <rFont val="Arial"/>
        <family val="2"/>
        <scheme val="minor"/>
      </rPr>
      <t xml:space="preserve">  </t>
    </r>
    <r>
      <rPr>
        <sz val="11"/>
        <color theme="1"/>
        <rFont val="Arial"/>
        <family val="2"/>
        <scheme val="minor"/>
      </rPr>
      <t>MITIGATION EQUIPMENT OVERVIEW INTERIOR &amp; WIP</t>
    </r>
  </si>
  <si>
    <r>
      <t>16.</t>
    </r>
    <r>
      <rPr>
        <sz val="11"/>
        <color theme="1"/>
        <rFont val="Arial"/>
        <family val="2"/>
        <scheme val="minor"/>
      </rPr>
      <t xml:space="preserve">  </t>
    </r>
    <r>
      <rPr>
        <sz val="11"/>
        <color theme="1"/>
        <rFont val="Arial"/>
        <family val="2"/>
        <scheme val="minor"/>
      </rPr>
      <t>MITIGATION Readings Moisture = MC</t>
    </r>
  </si>
  <si>
    <r>
      <t>17.</t>
    </r>
    <r>
      <rPr>
        <sz val="11"/>
        <color theme="1"/>
        <rFont val="Arial"/>
        <family val="2"/>
        <scheme val="minor"/>
      </rPr>
      <t xml:space="preserve">  </t>
    </r>
    <r>
      <rPr>
        <sz val="11"/>
        <color theme="1"/>
        <rFont val="Arial"/>
        <family val="2"/>
        <scheme val="minor"/>
      </rPr>
      <t>MITIGATION READINGS = RH, TEMP F &amp; DEH &amp; EXTERIOR ----------------------------------------- REPLACEMENT ------------------</t>
    </r>
  </si>
  <si>
    <r>
      <t>18.</t>
    </r>
    <r>
      <rPr>
        <sz val="11"/>
        <color theme="1"/>
        <rFont val="Arial"/>
        <family val="2"/>
        <scheme val="minor"/>
      </rPr>
      <t xml:space="preserve">  </t>
    </r>
    <r>
      <rPr>
        <sz val="11"/>
        <color theme="1"/>
        <rFont val="Arial"/>
        <family val="2"/>
        <scheme val="minor"/>
      </rPr>
      <t>REPLACEMENT 1 CON OVERVIEW DAY PICS</t>
    </r>
  </si>
  <si>
    <r>
      <t>19.</t>
    </r>
    <r>
      <rPr>
        <sz val="11"/>
        <color theme="1"/>
        <rFont val="Arial"/>
        <family val="2"/>
        <scheme val="minor"/>
      </rPr>
      <t xml:space="preserve">  </t>
    </r>
    <r>
      <rPr>
        <sz val="11"/>
        <color theme="1"/>
        <rFont val="Arial"/>
        <family val="2"/>
        <scheme val="minor"/>
      </rPr>
      <t>REPLACEMENT 2 CON WIP</t>
    </r>
  </si>
  <si>
    <r>
      <t>20.</t>
    </r>
    <r>
      <rPr>
        <sz val="11"/>
        <color theme="1"/>
        <rFont val="Arial"/>
        <family val="2"/>
        <scheme val="minor"/>
      </rPr>
      <t xml:space="preserve">  </t>
    </r>
    <r>
      <rPr>
        <sz val="11"/>
        <color theme="1"/>
        <rFont val="Arial"/>
        <family val="2"/>
        <scheme val="minor"/>
      </rPr>
      <t>REPLACEMENT 3 CON STORAGE</t>
    </r>
  </si>
  <si>
    <r>
      <t>21.</t>
    </r>
    <r>
      <rPr>
        <sz val="11"/>
        <color theme="1"/>
        <rFont val="Arial"/>
        <family val="2"/>
        <scheme val="minor"/>
      </rPr>
      <t xml:space="preserve">  </t>
    </r>
    <r>
      <rPr>
        <sz val="11"/>
        <color theme="1"/>
        <rFont val="Arial"/>
        <family val="2"/>
        <scheme val="minor"/>
      </rPr>
      <t>REPLACEMENT 4 CON DISPOSAL----          ---------------------------------------------------------------------REBUILD --------------------</t>
    </r>
  </si>
  <si>
    <r>
      <t>22.</t>
    </r>
    <r>
      <rPr>
        <sz val="11"/>
        <color theme="1"/>
        <rFont val="Arial"/>
        <family val="2"/>
        <scheme val="minor"/>
      </rPr>
      <t xml:space="preserve">  </t>
    </r>
    <r>
      <rPr>
        <sz val="11"/>
        <color theme="1"/>
        <rFont val="Arial"/>
        <family val="2"/>
        <scheme val="minor"/>
      </rPr>
      <t>REBUILD OVERVIEW WORK IN PROGRESS.......WIP</t>
    </r>
  </si>
  <si>
    <r>
      <t>23.</t>
    </r>
    <r>
      <rPr>
        <sz val="11"/>
        <color theme="1"/>
        <rFont val="Arial"/>
        <family val="2"/>
        <scheme val="minor"/>
      </rPr>
      <t xml:space="preserve">  </t>
    </r>
    <r>
      <rPr>
        <sz val="11"/>
        <color theme="1"/>
        <rFont val="Arial"/>
        <family val="2"/>
        <scheme val="minor"/>
      </rPr>
      <t>REBUILD INTERIOR COMPLETED WORK --  ---------------------------------------------------------------------------------------------------------------------------------------------------------                                                                                                ROOF &amp; EXTERIOR ----------</t>
    </r>
  </si>
  <si>
    <r>
      <t>24.</t>
    </r>
    <r>
      <rPr>
        <sz val="11"/>
        <color theme="1"/>
        <rFont val="Arial"/>
        <family val="2"/>
        <scheme val="minor"/>
      </rPr>
      <t xml:space="preserve">  </t>
    </r>
    <r>
      <rPr>
        <sz val="11"/>
        <color theme="1"/>
        <rFont val="Arial"/>
        <family val="2"/>
        <scheme val="minor"/>
      </rPr>
      <t>Roof Scope = DAMAGES &amp; LINE ITEMS</t>
    </r>
  </si>
  <si>
    <t xml:space="preserve">ROOF EXTERIOR PAID WHEN INSTALLED </t>
  </si>
  <si>
    <t>CABINETS</t>
  </si>
  <si>
    <t>Type /Quality / Grade:</t>
  </si>
  <si>
    <t xml:space="preserve">   Standard- Builder Grade   /    High Grade   /   Premium   /   Deluxe   / CUSTOM</t>
  </si>
  <si>
    <t>BASE</t>
  </si>
  <si>
    <t>_______________</t>
  </si>
  <si>
    <t>LF total =____________</t>
  </si>
  <si>
    <t>SB SIZE</t>
  </si>
  <si>
    <t>DB SIZE</t>
  </si>
  <si>
    <t>B ____SIZES</t>
  </si>
  <si>
    <t>SPECIALTY</t>
  </si>
  <si>
    <t>UPPER Cabinets</t>
  </si>
  <si>
    <t>WIDTH X HEIGHT</t>
  </si>
  <si>
    <t>FULL HEIGHT CAB</t>
  </si>
  <si>
    <t>COUNTER TOP</t>
  </si>
  <si>
    <t>FORMICA</t>
  </si>
  <si>
    <t>GRANITE</t>
  </si>
  <si>
    <t>OTHER __________</t>
  </si>
  <si>
    <t>SF total =____________</t>
  </si>
  <si>
    <t>NOTES:</t>
  </si>
  <si>
    <t>APPLIANCES</t>
  </si>
  <si>
    <t>REFRIGERATOR</t>
  </si>
  <si>
    <t>ICE MAKER</t>
  </si>
  <si>
    <t xml:space="preserve">STOVE/OVEN </t>
  </si>
  <si>
    <t>GAS or ELECTRIC</t>
  </si>
  <si>
    <t>BUILT IN or Stand Alone</t>
  </si>
  <si>
    <t xml:space="preserve">Micro wave </t>
  </si>
  <si>
    <t>__________________________</t>
  </si>
  <si>
    <t>EXHAUST/VENT FAN</t>
  </si>
  <si>
    <t>Dishwasher</t>
  </si>
  <si>
    <t>Garbage disposal</t>
  </si>
  <si>
    <t>BATHROOM</t>
  </si>
  <si>
    <t>VANITY</t>
  </si>
  <si>
    <t>SIZE _________</t>
  </si>
  <si>
    <t>GRADE ________</t>
  </si>
  <si>
    <t xml:space="preserve"> ____  COUNTER TOP __________</t>
  </si>
  <si>
    <t>TOWEL RACKS</t>
  </si>
  <si>
    <t>QTY =</t>
  </si>
  <si>
    <t>BATHTUB</t>
  </si>
  <si>
    <t>___________________</t>
  </si>
  <si>
    <t>Shower surround Type</t>
  </si>
  <si>
    <t>Shower doors</t>
  </si>
  <si>
    <t>Shower Curtain &amp; Rod</t>
  </si>
  <si>
    <t>VENT FAN</t>
  </si>
  <si>
    <t>3137.11   Conformity With National Electrical Code</t>
  </si>
  <si>
    <r>
      <t xml:space="preserve">§ </t>
    </r>
    <r>
      <rPr>
        <b/>
        <sz val="10"/>
        <color indexed="18"/>
        <rFont val="Times New Roman"/>
        <family val="1"/>
        <charset val="204"/>
      </rPr>
      <t xml:space="preserve">3131.06 Repairs after Fire Damage
</t>
    </r>
    <r>
      <rPr>
        <sz val="10"/>
        <color indexed="8"/>
        <rFont val="Times New Roman"/>
        <family val="1"/>
        <charset val="204"/>
      </rPr>
      <t>Whenever the operation of a system has been the cause of a fire, such system shall not be used or operated until it has been inspected by
the Commissioner and such alterations and changes made as are deemed necessary by him or her to permit safe operation of the system, and no alterations or repairs shall be made without a permit issued by the Commissioner.</t>
    </r>
  </si>
  <si>
    <t>§ 3131.08 Firestopping   (a)   Where the installation of pipes or ducts in walls or partitions requires the removal of any firestopping, the space around the pipes or ducts at the points where firestopping was removed shall be tightly filled with mineral wool or other noncombustible insulating material.   (b)   Where pipes, ducts, stacks, or fittings pass through a floor construction, all open spaces around them shall be filled with mineral wood, or other incombustible insulating material.   (c)   Whenever baseboard or wall registers located at the top of supply or return air ducts are installed in stud framed walls or partitions or in construction having concealed interior spaces, an approved firestop shall be installed approximately three (3) inches above such register or grille. In stud framed construction such firestops shall extend the full width and depth of the stud space.</t>
  </si>
  <si>
    <t>Cleveland, OH primarily adopts the International Residential Code (IRC) for residential buildings.</t>
  </si>
  <si>
    <t>The city may also reference the International Building Code (IBC) for certain aspects of construction.</t>
  </si>
  <si>
    <t>Ensure compliance with zoning regulations that may affect residential construction.</t>
  </si>
  <si>
    <t>Always verify the latest code updates, as building regulations can change frequently.</t>
  </si>
  <si>
    <t xml:space="preserve"> § 3137.11 Conformity With National Electrical Code   Except as otherwise provided in this Building Code, or in statutes, or in rules or regulations promulgated by authority of statute, all electrical wiring and equipment shall be in accordance with the provisions of NFiPA 70 entitled “National Electrical Code,” as listed in OAC Chapter 4101:2-46.</t>
  </si>
  <si>
    <t>§ 3137.12 Residential Electrical Rehabilitation   (a)   Scope. The provisions of this section shall apply to the rehabilitation of electrical systems in one (1), two (2) and three (3) familydwelling units when they have been determined to be inadequate as specified in subsection (b) hereof.</t>
  </si>
  <si>
    <t>dwelling units when they have been determined to be inadequate as specified in subsection (b)</t>
  </si>
  <si>
    <t>hereof.</t>
  </si>
  <si>
    <t>(b) Evidence of inadequate Wiring. Evidence of inadequate wiring shall include one (1) or more of</t>
  </si>
  <si>
    <t>the following:</t>
  </si>
  <si>
    <t>(1) Excessive use of flexible cords in lieu of permanent wiring;</t>
  </si>
  <si>
    <t>(2) The use of oversized overcurrent protection device for branch circuits, feeders or service;</t>
  </si>
  <si>
    <t>(3) Unapproved extensions to the wiring system in order to provide light, heat or power;</t>
  </si>
  <si>
    <t>(4) The lack of two (2) duplex receptacles in every habitable room, except there shall be a duplex</t>
  </si>
  <si>
    <t>receptacle outlet on each wall in the living room and at least one (1) duplex receptacle in the</t>
  </si>
  <si>
    <t>bathroom;</t>
  </si>
  <si>
    <t>(5) Electrical overloads resulting in frequent operation of an overcurrent device;</t>
  </si>
  <si>
    <t>(6) Misapplication of electrical equipment;</t>
  </si>
  <si>
    <t>(7) Lack of an operable switched light fixture in every toilet room, bathroom, laundry areas,</t>
  </si>
  <si>
    <t>furnace room, hall or stairwell;</t>
  </si>
  <si>
    <t>(8) Lack of an independent circuit and a grounded receptacle for laundry facilities;</t>
  </si>
  <si>
    <t>(9) Lack of at least one (1) lighting outlet for each two hundred (200) square feet of basement</t>
  </si>
  <si>
    <t>area;</t>
  </si>
  <si>
    <t>(10) Lack of service premises grounding.</t>
  </si>
  <si>
    <t>(c) Minimum Standards.</t>
  </si>
  <si>
    <t>The following requirements are the minimum standards and shall satisfy the</t>
  </si>
  <si>
    <t>intent of this section.</t>
  </si>
  <si>
    <t xml:space="preserve">(1)   Entrances and Exits. Entrances and exits shall be illuminated by exterior lighting fixtures. These shall be controlled by interior wall switches, located for convenient and readily accessible use.     </t>
  </si>
  <si>
    <t xml:space="preserve"> (2)   Living Rooms. The living room shall be provided with illumination. The lighting outlet shall be controlled by an interior wall switch located for convenient and readily accessible use, near the entrance to the room.      Receptacle outlets controlled by a wall switch are permitted in lieu of a lighting outlet.      Convenient duplex electrical receptacle outlets shall be provided equally spaced around the room, with at least one (1) duplex outlet on each wall where practical.      </t>
  </si>
  <si>
    <t xml:space="preserve">(3)   Kitchens. Kitchens shall be provided with illumination. The main lighting outlet shall be controlled by a wall switch, located for convenient and readily accessible use, near the entrance to the room. Fixtures over the sink shall be grounded and have a separate wall switch.      Two (2) appliance circuits shall be provided, supplying a minimum of four (4) grounding-type receptacle outlets. One (1) or two (2) shall be suitably placed for connection of stove and refrigerator, and there shall be a minimum of three (3) receptacles above table or counter height for the convenient connection of small appliances, where practical. Appliance circuits shall be twenty (20) ampere capacity.      </t>
  </si>
  <si>
    <t xml:space="preserve">(4)   Bathrooms. Bathrooms shall be illuminated. The main lighting outlet shall be controlled by a wall switch next to the entrance. Fixtures over the sink shall be grounded and have a separate wall switch. Fixtures with receptacles shall have the receptacles permanently disconnected.      A grounding-type receptacle outlet separate from the light fixture shall be provided and shall be located at least thirty (30) and not more than forty-eight (48) inches above the floor adjacent to the wash basin and not more than four (4) feet from the basin.     </t>
  </si>
  <si>
    <t xml:space="preserve"> (5)   All Other Habitable Rooms. Illumination for each habitable room shall be provided. Lighting outlets shall be controlled by a wall switch. Wall switches shall be located for convenient and readily accessible use. Convenience duplex receptacle outlets shall be provided with a minimum of two (2) receptacle outlets equally spaced around the room. An additional receptacle outlet controlled by a wall switch is acceptable in lieu of a lighting outlet.    </t>
  </si>
  <si>
    <t xml:space="preserve">  (6)   Basements. Basements shall be wired for a minimum of one (1) lighting outlet in each two hundred (200) square feet of major fraction of area for use as general illumination. All enclosed areas, except coal bins, that may be walked into, such as toilet rooms, fruit storage rooms, utility rooms, excavated areas under porches, etc., shall be provided with at least one (1) lighting outlet.      Stairwell, laundry and electrical service area lighting outlets shall not be counted as part of the required basement lighting outlets.      </t>
  </si>
  <si>
    <t xml:space="preserve">(7)   Laundry Areas. The laundry area shall be provided with separate illumination. The laundry receptacle circuit shall be an individual twenty (20) ampere circuit. A wall mounted grounding-type duplex receptacle outlet shall be provided and located near the laundry equipment.      </t>
  </si>
  <si>
    <t xml:space="preserve">(8)   Space Heating System. Heating equipment requiring electrical energy for operation and/or control shall be provided with an individual circuit. A disconnect switch shall be provided on or adjacent to the heating equipment, except for a thermopile controlled furnace.     </t>
  </si>
  <si>
    <t xml:space="preserve"> (9)   Stairwells and Hallways. Stairwells and hallways shall be adequately illuminated. Lighting outlets shall be controlled by wall switches. Wall switches shall be located for convenient and readily accessible use. Switches shall not be located where it is necessary to use darkened stair sections for their operation. Stairways to all finished portions of a dwelling shall be provided with a three (3) way or multiple switch control.     </t>
  </si>
  <si>
    <t xml:space="preserve"> (10)   Service. Service to existing dwelling unit shall be a minimum of one hundred (100) ampere, three (3) wire capacity. Service equipment shall be dead front having no live parts exposed whereby accidental contact could be made. Type “S” fuses shall be installed when fused equipment is used.      Existing service of fifty (50) amperes or larger, two (2) or three (3) wire capacity shall be accepted as an exception if adequate for the electrical load being served.     </t>
  </si>
  <si>
    <t xml:space="preserve"> (11)   Service Meters. Supply to each dwelling unit shall be individually metered. No service shall be supplied through a meter to an area other than that controlled by the occupant, except where the owner pays for the electricity.     </t>
  </si>
  <si>
    <t xml:space="preserve"> (12)   Service Main Disconnects and Panels. The area around the main disconnect and branch panel shall be illuminated. The maximum height from the floor to the top of any overcurrent device shall be six and one-half (6-1/2) feet. Clearance in front shall be a minimum of three (3) feet for ready access.      </t>
  </si>
  <si>
    <t xml:space="preserve">(13)   Grounding Electrode Conductors. One end of the grounding electrode conductor shall be connected to the grounded conductor in the service equipment on the supply side. The other end shall be connected to a metallic cold water pipe system, and a jumper shall be placed around the water meter. If there is no metallic cold water pipe system, then a ground rod electrode shall be installed. The ground rod shall be a minimum of eight (8) feet long and of approved diameter and material.      </t>
  </si>
  <si>
    <t xml:space="preserve">(14)   Existing Receptacles. Replacements for existing receptacles in rooms other than kitchen, bathrooms, basement or outdoor areas may be nongrounding type. All new receptacles shall be of the grounded type.     </t>
  </si>
  <si>
    <t xml:space="preserve"> (15)   Existing Knob and Tube Circuits in Dwelling Units.         A.   Number fourteen (14) wire shall be fused at fifteen (15) amperes.         B.   Number twelve (12) wire shall be fused at twenty (20) amperes.         C.   All splices and joints to other wiring methods shall be in boxes.         D.   Any extension of knob and tube wiring shall be prohibited, except by special permission.         E.   All new and existing fixtures shall be mounted on shallow workboxes if boxes are nonexistent.         F.   All exposed abandoned wiring and equipment shall be removed.      </t>
  </si>
  <si>
    <t xml:space="preserve">(16)   Door Bells. Existing door bell system shall be restored to operating condition.     </t>
  </si>
  <si>
    <t xml:space="preserve"> (17)   Basement Wiring. Basement wiring in dwelling units shall:         A.   Be in protective raceways or armored cable when bottom of joist is less than seven (7) feet above the floor;         B.   The size of the hole through the joist for nonmetallic sheathed cable shall be one-fourth (1/4) inches to three-eighths (3/8) inches larger than the diameter of the cable;         C.   Only one (1) cable shall pass through each hole.</t>
  </si>
  <si>
    <t>§ 3137.08 Energizing the System</t>
  </si>
  <si>
    <t xml:space="preserve">(a) Whenever a permit to install electrical wiring or equipment is required by OBBC and this </t>
  </si>
  <si>
    <t xml:space="preserve">Building Code, electric current shall not be supplied to such wiring to such equipment, except for </t>
  </si>
  <si>
    <t xml:space="preserve">testing, until authorization to do so has been given by the authorized inspector of the </t>
  </si>
  <si>
    <t xml:space="preserve">Commissioner. However, such authorization shall not be required for electrical wiring or equipment </t>
  </si>
  <si>
    <t>installed under a blanket permit.</t>
  </si>
  <si>
    <t xml:space="preserve">(b) When electrical current has not been previously supplied to premises where an installation of </t>
  </si>
  <si>
    <t xml:space="preserve">electrical wiring has been made, the service lines of the utility company supplying the electrical </t>
  </si>
  <si>
    <t xml:space="preserve">current, if connected prior to final inspection and approval, shall be connected through an opened </t>
  </si>
  <si>
    <t xml:space="preserve">switch which shall be so sealed that it shall be impossible to close the switch without breaking </t>
  </si>
  <si>
    <t xml:space="preserve">the seal. Such switch shall be closed only by a person authorized to do so by the C01mnissioner and </t>
  </si>
  <si>
    <t xml:space="preserve">it shall be a violation of OBBC and this Building Code for any other person to break such seal or </t>
  </si>
  <si>
    <t xml:space="preserve">close such switch. Each such switch shall have a tag attached thereto specifying the penalty for </t>
  </si>
  <si>
    <t xml:space="preserve">unauthorized operation. Whenever such switch is installed, a written notification thereof shall be </t>
  </si>
  <si>
    <t>sent to the Commissioner.</t>
  </si>
  <si>
    <r>
      <t xml:space="preserve">§ </t>
    </r>
    <r>
      <rPr>
        <b/>
        <sz val="11"/>
        <color indexed="18"/>
        <rFont val="Times New Roman"/>
        <family val="1"/>
        <charset val="204"/>
      </rPr>
      <t xml:space="preserve">3137.09 Switching and Metering
</t>
    </r>
    <r>
      <rPr>
        <sz val="11"/>
        <color indexed="8"/>
        <rFont val="Times New Roman"/>
        <family val="1"/>
        <charset val="204"/>
      </rPr>
      <t xml:space="preserve">(a)   </t>
    </r>
    <r>
      <rPr>
        <i/>
        <sz val="11"/>
        <color indexed="8"/>
        <rFont val="Times New Roman"/>
        <family val="1"/>
        <charset val="204"/>
      </rPr>
      <t xml:space="preserve">Lighting Switching. </t>
    </r>
    <r>
      <rPr>
        <sz val="11"/>
        <color indexed="8"/>
        <rFont val="Times New Roman"/>
        <family val="1"/>
        <charset val="204"/>
      </rPr>
      <t xml:space="preserve">Switching </t>
    </r>
    <r>
      <rPr>
        <sz val="11"/>
        <color indexed="63"/>
        <rFont val="Times New Roman"/>
        <family val="1"/>
        <charset val="204"/>
      </rPr>
      <t xml:space="preserve">shall </t>
    </r>
    <r>
      <rPr>
        <sz val="11"/>
        <color indexed="8"/>
        <rFont val="Times New Roman"/>
        <family val="1"/>
        <charset val="204"/>
      </rPr>
      <t>be provided for each lighting circuit, or for portions of each circuit</t>
    </r>
    <r>
      <rPr>
        <sz val="11"/>
        <color indexed="63"/>
        <rFont val="Times New Roman"/>
        <family val="1"/>
        <charset val="204"/>
      </rPr>
      <t xml:space="preserve">, </t>
    </r>
    <r>
      <rPr>
        <sz val="11"/>
        <color indexed="8"/>
        <rFont val="Times New Roman"/>
        <family val="1"/>
        <charset val="204"/>
      </rPr>
      <t xml:space="preserve">so that only those </t>
    </r>
    <r>
      <rPr>
        <sz val="11"/>
        <color indexed="63"/>
        <rFont val="Times New Roman"/>
        <family val="1"/>
        <charset val="204"/>
      </rPr>
      <t xml:space="preserve">areas </t>
    </r>
    <r>
      <rPr>
        <sz val="11"/>
        <color indexed="8"/>
        <rFont val="Times New Roman"/>
        <family val="1"/>
        <charset val="204"/>
      </rPr>
      <t xml:space="preserve">where lighting is necessary need be illuminated.
(b)   </t>
    </r>
    <r>
      <rPr>
        <i/>
        <sz val="11"/>
        <color indexed="8"/>
        <rFont val="Times New Roman"/>
        <family val="1"/>
        <charset val="204"/>
      </rPr>
      <t xml:space="preserve">Three-Way </t>
    </r>
    <r>
      <rPr>
        <i/>
        <sz val="11"/>
        <color indexed="63"/>
        <rFont val="Times New Roman"/>
        <family val="1"/>
        <charset val="204"/>
      </rPr>
      <t xml:space="preserve">Switches. </t>
    </r>
    <r>
      <rPr>
        <sz val="11"/>
        <color indexed="8"/>
        <rFont val="Times New Roman"/>
        <family val="1"/>
        <charset val="204"/>
      </rPr>
      <t xml:space="preserve">Three (3) way </t>
    </r>
    <r>
      <rPr>
        <sz val="11"/>
        <color indexed="63"/>
        <rFont val="Times New Roman"/>
        <family val="1"/>
        <charset val="204"/>
      </rPr>
      <t xml:space="preserve">switches </t>
    </r>
    <r>
      <rPr>
        <sz val="11"/>
        <color indexed="8"/>
        <rFont val="Times New Roman"/>
        <family val="1"/>
        <charset val="204"/>
      </rPr>
      <t xml:space="preserve">shall be provided for all </t>
    </r>
    <r>
      <rPr>
        <sz val="11"/>
        <color indexed="63"/>
        <rFont val="Times New Roman"/>
        <family val="1"/>
        <charset val="204"/>
      </rPr>
      <t xml:space="preserve">stairways </t>
    </r>
    <r>
      <rPr>
        <sz val="11"/>
        <color indexed="8"/>
        <rFont val="Times New Roman"/>
        <family val="1"/>
        <charset val="204"/>
      </rPr>
      <t xml:space="preserve">to control lighting outlets illuminating </t>
    </r>
    <r>
      <rPr>
        <sz val="11"/>
        <color indexed="63"/>
        <rFont val="Times New Roman"/>
        <family val="1"/>
        <charset val="204"/>
      </rPr>
      <t xml:space="preserve">such </t>
    </r>
    <r>
      <rPr>
        <sz val="11"/>
        <color indexed="8"/>
        <rFont val="Times New Roman"/>
        <family val="1"/>
        <charset val="204"/>
      </rPr>
      <t xml:space="preserve">stairways.
( </t>
    </r>
    <r>
      <rPr>
        <b/>
        <sz val="11"/>
        <color indexed="8"/>
        <rFont val="Times New Roman"/>
        <family val="1"/>
        <charset val="204"/>
      </rPr>
      <t xml:space="preserve">l)   </t>
    </r>
    <r>
      <rPr>
        <i/>
        <sz val="11"/>
        <color indexed="63"/>
        <rFont val="Times New Roman"/>
        <family val="1"/>
        <charset val="204"/>
      </rPr>
      <t xml:space="preserve">Exception No. </t>
    </r>
    <r>
      <rPr>
        <sz val="11"/>
        <color indexed="8"/>
        <rFont val="Times New Roman"/>
        <family val="1"/>
        <charset val="204"/>
      </rPr>
      <t xml:space="preserve">I:  Automatic control of lighting may be </t>
    </r>
    <r>
      <rPr>
        <sz val="11"/>
        <color indexed="63"/>
        <rFont val="Times New Roman"/>
        <family val="1"/>
        <charset val="204"/>
      </rPr>
      <t xml:space="preserve">substituted </t>
    </r>
    <r>
      <rPr>
        <sz val="11"/>
        <color indexed="8"/>
        <rFont val="Times New Roman"/>
        <family val="1"/>
        <charset val="204"/>
      </rPr>
      <t xml:space="preserve">in lieu of three (3) way switches.
(2)   </t>
    </r>
    <r>
      <rPr>
        <i/>
        <sz val="11"/>
        <color indexed="63"/>
        <rFont val="Times New Roman"/>
        <family val="1"/>
        <charset val="204"/>
      </rPr>
      <t xml:space="preserve">Exception No. </t>
    </r>
    <r>
      <rPr>
        <sz val="11"/>
        <color indexed="8"/>
        <rFont val="Times New Roman"/>
        <family val="1"/>
        <charset val="204"/>
      </rPr>
      <t xml:space="preserve">2: </t>
    </r>
    <r>
      <rPr>
        <sz val="11"/>
        <color indexed="63"/>
        <rFont val="Times New Roman"/>
        <family val="1"/>
        <charset val="204"/>
      </rPr>
      <t xml:space="preserve">Three </t>
    </r>
    <r>
      <rPr>
        <sz val="11"/>
        <color indexed="8"/>
        <rFont val="Times New Roman"/>
        <family val="1"/>
        <charset val="204"/>
      </rPr>
      <t xml:space="preserve">(3) way switches are not required for stairways to unoccupied  </t>
    </r>
    <r>
      <rPr>
        <sz val="11"/>
        <color indexed="63"/>
        <rFont val="Times New Roman"/>
        <family val="1"/>
        <charset val="204"/>
      </rPr>
      <t xml:space="preserve">attics </t>
    </r>
    <r>
      <rPr>
        <sz val="11"/>
        <color indexed="8"/>
        <rFont val="Times New Roman"/>
        <family val="1"/>
        <charset val="204"/>
      </rPr>
      <t xml:space="preserve">or basements </t>
    </r>
    <r>
      <rPr>
        <sz val="11"/>
        <color indexed="63"/>
        <rFont val="Times New Roman"/>
        <family val="1"/>
        <charset val="204"/>
      </rPr>
      <t xml:space="preserve">which </t>
    </r>
    <r>
      <rPr>
        <sz val="11"/>
        <color indexed="8"/>
        <rFont val="Times New Roman"/>
        <family val="1"/>
        <charset val="204"/>
      </rPr>
      <t>have only one
(</t>
    </r>
    <r>
      <rPr>
        <b/>
        <sz val="11"/>
        <color indexed="8"/>
        <rFont val="Times New Roman"/>
        <family val="1"/>
        <charset val="204"/>
      </rPr>
      <t xml:space="preserve">l) means of egress.
</t>
    </r>
    <r>
      <rPr>
        <sz val="11"/>
        <color indexed="8"/>
        <rFont val="Times New Roman"/>
        <family val="1"/>
        <charset val="204"/>
      </rPr>
      <t xml:space="preserve">(c)   In </t>
    </r>
    <r>
      <rPr>
        <sz val="11"/>
        <color indexed="63"/>
        <rFont val="Times New Roman"/>
        <family val="1"/>
        <charset val="204"/>
      </rPr>
      <t xml:space="preserve">all </t>
    </r>
    <r>
      <rPr>
        <sz val="11"/>
        <color indexed="8"/>
        <rFont val="Times New Roman"/>
        <family val="1"/>
        <charset val="204"/>
      </rPr>
      <t>dwellings provisions shall be made to detennine the electrical energy consumed  by each tenant</t>
    </r>
    <r>
      <rPr>
        <sz val="11"/>
        <color indexed="63"/>
        <rFont val="Times New Roman"/>
        <family val="1"/>
        <charset val="204"/>
      </rPr>
      <t xml:space="preserve">, </t>
    </r>
    <r>
      <rPr>
        <sz val="11"/>
        <color indexed="8"/>
        <rFont val="Times New Roman"/>
        <family val="1"/>
        <charset val="204"/>
      </rPr>
      <t>excepting those dwellings where the owner pays for the energy consumed.</t>
    </r>
  </si>
  <si>
    <t xml:space="preserve">(b) Three-Way Switches. Three (3) way switches shall be provided for all stairways to control </t>
  </si>
  <si>
    <t>lighting outlets illuminating such stairways.</t>
  </si>
  <si>
    <t xml:space="preserve">( l) Exception No. I: Automatic control of lighting may be substituted in lieu of three (3) way </t>
  </si>
  <si>
    <t>switches.</t>
  </si>
  <si>
    <t xml:space="preserve">(2) Exception No. 2: Three (3) way switches are not required for stairways to unoccupied attics or </t>
  </si>
  <si>
    <t>basements which have only one</t>
  </si>
  <si>
    <t>(l) means of egress.</t>
  </si>
  <si>
    <t xml:space="preserve">(c) In all dwellings provisions shall be made to detennine the electrical energy consumed by each </t>
  </si>
  <si>
    <t>tenant, excepting those dwellings where the owner pays for the energy consumed.</t>
  </si>
  <si>
    <t>Xactimate NEW PROJECTS </t>
  </si>
  <si>
    <t>00.   SKETCH            SKTH</t>
  </si>
  <si>
    <t>DMO</t>
  </si>
  <si>
    <t>XACT Supplement[SPLM] </t>
  </si>
  <si>
    <t>01 Rebuild,                  RBLD</t>
  </si>
  <si>
    <t>90 CPS</t>
  </si>
  <si>
    <t>65, exterior mitigation   EXT-EMS</t>
  </si>
  <si>
    <t>80. Interior Mitigation       EMS  MIT</t>
  </si>
  <si>
    <t>INSURED INFO</t>
  </si>
  <si>
    <t>NAME</t>
  </si>
  <si>
    <t>EMAIL</t>
  </si>
  <si>
    <t>ADDRESS TYPE</t>
  </si>
  <si>
    <t xml:space="preserve">HOME </t>
  </si>
  <si>
    <t>DEFAULT</t>
  </si>
  <si>
    <t>STREET</t>
  </si>
  <si>
    <t>CITY</t>
  </si>
  <si>
    <t>STATE / ZIP CODE</t>
  </si>
  <si>
    <t>COUNTRY</t>
  </si>
  <si>
    <t>USA</t>
  </si>
  <si>
    <t>PHONE Type</t>
  </si>
  <si>
    <t>CELLULAR</t>
  </si>
  <si>
    <t>DATES        Date Entered</t>
  </si>
  <si>
    <t>DATE ASSIGNED</t>
  </si>
  <si>
    <t>EST. COMPLETED</t>
  </si>
  <si>
    <t>JOB COMPLETED</t>
  </si>
  <si>
    <t xml:space="preserve"> TBD </t>
  </si>
  <si>
    <t>PERSONNEL</t>
  </si>
  <si>
    <t>ESTIMATOR</t>
  </si>
  <si>
    <t xml:space="preserve">REFERENCE -==  Insurance Co. Name  </t>
  </si>
  <si>
    <t>Type Of Estimate/LOSS</t>
  </si>
  <si>
    <t>Deductible</t>
  </si>
  <si>
    <t xml:space="preserve">File Number =  Claim #  </t>
  </si>
  <si>
    <t>tbd</t>
  </si>
  <si>
    <t>XACTIMATE</t>
  </si>
  <si>
    <t>NEW  CUSTOMER INFO</t>
  </si>
  <si>
    <t>PAGE 2</t>
  </si>
  <si>
    <t>PARAMETERS</t>
  </si>
  <si>
    <t>PRICING</t>
  </si>
  <si>
    <t>Checkpoint Price List</t>
  </si>
  <si>
    <t>Price List</t>
  </si>
  <si>
    <t>Tax Jurisdiction</t>
  </si>
  <si>
    <t>Price lIst filter</t>
  </si>
  <si>
    <t>N/A</t>
  </si>
  <si>
    <t>HIGHEST AVAILABLE</t>
  </si>
  <si>
    <t>REPRICE</t>
  </si>
  <si>
    <t xml:space="preserve">N/A </t>
  </si>
  <si>
    <t>CONTRACTOR</t>
  </si>
  <si>
    <t>ADD ONS</t>
  </si>
  <si>
    <t>[__]</t>
  </si>
  <si>
    <t>Depreciation Options</t>
  </si>
  <si>
    <t>Overhead and Profit (O&amp;P)</t>
  </si>
  <si>
    <t>Overhead</t>
  </si>
  <si>
    <t>Profit</t>
  </si>
  <si>
    <t>Report Text</t>
  </si>
  <si>
    <t>COMPANY HEADER</t>
  </si>
  <si>
    <t>OPENING STATEMENT</t>
  </si>
  <si>
    <t>APC FULL STATEMENT</t>
  </si>
  <si>
    <t>DEFAULT =APC</t>
  </si>
  <si>
    <t>CLOSING STATEMENT</t>
  </si>
  <si>
    <t>THNAK YOU</t>
  </si>
  <si>
    <t>SUPPLIED OR ENTERED BY OTHERS</t>
  </si>
  <si>
    <t>SKETCHES</t>
  </si>
  <si>
    <t>Retrieve</t>
  </si>
  <si>
    <t>FLR PLAN @ ENCIRCLE</t>
  </si>
  <si>
    <t>IMPORT FPLN</t>
  </si>
  <si>
    <t>Thought For The Day </t>
  </si>
  <si>
    <t>SCOPE INPUT</t>
  </si>
  <si>
    <t>You can tell whether a man is clever by his answers.</t>
  </si>
  <si>
    <t xml:space="preserve"> You can tell whether a man is wise by his questions.</t>
  </si>
  <si>
    <t>1. Xactimate Supplements [SPLM] </t>
  </si>
  <si>
    <t> 01 Rebuild </t>
  </si>
  <si>
    <t>65 Exterior mitigation </t>
  </si>
  <si>
    <t>80 Interior mitigation</t>
  </si>
  <si>
    <t>Other</t>
  </si>
  <si>
    <t>00</t>
  </si>
  <si>
    <t xml:space="preserve"> 00 SKETCH</t>
  </si>
  <si>
    <t>UPLOAD TO ENCIRCLE</t>
  </si>
  <si>
    <t>65, exterior mitigation </t>
  </si>
  <si>
    <t>80, Interior mitigation</t>
  </si>
  <si>
    <t>Misc/Other Xactimate</t>
  </si>
  <si>
    <t>XACTIMATE = Estimates Supplemental [SPLM]</t>
  </si>
  <si>
    <t>01</t>
  </si>
  <si>
    <t xml:space="preserve"> 01 Rebuild</t>
  </si>
  <si>
    <t>MICA or ENCIRCLE or XACTIMATE</t>
  </si>
  <si>
    <t>MICA or ENCIRCLE</t>
  </si>
  <si>
    <t>Staff Notifications</t>
  </si>
  <si>
    <t>ENCIRCLE</t>
  </si>
  <si>
    <t>ENCIRCLE     NEW CUSTOMER CREATED</t>
  </si>
  <si>
    <t>CREATED INSIDE ENCIRCLE AS INDIVIDUAL ROOMS = 1 REPORT SET UP</t>
  </si>
  <si>
    <t>cklst 60 contract rep docs/initial pics</t>
  </si>
  <si>
    <t xml:space="preserve">cklst 70 interior scope </t>
  </si>
  <si>
    <t>cklst 80 int mitigation</t>
  </si>
  <si>
    <t>cklst 90 CON CPS 01</t>
  </si>
  <si>
    <t xml:space="preserve">ENCIRCLE </t>
  </si>
  <si>
    <t>CLAIM INBOX</t>
  </si>
  <si>
    <t>NEW CUSTOMER INFO</t>
  </si>
  <si>
    <t>Claim Identifier</t>
  </si>
  <si>
    <t>CARRIER IDENTIFIER</t>
  </si>
  <si>
    <t>CONTRACTOR IDENTIFIER</t>
  </si>
  <si>
    <t xml:space="preserve">ASSIGNMENT IDENTIFIER </t>
  </si>
  <si>
    <t>Policyholder Details</t>
  </si>
  <si>
    <t>POLICYHOLDER NAME</t>
  </si>
  <si>
    <t>POLICYHOLDER EMAIL</t>
  </si>
  <si>
    <t>POLICYHOLDER PHONE NUMBER</t>
  </si>
  <si>
    <t>Address Details</t>
  </si>
  <si>
    <t>ADDRESS</t>
  </si>
  <si>
    <t>Claim Details</t>
  </si>
  <si>
    <t>DATE OF LOSS</t>
  </si>
  <si>
    <t>POLICY NUMBER</t>
  </si>
  <si>
    <t>DATE CLAIM CREATED</t>
  </si>
  <si>
    <t>PROJECT MANAGER</t>
  </si>
  <si>
    <t>TYPE OF LOSS</t>
  </si>
  <si>
    <t>CAT CODE</t>
  </si>
  <si>
    <t>INSURANCE COMPANY</t>
  </si>
  <si>
    <t>CLAIM SUMMARY (LOSS DETAILS)</t>
  </si>
  <si>
    <t>INPUT DETAILS/INFO PROVIDED</t>
  </si>
  <si>
    <t>ADJUSTER</t>
  </si>
  <si>
    <t>BROKER / AGENT</t>
  </si>
  <si>
    <t>AS NEEDED</t>
  </si>
  <si>
    <t>All Phase Consulting LLC</t>
  </si>
  <si>
    <t>JJ</t>
  </si>
  <si>
    <t>Property/</t>
  </si>
  <si>
    <t>TEST CLAIM V1</t>
  </si>
  <si>
    <t>OverviewActivityPaymentsGeneral NotesStructures &amp; RoomsStatusContentsHydro</t>
  </si>
  <si>
    <t>Overview</t>
  </si>
  <si>
    <t>Reorder Rooms</t>
  </si>
  <si>
    <t>Rooms</t>
  </si>
  <si>
    <t>0.0001 ….. JOBSITE VERIFICATION (0)</t>
  </si>
  <si>
    <t>0.0002 . MECHANICALS = WATER METER READING &amp; PLUMBING REPORT/INVOICE (0)</t>
  </si>
  <si>
    <t>0.0003 . MECHANICALS = ELECTRICAL HAZARDS (0)</t>
  </si>
  <si>
    <t>0.0004 . EXT DAMAGE IF APPLICABLE ROOF TARPS (0)</t>
  </si>
  <si>
    <t>1997 . LEAD &amp; HMR TESTING LAB RESULTS (0)</t>
  </si>
  <si>
    <t>1998 . KITCHEN CABINETS SIZES U &amp; L =LF/ CT = SF; APPLIANCES (0)</t>
  </si>
  <si>
    <t>1999 . BATHROOM FIXTURES CAB SIZE &amp; FIXTURES &amp; TYPE (0)</t>
  </si>
  <si>
    <t>100 .... = ... JOB/ROOMS OVERVIEW PICS .. ========================== (0)</t>
  </si>
  <si>
    <t>101 …. Living Room = … JOB/ROOMS OVERVIEW PICS .. …......... (0)</t>
  </si>
  <si>
    <t>102 …. HALLWAY = … JOB/ROOMS OVERVIEW PICS .. TRVL (0)</t>
  </si>
  <si>
    <t>103 …. Kitchen = … JOB/ROOMS OVERVIEW PICS .. …......... (0)</t>
  </si>
  <si>
    <t>104 …. DEN = … JOB/ROOMS OVERVIEW PICS .. …......... (0)</t>
  </si>
  <si>
    <t>105 …. STAIRS UP = … JOB/ROOMS OVERVIEW PICS .. …......... (0)</t>
  </si>
  <si>
    <t>106 …. HALL UP = … JOB/ROOMS OVERVIEW PICS .. TRVL (0)</t>
  </si>
  <si>
    <t>107 …. PBR UP = … JOB/ROOMS OVERVIEW PICS .. …......... (0)</t>
  </si>
  <si>
    <t>108 …. BATH UP = … JOB/ROOMS OVERVIEW PICS .. …......... (0)</t>
  </si>
  <si>
    <t>109 …. BR-2 UP = … JOB/ROOMS OVERVIEW PICS .. …......... (0)</t>
  </si>
  <si>
    <t>200 .... ..... SOURCE of LOSS PICS ..... =========================== (0)</t>
  </si>
  <si>
    <t>201 …. Living Room ….. SOURCE of LOSS PICS ….. …......... (0)</t>
  </si>
  <si>
    <t>202 …. HALLWAY ….. SOURCE of LOSS PICS ….. TRVL (0)</t>
  </si>
  <si>
    <t>203 …. Kitchen ….. SOURCE of LOSS PICS ….. …......... (0)</t>
  </si>
  <si>
    <t>204 …. DEN ….. SOURCE of LOSS PICS ….. …......... (0)</t>
  </si>
  <si>
    <t>205 …. STAIRS UP ….. SOURCE of LOSS PICS ….. …......... (0)</t>
  </si>
  <si>
    <t>206 …. HALL UP ….. SOURCE of LOSS PICS ….. TRVL (0)</t>
  </si>
  <si>
    <t>207 …. PBR UP ….. SOURCE of LOSS PICS ….. …......... (0)</t>
  </si>
  <si>
    <t>208 …. BATH UP ….. SOURCE of LOSS PICS ….. …......... (0)</t>
  </si>
  <si>
    <t>209 …. BR-2 UP ….. SOURCE of LOSS PICS ….. …......... (0)</t>
  </si>
  <si>
    <t>300 .... ..... C.P.S. ...... ======================================= (0)</t>
  </si>
  <si>
    <t>301 …. Living Room ….. C.P.S. …... …......... (0)</t>
  </si>
  <si>
    <t>302 …. HALLWAY ….. C.P.S. …... TRVL (0)</t>
  </si>
  <si>
    <t>303 …. Kitchen ….. C.P.S. …... …......... (0)</t>
  </si>
  <si>
    <t>304 …. DEN ….. C.P.S. …... …......... (0)</t>
  </si>
  <si>
    <t>305 …. STAIRS UP ….. C.P.S. …... …......... (0)</t>
  </si>
  <si>
    <t>306 …. HALL UP ….. C.P.S. …... TRVL (0)</t>
  </si>
  <si>
    <t>307 …. PBR UP ….. C.P.S. …... …......... (0)</t>
  </si>
  <si>
    <t>308 …. BATH UP ….. C.P.S. …... …......... (0)</t>
  </si>
  <si>
    <t>309 …. BR-2 UP ….. C.P.S. …... …......... (0)</t>
  </si>
  <si>
    <t>3222 . CPS DAY2 WIP OVERVIEW WIP BOXES PACKOUT PICS (0)</t>
  </si>
  <si>
    <t>3333 . CPS3 DAY3 STORAGE OVERVIEW STORAGE MOVE OUT PICS (0)</t>
  </si>
  <si>
    <t>3444 . CPS4 DAY4 PACKBACK OVERVIEW PACK-BACK / RESET PICS (0)</t>
  </si>
  <si>
    <t>400 .... PPR ============================================= (0)</t>
  </si>
  <si>
    <t>401 …. Living Room ….. PPR ….. …......... (0)</t>
  </si>
  <si>
    <t>402 …. HALLWAY ….. PPR ….. TRVL (0)</t>
  </si>
  <si>
    <t>404 …. DEN ….. PPR ….. …......... (0)</t>
  </si>
  <si>
    <t>403 …. Kitchen ….. PPR ….. …......... (0)</t>
  </si>
  <si>
    <t>406 …. HALL UP ….. PPR ….. TRVL (0)</t>
  </si>
  <si>
    <t>405 …. STAIRS UP ….. PPR ….. …......... (0)</t>
  </si>
  <si>
    <t>407 …. PBR UP ….. PPR ….. …......... (0)</t>
  </si>
  <si>
    <t>408 …. BATH UP ….. PPR ….. …......... (0)</t>
  </si>
  <si>
    <t>409 …. BR-2 UP ….. PPR ….. …......... (0)</t>
  </si>
  <si>
    <t>4111.1 . REPLACEMENT 1 CON OVERVIEW DAY PICS (0)</t>
  </si>
  <si>
    <t>4222.2 . REPLACEMENT 2 CON WIP (0)</t>
  </si>
  <si>
    <t>4333.3 . REPLACEMENT 3 CON STORAGE (0)</t>
  </si>
  <si>
    <t>4444.4 . REPLACEMENT 4 CON DISPOSAL (0)</t>
  </si>
  <si>
    <t>500 .... ...... DMO = DEMOLITION ....... =========================== (0)</t>
  </si>
  <si>
    <t>501 …. Living Room ,,,,,, DMO = DEMOLITION ….... …......... (0)</t>
  </si>
  <si>
    <t>502 …. HALLWAY ,,,,,, DMO = DEMOLITION ….... TRVL (0)</t>
  </si>
  <si>
    <t>503 …. Kitchen ,,,,,, DMO = DEMOLITION ….... …......... (0)</t>
  </si>
  <si>
    <t>504 …. DEN ,,,,,, DMO = DEMOLITION ….... …......... (0)</t>
  </si>
  <si>
    <t>505 …. STAIRS UP ,,,,,, DMO = DEMOLITION ….... …......... (0)</t>
  </si>
  <si>
    <t>506 …. HALL UP ,,,,,, DMO = DEMOLITION ….... TRVL (0)</t>
  </si>
  <si>
    <t>507 …. PBR UP ,,,,,, DMO = DEMOLITION ….... …......... (0)</t>
  </si>
  <si>
    <t>508 …. BATH UP ,,,,,, DMO = DEMOLITION ….... …......... (0)</t>
  </si>
  <si>
    <t>509 …. BR-2 UP ,,,,,, DMO = DEMOLITION ….... …......... (0)</t>
  </si>
  <si>
    <t>600 . WTR MITIGATION EQUIPMENT &amp; W.I.P. ================================ (0)</t>
  </si>
  <si>
    <t>601 …. Living Room … WTR MITIGATION EQUIPMENT &amp; W.I.P . ... …......... (0)</t>
  </si>
  <si>
    <t>602 …. HALLWAY … WTR MITIGATION EQUIPMENT &amp; W.I.P . ... TRVL (0)</t>
  </si>
  <si>
    <t>603 …. Kitchen … WTR MITIGATION EQUIPMENT &amp; W.I.P . ... …......... (0)</t>
  </si>
  <si>
    <t>604 …. DEN … WTR MITIGATION EQUIPMENT &amp; W.I.P . ... …......... (0)</t>
  </si>
  <si>
    <t>605 …. STAIRS UP … WTR MITIGATION EQUIPMENT &amp; W.I.P . ... …......... (0)</t>
  </si>
  <si>
    <t>606 …. HALL UP … WTR MITIGATION EQUIPMENT &amp; W.I.P . ... TRVL (0)</t>
  </si>
  <si>
    <t>607 …. PBR UP … WTR MITIGATION EQUIPMENT &amp; W.I.P . ... …......... (0)</t>
  </si>
  <si>
    <t>608 …. BATH UP … WTR MITIGATION EQUIPMENT &amp; W.I.P . ... …......... (0)</t>
  </si>
  <si>
    <t>609 …. BR-2 UP … WTR MITIGATION EQUIPMENT &amp; W.I.P . ... …......... (0)</t>
  </si>
  <si>
    <t>700 . HMR = HAZARDOUS MATERIALS ==================================== (0)</t>
  </si>
  <si>
    <t>701 …. Living Room … HMR = HAZARDOUS MATERIALS ... …......... (0)</t>
  </si>
  <si>
    <t>702 …. HALLWAY … HMR = HAZARDOUS MATERIALS ... TRVL (0)</t>
  </si>
  <si>
    <t>703 …. Kitchen … HMR = HAZARDOUS MATERIALS ... …......... (0)</t>
  </si>
  <si>
    <t>704 …. DEN … HMR = HAZARDOUS MATERIALS ... …......... (0)</t>
  </si>
  <si>
    <t>705 …. STAIRS UP … HMR = HAZARDOUS MATERIALS ... …......... (0)</t>
  </si>
  <si>
    <t>706 …. HALL UP … HMR = HAZARDOUS MATERIALS ... TRVL (0)</t>
  </si>
  <si>
    <t>707 …. PBR UP … HMR = HAZARDOUS MATERIALS ... …......... (0)</t>
  </si>
  <si>
    <t>708 …. BATH UP … HMR = HAZARDOUS MATERIALS ... …......... (0)</t>
  </si>
  <si>
    <t>709 …. BR-2 UP … HMR = HAZARDOUS MATERIALS ... …......... (0)</t>
  </si>
  <si>
    <t>9998.0 . REBUILD OVERVIEW WORK IN PROGRESS....... ==================WIP (0)</t>
  </si>
  <si>
    <t>9999.0 . REBUILD INTERIOR COMPLETED WORK (0)</t>
  </si>
  <si>
    <t>Structures</t>
  </si>
  <si>
    <t>Floor Plans</t>
  </si>
  <si>
    <t>Floor plans will appear here once processed</t>
  </si>
  <si>
    <t>Learn how it works</t>
  </si>
  <si>
    <t>0.0001 ….. JOBSITE VERIFICATION</t>
  </si>
  <si>
    <t>0 Videos</t>
  </si>
  <si>
    <t>0.0002 . MECHANICALS = WATER METER READING &amp; PLUMBING REPORT/INVOICE</t>
  </si>
  <si>
    <t>0 Photos</t>
  </si>
  <si>
    <t>0.0003 . MECHANICALS = ELECTRICAL HAZARDS</t>
  </si>
  <si>
    <t>0.0004 . EXT DAMAGE IF APPLICABLE ROOF TARPS</t>
  </si>
  <si>
    <t>1997 . LEAD &amp; HMR TESTING LAB RESULTS</t>
  </si>
  <si>
    <t>1998 . KITCHEN CABINETS SIZES U &amp; L =LF/ CT = SF; APPLIANCES</t>
  </si>
  <si>
    <t>1999 . BATHROOM FIXTURES CAB SIZE &amp; FIXTURES &amp; TYPE</t>
  </si>
  <si>
    <t>100 .... = ... JOB/ROOMS OVERVIEW PICS .. ==========================</t>
  </si>
  <si>
    <t>101 …. Living Room = … JOB/ROOMS OVERVIEW PICS .. ….........</t>
  </si>
  <si>
    <t>102 …. HALLWAY = … JOB/ROOMS OVERVIEW PICS .. TRVL</t>
  </si>
  <si>
    <t>103 …. Kitchen = … JOB/ROOMS OVERVIEW PICS .. ….........</t>
  </si>
  <si>
    <t>104 …. DEN = … JOB/ROOMS OVERVIEW PICS .. ….........</t>
  </si>
  <si>
    <t>105 …. STAIRS UP = … JOB/ROOMS OVERVIEW PICS .. ….........</t>
  </si>
  <si>
    <t>106 …. HALL UP = … JOB/ROOMS OVERVIEW PICS .. TRVL</t>
  </si>
  <si>
    <t>107 …. PBR UP = … JOB/ROOMS OVERVIEW PICS .. ….........</t>
  </si>
  <si>
    <t>108 …. BATH UP = … JOB/ROOMS OVERVIEW PICS .. ….........</t>
  </si>
  <si>
    <t>109 …. BR-2 UP = … JOB/ROOMS OVERVIEW PICS .. ….........</t>
  </si>
  <si>
    <t>200 .... ..... SOURCE of LOSS PICS ..... ===========================</t>
  </si>
  <si>
    <t>201 …. Living Room ….. SOURCE of LOSS PICS ….. ….........</t>
  </si>
  <si>
    <t>202 …. HALLWAY ….. SOURCE of LOSS PICS ….. TRVL</t>
  </si>
  <si>
    <t>203 …. Kitchen ….. SOURCE of LOSS PICS ….. ….........</t>
  </si>
  <si>
    <t>204 …. DEN ….. SOURCE of LOSS PICS ….. ….........</t>
  </si>
  <si>
    <t>205 …. STAIRS UP ….. SOURCE of LOSS PICS ….. ….........</t>
  </si>
  <si>
    <t>206 …. HALL UP ….. SOURCE of LOSS PICS ….. TRVL</t>
  </si>
  <si>
    <t>207 …. PBR UP ….. SOURCE of LOSS PICS ….. ….........</t>
  </si>
  <si>
    <t>208 …. BATH UP ….. SOURCE of LOSS PICS ….. ….........</t>
  </si>
  <si>
    <t>209 …. BR-2 UP ….. SOURCE of LOSS PICS ….. ….........</t>
  </si>
  <si>
    <t>300 .... ..... C.P.S. ...... =======================================</t>
  </si>
  <si>
    <t>301 …. Living Room ….. C.P.S. …... ….........</t>
  </si>
  <si>
    <t>302 …. HALLWAY ….. C.P.S. …... TRVL</t>
  </si>
  <si>
    <t>303 …. Kitchen ….. C.P.S. …... ….........</t>
  </si>
  <si>
    <t>304 …. DEN ….. C.P.S. …... ….........</t>
  </si>
  <si>
    <t>305 …. STAIRS UP ….. C.P.S. …... ….........</t>
  </si>
  <si>
    <t>306 …. HALL UP ….. C.P.S. …... TRVL</t>
  </si>
  <si>
    <t>307 …. PBR UP ….. C.P.S. …... ….........</t>
  </si>
  <si>
    <t>308 …. BATH UP ….. C.P.S. …... ….........</t>
  </si>
  <si>
    <t>309 …. BR-2 UP ….. C.P.S. …... ….........</t>
  </si>
  <si>
    <t>3222 . CPS DAY2 WIP OVERVIEW WIP BOXES PACKOUT PICS</t>
  </si>
  <si>
    <t>3333 . CPS3 DAY3 STORAGE OVERVIEW STORAGE MOVE OUT PICS</t>
  </si>
  <si>
    <t>0 Notes</t>
  </si>
  <si>
    <t>3444 . CPS4 DAY4 PACKBACK OVERVIEW PACK-BACK / RESET PICS</t>
  </si>
  <si>
    <t>400 .... PPR =======================</t>
  </si>
  <si>
    <t>401 …. Living Room ….. PPR ….. ….........</t>
  </si>
  <si>
    <t>402 …. HALLWAY ….. PPR ….. TRVL</t>
  </si>
  <si>
    <t>404 …. DEN ….. PPR ….. ….........</t>
  </si>
  <si>
    <t>403 …. Kitchen ….. PPR ….. ….........</t>
  </si>
  <si>
    <t>406 …. HALL UP ….. PPR ….. TRVL</t>
  </si>
  <si>
    <t>405 …. STAIRS UP ….. PPR ….. ….........</t>
  </si>
  <si>
    <t>407 …. PBR UP ….. PPR ….. ….........</t>
  </si>
  <si>
    <t>408 …. BATH UP ….. PPR ….. ….........</t>
  </si>
  <si>
    <t>409 …. BR-2 UP ….. PPR ….. ….........</t>
  </si>
  <si>
    <t>4111.1 . REPLACEMENT 1 CON OVERVIEW DAY PICS</t>
  </si>
  <si>
    <t>4222.2 . REPLACEMENT 2 CON WIP</t>
  </si>
  <si>
    <t>4333.3 . REPLACEMENT 3 CON STORAGE</t>
  </si>
  <si>
    <t>4444.4 . REPLACEMENT 4 CON DISPOSAL</t>
  </si>
  <si>
    <t>500 .... ...... DMO = DEMOLITION ....... ===========================</t>
  </si>
  <si>
    <t>501 …. Living Room ,,,,,, DMO = DEMOLITION ….... ….........</t>
  </si>
  <si>
    <t>502 …. HALLWAY ,,,,,, DMO = DEMOLITION ….... TRVL</t>
  </si>
  <si>
    <t>503 …. Kitchen ,,,,,, DMO = DEMOLITION ….... ….........</t>
  </si>
  <si>
    <t>504 …. DEN ,,,,,, DMO = DEMOLITION ….... ….........</t>
  </si>
  <si>
    <t>505 …. STAIRS UP ,,,,,, DMO = DEMOLITION ….... ….........</t>
  </si>
  <si>
    <t>506 …. HALL UP ,,,,,, DMO = DEMOLITION ….... TRVL</t>
  </si>
  <si>
    <t>507 …. PBR UP ,,,,,, DMO = DEMOLITION ….... ….........</t>
  </si>
  <si>
    <t>508 …. BATH UP ,,,,,, DMO = DEMOLITION ….... ….........</t>
  </si>
  <si>
    <t>509 …. BR-2 UP ,,,,,, DMO = DEMOLITION ….... ….........</t>
  </si>
  <si>
    <t>600 . WTR MITIGATION EQUIPMENT &amp; W.I.P. ================================</t>
  </si>
  <si>
    <t>601 …. Living Room … WTR MITIGATION EQUIPMENT &amp; W.I.P . ... ….........</t>
  </si>
  <si>
    <t>602 …. HALLWAY … WTR MITIGATION EQUIPMENT &amp; W.I.P . ... TRVL</t>
  </si>
  <si>
    <t>603 …. Kitchen … WTR MITIGATION EQUIPMENT &amp; W.I.P . ... ….........</t>
  </si>
  <si>
    <t>604 …. DEN … WTR MITIGATION EQUIPMENT &amp; W.I.P . ... ….........</t>
  </si>
  <si>
    <t>605 …. STAIRS UP … WTR MITIGATION EQUIPMENT &amp; W.I.P . ... ….........</t>
  </si>
  <si>
    <t>606 …. HALL UP … WTR MITIGATION EQUIPMENT &amp; W.I.P . ... TRVL</t>
  </si>
  <si>
    <t>607 …. PBR UP … WTR MITIGATION EQUIPMENT &amp; W.I.P . ... ….........</t>
  </si>
  <si>
    <t>608 …. BATH UP … WTR MITIGATION EQUIPMENT &amp; W.I.P . ... ….........</t>
  </si>
  <si>
    <t>609 …. BR-2 UP … WTR MITIGATION EQUIPMENT &amp; W.I.P . ... ….........</t>
  </si>
  <si>
    <t>700 . HMR = HAZARDOUS MATERIALS ====================================</t>
  </si>
  <si>
    <t>701 …. Living Room … HMR = HAZARDOUS MATERIALS ... ….........</t>
  </si>
  <si>
    <t>702 …. HALLWAY … HMR = HAZARDOUS MATERIALS ... TRVL</t>
  </si>
  <si>
    <t>703 …. Kitchen … HMR = HAZARDOUS MATERIALS ... ….........</t>
  </si>
  <si>
    <t>704 …. DEN … HMR = HAZARDOUS MATERIALS ... ….........</t>
  </si>
  <si>
    <t>705 …. STAIRS UP … HMR = HAZARDOUS MATERIALS ... ….........</t>
  </si>
  <si>
    <t>706 …. HALL UP … HMR = HAZARDOUS MATERIALS ... TRVL</t>
  </si>
  <si>
    <t>707 …. PBR UP … HMR = HAZARDOUS MATERIALS ... ….........</t>
  </si>
  <si>
    <t>708 …. BATH UP … HMR = HAZARDOUS MATERIALS ... ….........</t>
  </si>
  <si>
    <t>709 …. BR-2 UP … HMR = HAZARDOUS MATERIALS ... ….........</t>
  </si>
  <si>
    <t>9998.0 . REBUILD OVERVIEW WORK IN PROGRESS.......WIP</t>
  </si>
  <si>
    <t>9999.0 . REBUILD INTERIOR COMPLETED WORK</t>
  </si>
  <si>
    <t>Insurance Customer new contract "HOW TO CREATE"</t>
  </si>
  <si>
    <t>Open the Computer to Microsoft Excel and open "Checklists/Estimates /" file.</t>
  </si>
  <si>
    <t xml:space="preserve">Go to sheet "(job info" tab) Verify company name  and or update </t>
  </si>
  <si>
    <t>To update Go to sheet/tab COMPANY HEADER (co header)</t>
  </si>
  <si>
    <r>
      <t xml:space="preserve">Selct and copy header info and paste into </t>
    </r>
    <r>
      <rPr>
        <b/>
        <i/>
        <u/>
        <sz val="12"/>
        <color rgb="FF000000"/>
        <rFont val="Arial Narrow"/>
        <family val="2"/>
      </rPr>
      <t>contract</t>
    </r>
    <r>
      <rPr>
        <sz val="12"/>
        <color rgb="FF000000"/>
        <rFont val="Arial Narrow"/>
        <family val="2"/>
      </rPr>
      <t xml:space="preserve"> tab/sheet @ A1</t>
    </r>
  </si>
  <si>
    <t>Template  - A</t>
  </si>
  <si>
    <t>WSB TJ</t>
  </si>
  <si>
    <t>Template  - C</t>
  </si>
  <si>
    <t>APC JJ</t>
  </si>
  <si>
    <t>Template  - B</t>
  </si>
  <si>
    <t>WSB JJ GA</t>
  </si>
  <si>
    <t>Template  - D</t>
  </si>
  <si>
    <t>WSB JJ OH</t>
  </si>
  <si>
    <t>Or go to google drive and open/download file template</t>
  </si>
  <si>
    <t>(File, Open, Browse, Checklist, New Customer)</t>
  </si>
  <si>
    <t>After Opening file Template, Save As  A New File:</t>
  </si>
  <si>
    <t>Required</t>
  </si>
  <si>
    <r>
      <t>Create (New) Sub-Folder for job, inside "</t>
    </r>
    <r>
      <rPr>
        <i/>
        <u/>
        <sz val="12"/>
        <color rgb="FF000000"/>
        <rFont val="Arial"/>
        <family val="2"/>
        <scheme val="minor"/>
      </rPr>
      <t>Estimates</t>
    </r>
    <r>
      <rPr>
        <u/>
        <sz val="12"/>
        <color rgb="FF000000"/>
        <rFont val="Arial"/>
        <family val="2"/>
        <scheme val="minor"/>
      </rPr>
      <t xml:space="preserve">" Folder, </t>
    </r>
  </si>
  <si>
    <t>Or go to google drive and upload the new file open/download file template</t>
  </si>
  <si>
    <t>Save as per file naming format (See Below)</t>
  </si>
  <si>
    <t>City/Area - Year-Company- Customer Name - Job Type - Insurer Abbreviation</t>
  </si>
  <si>
    <t>example =       ATL 2019 Brown 05 RFG- SFI</t>
  </si>
  <si>
    <t>Job Types &amp; Codes:</t>
  </si>
  <si>
    <t>Roofing = RFG</t>
  </si>
  <si>
    <t>Wind=Wind</t>
  </si>
  <si>
    <t>TREE</t>
  </si>
  <si>
    <t>FIRE</t>
  </si>
  <si>
    <t>Go to ….. "job info(2)"….. tab &amp; Enter Data:</t>
  </si>
  <si>
    <t>If info is already in job info tab then erase info, enter TBD in all cells or overwrite existing data with new info.</t>
  </si>
  <si>
    <t>A}</t>
  </si>
  <si>
    <t>Customer Info</t>
  </si>
  <si>
    <t>B}</t>
  </si>
  <si>
    <t xml:space="preserve"> Loss/damage Info</t>
  </si>
  <si>
    <t>C}</t>
  </si>
  <si>
    <t xml:space="preserve"> Insurer Info (policy # required)</t>
  </si>
  <si>
    <t>D}</t>
  </si>
  <si>
    <t>Room Index/AREA ID (If Available)</t>
  </si>
  <si>
    <t xml:space="preserve"> E}                   </t>
  </si>
  <si>
    <t xml:space="preserve"> Mortgage company info; if applicable &amp; when available (loan status)</t>
  </si>
  <si>
    <t>Brief Claim Narrative (if Available)</t>
  </si>
  <si>
    <t>Save File</t>
  </si>
  <si>
    <t>Print entire workbook as PDF; save to new named folder (see above)</t>
  </si>
  <si>
    <t>print areas are preset, for some tabs only one page may print , as per design</t>
  </si>
  <si>
    <r>
      <t xml:space="preserve">Email PDF as attachment   (subject = contract docs out to </t>
    </r>
    <r>
      <rPr>
        <i/>
        <u/>
        <sz val="12"/>
        <color rgb="FF404040"/>
        <rFont val="Segoe UI"/>
        <family val="2"/>
      </rPr>
      <t>customer name</t>
    </r>
    <r>
      <rPr>
        <u/>
        <sz val="12"/>
        <color rgb="FF404040"/>
        <rFont val="Segoe UI"/>
        <family val="2"/>
      </rPr>
      <t>):</t>
    </r>
  </si>
  <si>
    <t>Include MOU {PDF}(copy &amp; paste job info tab to update or use stock form)</t>
  </si>
  <si>
    <t>CC:</t>
  </si>
  <si>
    <t>manage.apc@gmail.com</t>
  </si>
  <si>
    <t xml:space="preserve">Field Rep. </t>
  </si>
  <si>
    <t>Customer</t>
  </si>
  <si>
    <t>Upload a copy to Google Drive</t>
  </si>
  <si>
    <t>Estimates  =  Proof of Loss Supporting Documentation</t>
  </si>
  <si>
    <t>work in progress 10192019</t>
  </si>
  <si>
    <t>Index of Required Pictures</t>
  </si>
  <si>
    <t>*********    Using the ENCIRCLE &amp; APC APP will guide you thru this process                  *********</t>
  </si>
  <si>
    <t>Pictures are a critical part of the full process for payment !!!</t>
  </si>
  <si>
    <r>
      <t xml:space="preserve">Open the following file templates and update or use </t>
    </r>
    <r>
      <rPr>
        <b/>
        <i/>
        <u/>
        <sz val="12"/>
        <color rgb="FF000000"/>
        <rFont val="Arial Narrow"/>
        <family val="2"/>
      </rPr>
      <t>"Master Forms Field Docs Template"</t>
    </r>
  </si>
  <si>
    <t>Mitigation$_______</t>
  </si>
  <si>
    <t>WTR</t>
  </si>
  <si>
    <t>(File, Open,Browse</t>
  </si>
  <si>
    <t>Demo        $________</t>
  </si>
  <si>
    <t>New CST</t>
  </si>
  <si>
    <t>Rebuild     $________</t>
  </si>
  <si>
    <t>Contents  $________</t>
  </si>
  <si>
    <t>Sub Contractor</t>
  </si>
  <si>
    <t xml:space="preserve">Create (New) Sub-Folder for job, inside Estimates Folder, </t>
  </si>
  <si>
    <t>City/Area - Year - Customer Name - Job Type - Insurer Abbreviation</t>
  </si>
  <si>
    <t>example =       Atl - 2019 - Brown - RFG- SFI</t>
  </si>
  <si>
    <t>( File, Open, Browse )</t>
  </si>
  <si>
    <t>Go to job info tab &amp; Enter Data:</t>
  </si>
  <si>
    <t>Copy &amp; paste job info tab to update or use stock form)</t>
  </si>
  <si>
    <t>ROOF &amp; EXTERIOR  MITIGATION</t>
  </si>
  <si>
    <t>INTERIOR  MITIGATION &amp; DEMO</t>
  </si>
  <si>
    <t xml:space="preserve">DEMOLITION                                                                               DMO </t>
  </si>
  <si>
    <t xml:space="preserve"> SECONDARY DAMAGES HAZARDOUS MATERIALS REMEDIATION/HMR</t>
  </si>
  <si>
    <t xml:space="preserve"> MITIGATION EQUIPMENT</t>
  </si>
  <si>
    <t>DRY LOGS DOCS &amp; TRIP MONITORING</t>
  </si>
  <si>
    <t>CONTENTS;</t>
  </si>
  <si>
    <t>a</t>
  </si>
  <si>
    <t xml:space="preserve"> PACKOUT Storage Only</t>
  </si>
  <si>
    <t>b</t>
  </si>
  <si>
    <t xml:space="preserve">Cleaning INHOUSE </t>
  </si>
  <si>
    <t>c</t>
  </si>
  <si>
    <t>Cleaning Sent to outside  vendor</t>
  </si>
  <si>
    <t>d</t>
  </si>
  <si>
    <t>CONTENTS, REPLACEMENT ITEMS                       CPS / CON</t>
  </si>
  <si>
    <t>REBUILD CLOSEOUT</t>
  </si>
  <si>
    <t>OFS DOCS</t>
  </si>
  <si>
    <t>cklst 01 Job info page only</t>
  </si>
  <si>
    <t>BINDER TABS</t>
  </si>
  <si>
    <t>cklst 20 Intial contact Forms POI</t>
  </si>
  <si>
    <t xml:space="preserve">cklst 30 Insurer,, mtge ,, cst </t>
  </si>
  <si>
    <t>cklst 25 CLAIM BRIEF</t>
  </si>
  <si>
    <t>cklst 99 cashflow</t>
  </si>
  <si>
    <t>CUSTOMER</t>
  </si>
  <si>
    <t>cklst 50 contract sig pgs</t>
  </si>
  <si>
    <t>cklst 51 contract notary pgs</t>
  </si>
  <si>
    <t>cklst 52 claim reporting info</t>
  </si>
  <si>
    <t>cklst 56 MOU</t>
  </si>
  <si>
    <t>REP / CREW   @       JOB</t>
  </si>
  <si>
    <t>cklst 60 contract rep docs</t>
  </si>
  <si>
    <t xml:space="preserve">Order EagleView, ROOF QS __ </t>
  </si>
  <si>
    <t>PREM report____Xact EV#_____</t>
  </si>
  <si>
    <t>00 Pics ENCIRCLE NEW CST CREATED</t>
  </si>
  <si>
    <t>cklst 65 Ext mitigation   Roof</t>
  </si>
  <si>
    <t>cklst 1155 Job Forms ONLY</t>
  </si>
  <si>
    <t>Note on creating the New Custmer Contract &amp; Docs</t>
  </si>
  <si>
    <t>Actually we send an individualized preprinted contract and associated docs to each customer.</t>
  </si>
  <si>
    <t> See next email for info that we need to create those docs.</t>
  </si>
  <si>
    <t>Also, we will send over to you the Excel file</t>
  </si>
  <si>
    <t> The Excel populates the individualized preprinted contract and associated docs.</t>
  </si>
  <si>
    <t>So you may use the email to gather the info and </t>
  </si>
  <si>
    <t> then copy and paste into the Excel "contract doc".</t>
  </si>
  <si>
    <t>Or you may enter the info directly into the Excel file and</t>
  </si>
  <si>
    <t>  then create a PDF file to forward to the customer for signature. </t>
  </si>
  <si>
    <t>             See the HOW TO tab or below in the Excel file for further details.</t>
  </si>
  <si>
    <t>This process creates the following:</t>
  </si>
  <si>
    <t>professional-looking documents</t>
  </si>
  <si>
    <t>a first impression of our comprehensive work and skills</t>
  </si>
  <si>
    <t>puts the recipients on notice that we are seriously knowledgeable about how to handle the restoration and it's related aspects</t>
  </si>
  <si>
    <t>greater legality and more enforceable contract docs</t>
  </si>
  <si>
    <t>Please recall that we also working to create an app that serves;</t>
  </si>
  <si>
    <t xml:space="preserve">the young single person, first-time homeowner, </t>
  </si>
  <si>
    <t>like our water damage customer; a 22-year-old mom </t>
  </si>
  <si>
    <t xml:space="preserve">the senior persons, </t>
  </si>
  <si>
    <t>like our wind damaged roof 94-year-old widowed customer</t>
  </si>
  <si>
    <t>&amp; everyone in between, scalable to serve the masses.</t>
  </si>
  <si>
    <t>Thank you for invaluable input and feedback on your insights as we build and keep fine-tuning this process.</t>
  </si>
  <si>
    <t>GUEST CLOSET</t>
  </si>
  <si>
    <t>BATH DN</t>
  </si>
  <si>
    <t>SHOWER</t>
  </si>
  <si>
    <t xml:space="preserve"> MC READINGS</t>
  </si>
  <si>
    <t>RH&amp;T&amp;GPP [DC] .READ 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</si>
</sst>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F800]dddd\,\ mmmm\ dd\,\ yyyy"/>
    <numFmt numFmtId="165" formatCode="_(* #,##0_);_(* \(#,##0\);_(* &quot;-&quot;??_);_(@_)"/>
    <numFmt numFmtId="166" formatCode="[&lt;=9999999]###\-####;\(###\)\ ###\-####"/>
    <numFmt numFmtId="167" formatCode="0.0"/>
    <numFmt numFmtId="168" formatCode="0.0000"/>
    <numFmt numFmtId="169" formatCode="_(&quot;$&quot;* #,##0_);_(&quot;$&quot;* \(#,##0\);_(&quot;$&quot;* &quot;-&quot;??_);_(@_)"/>
  </numFmts>
  <fonts count="276">
    <font>
      <sz val="11"/>
      <color theme="1"/>
      <name val="Arial"/>
      <family val="2"/>
      <scheme val="minor"/>
    </font>
    <font>
      <sz val="10"/>
      <color theme="1"/>
      <name val="Arial"/>
      <family val="2"/>
    </font>
    <font>
      <sz val="14"/>
      <color theme="1"/>
      <name val="Arial Narrow"/>
      <family val="2"/>
    </font>
    <font>
      <sz val="14"/>
      <color theme="1"/>
      <name val="Arial Narrow"/>
      <family val="2"/>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1"/>
      <color theme="1"/>
      <name val="Arial"/>
      <family val="2"/>
      <scheme val="minor"/>
    </font>
    <font>
      <sz val="11"/>
      <color indexed="8"/>
      <name val="Calibri"/>
      <family val="2"/>
    </font>
    <font>
      <u/>
      <sz val="11"/>
      <color theme="10"/>
      <name val="Calibri"/>
      <family val="2"/>
    </font>
    <font>
      <sz val="12"/>
      <color rgb="FF000000"/>
      <name val="Arial"/>
      <family val="2"/>
      <scheme val="minor"/>
    </font>
    <font>
      <i/>
      <u/>
      <sz val="12"/>
      <color rgb="FF000000"/>
      <name val="Arial Narrow"/>
      <family val="2"/>
    </font>
    <font>
      <sz val="12"/>
      <color theme="1"/>
      <name val="Arial"/>
      <family val="2"/>
      <scheme val="minor"/>
    </font>
    <font>
      <sz val="12"/>
      <color rgb="FF006100"/>
      <name val="Arial"/>
      <family val="2"/>
      <scheme val="minor"/>
    </font>
    <font>
      <sz val="12"/>
      <color theme="0"/>
      <name val="Arial"/>
      <family val="2"/>
      <scheme val="minor"/>
    </font>
    <font>
      <b/>
      <sz val="12"/>
      <color rgb="FFFA7D00"/>
      <name val="Arial"/>
      <family val="2"/>
      <scheme val="minor"/>
    </font>
    <font>
      <b/>
      <sz val="12"/>
      <color theme="0"/>
      <name val="Arial"/>
      <family val="2"/>
      <scheme val="minor"/>
    </font>
    <font>
      <sz val="10"/>
      <name val="Arial"/>
      <family val="2"/>
    </font>
    <font>
      <u/>
      <sz val="10"/>
      <color indexed="12"/>
      <name val="Arial"/>
      <family val="2"/>
    </font>
    <font>
      <sz val="14"/>
      <color theme="1"/>
      <name val="Arial"/>
      <family val="2"/>
      <scheme val="minor"/>
    </font>
    <font>
      <sz val="14"/>
      <color rgb="FF000000"/>
      <name val="Arial Narrow"/>
      <family val="2"/>
    </font>
    <font>
      <b/>
      <i/>
      <u/>
      <sz val="14"/>
      <color rgb="FF000000"/>
      <name val="Arial"/>
      <family val="2"/>
      <scheme val="minor"/>
    </font>
    <font>
      <i/>
      <sz val="12"/>
      <color rgb="FF000000"/>
      <name val="Arial Narrow"/>
      <family val="2"/>
    </font>
    <font>
      <b/>
      <i/>
      <u/>
      <sz val="14"/>
      <color rgb="FF000000"/>
      <name val="Arial Narrow"/>
      <family val="2"/>
    </font>
    <font>
      <i/>
      <u/>
      <sz val="14"/>
      <color rgb="FF000000"/>
      <name val="Arial Narrow"/>
      <family val="2"/>
    </font>
    <font>
      <u/>
      <sz val="12"/>
      <color theme="10"/>
      <name val="Arial"/>
      <family val="2"/>
      <scheme val="minor"/>
    </font>
    <font>
      <sz val="12"/>
      <color theme="1"/>
      <name val="NEW Times"/>
      <family val="2"/>
    </font>
    <font>
      <b/>
      <sz val="12"/>
      <color rgb="FFFA7D00"/>
      <name val="NEW Times"/>
      <family val="2"/>
    </font>
    <font>
      <u/>
      <sz val="12"/>
      <color theme="10"/>
      <name val="NEW Times"/>
      <family val="2"/>
    </font>
    <font>
      <b/>
      <sz val="18"/>
      <color theme="3"/>
      <name val="Arial"/>
      <family val="2"/>
      <scheme val="major"/>
    </font>
    <font>
      <b/>
      <sz val="12"/>
      <color rgb="FF3F3F3F"/>
      <name val="Arial"/>
      <family val="2"/>
      <scheme val="minor"/>
    </font>
    <font>
      <sz val="12"/>
      <color theme="1"/>
      <name val="Arial Narrow"/>
      <family val="2"/>
    </font>
    <font>
      <sz val="12"/>
      <color rgb="FFFA7D00"/>
      <name val="NEW Times"/>
      <family val="2"/>
    </font>
    <font>
      <sz val="12"/>
      <color rgb="FF000000"/>
      <name val="Arial Narrow"/>
      <family val="2"/>
    </font>
    <font>
      <sz val="14"/>
      <name val="Arial Narrow"/>
      <family val="2"/>
    </font>
    <font>
      <i/>
      <sz val="18"/>
      <color rgb="FF000000"/>
      <name val="Arial Narrow"/>
      <family val="2"/>
    </font>
    <font>
      <i/>
      <sz val="11"/>
      <color rgb="FF000000"/>
      <name val="Arial Narrow"/>
      <family val="2"/>
    </font>
    <font>
      <i/>
      <u/>
      <sz val="12"/>
      <color rgb="FF000000"/>
      <name val="Arial"/>
      <family val="2"/>
      <scheme val="minor"/>
    </font>
    <font>
      <b/>
      <sz val="12"/>
      <color rgb="FF000000"/>
      <name val="Arial"/>
      <family val="2"/>
      <scheme val="minor"/>
    </font>
    <font>
      <i/>
      <u/>
      <sz val="12"/>
      <color indexed="8"/>
      <name val="Times New Roman"/>
      <family val="1"/>
    </font>
    <font>
      <i/>
      <u/>
      <sz val="12"/>
      <name val="Arial"/>
      <family val="2"/>
      <scheme val="minor"/>
    </font>
    <font>
      <sz val="11"/>
      <color rgb="FF000000"/>
      <name val="Arial"/>
      <family val="2"/>
      <scheme val="minor"/>
    </font>
    <font>
      <u/>
      <sz val="11"/>
      <color theme="10"/>
      <name val="Arial"/>
      <family val="2"/>
      <scheme val="minor"/>
    </font>
    <font>
      <sz val="11"/>
      <color rgb="FF222222"/>
      <name val="Arial"/>
      <family val="2"/>
    </font>
    <font>
      <b/>
      <sz val="13.5"/>
      <color rgb="FF202124"/>
      <name val="Arial"/>
      <family val="2"/>
    </font>
    <font>
      <sz val="11"/>
      <color rgb="FF5F6368"/>
      <name val="Arial"/>
      <family val="2"/>
    </font>
    <font>
      <sz val="11"/>
      <color rgb="FF444444"/>
      <name val="Arial"/>
      <family val="2"/>
    </font>
    <font>
      <b/>
      <sz val="12"/>
      <color theme="1"/>
      <name val="Arial"/>
      <family val="2"/>
      <scheme val="minor"/>
    </font>
    <font>
      <sz val="12"/>
      <color rgb="FFFA7D00"/>
      <name val="Arial"/>
      <family val="2"/>
      <scheme val="minor"/>
    </font>
    <font>
      <u/>
      <sz val="14"/>
      <name val="Arial Narrow"/>
      <family val="2"/>
    </font>
    <font>
      <sz val="16"/>
      <name val="Arial Narrow"/>
      <family val="2"/>
    </font>
    <font>
      <b/>
      <i/>
      <sz val="16"/>
      <name val="Arial Narrow"/>
      <family val="2"/>
    </font>
    <font>
      <sz val="16"/>
      <color rgb="FF000000"/>
      <name val="Arial"/>
      <family val="2"/>
      <scheme val="minor"/>
    </font>
    <font>
      <sz val="14"/>
      <color rgb="FFFA7D00"/>
      <name val="Arial Narrow"/>
      <family val="2"/>
    </font>
    <font>
      <i/>
      <u/>
      <sz val="12"/>
      <color rgb="FF000000"/>
      <name val="Times New Roman"/>
      <family val="1"/>
    </font>
    <font>
      <sz val="11"/>
      <color theme="1"/>
      <name val="Arial Narrow"/>
      <family val="2"/>
    </font>
    <font>
      <sz val="11"/>
      <color rgb="FFFA7D00"/>
      <name val="Arial"/>
      <family val="2"/>
      <scheme val="minor"/>
    </font>
    <font>
      <sz val="12"/>
      <name val="Arial"/>
      <family val="2"/>
      <scheme val="minor"/>
    </font>
    <font>
      <u/>
      <sz val="12"/>
      <color rgb="FF000000"/>
      <name val="Calibri"/>
      <family val="2"/>
    </font>
    <font>
      <u/>
      <sz val="12"/>
      <color rgb="FF000000"/>
      <name val="Arial"/>
      <family val="2"/>
      <scheme val="minor"/>
    </font>
    <font>
      <sz val="12"/>
      <name val="Arial Narrow"/>
      <family val="2"/>
    </font>
    <font>
      <u/>
      <sz val="12"/>
      <color rgb="FF404040"/>
      <name val="Segoe UI"/>
      <family val="2"/>
    </font>
    <font>
      <sz val="12"/>
      <color rgb="FFFF0000"/>
      <name val="Arial"/>
      <family val="2"/>
      <scheme val="minor"/>
    </font>
    <font>
      <u/>
      <sz val="12"/>
      <color theme="1"/>
      <name val="Arial"/>
      <family val="2"/>
      <scheme val="minor"/>
    </font>
    <font>
      <b/>
      <i/>
      <u/>
      <sz val="12"/>
      <color rgb="FF000000"/>
      <name val="Arial Narrow"/>
      <family val="2"/>
    </font>
    <font>
      <b/>
      <i/>
      <u/>
      <sz val="12"/>
      <color rgb="FF000000"/>
      <name val="Arial"/>
      <family val="2"/>
      <scheme val="minor"/>
    </font>
    <font>
      <sz val="12"/>
      <color rgb="FF222222"/>
      <name val="Arial Narrow"/>
      <family val="2"/>
    </font>
    <font>
      <b/>
      <u/>
      <sz val="12"/>
      <color rgb="FF444444"/>
      <name val="Arial Narrow"/>
      <family val="2"/>
    </font>
    <font>
      <b/>
      <u/>
      <sz val="14"/>
      <color rgb="FF000000"/>
      <name val="Arial Narrow"/>
      <family val="2"/>
    </font>
    <font>
      <sz val="12"/>
      <color rgb="FF222222"/>
      <name val="Arial"/>
      <family val="2"/>
      <scheme val="minor"/>
    </font>
    <font>
      <u/>
      <sz val="12"/>
      <color theme="10"/>
      <name val="Calibri"/>
      <family val="2"/>
    </font>
    <font>
      <i/>
      <u/>
      <sz val="12"/>
      <color rgb="FF404040"/>
      <name val="Segoe UI"/>
      <family val="2"/>
    </font>
    <font>
      <sz val="12"/>
      <color indexed="8"/>
      <name val="Arial Narrow"/>
      <family val="2"/>
    </font>
    <font>
      <u/>
      <sz val="12"/>
      <color rgb="FF404040"/>
      <name val="Arial Narrow"/>
      <family val="2"/>
    </font>
    <font>
      <b/>
      <u/>
      <sz val="12"/>
      <color rgb="FF000000"/>
      <name val="Arial"/>
      <family val="2"/>
      <scheme val="minor"/>
    </font>
    <font>
      <u/>
      <sz val="12"/>
      <color rgb="FF0563C1"/>
      <name val="Arial Narrow"/>
      <family val="2"/>
    </font>
    <font>
      <b/>
      <i/>
      <u/>
      <sz val="18"/>
      <color theme="1"/>
      <name val="Arial"/>
      <family val="2"/>
      <scheme val="minor"/>
    </font>
    <font>
      <sz val="8"/>
      <color theme="1"/>
      <name val="Arial Narrow"/>
      <family val="2"/>
    </font>
    <font>
      <sz val="10"/>
      <color rgb="FF000000"/>
      <name val="Arial Narrow"/>
      <family val="2"/>
    </font>
    <font>
      <i/>
      <sz val="14"/>
      <color rgb="FF000000"/>
      <name val="Arial Narrow"/>
      <family val="2"/>
    </font>
    <font>
      <sz val="14"/>
      <color theme="1"/>
      <name val="Algerian"/>
      <family val="5"/>
    </font>
    <font>
      <b/>
      <sz val="11"/>
      <color rgb="FFFA7D00"/>
      <name val="Arial"/>
      <family val="2"/>
      <scheme val="minor"/>
    </font>
    <font>
      <i/>
      <u val="singleAccounting"/>
      <sz val="14"/>
      <color theme="1"/>
      <name val="Arial"/>
      <family val="2"/>
      <scheme val="minor"/>
    </font>
    <font>
      <u/>
      <sz val="14"/>
      <color theme="1"/>
      <name val="Algerian"/>
      <family val="5"/>
    </font>
    <font>
      <sz val="14"/>
      <name val="Arial"/>
      <family val="2"/>
      <scheme val="minor"/>
    </font>
    <font>
      <i/>
      <u val="singleAccounting"/>
      <sz val="16"/>
      <color theme="1"/>
      <name val="Arial"/>
      <family val="2"/>
      <scheme val="minor"/>
    </font>
    <font>
      <b/>
      <sz val="12"/>
      <name val="Arial"/>
      <family val="2"/>
      <scheme val="minor"/>
    </font>
    <font>
      <i/>
      <u/>
      <sz val="14"/>
      <name val="Arial"/>
      <family val="2"/>
      <scheme val="minor"/>
    </font>
    <font>
      <b/>
      <i/>
      <u/>
      <sz val="12"/>
      <name val="Arial"/>
      <family val="2"/>
      <scheme val="minor"/>
    </font>
    <font>
      <b/>
      <sz val="11"/>
      <name val="Arial"/>
      <family val="2"/>
      <scheme val="minor"/>
    </font>
    <font>
      <i/>
      <u/>
      <sz val="16"/>
      <name val="Arial"/>
      <family val="2"/>
      <scheme val="minor"/>
    </font>
    <font>
      <u/>
      <sz val="14"/>
      <color rgb="FF000000"/>
      <name val="Arial Narrow"/>
      <family val="2"/>
    </font>
    <font>
      <i/>
      <u/>
      <sz val="14"/>
      <color rgb="FF000000"/>
      <name val="Algerian"/>
      <family val="5"/>
    </font>
    <font>
      <u/>
      <sz val="14"/>
      <color rgb="FF000000"/>
      <name val="Algerian"/>
      <family val="5"/>
    </font>
    <font>
      <i/>
      <u val="singleAccounting"/>
      <sz val="14"/>
      <color rgb="FF000000"/>
      <name val="Arial"/>
      <family val="2"/>
      <scheme val="minor"/>
    </font>
    <font>
      <i/>
      <sz val="16"/>
      <color theme="1"/>
      <name val="Arial"/>
      <family val="2"/>
      <scheme val="minor"/>
    </font>
    <font>
      <i/>
      <u val="doubleAccounting"/>
      <sz val="14"/>
      <color theme="1"/>
      <name val="Arial"/>
      <family val="2"/>
      <scheme val="minor"/>
    </font>
    <font>
      <i/>
      <u val="doubleAccounting"/>
      <sz val="14"/>
      <color theme="1"/>
      <name val="Algerian"/>
      <family val="5"/>
    </font>
    <font>
      <i/>
      <u val="doubleAccounting"/>
      <sz val="14"/>
      <color theme="1"/>
      <name val="Arial Narrow"/>
      <family val="2"/>
    </font>
    <font>
      <i/>
      <u/>
      <sz val="16"/>
      <color rgb="FF000000"/>
      <name val="Arial"/>
      <family val="2"/>
      <scheme val="minor"/>
    </font>
    <font>
      <sz val="14"/>
      <color rgb="FF000000"/>
      <name val="Arial"/>
      <family val="2"/>
      <scheme val="minor"/>
    </font>
    <font>
      <b/>
      <u/>
      <sz val="12"/>
      <name val="Arial"/>
      <family val="2"/>
      <scheme val="minor"/>
    </font>
    <font>
      <i/>
      <u/>
      <sz val="14"/>
      <name val="Arial Narrow"/>
      <family val="2"/>
    </font>
    <font>
      <sz val="11"/>
      <color rgb="FF000000"/>
      <name val="Arial Narrow"/>
      <family val="2"/>
    </font>
    <font>
      <b/>
      <sz val="16"/>
      <color theme="3"/>
      <name val="Arial"/>
      <family val="2"/>
      <scheme val="major"/>
    </font>
    <font>
      <sz val="16"/>
      <color theme="3"/>
      <name val="Arial Black"/>
      <family val="2"/>
    </font>
    <font>
      <i/>
      <sz val="14"/>
      <color theme="1"/>
      <name val="Arial"/>
      <family val="2"/>
      <scheme val="minor"/>
    </font>
    <font>
      <sz val="16"/>
      <color theme="1"/>
      <name val="Arial Narrow"/>
      <family val="2"/>
    </font>
    <font>
      <sz val="10"/>
      <color theme="1"/>
      <name val="Arial"/>
      <family val="2"/>
      <scheme val="minor"/>
    </font>
    <font>
      <sz val="20"/>
      <color rgb="FF000000"/>
      <name val="Arial"/>
      <family val="2"/>
      <scheme val="minor"/>
    </font>
    <font>
      <b/>
      <i/>
      <u/>
      <sz val="16"/>
      <color theme="1"/>
      <name val="Arial"/>
      <family val="2"/>
      <scheme val="minor"/>
    </font>
    <font>
      <b/>
      <i/>
      <u/>
      <sz val="14"/>
      <color theme="1"/>
      <name val="Arial Narrow"/>
      <family val="2"/>
    </font>
    <font>
      <b/>
      <sz val="14"/>
      <color theme="1"/>
      <name val="Arial"/>
      <family val="2"/>
      <scheme val="minor"/>
    </font>
    <font>
      <sz val="8"/>
      <color rgb="FFFFFFFF"/>
      <name val="Arial"/>
      <family val="2"/>
    </font>
    <font>
      <sz val="8"/>
      <color rgb="FFFA7D00"/>
      <name val="NEW Times"/>
      <family val="2"/>
    </font>
    <font>
      <u val="singleAccounting"/>
      <sz val="12"/>
      <color rgb="FFFA7D00"/>
      <name val="NEW Times"/>
      <family val="2"/>
    </font>
    <font>
      <sz val="14"/>
      <color rgb="FFFA7D00"/>
      <name val="NEW Times"/>
      <family val="2"/>
    </font>
    <font>
      <sz val="14"/>
      <color rgb="FF222222"/>
      <name val="Arial"/>
      <family val="2"/>
    </font>
    <font>
      <sz val="20"/>
      <color theme="1"/>
      <name val="Arial"/>
      <family val="2"/>
      <scheme val="minor"/>
    </font>
    <font>
      <i/>
      <u/>
      <sz val="16"/>
      <name val="Arial"/>
      <family val="2"/>
    </font>
    <font>
      <sz val="16"/>
      <color theme="1"/>
      <name val="Arial"/>
      <family val="2"/>
    </font>
    <font>
      <i/>
      <u/>
      <sz val="16"/>
      <color rgb="FF000000"/>
      <name val="Arial"/>
      <family val="2"/>
    </font>
    <font>
      <b/>
      <i/>
      <u/>
      <sz val="16"/>
      <color rgb="FFFFFFFF"/>
      <name val="Arial"/>
      <family val="2"/>
    </font>
    <font>
      <b/>
      <sz val="14"/>
      <color theme="1"/>
      <name val="Arial Narrow"/>
      <family val="2"/>
    </font>
    <font>
      <u/>
      <sz val="14"/>
      <color theme="1"/>
      <name val="Arial Narrow"/>
      <family val="2"/>
    </font>
    <font>
      <b/>
      <sz val="9"/>
      <color rgb="FF000000"/>
      <name val="Arial"/>
      <family val="2"/>
      <scheme val="minor"/>
    </font>
    <font>
      <sz val="14"/>
      <color rgb="FF222222"/>
      <name val="Arial Narrow"/>
      <family val="2"/>
    </font>
    <font>
      <b/>
      <sz val="14"/>
      <color rgb="FF222222"/>
      <name val="Arial"/>
      <family val="2"/>
    </font>
    <font>
      <b/>
      <sz val="14"/>
      <color rgb="FF000000"/>
      <name val="Arial Narrow"/>
      <family val="2"/>
    </font>
    <font>
      <b/>
      <sz val="18"/>
      <color theme="1"/>
      <name val="Arial"/>
      <family val="2"/>
      <scheme val="minor"/>
    </font>
    <font>
      <b/>
      <i/>
      <sz val="14"/>
      <color theme="1"/>
      <name val="Arial Narrow"/>
      <family val="2"/>
    </font>
    <font>
      <sz val="10"/>
      <color theme="1"/>
      <name val="Arial Narrow"/>
      <family val="2"/>
    </font>
    <font>
      <b/>
      <i/>
      <sz val="12"/>
      <color theme="1"/>
      <name val="Arial Narrow"/>
      <family val="2"/>
    </font>
    <font>
      <u val="singleAccounting"/>
      <sz val="14"/>
      <color theme="1"/>
      <name val="Arial Narrow"/>
      <family val="2"/>
    </font>
    <font>
      <u/>
      <sz val="11"/>
      <color theme="1"/>
      <name val="Arial Narrow"/>
      <family val="2"/>
    </font>
    <font>
      <u/>
      <sz val="11"/>
      <color theme="1"/>
      <name val="Arial"/>
      <family val="2"/>
      <scheme val="minor"/>
    </font>
    <font>
      <u/>
      <sz val="11"/>
      <color rgb="FF000000"/>
      <name val="Arial Narrow"/>
      <family val="2"/>
    </font>
    <font>
      <b/>
      <u/>
      <sz val="16"/>
      <color theme="1"/>
      <name val="Arial Narrow"/>
      <family val="2"/>
    </font>
    <font>
      <u/>
      <sz val="10"/>
      <color theme="1"/>
      <name val="Arial Narrow"/>
      <family val="2"/>
    </font>
    <font>
      <i/>
      <sz val="14"/>
      <color theme="1"/>
      <name val="Arial Narrow"/>
      <family val="2"/>
    </font>
    <font>
      <b/>
      <sz val="14"/>
      <name val="Arial Narrow"/>
      <family val="2"/>
    </font>
    <font>
      <i/>
      <u val="singleAccounting"/>
      <sz val="14"/>
      <color theme="1"/>
      <name val="Arial Narrow"/>
      <family val="2"/>
    </font>
    <font>
      <u val="singleAccounting"/>
      <sz val="11"/>
      <color theme="1"/>
      <name val="Arial Narrow"/>
      <family val="2"/>
    </font>
    <font>
      <u/>
      <sz val="14"/>
      <color rgb="FF45474D"/>
      <name val="Arial Narrow"/>
      <family val="2"/>
    </font>
    <font>
      <sz val="12"/>
      <color rgb="FF00FF00"/>
      <name val="Arial Narrow"/>
      <family val="2"/>
    </font>
    <font>
      <u/>
      <sz val="12"/>
      <color rgb="FF00FF00"/>
      <name val="Arial Narrow"/>
      <family val="2"/>
    </font>
    <font>
      <u/>
      <sz val="12"/>
      <name val="Arial Narrow"/>
      <family val="2"/>
    </font>
    <font>
      <i/>
      <u/>
      <sz val="14"/>
      <color rgb="FF222222"/>
      <name val="Arial Narrow"/>
      <family val="2"/>
    </font>
    <font>
      <b/>
      <sz val="14"/>
      <color rgb="FF45474D"/>
      <name val="Arial Narrow"/>
      <family val="2"/>
    </font>
    <font>
      <b/>
      <i/>
      <u val="singleAccounting"/>
      <sz val="16"/>
      <color theme="1"/>
      <name val="Arial Narrow"/>
      <family val="2"/>
    </font>
    <font>
      <sz val="14"/>
      <color rgb="FF45474D"/>
      <name val="Arial Narrow"/>
      <family val="2"/>
    </font>
    <font>
      <sz val="12"/>
      <color rgb="FF45474D"/>
      <name val="Arial Narrow"/>
      <family val="2"/>
    </font>
    <font>
      <sz val="12"/>
      <name val="Arial Black"/>
      <family val="2"/>
    </font>
    <font>
      <b/>
      <i/>
      <u val="doubleAccounting"/>
      <sz val="14"/>
      <color theme="1"/>
      <name val="Arial"/>
      <family val="2"/>
      <scheme val="minor"/>
    </font>
    <font>
      <b/>
      <sz val="11"/>
      <color theme="1"/>
      <name val="Arial Narrow"/>
      <family val="2"/>
    </font>
    <font>
      <sz val="10"/>
      <color rgb="FF637183"/>
      <name val="Arial"/>
      <family val="2"/>
      <scheme val="minor"/>
    </font>
    <font>
      <sz val="12"/>
      <color rgb="FF323C46"/>
      <name val="Arial"/>
      <family val="2"/>
      <scheme val="minor"/>
    </font>
    <font>
      <sz val="14"/>
      <color rgb="FF323C46"/>
      <name val="Arial"/>
      <family val="2"/>
      <scheme val="minor"/>
    </font>
    <font>
      <sz val="8"/>
      <color rgb="FF637183"/>
      <name val="Arial"/>
      <family val="2"/>
      <scheme val="minor"/>
    </font>
    <font>
      <sz val="10"/>
      <color rgb="FFFFFFFF"/>
      <name val="Arial"/>
      <family val="2"/>
      <scheme val="minor"/>
    </font>
    <font>
      <sz val="10"/>
      <color rgb="FFFC4D00"/>
      <name val="Arial"/>
      <family val="2"/>
      <scheme val="minor"/>
    </font>
    <font>
      <sz val="7"/>
      <color rgb="FFAAB4BE"/>
      <name val="Arial"/>
      <family val="2"/>
      <scheme val="minor"/>
    </font>
    <font>
      <sz val="11"/>
      <color rgb="FF323C46"/>
      <name val="Inherit"/>
    </font>
    <font>
      <sz val="11"/>
      <color rgb="FF323C46"/>
      <name val="Arial"/>
      <family val="2"/>
      <scheme val="minor"/>
    </font>
    <font>
      <sz val="11"/>
      <color theme="1"/>
      <name val="Inherit"/>
    </font>
    <font>
      <b/>
      <i/>
      <u/>
      <sz val="14"/>
      <name val="Arial"/>
      <family val="2"/>
      <scheme val="minor"/>
    </font>
    <font>
      <sz val="11"/>
      <name val="Arial"/>
      <family val="2"/>
      <scheme val="minor"/>
    </font>
    <font>
      <i/>
      <u val="doubleAccounting"/>
      <sz val="10"/>
      <color theme="1"/>
      <name val="Arial"/>
      <family val="2"/>
      <scheme val="minor"/>
    </font>
    <font>
      <sz val="10"/>
      <name val="Arial"/>
      <family val="2"/>
      <scheme val="minor"/>
    </font>
    <font>
      <i/>
      <u val="doubleAccounting"/>
      <sz val="10"/>
      <color theme="1"/>
      <name val="Arial Narrow"/>
      <family val="2"/>
    </font>
    <font>
      <sz val="14"/>
      <color rgb="FF000000"/>
      <name val="Algerian"/>
      <family val="5"/>
    </font>
    <font>
      <sz val="8"/>
      <color rgb="FF222222"/>
      <name val="Roboto"/>
    </font>
    <font>
      <u/>
      <sz val="14"/>
      <color rgb="FF0563C1"/>
      <name val="Calibri"/>
      <family val="2"/>
    </font>
    <font>
      <b/>
      <i/>
      <u val="singleAccounting"/>
      <sz val="14"/>
      <color theme="1"/>
      <name val="Arial Narrow"/>
      <family val="2"/>
    </font>
    <font>
      <i/>
      <u val="singleAccounting"/>
      <sz val="12"/>
      <color theme="1"/>
      <name val="Arial"/>
      <family val="2"/>
      <scheme val="minor"/>
    </font>
    <font>
      <i/>
      <u/>
      <sz val="9"/>
      <color rgb="FF000000"/>
      <name val="Calibri"/>
      <family val="2"/>
    </font>
    <font>
      <i/>
      <u/>
      <sz val="9"/>
      <color rgb="FF000000"/>
      <name val="Times New Roman"/>
      <family val="1"/>
    </font>
    <font>
      <b/>
      <i/>
      <u val="singleAccounting"/>
      <sz val="12"/>
      <color theme="1"/>
      <name val="Arial"/>
      <family val="2"/>
      <scheme val="minor"/>
    </font>
    <font>
      <i/>
      <u val="singleAccounting"/>
      <sz val="12"/>
      <color rgb="FF000000"/>
      <name val="Arial"/>
      <family val="2"/>
      <scheme val="minor"/>
    </font>
    <font>
      <b/>
      <i/>
      <u val="singleAccounting"/>
      <sz val="14"/>
      <color rgb="FF000000"/>
      <name val="Arial"/>
      <family val="2"/>
      <scheme val="minor"/>
    </font>
    <font>
      <b/>
      <i/>
      <u/>
      <sz val="14"/>
      <name val="Arial Narrow"/>
      <family val="2"/>
    </font>
    <font>
      <b/>
      <i/>
      <u/>
      <sz val="14"/>
      <color rgb="FF000000"/>
      <name val="Times New Roman"/>
      <family val="1"/>
    </font>
    <font>
      <sz val="8"/>
      <color theme="1"/>
      <name val="Algerian"/>
      <family val="5"/>
    </font>
    <font>
      <sz val="8"/>
      <color rgb="FF000000"/>
      <name val="Arial Narrow"/>
      <family val="2"/>
    </font>
    <font>
      <b/>
      <i/>
      <u/>
      <sz val="9"/>
      <color rgb="FF000000"/>
      <name val="Arial"/>
      <family val="2"/>
    </font>
    <font>
      <sz val="9"/>
      <color rgb="FF000000"/>
      <name val="Times New Roman"/>
      <family val="1"/>
    </font>
    <font>
      <sz val="9"/>
      <color rgb="FF404040"/>
      <name val="Myanmar Text"/>
      <family val="2"/>
    </font>
    <font>
      <sz val="9"/>
      <color rgb="FF000000"/>
      <name val="Trebuchet MS"/>
      <family val="2"/>
    </font>
    <font>
      <sz val="9"/>
      <color rgb="FF000000"/>
      <name val="Arial"/>
      <family val="2"/>
      <scheme val="minor"/>
    </font>
    <font>
      <sz val="9"/>
      <color rgb="FF000000"/>
      <name val="Arial Narrow"/>
      <family val="2"/>
    </font>
    <font>
      <i/>
      <u/>
      <sz val="9"/>
      <color rgb="FF000000"/>
      <name val="Arial"/>
      <family val="2"/>
      <scheme val="minor"/>
    </font>
    <font>
      <i/>
      <u/>
      <sz val="9"/>
      <color rgb="FF0000FF"/>
      <name val="Arial"/>
      <family val="2"/>
      <scheme val="minor"/>
    </font>
    <font>
      <i/>
      <sz val="9"/>
      <color rgb="FF000000"/>
      <name val="Bodoni MT Condensed"/>
      <family val="1"/>
    </font>
    <font>
      <b/>
      <sz val="9"/>
      <color rgb="FF000000"/>
      <name val="Arial Narrow"/>
      <family val="2"/>
    </font>
    <font>
      <sz val="9"/>
      <name val="Arial Narrow"/>
      <family val="2"/>
    </font>
    <font>
      <b/>
      <sz val="11"/>
      <color rgb="FF212529"/>
      <name val="Arial"/>
      <family val="2"/>
      <scheme val="minor"/>
    </font>
    <font>
      <b/>
      <i/>
      <sz val="11"/>
      <color rgb="FF212529"/>
      <name val="Arial"/>
      <family val="2"/>
      <scheme val="minor"/>
    </font>
    <font>
      <i/>
      <sz val="11"/>
      <color rgb="FF212529"/>
      <name val="Arial"/>
      <family val="2"/>
      <scheme val="minor"/>
    </font>
    <font>
      <sz val="14"/>
      <color rgb="FF00FF00"/>
      <name val="Arial"/>
      <family val="2"/>
      <scheme val="minor"/>
    </font>
    <font>
      <sz val="14"/>
      <color rgb="FF222222"/>
      <name val="Arial"/>
      <family val="2"/>
      <scheme val="minor"/>
    </font>
    <font>
      <b/>
      <sz val="12"/>
      <color theme="1"/>
      <name val="Arial Narrow"/>
      <family val="2"/>
    </font>
    <font>
      <i/>
      <sz val="12"/>
      <color theme="1"/>
      <name val="Arial"/>
      <family val="2"/>
      <scheme val="minor"/>
    </font>
    <font>
      <b/>
      <i/>
      <u/>
      <sz val="16"/>
      <color rgb="FF000000"/>
      <name val="Arial Narrow"/>
      <family val="2"/>
    </font>
    <font>
      <sz val="9"/>
      <name val="Arial"/>
      <family val="2"/>
      <scheme val="minor"/>
    </font>
    <font>
      <b/>
      <i/>
      <u val="singleAccounting"/>
      <sz val="14"/>
      <color theme="1"/>
      <name val="Arial"/>
      <family val="2"/>
      <scheme val="minor"/>
    </font>
    <font>
      <b/>
      <sz val="10"/>
      <color rgb="FF000000"/>
      <name val="Arial"/>
      <family val="2"/>
      <scheme val="minor"/>
    </font>
    <font>
      <b/>
      <sz val="10"/>
      <color indexed="18"/>
      <name val="Times New Roman"/>
      <family val="1"/>
      <charset val="204"/>
    </font>
    <font>
      <sz val="10"/>
      <color indexed="8"/>
      <name val="Times New Roman"/>
      <family val="1"/>
      <charset val="204"/>
    </font>
    <font>
      <sz val="9"/>
      <color indexed="18"/>
      <name val="Arial"/>
      <family val="1"/>
      <charset val="204"/>
    </font>
    <font>
      <sz val="11"/>
      <color theme="1"/>
      <name val="Calibri"/>
      <family val="2"/>
    </font>
    <font>
      <sz val="11"/>
      <color rgb="FF000000"/>
      <name val="Arial"/>
      <family val="2"/>
    </font>
    <font>
      <sz val="12"/>
      <color rgb="FF141414"/>
      <name val="Roboto"/>
    </font>
    <font>
      <sz val="11"/>
      <color indexed="18"/>
      <name val="Arial"/>
      <family val="1"/>
      <charset val="204"/>
    </font>
    <font>
      <b/>
      <sz val="11"/>
      <color indexed="18"/>
      <name val="Times New Roman"/>
      <family val="1"/>
      <charset val="204"/>
    </font>
    <font>
      <sz val="11"/>
      <color indexed="8"/>
      <name val="Times New Roman"/>
      <family val="1"/>
      <charset val="204"/>
    </font>
    <font>
      <i/>
      <sz val="11"/>
      <color indexed="8"/>
      <name val="Times New Roman"/>
      <family val="1"/>
      <charset val="204"/>
    </font>
    <font>
      <sz val="11"/>
      <color indexed="63"/>
      <name val="Times New Roman"/>
      <family val="1"/>
      <charset val="204"/>
    </font>
    <font>
      <i/>
      <sz val="11"/>
      <color indexed="63"/>
      <name val="Times New Roman"/>
      <family val="1"/>
      <charset val="204"/>
    </font>
    <font>
      <b/>
      <sz val="11"/>
      <color indexed="8"/>
      <name val="Times New Roman"/>
      <family val="1"/>
      <charset val="204"/>
    </font>
    <font>
      <b/>
      <sz val="12"/>
      <color rgb="FF141414"/>
      <name val="Roboto"/>
    </font>
    <font>
      <sz val="12"/>
      <name val="NEW Times"/>
      <family val="2"/>
    </font>
    <font>
      <i/>
      <u/>
      <sz val="8"/>
      <color rgb="FF000000"/>
      <name val="Times New Roman"/>
      <family val="1"/>
    </font>
    <font>
      <sz val="10"/>
      <color rgb="FF2F353E"/>
      <name val="Arial"/>
      <family val="2"/>
    </font>
    <font>
      <sz val="10"/>
      <color rgb="FF637183"/>
      <name val="Arial"/>
      <family val="2"/>
    </font>
    <font>
      <sz val="12"/>
      <color rgb="FF222222"/>
      <name val="Arial"/>
      <family val="2"/>
    </font>
    <font>
      <u/>
      <sz val="11"/>
      <color rgb="FF0563C1"/>
      <name val="Arial"/>
      <family val="2"/>
      <scheme val="minor"/>
    </font>
    <font>
      <b/>
      <i/>
      <u/>
      <sz val="12"/>
      <color rgb="FF000000"/>
      <name val="Times New Roman"/>
      <family val="1"/>
    </font>
    <font>
      <sz val="8"/>
      <name val="Arial"/>
      <family val="2"/>
      <scheme val="minor"/>
    </font>
    <font>
      <b/>
      <sz val="14"/>
      <name val="Arial"/>
      <family val="2"/>
      <scheme val="minor"/>
    </font>
    <font>
      <sz val="14"/>
      <color rgb="FF2F353E"/>
      <name val="Arial"/>
      <family val="2"/>
    </font>
    <font>
      <sz val="11"/>
      <color rgb="FF2F353E"/>
      <name val="Inherit"/>
    </font>
    <font>
      <sz val="12"/>
      <color rgb="FF2F353E"/>
      <name val="Arial"/>
      <family val="2"/>
    </font>
    <font>
      <sz val="10"/>
      <color rgb="FF323C46"/>
      <name val="Arial"/>
      <family val="2"/>
    </font>
    <font>
      <sz val="11"/>
      <color rgb="FF000000"/>
      <name val="Calibri"/>
      <family val="2"/>
    </font>
    <font>
      <sz val="11"/>
      <color rgb="FF5E5E5E"/>
      <name val="Google Sans"/>
      <charset val="1"/>
    </font>
    <font>
      <b/>
      <sz val="11"/>
      <color theme="1"/>
      <name val="Arial"/>
      <family val="2"/>
      <scheme val="minor"/>
    </font>
    <font>
      <sz val="11"/>
      <color rgb="FF3B3D3F"/>
      <name val="Arial"/>
      <family val="2"/>
      <scheme val="minor"/>
    </font>
    <font>
      <sz val="11"/>
      <color rgb="FF4F4F50"/>
      <name val="Arial"/>
      <family val="2"/>
      <scheme val="minor"/>
    </font>
    <font>
      <sz val="18"/>
      <color rgb="FF222222"/>
      <name val="Arial"/>
      <family val="2"/>
      <scheme val="minor"/>
    </font>
    <font>
      <b/>
      <i/>
      <u/>
      <sz val="10"/>
      <color rgb="FF000000"/>
      <name val="Times New Roman"/>
      <family val="1"/>
    </font>
    <font>
      <sz val="12"/>
      <color rgb="FF637183"/>
      <name val="Arial"/>
      <family val="2"/>
    </font>
    <font>
      <b/>
      <sz val="14"/>
      <color rgb="FF000000"/>
      <name val="Arial"/>
      <family val="2"/>
      <scheme val="minor"/>
    </font>
    <font>
      <i/>
      <u/>
      <sz val="11"/>
      <color rgb="FF000000"/>
      <name val="Calibri"/>
      <family val="2"/>
    </font>
    <font>
      <sz val="12"/>
      <color rgb="FF000000"/>
      <name val="Calibri"/>
      <family val="2"/>
    </font>
    <font>
      <sz val="10"/>
      <name val="Arial Narrow"/>
      <family val="2"/>
    </font>
    <font>
      <b/>
      <sz val="12"/>
      <name val="Arial Narrow"/>
      <family val="2"/>
    </font>
    <font>
      <i/>
      <u/>
      <sz val="14"/>
      <color rgb="FF000000"/>
      <name val="Arial"/>
      <family val="2"/>
      <scheme val="minor"/>
    </font>
    <font>
      <u/>
      <sz val="18"/>
      <color theme="1"/>
      <name val="Arial Narrow"/>
      <family val="2"/>
    </font>
    <font>
      <sz val="16"/>
      <color rgb="FFFA7D00"/>
      <name val="NEW Times"/>
      <family val="2"/>
    </font>
    <font>
      <b/>
      <i/>
      <u/>
      <sz val="12"/>
      <color theme="1"/>
      <name val="Arial Narrow"/>
      <family val="2"/>
    </font>
    <font>
      <b/>
      <u/>
      <sz val="12"/>
      <color theme="1"/>
      <name val="Arial Narrow"/>
      <family val="2"/>
    </font>
    <font>
      <u/>
      <sz val="12"/>
      <color theme="1"/>
      <name val="Calibri"/>
      <family val="2"/>
    </font>
    <font>
      <b/>
      <u/>
      <sz val="10"/>
      <name val="Arial"/>
      <family val="2"/>
      <scheme val="minor"/>
    </font>
    <font>
      <b/>
      <u/>
      <sz val="14"/>
      <color theme="1"/>
      <name val="Arial Narrow"/>
      <family val="2"/>
    </font>
    <font>
      <b/>
      <sz val="12"/>
      <name val="Arial"/>
      <family val="2"/>
    </font>
    <font>
      <b/>
      <i/>
      <sz val="11"/>
      <color theme="1"/>
      <name val="Arial"/>
      <family val="2"/>
      <scheme val="minor"/>
    </font>
    <font>
      <b/>
      <i/>
      <u/>
      <sz val="12"/>
      <color theme="1"/>
      <name val="Arial"/>
      <family val="2"/>
      <scheme val="minor"/>
    </font>
    <font>
      <b/>
      <i/>
      <u/>
      <sz val="14"/>
      <color theme="1"/>
      <name val="Arial"/>
      <family val="2"/>
      <scheme val="minor"/>
    </font>
    <font>
      <i/>
      <u val="singleAccounting"/>
      <sz val="14"/>
      <color rgb="FF000000"/>
      <name val="Arial Narrow"/>
      <family val="2"/>
    </font>
    <font>
      <b/>
      <sz val="12"/>
      <color rgb="FF222222"/>
      <name val="Arial"/>
      <family val="2"/>
    </font>
    <font>
      <sz val="10"/>
      <color rgb="FF222222"/>
      <name val="Arial"/>
      <family val="2"/>
    </font>
    <font>
      <sz val="12"/>
      <color rgb="FF5E5E5E"/>
      <name val="Roboto"/>
    </font>
    <font>
      <b/>
      <sz val="11"/>
      <color rgb="FF000000"/>
      <name val="Arial"/>
      <family val="2"/>
      <scheme val="minor"/>
    </font>
    <font>
      <b/>
      <sz val="11"/>
      <name val="Arial"/>
      <family val="2"/>
    </font>
    <font>
      <sz val="10"/>
      <color rgb="FF2F353E"/>
      <name val="Arial"/>
      <family val="2"/>
      <scheme val="minor"/>
    </font>
    <font>
      <sz val="8"/>
      <color rgb="FFFFFFFF"/>
      <name val="Inherit"/>
    </font>
    <font>
      <b/>
      <sz val="8"/>
      <color rgb="FF515C6B"/>
      <name val="Inherit"/>
    </font>
    <font>
      <sz val="14"/>
      <color rgb="FF2F353E"/>
      <name val="Arial"/>
      <family val="2"/>
      <scheme val="minor"/>
    </font>
    <font>
      <sz val="8"/>
      <color rgb="FF6E7D91"/>
      <name val="Arial"/>
      <family val="2"/>
      <scheme val="minor"/>
    </font>
    <font>
      <b/>
      <sz val="10"/>
      <color rgb="FF2F353E"/>
      <name val="Inherit"/>
    </font>
    <font>
      <sz val="10"/>
      <color rgb="FF6E7D91"/>
      <name val="Arial"/>
      <family val="2"/>
      <scheme val="minor"/>
    </font>
    <font>
      <sz val="11"/>
      <color rgb="FF2F353E"/>
      <name val="Arial"/>
      <family val="2"/>
      <scheme val="minor"/>
    </font>
    <font>
      <b/>
      <sz val="10"/>
      <color rgb="FF000000"/>
      <name val="Arial Narrow"/>
      <family val="2"/>
    </font>
    <font>
      <sz val="12"/>
      <color theme="1"/>
      <name val="Algerian"/>
      <family val="5"/>
    </font>
  </fonts>
  <fills count="60">
    <fill>
      <patternFill patternType="none"/>
    </fill>
    <fill>
      <patternFill patternType="gray125"/>
    </fill>
    <fill>
      <patternFill patternType="solid">
        <fgColor rgb="FFC6EFCE"/>
      </patternFill>
    </fill>
    <fill>
      <patternFill patternType="solid">
        <fgColor rgb="FFF2F2F2"/>
      </patternFill>
    </fill>
    <fill>
      <patternFill patternType="solid">
        <fgColor rgb="FFA5A5A5"/>
      </patternFill>
    </fill>
    <fill>
      <patternFill patternType="solid">
        <fgColor theme="5"/>
      </patternFill>
    </fill>
    <fill>
      <patternFill patternType="solid">
        <fgColor theme="5" tint="0.59999389629810485"/>
        <bgColor indexed="65"/>
      </patternFill>
    </fill>
    <fill>
      <patternFill patternType="solid">
        <fgColor theme="6"/>
      </patternFill>
    </fill>
    <fill>
      <patternFill patternType="solid">
        <fgColor theme="6" tint="0.79998168889431442"/>
        <bgColor indexed="65"/>
      </patternFill>
    </fill>
    <fill>
      <patternFill patternType="solid">
        <fgColor rgb="FFFFFF00"/>
        <bgColor rgb="FF000000"/>
      </patternFill>
    </fill>
    <fill>
      <patternFill patternType="solid">
        <fgColor rgb="FFFFFF00"/>
        <bgColor indexed="64"/>
      </patternFill>
    </fill>
    <fill>
      <patternFill patternType="solid">
        <fgColor rgb="FFFFC000"/>
        <bgColor indexed="64"/>
      </patternFill>
    </fill>
    <fill>
      <patternFill patternType="solid">
        <fgColor rgb="FFA5A5A5"/>
        <bgColor rgb="FF000000"/>
      </patternFill>
    </fill>
    <fill>
      <patternFill patternType="solid">
        <fgColor rgb="FFD9E1F2"/>
        <bgColor rgb="FFD9E1F2"/>
      </patternFill>
    </fill>
    <fill>
      <patternFill patternType="solid">
        <fgColor rgb="FFFFC000"/>
        <bgColor rgb="FF000000"/>
      </patternFill>
    </fill>
    <fill>
      <patternFill patternType="solid">
        <fgColor rgb="FFF2F2F2"/>
        <bgColor rgb="FF000000"/>
      </patternFill>
    </fill>
    <fill>
      <patternFill patternType="solid">
        <fgColor theme="0" tint="-4.9989318521683403E-2"/>
        <bgColor indexed="64"/>
      </patternFill>
    </fill>
    <fill>
      <patternFill patternType="solid">
        <fgColor theme="7"/>
        <bgColor rgb="FFD9E1F2"/>
      </patternFill>
    </fill>
    <fill>
      <patternFill patternType="solid">
        <fgColor theme="8" tint="0.79998168889431442"/>
        <bgColor indexed="65"/>
      </patternFill>
    </fill>
    <fill>
      <patternFill patternType="solid">
        <fgColor theme="5"/>
        <bgColor indexed="64"/>
      </patternFill>
    </fill>
    <fill>
      <patternFill patternType="solid">
        <fgColor rgb="FFFCE4D6"/>
        <bgColor rgb="FF000000"/>
      </patternFill>
    </fill>
    <fill>
      <patternFill patternType="solid">
        <fgColor rgb="FFD9E1F2"/>
        <bgColor rgb="FF000000"/>
      </patternFill>
    </fill>
    <fill>
      <patternFill patternType="solid">
        <fgColor rgb="FFE7E6E6"/>
        <bgColor rgb="FF000000"/>
      </patternFill>
    </fill>
    <fill>
      <patternFill patternType="solid">
        <fgColor theme="3" tint="0.39997558519241921"/>
        <bgColor indexed="64"/>
      </patternFill>
    </fill>
    <fill>
      <patternFill patternType="solid">
        <fgColor rgb="FF92D050"/>
        <bgColor indexed="64"/>
      </patternFill>
    </fill>
    <fill>
      <patternFill patternType="solid">
        <fgColor rgb="FF92D050"/>
        <bgColor rgb="FF000000"/>
      </patternFill>
    </fill>
    <fill>
      <patternFill patternType="solid">
        <fgColor theme="7" tint="0.59999389629810485"/>
        <bgColor indexed="64"/>
      </patternFill>
    </fill>
    <fill>
      <patternFill patternType="solid">
        <fgColor rgb="FFFFE699"/>
        <bgColor rgb="FF000000"/>
      </patternFill>
    </fill>
    <fill>
      <patternFill patternType="solid">
        <fgColor theme="5" tint="0.79998168889431442"/>
        <bgColor indexed="65"/>
      </patternFill>
    </fill>
    <fill>
      <patternFill patternType="solid">
        <fgColor rgb="FFFFFFFF"/>
        <bgColor rgb="FF000000"/>
      </patternFill>
    </fill>
    <fill>
      <patternFill patternType="solid">
        <fgColor theme="0" tint="-4.9989318521683403E-2"/>
        <bgColor rgb="FF000000"/>
      </patternFill>
    </fill>
    <fill>
      <patternFill patternType="solid">
        <fgColor theme="1"/>
        <bgColor indexed="64"/>
      </patternFill>
    </fill>
    <fill>
      <patternFill patternType="solid">
        <fgColor them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FF0000"/>
        <bgColor rgb="FF000000"/>
      </patternFill>
    </fill>
    <fill>
      <patternFill patternType="solid">
        <fgColor rgb="FF00B050"/>
        <bgColor rgb="FF000000"/>
      </patternFill>
    </fill>
    <fill>
      <patternFill patternType="solid">
        <fgColor rgb="FFFFF2CC"/>
        <bgColor rgb="FF000000"/>
      </patternFill>
    </fill>
    <fill>
      <patternFill patternType="solid">
        <fgColor theme="0"/>
        <bgColor indexed="64"/>
      </patternFill>
    </fill>
    <fill>
      <patternFill patternType="solid">
        <fgColor rgb="FFFFE699"/>
        <bgColor rgb="FFFFE699"/>
      </patternFill>
    </fill>
    <fill>
      <patternFill patternType="solid">
        <fgColor rgb="FFD6DCE4"/>
        <bgColor rgb="FF000000"/>
      </patternFill>
    </fill>
    <fill>
      <patternFill patternType="solid">
        <fgColor theme="7" tint="0.79998168889431442"/>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000000"/>
        <bgColor rgb="FF000000"/>
      </patternFill>
    </fill>
    <fill>
      <patternFill patternType="solid">
        <fgColor theme="7"/>
        <bgColor indexed="64"/>
      </patternFill>
    </fill>
    <fill>
      <patternFill patternType="solid">
        <fgColor rgb="FF5B9BD5"/>
        <bgColor rgb="FF000000"/>
      </patternFill>
    </fill>
    <fill>
      <patternFill patternType="solid">
        <fgColor theme="8" tint="0.59999389629810485"/>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FFF2CC"/>
        <bgColor rgb="FFFFF2CC"/>
      </patternFill>
    </fill>
    <fill>
      <patternFill patternType="solid">
        <fgColor theme="0"/>
        <bgColor rgb="FFFFF2CC"/>
      </patternFill>
    </fill>
    <fill>
      <patternFill patternType="solid">
        <fgColor theme="9" tint="0.79998168889431442"/>
        <bgColor rgb="FFFFE699"/>
      </patternFill>
    </fill>
    <fill>
      <patternFill patternType="solid">
        <fgColor rgb="FF00B0F0"/>
        <bgColor indexed="64"/>
      </patternFill>
    </fill>
    <fill>
      <patternFill patternType="solid">
        <fgColor rgb="FF00B0F0"/>
        <bgColor rgb="FF000000"/>
      </patternFill>
    </fill>
    <fill>
      <patternFill patternType="solid">
        <fgColor rgb="FFFFC000"/>
        <bgColor rgb="FFFFE699"/>
      </patternFill>
    </fill>
  </fills>
  <borders count="3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style="thin">
        <color rgb="FF8EA9DB"/>
      </top>
      <bottom style="thin">
        <color rgb="FF8EA9DB"/>
      </bottom>
      <diagonal/>
    </border>
    <border>
      <left/>
      <right/>
      <top/>
      <bottom style="thin">
        <color rgb="FF8EA9DB"/>
      </bottom>
      <diagonal/>
    </border>
    <border>
      <left/>
      <right/>
      <top/>
      <bottom style="double">
        <color rgb="FF3F3F3F"/>
      </bottom>
      <diagonal/>
    </border>
    <border>
      <left style="thin">
        <color rgb="FF8EA9DB"/>
      </left>
      <right/>
      <top/>
      <bottom style="thin">
        <color rgb="FF8EA9DB"/>
      </bottom>
      <diagonal/>
    </border>
    <border>
      <left/>
      <right/>
      <top style="double">
        <color rgb="FF3F3F3F"/>
      </top>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bottom style="thin">
        <color rgb="FF7F7F7F"/>
      </bottom>
      <diagonal/>
    </border>
    <border>
      <left/>
      <right style="thin">
        <color rgb="FF7F7F7F"/>
      </right>
      <top style="thin">
        <color rgb="FF7F7F7F"/>
      </top>
      <bottom style="thin">
        <color rgb="FF7F7F7F"/>
      </bottom>
      <diagonal/>
    </border>
    <border>
      <left/>
      <right style="thin">
        <color rgb="FF8EA9DB"/>
      </right>
      <top/>
      <bottom style="thin">
        <color rgb="FF8EA9DB"/>
      </bottom>
      <diagonal/>
    </border>
    <border>
      <left style="thin">
        <color rgb="FF8EA9DB"/>
      </left>
      <right/>
      <top style="thin">
        <color rgb="FF8EA9DB"/>
      </top>
      <bottom style="thin">
        <color rgb="FF8EA9DB"/>
      </bottom>
      <diagonal/>
    </border>
    <border>
      <left/>
      <right style="thin">
        <color rgb="FF7F7F7F"/>
      </right>
      <top/>
      <bottom/>
      <diagonal/>
    </border>
    <border>
      <left/>
      <right/>
      <top/>
      <bottom style="double">
        <color rgb="FFFF8001"/>
      </bottom>
      <diagonal/>
    </border>
    <border>
      <left/>
      <right/>
      <top style="thin">
        <color theme="4"/>
      </top>
      <bottom style="double">
        <color theme="4"/>
      </bottom>
      <diagonal/>
    </border>
    <border>
      <left style="double">
        <color rgb="FF3F3F3F"/>
      </left>
      <right style="double">
        <color rgb="FF3F3F3F"/>
      </right>
      <top/>
      <bottom style="double">
        <color rgb="FF3F3F3F"/>
      </bottom>
      <diagonal/>
    </border>
    <border>
      <left/>
      <right style="double">
        <color rgb="FF3F3F3F"/>
      </right>
      <top/>
      <bottom style="double">
        <color rgb="FF3F3F3F"/>
      </bottom>
      <diagonal/>
    </border>
    <border>
      <left/>
      <right style="thin">
        <color rgb="FF7F7F7F"/>
      </right>
      <top/>
      <bottom style="thin">
        <color rgb="FF7F7F7F"/>
      </bottom>
      <diagonal/>
    </border>
    <border>
      <left/>
      <right/>
      <top/>
      <bottom style="thin">
        <color rgb="FF7F7F7F"/>
      </bottom>
      <diagonal/>
    </border>
    <border>
      <left style="double">
        <color rgb="FF3F3F3F"/>
      </left>
      <right/>
      <top style="double">
        <color rgb="FF3F3F3F"/>
      </top>
      <bottom style="double">
        <color rgb="FF3F3F3F"/>
      </bottom>
      <diagonal/>
    </border>
    <border>
      <left style="double">
        <color rgb="FF3F3F3F"/>
      </left>
      <right/>
      <top/>
      <bottom style="double">
        <color rgb="FF3F3F3F"/>
      </bottom>
      <diagonal/>
    </border>
    <border>
      <left/>
      <right/>
      <top style="double">
        <color rgb="FF3F3F3F"/>
      </top>
      <bottom style="double">
        <color rgb="FF3F3F3F"/>
      </bottom>
      <diagonal/>
    </border>
    <border>
      <left/>
      <right/>
      <top/>
      <bottom style="thin">
        <color indexed="64"/>
      </bottom>
      <diagonal/>
    </border>
    <border>
      <left style="thin">
        <color rgb="FF7F7F7F"/>
      </left>
      <right/>
      <top/>
      <bottom/>
      <diagonal/>
    </border>
    <border>
      <left style="thin">
        <color rgb="FF7F7F7F"/>
      </left>
      <right/>
      <top style="thin">
        <color rgb="FF7F7F7F"/>
      </top>
      <bottom style="thin">
        <color rgb="FF7F7F7F"/>
      </bottom>
      <diagonal/>
    </border>
    <border>
      <left/>
      <right/>
      <top/>
      <bottom style="thick">
        <color rgb="FFFC4D00"/>
      </bottom>
      <diagonal/>
    </border>
    <border>
      <left style="medium">
        <color rgb="FFA3A3A3"/>
      </left>
      <right style="medium">
        <color rgb="FFA3A3A3"/>
      </right>
      <top style="medium">
        <color rgb="FFA3A3A3"/>
      </top>
      <bottom style="medium">
        <color rgb="FFA3A3A3"/>
      </bottom>
      <diagonal/>
    </border>
    <border>
      <left/>
      <right/>
      <top style="thin">
        <color rgb="FF7F7F7F"/>
      </top>
      <bottom style="thin">
        <color rgb="FFFFC000"/>
      </bottom>
      <diagonal/>
    </border>
    <border>
      <left style="double">
        <color rgb="FF3F3F3F"/>
      </left>
      <right/>
      <top/>
      <bottom/>
      <diagonal/>
    </border>
    <border>
      <left/>
      <right style="double">
        <color rgb="FF3F3F3F"/>
      </right>
      <top/>
      <bottom/>
      <diagonal/>
    </border>
    <border>
      <left style="thin">
        <color rgb="FF7F7F7F"/>
      </left>
      <right style="thin">
        <color rgb="FF7F7F7F"/>
      </right>
      <top/>
      <bottom/>
      <diagonal/>
    </border>
    <border>
      <left style="thin">
        <color rgb="FF7F7F7F"/>
      </left>
      <right/>
      <top/>
      <bottom style="thin">
        <color rgb="FF7F7F7F"/>
      </bottom>
      <diagonal/>
    </border>
    <border>
      <left style="thin">
        <color rgb="FF7F7F7F"/>
      </left>
      <right style="thin">
        <color rgb="FF7F7F7F"/>
      </right>
      <top style="thin">
        <color rgb="FF7F7F7F"/>
      </top>
      <bottom/>
      <diagonal/>
    </border>
    <border>
      <left style="thin">
        <color rgb="FF7F7F7F"/>
      </left>
      <right/>
      <top style="thin">
        <color rgb="FF7F7F7F"/>
      </top>
      <bottom/>
      <diagonal/>
    </border>
  </borders>
  <cellStyleXfs count="49">
    <xf numFmtId="0" fontId="0" fillId="0" borderId="0"/>
    <xf numFmtId="0" fontId="11" fillId="0" borderId="0" applyNumberFormat="0" applyFill="0" applyBorder="0" applyAlignment="0" applyProtection="0">
      <alignment vertical="top"/>
      <protection locked="0"/>
    </xf>
    <xf numFmtId="44" fontId="10" fillId="0" borderId="0" applyFont="0" applyFill="0" applyBorder="0" applyAlignment="0" applyProtection="0"/>
    <xf numFmtId="0" fontId="14" fillId="6" borderId="0" applyNumberFormat="0" applyBorder="0" applyAlignment="0" applyProtection="0"/>
    <xf numFmtId="0" fontId="15" fillId="2" borderId="0" applyNumberFormat="0" applyBorder="0" applyAlignment="0" applyProtection="0"/>
    <xf numFmtId="0" fontId="16" fillId="7" borderId="0" applyNumberFormat="0" applyBorder="0" applyAlignment="0" applyProtection="0"/>
    <xf numFmtId="0" fontId="16" fillId="5" borderId="0" applyNumberFormat="0" applyBorder="0" applyAlignment="0" applyProtection="0"/>
    <xf numFmtId="0" fontId="17" fillId="3" borderId="1" applyNumberFormat="0" applyAlignment="0" applyProtection="0"/>
    <xf numFmtId="0" fontId="18" fillId="4" borderId="2" applyNumberFormat="0" applyAlignment="0" applyProtection="0"/>
    <xf numFmtId="9" fontId="10" fillId="0" borderId="0" applyFont="0" applyFill="0" applyBorder="0" applyAlignment="0" applyProtection="0"/>
    <xf numFmtId="0" fontId="19" fillId="0" borderId="0"/>
    <xf numFmtId="0" fontId="20" fillId="0" borderId="0" applyNumberFormat="0" applyFill="0" applyBorder="0" applyAlignment="0" applyProtection="0">
      <alignment vertical="top"/>
      <protection locked="0"/>
    </xf>
    <xf numFmtId="44" fontId="19" fillId="0" borderId="0" applyFont="0" applyFill="0" applyBorder="0" applyAlignment="0" applyProtection="0"/>
    <xf numFmtId="0" fontId="8" fillId="0" borderId="0"/>
    <xf numFmtId="0" fontId="19" fillId="0" borderId="0"/>
    <xf numFmtId="0" fontId="7" fillId="0" borderId="0"/>
    <xf numFmtId="44" fontId="7" fillId="0" borderId="0" applyFont="0" applyFill="0" applyBorder="0" applyAlignment="0" applyProtection="0"/>
    <xf numFmtId="9" fontId="7" fillId="0" borderId="0" applyFont="0" applyFill="0" applyBorder="0" applyAlignment="0" applyProtection="0"/>
    <xf numFmtId="0" fontId="27" fillId="0" borderId="0" applyNumberFormat="0" applyFill="0" applyBorder="0" applyAlignment="0" applyProtection="0"/>
    <xf numFmtId="0" fontId="9" fillId="0" borderId="0"/>
    <xf numFmtId="0" fontId="28" fillId="0" borderId="0"/>
    <xf numFmtId="0" fontId="11" fillId="0" borderId="0" applyNumberFormat="0" applyFill="0" applyBorder="0" applyAlignment="0" applyProtection="0">
      <alignment vertical="top"/>
      <protection locked="0"/>
    </xf>
    <xf numFmtId="0" fontId="29" fillId="3" borderId="1" applyNumberFormat="0" applyAlignment="0" applyProtection="0"/>
    <xf numFmtId="43" fontId="28" fillId="0" borderId="0" applyFont="0" applyFill="0" applyBorder="0" applyAlignment="0" applyProtection="0"/>
    <xf numFmtId="43" fontId="9" fillId="0" borderId="0" applyFont="0" applyFill="0" applyBorder="0" applyAlignment="0" applyProtection="0"/>
    <xf numFmtId="0" fontId="30" fillId="0" borderId="0" applyNumberFormat="0" applyFill="0" applyBorder="0" applyAlignment="0" applyProtection="0">
      <alignment vertical="top"/>
      <protection locked="0"/>
    </xf>
    <xf numFmtId="0" fontId="6" fillId="8" borderId="0" applyNumberFormat="0" applyBorder="0" applyAlignment="0" applyProtection="0"/>
    <xf numFmtId="0" fontId="5" fillId="0" borderId="0"/>
    <xf numFmtId="0" fontId="31" fillId="0" borderId="0" applyNumberFormat="0" applyFill="0" applyBorder="0" applyAlignment="0" applyProtection="0"/>
    <xf numFmtId="0" fontId="32" fillId="3" borderId="8" applyNumberFormat="0" applyAlignment="0" applyProtection="0"/>
    <xf numFmtId="0" fontId="4" fillId="0" borderId="0"/>
    <xf numFmtId="0" fontId="44" fillId="0" borderId="0" applyNumberFormat="0" applyFill="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8" borderId="0" applyNumberFormat="0" applyBorder="0" applyAlignment="0" applyProtection="0"/>
    <xf numFmtId="0" fontId="4" fillId="0" borderId="0"/>
    <xf numFmtId="0" fontId="50" fillId="0" borderId="14" applyNumberFormat="0" applyFill="0" applyAlignment="0" applyProtection="0"/>
    <xf numFmtId="0" fontId="49" fillId="0" borderId="15" applyNumberFormat="0" applyFill="0" applyAlignment="0" applyProtection="0"/>
    <xf numFmtId="0" fontId="4" fillId="18" borderId="0" applyNumberFormat="0" applyBorder="0" applyAlignment="0" applyProtection="0"/>
    <xf numFmtId="43" fontId="9" fillId="0" borderId="0" applyFont="0" applyFill="0" applyBorder="0" applyAlignment="0" applyProtection="0"/>
    <xf numFmtId="0" fontId="58" fillId="0" borderId="14" applyNumberFormat="0" applyFill="0" applyAlignment="0" applyProtection="0"/>
    <xf numFmtId="0" fontId="9" fillId="28" borderId="0" applyNumberFormat="0" applyBorder="0" applyAlignment="0" applyProtection="0"/>
    <xf numFmtId="0" fontId="83" fillId="3" borderId="1" applyNumberFormat="0" applyAlignment="0" applyProtection="0"/>
    <xf numFmtId="9" fontId="9" fillId="0" borderId="0" applyFont="0" applyFill="0" applyBorder="0" applyAlignment="0" applyProtection="0"/>
    <xf numFmtId="44" fontId="9" fillId="0" borderId="0" applyFont="0" applyFill="0" applyBorder="0" applyAlignment="0" applyProtection="0"/>
  </cellStyleXfs>
  <cellXfs count="970">
    <xf numFmtId="0" fontId="0" fillId="0" borderId="0" xfId="0"/>
    <xf numFmtId="0" fontId="0" fillId="0" borderId="0" xfId="0" applyAlignment="1">
      <alignment vertical="center"/>
    </xf>
    <xf numFmtId="0" fontId="4" fillId="0" borderId="0" xfId="0" applyFont="1"/>
    <xf numFmtId="0" fontId="4" fillId="0" borderId="0" xfId="0" applyFont="1" applyAlignment="1">
      <alignment horizontal="left" vertical="center"/>
    </xf>
    <xf numFmtId="0" fontId="35" fillId="0" borderId="0" xfId="0" applyFont="1"/>
    <xf numFmtId="0" fontId="12" fillId="0" borderId="0" xfId="0" applyFont="1" applyAlignment="1">
      <alignment horizontal="left" vertical="center"/>
    </xf>
    <xf numFmtId="0" fontId="12" fillId="0" borderId="0" xfId="0" applyFont="1" applyAlignment="1">
      <alignment vertical="center"/>
    </xf>
    <xf numFmtId="0" fontId="21" fillId="0" borderId="0" xfId="0" applyFont="1"/>
    <xf numFmtId="0" fontId="22" fillId="0" borderId="0" xfId="0" applyFont="1"/>
    <xf numFmtId="0" fontId="38" fillId="0" borderId="0" xfId="0" applyFont="1" applyAlignment="1">
      <alignment horizontal="left"/>
    </xf>
    <xf numFmtId="0" fontId="12" fillId="0" borderId="0" xfId="0" applyFont="1" applyAlignment="1">
      <alignment horizontal="center"/>
    </xf>
    <xf numFmtId="0" fontId="33" fillId="0" borderId="0" xfId="0" applyFont="1"/>
    <xf numFmtId="0" fontId="24" fillId="0" borderId="0" xfId="0" applyFont="1" applyAlignment="1">
      <alignment horizontal="right" vertical="center"/>
    </xf>
    <xf numFmtId="14" fontId="0" fillId="0" borderId="0" xfId="0" applyNumberFormat="1"/>
    <xf numFmtId="0" fontId="12" fillId="0" borderId="0" xfId="0" applyFont="1"/>
    <xf numFmtId="0" fontId="23" fillId="0" borderId="0" xfId="0" applyFont="1" applyAlignment="1">
      <alignment textRotation="255"/>
    </xf>
    <xf numFmtId="0" fontId="11" fillId="0" borderId="0" xfId="1" applyAlignment="1" applyProtection="1">
      <alignment vertical="center"/>
    </xf>
    <xf numFmtId="0" fontId="46" fillId="0" borderId="0" xfId="0" applyFont="1" applyAlignment="1">
      <alignment vertical="center"/>
    </xf>
    <xf numFmtId="0" fontId="47" fillId="0" borderId="0" xfId="0" applyFont="1" applyAlignment="1">
      <alignment vertical="center"/>
    </xf>
    <xf numFmtId="0" fontId="26" fillId="15" borderId="0" xfId="0" applyFont="1" applyFill="1" applyAlignment="1">
      <alignment horizontal="left" vertical="center"/>
    </xf>
    <xf numFmtId="0" fontId="51" fillId="0" borderId="0" xfId="0" applyFont="1" applyAlignment="1">
      <alignment horizontal="left"/>
    </xf>
    <xf numFmtId="0" fontId="36" fillId="0" borderId="0" xfId="0" applyFont="1"/>
    <xf numFmtId="0" fontId="43" fillId="20" borderId="0" xfId="0" applyFont="1" applyFill="1" applyAlignment="1">
      <alignment horizontal="center"/>
    </xf>
    <xf numFmtId="0" fontId="36" fillId="11" borderId="0" xfId="0" applyFont="1" applyFill="1" applyAlignment="1">
      <alignment horizontal="center"/>
    </xf>
    <xf numFmtId="0" fontId="52" fillId="10" borderId="0" xfId="0" applyFont="1" applyFill="1" applyAlignment="1">
      <alignment horizontal="center"/>
    </xf>
    <xf numFmtId="0" fontId="52" fillId="0" borderId="0" xfId="0" applyFont="1"/>
    <xf numFmtId="0" fontId="52" fillId="17" borderId="6" xfId="0" applyFont="1" applyFill="1" applyBorder="1"/>
    <xf numFmtId="0" fontId="53" fillId="0" borderId="0" xfId="0" applyFont="1"/>
    <xf numFmtId="0" fontId="54" fillId="20" borderId="0" xfId="0" applyFont="1" applyFill="1" applyAlignment="1">
      <alignment horizontal="center"/>
    </xf>
    <xf numFmtId="0" fontId="41" fillId="26" borderId="0" xfId="0" applyFont="1" applyFill="1" applyAlignment="1">
      <alignment horizontal="left" vertical="center"/>
    </xf>
    <xf numFmtId="0" fontId="4" fillId="10" borderId="0" xfId="0" applyFont="1" applyFill="1"/>
    <xf numFmtId="164" fontId="4" fillId="0" borderId="0" xfId="0" applyNumberFormat="1" applyFont="1" applyAlignment="1">
      <alignment horizontal="center" wrapText="1"/>
    </xf>
    <xf numFmtId="0" fontId="22" fillId="0" borderId="0" xfId="0" applyFont="1" applyAlignment="1">
      <alignment horizontal="left"/>
    </xf>
    <xf numFmtId="0" fontId="22" fillId="21" borderId="17" xfId="0" applyFont="1" applyFill="1" applyBorder="1"/>
    <xf numFmtId="0" fontId="22" fillId="22" borderId="17" xfId="0" applyFont="1" applyFill="1" applyBorder="1"/>
    <xf numFmtId="0" fontId="22" fillId="0" borderId="16" xfId="0" applyFont="1" applyBorder="1"/>
    <xf numFmtId="0" fontId="22" fillId="0" borderId="17" xfId="0" applyFont="1" applyBorder="1"/>
    <xf numFmtId="0" fontId="22" fillId="15" borderId="17" xfId="0" applyFont="1" applyFill="1" applyBorder="1"/>
    <xf numFmtId="0" fontId="22" fillId="21" borderId="16" xfId="0" applyFont="1" applyFill="1" applyBorder="1"/>
    <xf numFmtId="0" fontId="22" fillId="20" borderId="0" xfId="0" applyFont="1" applyFill="1" applyAlignment="1">
      <alignment horizontal="center"/>
    </xf>
    <xf numFmtId="43" fontId="55" fillId="0" borderId="9" xfId="0" applyNumberFormat="1" applyFont="1" applyBorder="1" applyAlignment="1">
      <alignment horizontal="center"/>
    </xf>
    <xf numFmtId="43" fontId="36" fillId="0" borderId="1" xfId="0" applyNumberFormat="1" applyFont="1" applyBorder="1"/>
    <xf numFmtId="0" fontId="36" fillId="0" borderId="6" xfId="0" applyFont="1" applyBorder="1"/>
    <xf numFmtId="0" fontId="56" fillId="27" borderId="0" xfId="0" applyFont="1" applyFill="1" applyAlignment="1">
      <alignment horizontal="left" vertical="center"/>
    </xf>
    <xf numFmtId="0" fontId="57" fillId="0" borderId="0" xfId="0" applyFont="1" applyAlignment="1">
      <alignment horizontal="center"/>
    </xf>
    <xf numFmtId="0" fontId="33" fillId="0" borderId="0" xfId="0" applyFont="1" applyAlignment="1">
      <alignment horizontal="center"/>
    </xf>
    <xf numFmtId="0" fontId="4" fillId="0" borderId="0" xfId="0" applyFont="1" applyAlignment="1">
      <alignment horizontal="left" indent="7"/>
    </xf>
    <xf numFmtId="0" fontId="59" fillId="29" borderId="14" xfId="44" applyFont="1" applyFill="1" applyAlignment="1">
      <alignment horizontal="left" indent="7"/>
    </xf>
    <xf numFmtId="0" fontId="59" fillId="30" borderId="14" xfId="44" applyFont="1" applyFill="1" applyAlignment="1">
      <alignment horizontal="left" indent="7"/>
    </xf>
    <xf numFmtId="0" fontId="59" fillId="30" borderId="14" xfId="44" applyFont="1" applyFill="1" applyAlignment="1">
      <alignment horizontal="left"/>
    </xf>
    <xf numFmtId="0" fontId="59" fillId="29" borderId="14" xfId="44" applyFont="1" applyFill="1" applyAlignment="1">
      <alignment horizontal="left" vertical="center"/>
    </xf>
    <xf numFmtId="0" fontId="59" fillId="29" borderId="14" xfId="0" applyFont="1" applyFill="1" applyBorder="1" applyAlignment="1">
      <alignment horizontal="left" vertical="center"/>
    </xf>
    <xf numFmtId="0" fontId="59" fillId="29" borderId="14" xfId="44" applyFont="1" applyFill="1" applyAlignment="1">
      <alignment horizontal="left"/>
    </xf>
    <xf numFmtId="0" fontId="59" fillId="30" borderId="14" xfId="44" applyFont="1" applyFill="1" applyAlignment="1"/>
    <xf numFmtId="0" fontId="59" fillId="15" borderId="14" xfId="0" applyFont="1" applyFill="1" applyBorder="1"/>
    <xf numFmtId="0" fontId="60" fillId="16" borderId="0" xfId="0" applyFont="1" applyFill="1"/>
    <xf numFmtId="0" fontId="61" fillId="0" borderId="0" xfId="0" applyFont="1"/>
    <xf numFmtId="0" fontId="62" fillId="30" borderId="14" xfId="44" applyFont="1" applyFill="1" applyAlignment="1">
      <alignment horizontal="left" indent="7"/>
    </xf>
    <xf numFmtId="0" fontId="13" fillId="0" borderId="0" xfId="0" applyFont="1" applyAlignment="1">
      <alignment horizontal="left" indent="7"/>
    </xf>
    <xf numFmtId="0" fontId="63" fillId="0" borderId="0" xfId="0" applyFont="1"/>
    <xf numFmtId="0" fontId="64" fillId="0" borderId="0" xfId="0" applyFont="1"/>
    <xf numFmtId="0" fontId="33" fillId="0" borderId="0" xfId="0" applyFont="1" applyAlignment="1">
      <alignment horizontal="center" vertical="center"/>
    </xf>
    <xf numFmtId="0" fontId="4" fillId="0" borderId="0" xfId="0" applyFont="1" applyAlignment="1">
      <alignment horizontal="center"/>
    </xf>
    <xf numFmtId="0" fontId="35" fillId="0" borderId="0" xfId="0" applyFont="1" applyAlignment="1">
      <alignment horizontal="center" vertical="center"/>
    </xf>
    <xf numFmtId="164" fontId="35" fillId="0" borderId="0" xfId="0" applyNumberFormat="1" applyFont="1" applyAlignment="1">
      <alignment vertical="center"/>
    </xf>
    <xf numFmtId="0" fontId="65" fillId="0" borderId="0" xfId="0" applyFont="1" applyAlignment="1">
      <alignment horizontal="center"/>
    </xf>
    <xf numFmtId="0" fontId="61" fillId="0" borderId="0" xfId="0" applyFont="1" applyAlignment="1">
      <alignment horizontal="center"/>
    </xf>
    <xf numFmtId="14" fontId="12" fillId="0" borderId="0" xfId="0" applyNumberFormat="1" applyFont="1" applyAlignment="1">
      <alignment horizontal="left" vertical="center" indent="13"/>
    </xf>
    <xf numFmtId="14" fontId="35" fillId="0" borderId="0" xfId="0" applyNumberFormat="1" applyFont="1" applyAlignment="1">
      <alignment horizontal="center" vertical="center"/>
    </xf>
    <xf numFmtId="0" fontId="35" fillId="0" borderId="0" xfId="0" applyFont="1" applyAlignment="1">
      <alignment horizontal="center"/>
    </xf>
    <xf numFmtId="1" fontId="35" fillId="0" borderId="0" xfId="0" applyNumberFormat="1" applyFont="1" applyAlignment="1">
      <alignment horizontal="center" vertical="center"/>
    </xf>
    <xf numFmtId="0" fontId="12" fillId="0" borderId="0" xfId="0" applyFont="1" applyAlignment="1">
      <alignment horizontal="left" vertical="center" indent="18"/>
    </xf>
    <xf numFmtId="0" fontId="12" fillId="0" borderId="4" xfId="0" applyFont="1" applyBorder="1" applyAlignment="1">
      <alignment horizontal="left" vertical="center" indent="18"/>
    </xf>
    <xf numFmtId="164" fontId="35" fillId="0" borderId="0" xfId="0" applyNumberFormat="1" applyFont="1"/>
    <xf numFmtId="0" fontId="13" fillId="0" borderId="0" xfId="0" applyFont="1" applyAlignment="1">
      <alignment horizontal="left" indent="3"/>
    </xf>
    <xf numFmtId="0" fontId="68" fillId="0" borderId="0" xfId="0" applyFont="1" applyAlignment="1">
      <alignment horizontal="center"/>
    </xf>
    <xf numFmtId="0" fontId="69" fillId="0" borderId="0" xfId="0" applyFont="1" applyAlignment="1">
      <alignment vertical="center"/>
    </xf>
    <xf numFmtId="0" fontId="39" fillId="0" borderId="0" xfId="0" applyFont="1" applyAlignment="1">
      <alignment horizontal="left"/>
    </xf>
    <xf numFmtId="0" fontId="70" fillId="0" borderId="0" xfId="0" applyFont="1" applyAlignment="1">
      <alignment horizontal="left" indent="3"/>
    </xf>
    <xf numFmtId="0" fontId="71" fillId="0" borderId="0" xfId="0" applyFont="1"/>
    <xf numFmtId="0" fontId="4" fillId="0" borderId="0" xfId="0" applyFont="1" applyAlignment="1">
      <alignment horizontal="center" vertical="center"/>
    </xf>
    <xf numFmtId="0" fontId="72" fillId="0" borderId="0" xfId="1" applyFont="1" applyFill="1" applyAlignment="1" applyProtection="1">
      <alignment horizontal="left" vertical="center"/>
    </xf>
    <xf numFmtId="0" fontId="74" fillId="0" borderId="0" xfId="0" applyFont="1" applyAlignment="1">
      <alignment horizontal="center" vertical="center"/>
    </xf>
    <xf numFmtId="0" fontId="75" fillId="0" borderId="0" xfId="0" applyFont="1" applyAlignment="1">
      <alignment horizontal="center"/>
    </xf>
    <xf numFmtId="0" fontId="35" fillId="0" borderId="0" xfId="0" applyFont="1" applyAlignment="1">
      <alignment horizontal="left"/>
    </xf>
    <xf numFmtId="14" fontId="35" fillId="0" borderId="0" xfId="0" applyNumberFormat="1" applyFont="1" applyAlignment="1">
      <alignment horizontal="left"/>
    </xf>
    <xf numFmtId="14" fontId="12" fillId="0" borderId="0" xfId="0" applyNumberFormat="1" applyFont="1" applyAlignment="1">
      <alignment horizontal="left" vertical="center" indent="7"/>
    </xf>
    <xf numFmtId="0" fontId="35" fillId="0" borderId="0" xfId="0" applyFont="1" applyAlignment="1">
      <alignment vertical="center"/>
    </xf>
    <xf numFmtId="0" fontId="76" fillId="0" borderId="0" xfId="0" applyFont="1"/>
    <xf numFmtId="0" fontId="61" fillId="0" borderId="4" xfId="0" applyFont="1" applyBorder="1" applyAlignment="1">
      <alignment horizontal="left" vertical="center" indent="4"/>
    </xf>
    <xf numFmtId="164" fontId="35" fillId="0" borderId="0" xfId="0" applyNumberFormat="1" applyFont="1" applyAlignment="1">
      <alignment horizontal="left" vertical="center" indent="11"/>
    </xf>
    <xf numFmtId="0" fontId="77" fillId="0" borderId="0" xfId="0" applyFont="1" applyAlignment="1">
      <alignment horizontal="left" vertical="center" indent="4"/>
    </xf>
    <xf numFmtId="1" fontId="35" fillId="0" borderId="0" xfId="0" applyNumberFormat="1" applyFont="1" applyAlignment="1">
      <alignment horizontal="center"/>
    </xf>
    <xf numFmtId="1" fontId="77" fillId="0" borderId="0" xfId="0" applyNumberFormat="1" applyFont="1" applyAlignment="1">
      <alignment horizontal="center" vertical="center" wrapText="1"/>
    </xf>
    <xf numFmtId="0" fontId="21" fillId="0" borderId="0" xfId="0" applyFont="1" applyAlignment="1">
      <alignment horizontal="left" vertical="center" indent="1"/>
    </xf>
    <xf numFmtId="0" fontId="21" fillId="0" borderId="0" xfId="0" applyFont="1" applyAlignment="1">
      <alignment horizontal="left" indent="3"/>
    </xf>
    <xf numFmtId="0" fontId="21" fillId="0" borderId="0" xfId="0" applyFont="1" applyAlignment="1">
      <alignment horizontal="left" vertical="center" indent="4"/>
    </xf>
    <xf numFmtId="0" fontId="78" fillId="0" borderId="0" xfId="0" applyFont="1" applyAlignment="1">
      <alignment horizontal="left" vertical="center"/>
    </xf>
    <xf numFmtId="44" fontId="57" fillId="0" borderId="0" xfId="45" applyNumberFormat="1" applyFont="1" applyFill="1" applyAlignment="1">
      <alignment horizontal="center"/>
    </xf>
    <xf numFmtId="49" fontId="80" fillId="0" borderId="0" xfId="0" applyNumberFormat="1" applyFont="1" applyAlignment="1">
      <alignment horizontal="left"/>
    </xf>
    <xf numFmtId="0" fontId="57" fillId="0" borderId="0" xfId="0" applyFont="1"/>
    <xf numFmtId="0" fontId="59" fillId="0" borderId="0" xfId="0" applyFont="1"/>
    <xf numFmtId="165" fontId="82" fillId="0" borderId="0" xfId="43" applyNumberFormat="1" applyFont="1" applyAlignment="1"/>
    <xf numFmtId="165" fontId="84" fillId="16" borderId="0" xfId="43" applyNumberFormat="1" applyFont="1" applyFill="1"/>
    <xf numFmtId="0" fontId="83" fillId="0" borderId="9" xfId="0" applyFont="1" applyBorder="1" applyAlignment="1">
      <alignment horizontal="left" vertical="center"/>
    </xf>
    <xf numFmtId="165" fontId="84" fillId="0" borderId="0" xfId="43" applyNumberFormat="1" applyFont="1"/>
    <xf numFmtId="165" fontId="87" fillId="0" borderId="0" xfId="43" applyNumberFormat="1" applyFont="1"/>
    <xf numFmtId="0" fontId="88" fillId="0" borderId="16" xfId="0" applyFont="1" applyBorder="1" applyAlignment="1">
      <alignment horizontal="left" vertical="center" indent="2"/>
    </xf>
    <xf numFmtId="0" fontId="83" fillId="3" borderId="1" xfId="46"/>
    <xf numFmtId="0" fontId="83" fillId="3" borderId="1" xfId="46" applyAlignment="1">
      <alignment horizontal="left" vertical="center"/>
    </xf>
    <xf numFmtId="49" fontId="89" fillId="0" borderId="21" xfId="0" applyNumberFormat="1" applyFont="1" applyBorder="1" applyAlignment="1">
      <alignment vertical="center"/>
    </xf>
    <xf numFmtId="0" fontId="83" fillId="0" borderId="1" xfId="46" quotePrefix="1" applyFill="1" applyAlignment="1">
      <alignment horizontal="left" vertical="center"/>
    </xf>
    <xf numFmtId="0" fontId="89" fillId="0" borderId="20" xfId="0" applyFont="1" applyBorder="1" applyAlignment="1">
      <alignment vertical="center"/>
    </xf>
    <xf numFmtId="0" fontId="90" fillId="0" borderId="22" xfId="8" quotePrefix="1" applyFont="1" applyFill="1" applyBorder="1"/>
    <xf numFmtId="0" fontId="90" fillId="0" borderId="20" xfId="8" quotePrefix="1" applyFont="1" applyFill="1" applyBorder="1"/>
    <xf numFmtId="165" fontId="84" fillId="0" borderId="0" xfId="43" applyNumberFormat="1" applyFont="1" applyAlignment="1">
      <alignment horizontal="right" vertical="top" wrapText="1"/>
    </xf>
    <xf numFmtId="165" fontId="84" fillId="16" borderId="0" xfId="43" applyNumberFormat="1" applyFont="1" applyFill="1" applyAlignment="1">
      <alignment horizontal="right" vertical="top" wrapText="1"/>
    </xf>
    <xf numFmtId="0" fontId="91" fillId="0" borderId="1" xfId="46" applyFont="1" applyFill="1" applyAlignment="1">
      <alignment horizontal="center"/>
    </xf>
    <xf numFmtId="0" fontId="91" fillId="3" borderId="1" xfId="46" quotePrefix="1" applyFont="1" applyAlignment="1">
      <alignment horizontal="center" vertical="center"/>
    </xf>
    <xf numFmtId="0" fontId="12" fillId="0" borderId="0" xfId="0" applyFont="1" applyAlignment="1">
      <alignment horizontal="left" vertical="center" indent="3"/>
    </xf>
    <xf numFmtId="49" fontId="92" fillId="0" borderId="0" xfId="0" applyNumberFormat="1" applyFont="1" applyAlignment="1">
      <alignment horizontal="left"/>
    </xf>
    <xf numFmtId="0" fontId="93" fillId="0" borderId="0" xfId="0" applyFont="1" applyAlignment="1">
      <alignment horizontal="left" vertical="center" indent="2"/>
    </xf>
    <xf numFmtId="0" fontId="89" fillId="0" borderId="0" xfId="0" applyFont="1" applyAlignment="1">
      <alignment horizontal="left" vertical="center" indent="2"/>
    </xf>
    <xf numFmtId="165" fontId="83" fillId="3" borderId="1" xfId="46" applyNumberFormat="1" applyAlignment="1">
      <alignment horizontal="left"/>
    </xf>
    <xf numFmtId="0" fontId="26" fillId="0" borderId="0" xfId="0" applyFont="1" applyAlignment="1">
      <alignment horizontal="left" vertical="center" indent="2"/>
    </xf>
    <xf numFmtId="165" fontId="87" fillId="0" borderId="0" xfId="43" applyNumberFormat="1" applyFont="1" applyAlignment="1">
      <alignment horizontal="left" vertical="center"/>
    </xf>
    <xf numFmtId="165" fontId="96" fillId="15" borderId="0" xfId="0" applyNumberFormat="1" applyFont="1" applyFill="1" applyAlignment="1">
      <alignment horizontal="center" vertical="center"/>
    </xf>
    <xf numFmtId="165" fontId="87" fillId="16" borderId="0" xfId="43" applyNumberFormat="1" applyFont="1" applyFill="1" applyAlignment="1">
      <alignment vertical="center"/>
    </xf>
    <xf numFmtId="0" fontId="13" fillId="0" borderId="0" xfId="0" applyFont="1" applyAlignment="1">
      <alignment horizontal="left" vertical="center" indent="2"/>
    </xf>
    <xf numFmtId="0" fontId="13" fillId="0" borderId="0" xfId="0" applyFont="1" applyAlignment="1">
      <alignment horizontal="left" indent="2"/>
    </xf>
    <xf numFmtId="165" fontId="81" fillId="0" borderId="0" xfId="0" applyNumberFormat="1" applyFont="1" applyAlignment="1">
      <alignment horizontal="left" indent="2"/>
    </xf>
    <xf numFmtId="165" fontId="97" fillId="0" borderId="0" xfId="43" applyNumberFormat="1" applyFont="1" applyAlignment="1">
      <alignment horizontal="left"/>
    </xf>
    <xf numFmtId="165" fontId="87" fillId="16" borderId="0" xfId="43" applyNumberFormat="1" applyFont="1" applyFill="1"/>
    <xf numFmtId="165" fontId="98" fillId="0" borderId="0" xfId="43" applyNumberFormat="1" applyFont="1" applyAlignment="1">
      <alignment horizontal="center"/>
    </xf>
    <xf numFmtId="165" fontId="98" fillId="0" borderId="0" xfId="43" applyNumberFormat="1" applyFont="1"/>
    <xf numFmtId="165" fontId="98" fillId="0" borderId="0" xfId="43" applyNumberFormat="1" applyFont="1" applyAlignment="1">
      <alignment horizontal="left"/>
    </xf>
    <xf numFmtId="165" fontId="100" fillId="0" borderId="0" xfId="43" applyNumberFormat="1" applyFont="1"/>
    <xf numFmtId="165" fontId="43" fillId="0" borderId="0" xfId="0" applyNumberFormat="1" applyFont="1"/>
    <xf numFmtId="0" fontId="43" fillId="0" borderId="0" xfId="0" applyFont="1"/>
    <xf numFmtId="0" fontId="62" fillId="0" borderId="0" xfId="0" applyFont="1"/>
    <xf numFmtId="0" fontId="37" fillId="0" borderId="0" xfId="0" applyFont="1" applyAlignment="1">
      <alignment horizontal="center" vertical="center"/>
    </xf>
    <xf numFmtId="0" fontId="11" fillId="0" borderId="0" xfId="1" applyAlignment="1" applyProtection="1">
      <alignment horizontal="center"/>
    </xf>
    <xf numFmtId="0" fontId="26" fillId="0" borderId="0" xfId="0" applyFont="1" applyAlignment="1">
      <alignment horizontal="center"/>
    </xf>
    <xf numFmtId="0" fontId="25" fillId="0" borderId="0" xfId="0" applyFont="1" applyAlignment="1">
      <alignment horizontal="left"/>
    </xf>
    <xf numFmtId="44" fontId="25" fillId="0" borderId="0" xfId="0" applyNumberFormat="1" applyFont="1" applyAlignment="1">
      <alignment horizontal="left" vertical="center"/>
    </xf>
    <xf numFmtId="0" fontId="26" fillId="0" borderId="0" xfId="0" applyFont="1" applyAlignment="1">
      <alignment horizontal="left"/>
    </xf>
    <xf numFmtId="0" fontId="106" fillId="0" borderId="0" xfId="28" applyFont="1"/>
    <xf numFmtId="0" fontId="106" fillId="0" borderId="0" xfId="28" applyFont="1" applyAlignment="1"/>
    <xf numFmtId="0" fontId="106" fillId="0" borderId="0" xfId="28" applyFont="1" applyAlignment="1">
      <alignment horizontal="left"/>
    </xf>
    <xf numFmtId="165" fontId="84" fillId="16" borderId="0" xfId="43" applyNumberFormat="1" applyFont="1" applyFill="1" applyAlignment="1">
      <alignment horizontal="center" vertical="center"/>
    </xf>
    <xf numFmtId="165" fontId="108" fillId="16" borderId="0" xfId="43" applyNumberFormat="1" applyFont="1" applyFill="1" applyAlignment="1">
      <alignment horizontal="left" vertical="center" indent="2"/>
    </xf>
    <xf numFmtId="165" fontId="84" fillId="16" borderId="0" xfId="43" applyNumberFormat="1" applyFont="1" applyFill="1" applyAlignment="1">
      <alignment vertical="center"/>
    </xf>
    <xf numFmtId="0" fontId="25" fillId="33" borderId="0" xfId="0" applyFont="1" applyFill="1" applyAlignment="1">
      <alignment vertical="center" wrapText="1"/>
    </xf>
    <xf numFmtId="0" fontId="0" fillId="0" borderId="23" xfId="0" applyBorder="1" applyAlignment="1">
      <alignment vertical="center"/>
    </xf>
    <xf numFmtId="165" fontId="84" fillId="16" borderId="0" xfId="43" applyNumberFormat="1" applyFont="1" applyFill="1" applyAlignment="1">
      <alignment horizontal="left" vertical="center"/>
    </xf>
    <xf numFmtId="0" fontId="85" fillId="0" borderId="0" xfId="0" applyFont="1" applyAlignment="1">
      <alignment horizontal="center"/>
    </xf>
    <xf numFmtId="0" fontId="94" fillId="10" borderId="0" xfId="0" applyFont="1" applyFill="1" applyAlignment="1">
      <alignment horizontal="center" vertical="center"/>
    </xf>
    <xf numFmtId="0" fontId="95" fillId="0" borderId="0" xfId="0" applyFont="1" applyAlignment="1">
      <alignment horizontal="center" vertical="center"/>
    </xf>
    <xf numFmtId="0" fontId="85" fillId="10" borderId="0" xfId="0" applyFont="1" applyFill="1" applyAlignment="1">
      <alignment horizontal="center"/>
    </xf>
    <xf numFmtId="49" fontId="89" fillId="0" borderId="21" xfId="0" applyNumberFormat="1" applyFont="1" applyBorder="1" applyAlignment="1">
      <alignment horizontal="left" indent="3"/>
    </xf>
    <xf numFmtId="0" fontId="83" fillId="0" borderId="1" xfId="46" applyFill="1" applyAlignment="1">
      <alignment horizontal="left" vertical="center"/>
    </xf>
    <xf numFmtId="0" fontId="91" fillId="0" borderId="1" xfId="46" quotePrefix="1" applyFont="1" applyFill="1" applyAlignment="1">
      <alignment horizontal="center" vertical="center"/>
    </xf>
    <xf numFmtId="165" fontId="96" fillId="15" borderId="0" xfId="0" applyNumberFormat="1" applyFont="1" applyFill="1" applyAlignment="1">
      <alignment vertical="center"/>
    </xf>
    <xf numFmtId="0" fontId="91" fillId="32" borderId="1" xfId="46" applyFont="1" applyFill="1" applyAlignment="1">
      <alignment horizontal="center"/>
    </xf>
    <xf numFmtId="0" fontId="91" fillId="0" borderId="1" xfId="0" applyFont="1" applyBorder="1" applyAlignment="1">
      <alignment horizontal="center" vertical="center"/>
    </xf>
    <xf numFmtId="0" fontId="91" fillId="22" borderId="10" xfId="0" applyFont="1" applyFill="1" applyBorder="1" applyAlignment="1">
      <alignment horizontal="center"/>
    </xf>
    <xf numFmtId="0" fontId="93" fillId="0" borderId="0" xfId="0" applyFont="1" applyAlignment="1">
      <alignment horizontal="left" vertical="center" indent="1"/>
    </xf>
    <xf numFmtId="165" fontId="83" fillId="15" borderId="1" xfId="0" applyNumberFormat="1" applyFont="1" applyFill="1" applyBorder="1" applyAlignment="1">
      <alignment horizontal="left"/>
    </xf>
    <xf numFmtId="0" fontId="91" fillId="0" borderId="10" xfId="0" applyFont="1" applyBorder="1" applyAlignment="1">
      <alignment horizontal="center" vertical="center"/>
    </xf>
    <xf numFmtId="0" fontId="91" fillId="15" borderId="18" xfId="0" applyFont="1" applyFill="1" applyBorder="1" applyAlignment="1">
      <alignment horizontal="center" vertical="center"/>
    </xf>
    <xf numFmtId="0" fontId="91" fillId="0" borderId="18" xfId="0" applyFont="1" applyBorder="1" applyAlignment="1">
      <alignment horizontal="center"/>
    </xf>
    <xf numFmtId="0" fontId="83" fillId="15" borderId="9" xfId="0" applyFont="1" applyFill="1" applyBorder="1"/>
    <xf numFmtId="0" fontId="91" fillId="0" borderId="18" xfId="0" applyFont="1" applyBorder="1" applyAlignment="1">
      <alignment horizontal="center" vertical="center"/>
    </xf>
    <xf numFmtId="0" fontId="91" fillId="22" borderId="18" xfId="0" applyFont="1" applyFill="1" applyBorder="1" applyAlignment="1">
      <alignment horizontal="center"/>
    </xf>
    <xf numFmtId="0" fontId="91" fillId="22" borderId="18" xfId="0" applyFont="1" applyFill="1" applyBorder="1" applyAlignment="1">
      <alignment horizontal="center" vertical="center"/>
    </xf>
    <xf numFmtId="0" fontId="106" fillId="0" borderId="0" xfId="28" applyFont="1" applyAlignment="1">
      <alignment horizontal="center"/>
    </xf>
    <xf numFmtId="0" fontId="22" fillId="32" borderId="0" xfId="0" applyFont="1" applyFill="1"/>
    <xf numFmtId="0" fontId="43" fillId="0" borderId="0" xfId="0" applyFont="1" applyAlignment="1">
      <alignment horizontal="center"/>
    </xf>
    <xf numFmtId="0" fontId="22" fillId="32" borderId="0" xfId="0" quotePrefix="1" applyFont="1" applyFill="1" applyAlignment="1">
      <alignment horizontal="center"/>
    </xf>
    <xf numFmtId="0" fontId="22" fillId="32" borderId="0" xfId="0" applyFont="1" applyFill="1" applyAlignment="1">
      <alignment horizontal="center" wrapText="1"/>
    </xf>
    <xf numFmtId="0" fontId="22" fillId="32" borderId="0" xfId="0" applyFont="1" applyFill="1" applyAlignment="1">
      <alignment horizontal="center"/>
    </xf>
    <xf numFmtId="0" fontId="21" fillId="31" borderId="0" xfId="0" applyFont="1" applyFill="1" applyAlignment="1">
      <alignment horizontal="center" vertical="center" wrapText="1"/>
    </xf>
    <xf numFmtId="0" fontId="0" fillId="32" borderId="0" xfId="0" applyFill="1" applyAlignment="1">
      <alignment horizontal="center" vertical="center"/>
    </xf>
    <xf numFmtId="0" fontId="0" fillId="0" borderId="0" xfId="0" applyAlignment="1">
      <alignment horizontal="center"/>
    </xf>
    <xf numFmtId="0" fontId="111" fillId="11" borderId="0" xfId="0" applyFont="1" applyFill="1" applyAlignment="1">
      <alignment vertical="center"/>
    </xf>
    <xf numFmtId="0" fontId="102" fillId="11" borderId="0" xfId="0" applyFont="1" applyFill="1" applyAlignment="1">
      <alignment horizontal="center"/>
    </xf>
    <xf numFmtId="0" fontId="88" fillId="9" borderId="2" xfId="0" applyFont="1" applyFill="1" applyBorder="1" applyAlignment="1">
      <alignment vertical="center"/>
    </xf>
    <xf numFmtId="0" fontId="88" fillId="0" borderId="16" xfId="0" applyFont="1" applyBorder="1" applyAlignment="1">
      <alignment horizontal="left" vertical="center"/>
    </xf>
    <xf numFmtId="0" fontId="77" fillId="0" borderId="0" xfId="0" applyFont="1" applyAlignment="1">
      <alignment vertical="center"/>
    </xf>
    <xf numFmtId="0" fontId="4" fillId="0" borderId="0" xfId="0" applyFont="1" applyAlignment="1">
      <alignment horizontal="left" vertical="top" indent="8"/>
    </xf>
    <xf numFmtId="0" fontId="106" fillId="32" borderId="0" xfId="28" applyFont="1" applyFill="1" applyAlignment="1">
      <alignment horizontal="center"/>
    </xf>
    <xf numFmtId="0" fontId="106" fillId="32" borderId="0" xfId="28" applyFont="1" applyFill="1" applyAlignment="1">
      <alignment horizontal="left"/>
    </xf>
    <xf numFmtId="0" fontId="106" fillId="32" borderId="0" xfId="28" applyFont="1" applyFill="1"/>
    <xf numFmtId="0" fontId="0" fillId="10" borderId="0" xfId="0" applyFill="1"/>
    <xf numFmtId="0" fontId="22" fillId="22" borderId="0" xfId="0" applyFont="1" applyFill="1"/>
    <xf numFmtId="0" fontId="115" fillId="0" borderId="0" xfId="0" applyFont="1"/>
    <xf numFmtId="0" fontId="3" fillId="0" borderId="0" xfId="0" applyFont="1"/>
    <xf numFmtId="0" fontId="0" fillId="11" borderId="0" xfId="0" applyFill="1"/>
    <xf numFmtId="0" fontId="22" fillId="11" borderId="0" xfId="0" quotePrefix="1" applyFont="1" applyFill="1" applyAlignment="1">
      <alignment horizontal="center"/>
    </xf>
    <xf numFmtId="0" fontId="22" fillId="11" borderId="0" xfId="0" applyFont="1" applyFill="1" applyAlignment="1">
      <alignment horizontal="center"/>
    </xf>
    <xf numFmtId="0" fontId="56" fillId="39" borderId="0" xfId="0" applyFont="1" applyFill="1" applyAlignment="1">
      <alignment horizontal="left" vertical="center"/>
    </xf>
    <xf numFmtId="43" fontId="56" fillId="39" borderId="0" xfId="0" applyNumberFormat="1" applyFont="1" applyFill="1" applyAlignment="1">
      <alignment horizontal="left" vertical="center"/>
    </xf>
    <xf numFmtId="43" fontId="36" fillId="0" borderId="10" xfId="0" applyNumberFormat="1" applyFont="1" applyBorder="1" applyAlignment="1">
      <alignment horizontal="left" vertical="center"/>
    </xf>
    <xf numFmtId="43" fontId="36" fillId="0" borderId="18" xfId="0" applyNumberFormat="1" applyFont="1" applyBorder="1" applyAlignment="1">
      <alignment horizontal="left" vertical="center"/>
    </xf>
    <xf numFmtId="0" fontId="36" fillId="0" borderId="0" xfId="0" applyFont="1" applyAlignment="1">
      <alignment horizontal="left"/>
    </xf>
    <xf numFmtId="0" fontId="36" fillId="0" borderId="6" xfId="0" applyFont="1" applyBorder="1" applyAlignment="1">
      <alignment horizontal="left" vertical="center"/>
    </xf>
    <xf numFmtId="43" fontId="36" fillId="20" borderId="10" xfId="0" applyNumberFormat="1" applyFont="1" applyFill="1" applyBorder="1" applyAlignment="1">
      <alignment horizontal="left" vertical="center"/>
    </xf>
    <xf numFmtId="43" fontId="116" fillId="0" borderId="1" xfId="0" applyNumberFormat="1" applyFont="1" applyBorder="1"/>
    <xf numFmtId="43" fontId="34" fillId="40" borderId="9" xfId="0" applyNumberFormat="1" applyFont="1" applyFill="1" applyBorder="1" applyAlignment="1">
      <alignment horizontal="left" vertical="center"/>
    </xf>
    <xf numFmtId="0" fontId="43" fillId="0" borderId="0" xfId="0" applyFont="1" applyAlignment="1">
      <alignment vertical="center"/>
    </xf>
    <xf numFmtId="43" fontId="116" fillId="0" borderId="10" xfId="0" applyNumberFormat="1" applyFont="1" applyBorder="1"/>
    <xf numFmtId="0" fontId="43" fillId="0" borderId="19" xfId="0" applyFont="1" applyBorder="1"/>
    <xf numFmtId="43" fontId="34" fillId="15" borderId="9" xfId="0" applyNumberFormat="1" applyFont="1" applyFill="1" applyBorder="1" applyAlignment="1">
      <alignment horizontal="right"/>
    </xf>
    <xf numFmtId="43" fontId="117" fillId="15" borderId="18" xfId="0" applyNumberFormat="1" applyFont="1" applyFill="1" applyBorder="1" applyAlignment="1">
      <alignment horizontal="left"/>
    </xf>
    <xf numFmtId="43" fontId="34" fillId="15" borderId="1" xfId="0" applyNumberFormat="1" applyFont="1" applyFill="1" applyBorder="1" applyAlignment="1">
      <alignment vertical="top"/>
    </xf>
    <xf numFmtId="43" fontId="116" fillId="0" borderId="18" xfId="0" applyNumberFormat="1" applyFont="1" applyBorder="1"/>
    <xf numFmtId="43" fontId="118" fillId="15" borderId="9" xfId="0" applyNumberFormat="1" applyFont="1" applyFill="1" applyBorder="1" applyAlignment="1">
      <alignment horizontal="right" vertical="top"/>
    </xf>
    <xf numFmtId="43" fontId="34" fillId="15" borderId="19" xfId="0" applyNumberFormat="1" applyFont="1" applyFill="1" applyBorder="1" applyAlignment="1">
      <alignment horizontal="center"/>
    </xf>
    <xf numFmtId="43" fontId="34" fillId="15" borderId="18" xfId="0" applyNumberFormat="1" applyFont="1" applyFill="1" applyBorder="1" applyAlignment="1">
      <alignment horizontal="center"/>
    </xf>
    <xf numFmtId="0" fontId="56" fillId="39" borderId="0" xfId="0" applyFont="1" applyFill="1" applyAlignment="1">
      <alignment horizontal="center" vertical="center"/>
    </xf>
    <xf numFmtId="0" fontId="22" fillId="10" borderId="16" xfId="0" applyFont="1" applyFill="1" applyBorder="1"/>
    <xf numFmtId="0" fontId="101" fillId="15" borderId="0" xfId="0" applyFont="1" applyFill="1" applyAlignment="1">
      <alignment vertical="top"/>
    </xf>
    <xf numFmtId="0" fontId="119" fillId="0" borderId="0" xfId="0" applyFont="1" applyAlignment="1">
      <alignment vertical="center"/>
    </xf>
    <xf numFmtId="0" fontId="119" fillId="0" borderId="0" xfId="0" applyFont="1" applyAlignment="1">
      <alignment horizontal="left" vertical="center"/>
    </xf>
    <xf numFmtId="0" fontId="57" fillId="0" borderId="0" xfId="0" applyFont="1" applyAlignment="1">
      <alignment horizontal="left" indent="2"/>
    </xf>
    <xf numFmtId="0" fontId="119" fillId="11" borderId="0" xfId="0" applyFont="1" applyFill="1" applyAlignment="1">
      <alignment horizontal="left" vertical="center"/>
    </xf>
    <xf numFmtId="0" fontId="102" fillId="14" borderId="0" xfId="0" applyFont="1" applyFill="1" applyAlignment="1">
      <alignment horizontal="left" vertical="center"/>
    </xf>
    <xf numFmtId="0" fontId="119" fillId="41" borderId="0" xfId="0" applyFont="1" applyFill="1" applyAlignment="1">
      <alignment vertical="center"/>
    </xf>
    <xf numFmtId="0" fontId="0" fillId="41" borderId="0" xfId="0" applyFill="1"/>
    <xf numFmtId="0" fontId="22" fillId="41" borderId="0" xfId="0" quotePrefix="1" applyFont="1" applyFill="1" applyAlignment="1">
      <alignment horizontal="center"/>
    </xf>
    <xf numFmtId="0" fontId="119" fillId="42" borderId="0" xfId="0" applyFont="1" applyFill="1" applyAlignment="1">
      <alignment vertical="center"/>
    </xf>
    <xf numFmtId="0" fontId="56" fillId="0" borderId="0" xfId="0" applyFont="1" applyAlignment="1">
      <alignment horizontal="left" vertical="center"/>
    </xf>
    <xf numFmtId="0" fontId="22" fillId="10" borderId="0" xfId="0" applyFont="1" applyFill="1"/>
    <xf numFmtId="0" fontId="37" fillId="0" borderId="0" xfId="0" applyFont="1" applyAlignment="1">
      <alignment horizontal="left" vertical="center"/>
    </xf>
    <xf numFmtId="0" fontId="24" fillId="0" borderId="0" xfId="0" applyFont="1" applyAlignment="1">
      <alignment horizontal="left" vertical="center"/>
    </xf>
    <xf numFmtId="43" fontId="36" fillId="0" borderId="0" xfId="0" applyNumberFormat="1" applyFont="1"/>
    <xf numFmtId="0" fontId="122" fillId="0" borderId="0" xfId="0" applyFont="1" applyAlignment="1">
      <alignment vertical="center" textRotation="45" wrapText="1"/>
    </xf>
    <xf numFmtId="0" fontId="124" fillId="12" borderId="0" xfId="0" applyFont="1" applyFill="1" applyAlignment="1">
      <alignment horizontal="center" vertical="center" textRotation="255" wrapText="1"/>
    </xf>
    <xf numFmtId="0" fontId="122" fillId="24" borderId="0" xfId="0" applyFont="1" applyFill="1" applyAlignment="1">
      <alignment wrapText="1"/>
    </xf>
    <xf numFmtId="0" fontId="124" fillId="25" borderId="0" xfId="0" applyFont="1" applyFill="1" applyAlignment="1">
      <alignment horizontal="center" vertical="center" textRotation="255" wrapText="1"/>
    </xf>
    <xf numFmtId="0" fontId="122" fillId="0" borderId="0" xfId="0" applyFont="1" applyAlignment="1">
      <alignment wrapText="1"/>
    </xf>
    <xf numFmtId="0" fontId="36" fillId="0" borderId="0" xfId="0" applyFont="1" applyAlignment="1">
      <alignment wrapText="1"/>
    </xf>
    <xf numFmtId="0" fontId="52" fillId="0" borderId="0" xfId="0" applyFont="1" applyAlignment="1">
      <alignment horizontal="left"/>
    </xf>
    <xf numFmtId="0" fontId="11" fillId="0" borderId="0" xfId="1" applyAlignment="1" applyProtection="1">
      <alignment horizontal="left"/>
    </xf>
    <xf numFmtId="0" fontId="0" fillId="0" borderId="0" xfId="0" applyAlignment="1">
      <alignment horizontal="left"/>
    </xf>
    <xf numFmtId="0" fontId="86" fillId="10" borderId="0" xfId="0" applyFont="1" applyFill="1" applyAlignment="1">
      <alignment horizontal="center" vertical="center"/>
    </xf>
    <xf numFmtId="0" fontId="43" fillId="11" borderId="0" xfId="0" applyFont="1" applyFill="1" applyAlignment="1">
      <alignment horizontal="left" indent="5"/>
    </xf>
    <xf numFmtId="0" fontId="21" fillId="11" borderId="0" xfId="0" applyFont="1" applyFill="1" applyAlignment="1">
      <alignment horizontal="left" indent="6"/>
    </xf>
    <xf numFmtId="0" fontId="105" fillId="0" borderId="0" xfId="0" applyFont="1" applyAlignment="1">
      <alignment horizontal="left" vertical="center" indent="1"/>
    </xf>
    <xf numFmtId="0" fontId="105" fillId="22" borderId="0" xfId="0" applyFont="1" applyFill="1" applyAlignment="1">
      <alignment horizontal="left" vertical="center" indent="1"/>
    </xf>
    <xf numFmtId="0" fontId="22" fillId="11" borderId="0" xfId="0" applyFont="1" applyFill="1" applyAlignment="1">
      <alignment horizontal="center" vertical="center"/>
    </xf>
    <xf numFmtId="44" fontId="133" fillId="0" borderId="0" xfId="45" applyNumberFormat="1" applyFont="1" applyFill="1" applyAlignment="1"/>
    <xf numFmtId="44" fontId="134" fillId="32" borderId="0" xfId="45" applyNumberFormat="1" applyFont="1" applyFill="1" applyAlignment="1">
      <alignment vertical="center"/>
    </xf>
    <xf numFmtId="44" fontId="132" fillId="0" borderId="0" xfId="45" applyNumberFormat="1" applyFont="1" applyFill="1" applyAlignment="1">
      <alignment vertical="center"/>
    </xf>
    <xf numFmtId="44" fontId="135" fillId="0" borderId="0" xfId="45" applyNumberFormat="1" applyFont="1" applyFill="1" applyAlignment="1"/>
    <xf numFmtId="0" fontId="135" fillId="0" borderId="0" xfId="45" applyNumberFormat="1" applyFont="1" applyFill="1" applyAlignment="1"/>
    <xf numFmtId="44" fontId="134" fillId="0" borderId="0" xfId="45" applyNumberFormat="1" applyFont="1" applyFill="1" applyAlignment="1">
      <alignment vertical="center"/>
    </xf>
    <xf numFmtId="14" fontId="126" fillId="0" borderId="0" xfId="45" applyNumberFormat="1" applyFont="1" applyFill="1" applyAlignment="1"/>
    <xf numFmtId="44" fontId="57" fillId="0" borderId="0" xfId="45" applyNumberFormat="1" applyFont="1" applyFill="1" applyAlignment="1">
      <alignment horizontal="left"/>
    </xf>
    <xf numFmtId="14" fontId="139" fillId="0" borderId="0" xfId="45" applyNumberFormat="1" applyFont="1" applyFill="1" applyAlignment="1"/>
    <xf numFmtId="44" fontId="140" fillId="0" borderId="0" xfId="45" applyNumberFormat="1" applyFont="1" applyFill="1" applyAlignment="1"/>
    <xf numFmtId="14" fontId="2" fillId="32" borderId="0" xfId="45" applyNumberFormat="1" applyFont="1" applyFill="1" applyAlignment="1">
      <alignment horizontal="center" vertical="center"/>
    </xf>
    <xf numFmtId="44" fontId="141" fillId="0" borderId="0" xfId="45" applyNumberFormat="1" applyFont="1" applyFill="1" applyAlignment="1">
      <alignment horizontal="center"/>
    </xf>
    <xf numFmtId="0" fontId="137" fillId="0" borderId="0" xfId="0" applyFont="1" applyAlignment="1">
      <alignment vertical="top"/>
    </xf>
    <xf numFmtId="0" fontId="126" fillId="0" borderId="0" xfId="45" applyNumberFormat="1" applyFont="1" applyFill="1" applyAlignment="1">
      <alignment horizontal="center" vertical="top"/>
    </xf>
    <xf numFmtId="44" fontId="136" fillId="0" borderId="0" xfId="45" applyNumberFormat="1" applyFont="1" applyFill="1" applyAlignment="1">
      <alignment horizontal="center" vertical="top"/>
    </xf>
    <xf numFmtId="44" fontId="138" fillId="0" borderId="0" xfId="0" applyNumberFormat="1" applyFont="1" applyAlignment="1">
      <alignment horizontal="center" vertical="top"/>
    </xf>
    <xf numFmtId="44" fontId="140" fillId="0" borderId="0" xfId="45" applyNumberFormat="1" applyFont="1" applyFill="1" applyAlignment="1">
      <alignment vertical="top"/>
    </xf>
    <xf numFmtId="14" fontId="126" fillId="0" borderId="0" xfId="45" applyNumberFormat="1" applyFont="1" applyFill="1" applyAlignment="1">
      <alignment horizontal="center"/>
    </xf>
    <xf numFmtId="44" fontId="57" fillId="32" borderId="0" xfId="45" applyNumberFormat="1" applyFont="1" applyFill="1" applyAlignment="1">
      <alignment horizontal="center"/>
    </xf>
    <xf numFmtId="44" fontId="2" fillId="0" borderId="0" xfId="45" applyNumberFormat="1" applyFont="1" applyFill="1" applyAlignment="1"/>
    <xf numFmtId="14" fontId="126" fillId="0" borderId="0" xfId="45" applyNumberFormat="1" applyFont="1" applyFill="1" applyAlignment="1">
      <alignment horizontal="center" vertical="top"/>
    </xf>
    <xf numFmtId="9" fontId="126" fillId="0" borderId="0" xfId="47" applyFont="1" applyFill="1" applyAlignment="1">
      <alignment horizontal="left" vertical="top"/>
    </xf>
    <xf numFmtId="9" fontId="126" fillId="32" borderId="0" xfId="47" applyFont="1" applyFill="1" applyAlignment="1">
      <alignment horizontal="left" vertical="top"/>
    </xf>
    <xf numFmtId="14" fontId="126" fillId="32" borderId="0" xfId="45" applyNumberFormat="1" applyFont="1" applyFill="1" applyAlignment="1">
      <alignment horizontal="center" vertical="top"/>
    </xf>
    <xf numFmtId="0" fontId="2" fillId="10" borderId="0" xfId="0" applyFont="1" applyFill="1"/>
    <xf numFmtId="0" fontId="144" fillId="0" borderId="0" xfId="0" applyFont="1"/>
    <xf numFmtId="44" fontId="2" fillId="0" borderId="0" xfId="45" applyNumberFormat="1" applyFont="1" applyFill="1" applyAlignment="1">
      <alignment horizontal="left" indent="1"/>
    </xf>
    <xf numFmtId="0" fontId="136" fillId="0" borderId="0" xfId="0" applyFont="1" applyAlignment="1">
      <alignment vertical="top"/>
    </xf>
    <xf numFmtId="0" fontId="57" fillId="32" borderId="0" xfId="0" applyFont="1" applyFill="1"/>
    <xf numFmtId="0" fontId="2" fillId="32" borderId="0" xfId="45" applyNumberFormat="1" applyFont="1" applyFill="1" applyAlignment="1"/>
    <xf numFmtId="44" fontId="2" fillId="32" borderId="0" xfId="45" applyNumberFormat="1" applyFont="1" applyFill="1" applyAlignment="1">
      <alignment horizontal="left" indent="1"/>
    </xf>
    <xf numFmtId="44" fontId="145" fillId="0" borderId="0" xfId="0" applyNumberFormat="1" applyFont="1" applyAlignment="1">
      <alignment horizontal="left" vertical="top"/>
    </xf>
    <xf numFmtId="0" fontId="2" fillId="0" borderId="0" xfId="0" applyFont="1"/>
    <xf numFmtId="0" fontId="2" fillId="0" borderId="0" xfId="0" applyFont="1" applyAlignment="1">
      <alignment horizontal="center"/>
    </xf>
    <xf numFmtId="0" fontId="2" fillId="32" borderId="0" xfId="0" applyFont="1" applyFill="1"/>
    <xf numFmtId="0" fontId="62" fillId="32" borderId="0" xfId="0" applyFont="1" applyFill="1" applyAlignment="1">
      <alignment vertical="center"/>
    </xf>
    <xf numFmtId="0" fontId="146" fillId="0" borderId="0" xfId="0" applyFont="1" applyAlignment="1">
      <alignment vertical="center"/>
    </xf>
    <xf numFmtId="0" fontId="2" fillId="0" borderId="0" xfId="0" applyFont="1" applyAlignment="1">
      <alignment horizontal="left" indent="2"/>
    </xf>
    <xf numFmtId="0" fontId="126" fillId="0" borderId="0" xfId="0" applyFont="1" applyAlignment="1">
      <alignment horizontal="center"/>
    </xf>
    <xf numFmtId="0" fontId="136" fillId="0" borderId="0" xfId="0" applyFont="1"/>
    <xf numFmtId="0" fontId="147" fillId="0" borderId="0" xfId="0" applyFont="1" applyAlignment="1">
      <alignment vertical="center"/>
    </xf>
    <xf numFmtId="0" fontId="126" fillId="0" borderId="0" xfId="0" applyFont="1"/>
    <xf numFmtId="0" fontId="148" fillId="0" borderId="0" xfId="0" applyFont="1"/>
    <xf numFmtId="43" fontId="2" fillId="0" borderId="0" xfId="0" applyNumberFormat="1" applyFont="1" applyAlignment="1">
      <alignment horizontal="left"/>
    </xf>
    <xf numFmtId="0" fontId="149" fillId="0" borderId="0" xfId="0" applyFont="1" applyAlignment="1">
      <alignment vertical="center"/>
    </xf>
    <xf numFmtId="0" fontId="149" fillId="32" borderId="0" xfId="0" applyFont="1" applyFill="1" applyAlignment="1">
      <alignment vertical="center"/>
    </xf>
    <xf numFmtId="43" fontId="2" fillId="32" borderId="0" xfId="0" applyNumberFormat="1" applyFont="1" applyFill="1" applyAlignment="1">
      <alignment horizontal="left"/>
    </xf>
    <xf numFmtId="0" fontId="150" fillId="38" borderId="0" xfId="0" applyFont="1" applyFill="1" applyAlignment="1">
      <alignment horizontal="left" indent="2"/>
    </xf>
    <xf numFmtId="44" fontId="151" fillId="0" borderId="0" xfId="0" applyNumberFormat="1" applyFont="1"/>
    <xf numFmtId="43" fontId="57" fillId="0" borderId="0" xfId="0" quotePrefix="1" applyNumberFormat="1" applyFont="1"/>
    <xf numFmtId="0" fontId="136" fillId="0" borderId="0" xfId="0" applyFont="1" applyAlignment="1">
      <alignment horizontal="center" vertical="center"/>
    </xf>
    <xf numFmtId="44" fontId="136" fillId="0" borderId="0" xfId="0" applyNumberFormat="1" applyFont="1" applyAlignment="1">
      <alignment vertical="center"/>
    </xf>
    <xf numFmtId="43" fontId="136" fillId="0" borderId="0" xfId="0" quotePrefix="1" applyNumberFormat="1" applyFont="1"/>
    <xf numFmtId="43" fontId="136" fillId="0" borderId="0" xfId="0" applyNumberFormat="1" applyFont="1" applyAlignment="1">
      <alignment vertical="center"/>
    </xf>
    <xf numFmtId="49" fontId="57" fillId="32" borderId="0" xfId="0" applyNumberFormat="1" applyFont="1" applyFill="1"/>
    <xf numFmtId="44" fontId="151" fillId="32" borderId="0" xfId="0" applyNumberFormat="1" applyFont="1" applyFill="1"/>
    <xf numFmtId="0" fontId="150" fillId="38" borderId="0" xfId="0" applyFont="1" applyFill="1" applyAlignment="1">
      <alignment horizontal="left" vertical="center" indent="1"/>
    </xf>
    <xf numFmtId="44" fontId="152" fillId="0" borderId="0" xfId="0" applyNumberFormat="1" applyFont="1"/>
    <xf numFmtId="44" fontId="57" fillId="0" borderId="0" xfId="0" applyNumberFormat="1" applyFont="1"/>
    <xf numFmtId="0" fontId="62" fillId="0" borderId="0" xfId="0" applyFont="1" applyAlignment="1">
      <alignment vertical="center"/>
    </xf>
    <xf numFmtId="0" fontId="62" fillId="0" borderId="0" xfId="0" applyFont="1" applyAlignment="1">
      <alignment horizontal="left" vertical="center" indent="5"/>
    </xf>
    <xf numFmtId="44" fontId="2" fillId="0" borderId="0" xfId="0" applyNumberFormat="1" applyFont="1"/>
    <xf numFmtId="49" fontId="57" fillId="0" borderId="0" xfId="0" applyNumberFormat="1" applyFont="1"/>
    <xf numFmtId="44" fontId="153" fillId="0" borderId="0" xfId="0" applyNumberFormat="1" applyFont="1"/>
    <xf numFmtId="14" fontId="57" fillId="0" borderId="0" xfId="0" applyNumberFormat="1" applyFont="1"/>
    <xf numFmtId="164" fontId="2" fillId="0" borderId="0" xfId="0" applyNumberFormat="1" applyFont="1" applyAlignment="1">
      <alignment horizontal="left" vertical="center"/>
    </xf>
    <xf numFmtId="0" fontId="57" fillId="0" borderId="0" xfId="43" applyNumberFormat="1" applyFont="1"/>
    <xf numFmtId="164" fontId="2" fillId="0" borderId="0" xfId="0" applyNumberFormat="1" applyFont="1" applyAlignment="1">
      <alignment horizontal="center" vertical="center"/>
    </xf>
    <xf numFmtId="14" fontId="2" fillId="0" borderId="0" xfId="0" applyNumberFormat="1" applyFont="1"/>
    <xf numFmtId="14" fontId="2" fillId="32" borderId="0" xfId="0" applyNumberFormat="1" applyFont="1" applyFill="1"/>
    <xf numFmtId="14" fontId="2" fillId="0" borderId="0" xfId="0" applyNumberFormat="1" applyFont="1" applyAlignment="1">
      <alignment horizontal="left"/>
    </xf>
    <xf numFmtId="0" fontId="88" fillId="0" borderId="21" xfId="0" applyFont="1" applyBorder="1" applyAlignment="1">
      <alignment horizontal="left" vertical="center" indent="3"/>
    </xf>
    <xf numFmtId="0" fontId="103" fillId="0" borderId="20" xfId="0" applyFont="1" applyBorder="1" applyAlignment="1">
      <alignment horizontal="left" vertical="center" indent="3"/>
    </xf>
    <xf numFmtId="0" fontId="90" fillId="0" borderId="20" xfId="0" applyFont="1" applyBorder="1" applyAlignment="1">
      <alignment horizontal="left" vertical="center" indent="3"/>
    </xf>
    <xf numFmtId="49" fontId="104" fillId="0" borderId="0" xfId="0" applyNumberFormat="1" applyFont="1"/>
    <xf numFmtId="0" fontId="36" fillId="0" borderId="0" xfId="0" applyFont="1" applyAlignment="1">
      <alignment vertical="center"/>
    </xf>
    <xf numFmtId="0" fontId="88" fillId="0" borderId="0" xfId="0" applyFont="1" applyAlignment="1">
      <alignment horizontal="left" indent="12"/>
    </xf>
    <xf numFmtId="165" fontId="84" fillId="16" borderId="0" xfId="43" applyNumberFormat="1" applyFont="1" applyFill="1" applyAlignment="1">
      <alignment horizontal="left" vertical="center" indent="11"/>
    </xf>
    <xf numFmtId="0" fontId="59" fillId="0" borderId="0" xfId="0" applyFont="1" applyAlignment="1">
      <alignment horizontal="left" indent="3"/>
    </xf>
    <xf numFmtId="0" fontId="25" fillId="33" borderId="0" xfId="0" applyFont="1" applyFill="1" applyAlignment="1">
      <alignment vertical="center"/>
    </xf>
    <xf numFmtId="165" fontId="155" fillId="0" borderId="0" xfId="43" applyNumberFormat="1" applyFont="1" applyAlignment="1">
      <alignment horizontal="left" indent="4"/>
    </xf>
    <xf numFmtId="0" fontId="125" fillId="10" borderId="0" xfId="0" applyFont="1" applyFill="1"/>
    <xf numFmtId="49" fontId="22" fillId="0" borderId="0" xfId="0" applyNumberFormat="1" applyFont="1" applyAlignment="1">
      <alignment horizontal="left" vertical="center"/>
    </xf>
    <xf numFmtId="0" fontId="142" fillId="0" borderId="0" xfId="0" applyFont="1" applyAlignment="1">
      <alignment vertical="center" wrapText="1"/>
    </xf>
    <xf numFmtId="0" fontId="0" fillId="0" borderId="0" xfId="0" applyAlignment="1">
      <alignment wrapText="1"/>
    </xf>
    <xf numFmtId="0" fontId="106" fillId="32" borderId="0" xfId="28" applyFont="1" applyFill="1" applyAlignment="1">
      <alignment wrapText="1"/>
    </xf>
    <xf numFmtId="165" fontId="106" fillId="0" borderId="0" xfId="28" applyNumberFormat="1" applyFont="1" applyAlignment="1">
      <alignment wrapText="1"/>
    </xf>
    <xf numFmtId="0" fontId="106" fillId="0" borderId="0" xfId="28" applyFont="1" applyAlignment="1">
      <alignment wrapText="1"/>
    </xf>
    <xf numFmtId="0" fontId="0" fillId="38" borderId="0" xfId="0" applyFill="1"/>
    <xf numFmtId="0" fontId="51" fillId="0" borderId="0" xfId="0" applyFont="1" applyAlignment="1">
      <alignment horizontal="center" wrapText="1"/>
    </xf>
    <xf numFmtId="44" fontId="126" fillId="0" borderId="0" xfId="0" applyNumberFormat="1" applyFont="1" applyAlignment="1">
      <alignment horizontal="left"/>
    </xf>
    <xf numFmtId="44" fontId="135" fillId="0" borderId="0" xfId="45" applyNumberFormat="1" applyFont="1" applyFill="1" applyAlignment="1">
      <alignment vertical="center"/>
    </xf>
    <xf numFmtId="0" fontId="156" fillId="0" borderId="0" xfId="0" applyFont="1"/>
    <xf numFmtId="44" fontId="2" fillId="32" borderId="0" xfId="45" applyNumberFormat="1" applyFont="1" applyFill="1" applyAlignment="1"/>
    <xf numFmtId="49" fontId="130" fillId="0" borderId="0" xfId="0" applyNumberFormat="1" applyFont="1" applyAlignment="1">
      <alignment horizontal="left"/>
    </xf>
    <xf numFmtId="0" fontId="125" fillId="0" borderId="0" xfId="0" applyFont="1" applyAlignment="1">
      <alignment horizontal="center"/>
    </xf>
    <xf numFmtId="0" fontId="4" fillId="0" borderId="0" xfId="0" applyFont="1" applyAlignment="1">
      <alignment horizontal="left"/>
    </xf>
    <xf numFmtId="0" fontId="25" fillId="0" borderId="0" xfId="0" applyFont="1"/>
    <xf numFmtId="0" fontId="56" fillId="27" borderId="0" xfId="0" applyFont="1" applyFill="1"/>
    <xf numFmtId="0" fontId="11" fillId="0" borderId="0" xfId="1" applyAlignment="1" applyProtection="1">
      <alignment vertical="center" wrapText="1"/>
    </xf>
    <xf numFmtId="0" fontId="158" fillId="0" borderId="0" xfId="0" applyFont="1" applyAlignment="1">
      <alignment horizontal="left" vertical="center" indent="5"/>
    </xf>
    <xf numFmtId="0" fontId="159" fillId="0" borderId="0" xfId="0" applyFont="1" applyAlignment="1">
      <alignment vertical="center"/>
    </xf>
    <xf numFmtId="0" fontId="160" fillId="0" borderId="0" xfId="0" applyFont="1" applyAlignment="1">
      <alignment vertical="center" wrapText="1"/>
    </xf>
    <xf numFmtId="0" fontId="161" fillId="0" borderId="0" xfId="0" applyFont="1" applyAlignment="1">
      <alignment horizontal="center" vertical="center"/>
    </xf>
    <xf numFmtId="0" fontId="162" fillId="0" borderId="26" xfId="0" applyFont="1" applyBorder="1" applyAlignment="1">
      <alignment horizontal="left" vertical="center" wrapText="1" indent="1"/>
    </xf>
    <xf numFmtId="0" fontId="157" fillId="0" borderId="0" xfId="0" applyFont="1" applyAlignment="1">
      <alignment horizontal="left" vertical="center" wrapText="1" indent="1"/>
    </xf>
    <xf numFmtId="0" fontId="11" fillId="0" borderId="0" xfId="1" applyAlignment="1" applyProtection="1">
      <alignment horizontal="left" vertical="center" wrapText="1" indent="1"/>
    </xf>
    <xf numFmtId="0" fontId="159" fillId="0" borderId="0" xfId="0" applyFont="1" applyAlignment="1">
      <alignment vertical="center" wrapText="1"/>
    </xf>
    <xf numFmtId="0" fontId="163" fillId="0" borderId="0" xfId="0" applyFont="1" applyAlignment="1">
      <alignment vertical="center" wrapText="1"/>
    </xf>
    <xf numFmtId="0" fontId="164" fillId="0" borderId="0" xfId="0" applyFont="1" applyAlignment="1">
      <alignment vertical="center" wrapText="1"/>
    </xf>
    <xf numFmtId="0" fontId="165" fillId="0" borderId="0" xfId="0" applyFont="1" applyAlignment="1">
      <alignment vertical="center"/>
    </xf>
    <xf numFmtId="0" fontId="11" fillId="0" borderId="0" xfId="1" applyAlignment="1" applyProtection="1">
      <alignment horizontal="center" vertical="center"/>
    </xf>
    <xf numFmtId="0" fontId="164" fillId="0" borderId="0" xfId="0" applyFont="1" applyAlignment="1">
      <alignment vertical="center"/>
    </xf>
    <xf numFmtId="0" fontId="166" fillId="0" borderId="0" xfId="0" applyFont="1" applyAlignment="1">
      <alignment horizontal="left" vertical="center" indent="1"/>
    </xf>
    <xf numFmtId="0" fontId="93" fillId="0" borderId="0" xfId="0" applyFont="1" applyAlignment="1">
      <alignment vertical="center"/>
    </xf>
    <xf numFmtId="0" fontId="167" fillId="41" borderId="0" xfId="0" applyFont="1" applyFill="1"/>
    <xf numFmtId="0" fontId="90" fillId="41" borderId="0" xfId="0" applyFont="1" applyFill="1"/>
    <xf numFmtId="0" fontId="113" fillId="46" borderId="0" xfId="0" applyFont="1" applyFill="1"/>
    <xf numFmtId="165" fontId="108" fillId="0" borderId="0" xfId="43" applyNumberFormat="1" applyFont="1" applyFill="1" applyAlignment="1">
      <alignment horizontal="left" vertical="center" indent="2"/>
    </xf>
    <xf numFmtId="165" fontId="169" fillId="0" borderId="0" xfId="43" applyNumberFormat="1" applyFont="1" applyAlignment="1">
      <alignment horizontal="left"/>
    </xf>
    <xf numFmtId="0" fontId="170" fillId="0" borderId="0" xfId="0" applyFont="1"/>
    <xf numFmtId="165" fontId="82" fillId="31" borderId="0" xfId="43" applyNumberFormat="1" applyFont="1" applyFill="1" applyAlignment="1"/>
    <xf numFmtId="0" fontId="59" fillId="31" borderId="0" xfId="0" applyFont="1" applyFill="1"/>
    <xf numFmtId="165" fontId="172" fillId="45" borderId="0" xfId="0" applyNumberFormat="1" applyFont="1" applyFill="1"/>
    <xf numFmtId="0" fontId="59" fillId="45" borderId="0" xfId="0" applyFont="1" applyFill="1"/>
    <xf numFmtId="0" fontId="90" fillId="0" borderId="0" xfId="0" applyFont="1"/>
    <xf numFmtId="0" fontId="59" fillId="0" borderId="0" xfId="0" applyFont="1" applyAlignment="1">
      <alignment horizontal="left" indent="2"/>
    </xf>
    <xf numFmtId="0" fontId="43" fillId="0" borderId="0" xfId="0" applyFont="1" applyAlignment="1">
      <alignment horizontal="left" vertical="center"/>
    </xf>
    <xf numFmtId="43" fontId="56" fillId="0" borderId="0" xfId="0" applyNumberFormat="1" applyFont="1" applyAlignment="1">
      <alignment horizontal="left" vertical="center"/>
    </xf>
    <xf numFmtId="0" fontId="43" fillId="0" borderId="0" xfId="0" applyFont="1" applyAlignment="1">
      <alignment horizontal="left" vertical="center" wrapText="1"/>
    </xf>
    <xf numFmtId="0" fontId="43" fillId="0" borderId="0" xfId="0" applyFont="1" applyAlignment="1">
      <alignment horizontal="left"/>
    </xf>
    <xf numFmtId="0" fontId="11" fillId="0" borderId="0" xfId="1" applyAlignment="1" applyProtection="1">
      <alignment horizontal="left" vertical="center" wrapText="1"/>
    </xf>
    <xf numFmtId="0" fontId="173" fillId="0" borderId="0" xfId="0" applyFont="1" applyAlignment="1">
      <alignment horizontal="left"/>
    </xf>
    <xf numFmtId="0" fontId="59" fillId="0" borderId="0" xfId="0" applyFont="1" applyAlignment="1">
      <alignment horizontal="left" vertical="center"/>
    </xf>
    <xf numFmtId="0" fontId="174" fillId="0" borderId="0" xfId="0" applyFont="1" applyAlignment="1">
      <alignment horizontal="left"/>
    </xf>
    <xf numFmtId="165" fontId="84" fillId="46" borderId="0" xfId="43" applyNumberFormat="1" applyFont="1" applyFill="1" applyAlignment="1">
      <alignment horizontal="left" vertical="center" indent="2"/>
    </xf>
    <xf numFmtId="165" fontId="84" fillId="0" borderId="0" xfId="43" applyNumberFormat="1" applyFont="1" applyFill="1" applyAlignment="1">
      <alignment horizontal="left" vertical="center" indent="2"/>
    </xf>
    <xf numFmtId="165" fontId="84" fillId="32" borderId="0" xfId="43" applyNumberFormat="1" applyFont="1" applyFill="1" applyAlignment="1">
      <alignment horizontal="left" vertical="center" indent="2"/>
    </xf>
    <xf numFmtId="165" fontId="82" fillId="0" borderId="0" xfId="43" applyNumberFormat="1" applyFont="1" applyAlignment="1">
      <alignment vertical="top"/>
    </xf>
    <xf numFmtId="165" fontId="84" fillId="38" borderId="0" xfId="43" applyNumberFormat="1" applyFont="1" applyFill="1" applyAlignment="1">
      <alignment horizontal="left" vertical="center" indent="2"/>
    </xf>
    <xf numFmtId="0" fontId="59" fillId="38" borderId="0" xfId="0" applyFont="1" applyFill="1"/>
    <xf numFmtId="165" fontId="82" fillId="38" borderId="0" xfId="43" applyNumberFormat="1" applyFont="1" applyFill="1" applyAlignment="1"/>
    <xf numFmtId="0" fontId="59" fillId="0" borderId="0" xfId="0" applyFont="1" applyAlignment="1">
      <alignment horizontal="left" indent="1"/>
    </xf>
    <xf numFmtId="0" fontId="113" fillId="0" borderId="0" xfId="0" applyFont="1" applyAlignment="1">
      <alignment horizontal="left" indent="14"/>
    </xf>
    <xf numFmtId="0" fontId="89" fillId="0" borderId="20" xfId="0" applyFont="1" applyBorder="1" applyAlignment="1">
      <alignment horizontal="left" vertical="center" indent="2"/>
    </xf>
    <xf numFmtId="0" fontId="90" fillId="0" borderId="20" xfId="0" applyFont="1" applyBorder="1" applyAlignment="1">
      <alignment horizontal="left" vertical="center" indent="2"/>
    </xf>
    <xf numFmtId="165" fontId="82" fillId="0" borderId="0" xfId="43" applyNumberFormat="1" applyFont="1" applyFill="1" applyAlignment="1"/>
    <xf numFmtId="0" fontId="113" fillId="46" borderId="0" xfId="0" applyFont="1" applyFill="1" applyAlignment="1">
      <alignment vertical="center"/>
    </xf>
    <xf numFmtId="165" fontId="108" fillId="16" borderId="0" xfId="43" applyNumberFormat="1" applyFont="1" applyFill="1" applyAlignment="1">
      <alignment vertical="center"/>
    </xf>
    <xf numFmtId="49" fontId="42" fillId="0" borderId="21" xfId="0" applyNumberFormat="1" applyFont="1" applyBorder="1" applyAlignment="1">
      <alignment horizontal="left" vertical="top" indent="3"/>
    </xf>
    <xf numFmtId="165" fontId="82" fillId="0" borderId="0" xfId="43" applyNumberFormat="1" applyFont="1" applyFill="1" applyAlignment="1">
      <alignment vertical="center"/>
    </xf>
    <xf numFmtId="0" fontId="12" fillId="0" borderId="0" xfId="0" applyFont="1" applyAlignment="1">
      <alignment horizontal="left" vertical="top" indent="3"/>
    </xf>
    <xf numFmtId="0" fontId="93" fillId="0" borderId="0" xfId="0" applyFont="1" applyAlignment="1">
      <alignment vertical="top"/>
    </xf>
    <xf numFmtId="0" fontId="42" fillId="0" borderId="0" xfId="0" applyFont="1" applyAlignment="1">
      <alignment horizontal="left" vertical="center" indent="2"/>
    </xf>
    <xf numFmtId="165" fontId="176" fillId="16" borderId="0" xfId="43" applyNumberFormat="1" applyFont="1" applyFill="1" applyAlignment="1">
      <alignment horizontal="left" vertical="center"/>
    </xf>
    <xf numFmtId="0" fontId="90" fillId="0" borderId="21" xfId="0" applyFont="1" applyBorder="1"/>
    <xf numFmtId="165" fontId="176" fillId="16" borderId="0" xfId="43" applyNumberFormat="1" applyFont="1" applyFill="1" applyAlignment="1">
      <alignment vertical="center"/>
    </xf>
    <xf numFmtId="165" fontId="179" fillId="16" borderId="0" xfId="43" applyNumberFormat="1" applyFont="1" applyFill="1" applyAlignment="1">
      <alignment horizontal="left" vertical="center" indent="2"/>
    </xf>
    <xf numFmtId="165" fontId="180" fillId="15" borderId="0" xfId="0" applyNumberFormat="1" applyFont="1" applyFill="1" applyAlignment="1">
      <alignment vertical="center"/>
    </xf>
    <xf numFmtId="165" fontId="181" fillId="15" borderId="0" xfId="0" applyNumberFormat="1" applyFont="1" applyFill="1" applyAlignment="1">
      <alignment horizontal="left" vertical="center"/>
    </xf>
    <xf numFmtId="49" fontId="182" fillId="0" borderId="0" xfId="0" applyNumberFormat="1" applyFont="1"/>
    <xf numFmtId="0" fontId="42" fillId="0" borderId="0" xfId="0" applyFont="1" applyAlignment="1">
      <alignment vertical="center"/>
    </xf>
    <xf numFmtId="0" fontId="42" fillId="0" borderId="0" xfId="0" applyFont="1" applyAlignment="1">
      <alignment horizontal="center" vertical="center"/>
    </xf>
    <xf numFmtId="0" fontId="93" fillId="0" borderId="13" xfId="0" applyFont="1" applyBorder="1" applyAlignment="1">
      <alignment vertical="center"/>
    </xf>
    <xf numFmtId="0" fontId="59" fillId="37" borderId="0" xfId="0" applyFont="1" applyFill="1" applyAlignment="1">
      <alignment horizontal="left" indent="2"/>
    </xf>
    <xf numFmtId="0" fontId="90" fillId="0" borderId="20" xfId="8" quotePrefix="1" applyFont="1" applyFill="1" applyBorder="1" applyAlignment="1"/>
    <xf numFmtId="15" fontId="178" fillId="0" borderId="0" xfId="0" applyNumberFormat="1" applyFont="1" applyAlignment="1">
      <alignment horizontal="left" vertical="center"/>
    </xf>
    <xf numFmtId="0" fontId="177" fillId="0" borderId="0" xfId="0" applyFont="1" applyAlignment="1">
      <alignment horizontal="right" vertical="center"/>
    </xf>
    <xf numFmtId="0" fontId="178" fillId="0" borderId="0" xfId="0" applyFont="1" applyAlignment="1">
      <alignment horizontal="right" vertical="center"/>
    </xf>
    <xf numFmtId="15" fontId="178" fillId="0" borderId="0" xfId="0" applyNumberFormat="1" applyFont="1" applyAlignment="1">
      <alignment horizontal="right" vertical="center"/>
    </xf>
    <xf numFmtId="0" fontId="42" fillId="0" borderId="0" xfId="0" applyFont="1" applyAlignment="1">
      <alignment horizontal="right" vertical="center"/>
    </xf>
    <xf numFmtId="0" fontId="59" fillId="0" borderId="0" xfId="0" applyFont="1" applyAlignment="1">
      <alignment horizontal="right"/>
    </xf>
    <xf numFmtId="15" fontId="183" fillId="0" borderId="0" xfId="0" applyNumberFormat="1" applyFont="1" applyAlignment="1">
      <alignment horizontal="right" vertical="center"/>
    </xf>
    <xf numFmtId="165" fontId="84" fillId="16" borderId="0" xfId="43" applyNumberFormat="1" applyFont="1" applyFill="1" applyAlignment="1">
      <alignment horizontal="left" vertical="top" indent="11"/>
    </xf>
    <xf numFmtId="165" fontId="84" fillId="0" borderId="0" xfId="43" applyNumberFormat="1" applyFont="1" applyFill="1" applyAlignment="1">
      <alignment horizontal="left" vertical="top" indent="2"/>
    </xf>
    <xf numFmtId="165" fontId="99" fillId="0" borderId="0" xfId="43" applyNumberFormat="1" applyFont="1" applyAlignment="1">
      <alignment horizontal="center"/>
    </xf>
    <xf numFmtId="0" fontId="4" fillId="0" borderId="0" xfId="0" applyFont="1" applyAlignment="1">
      <alignment vertical="center"/>
    </xf>
    <xf numFmtId="0" fontId="36" fillId="13" borderId="4" xfId="0" applyFont="1" applyFill="1" applyBorder="1" applyAlignment="1">
      <alignment vertical="center"/>
    </xf>
    <xf numFmtId="0" fontId="79" fillId="0" borderId="0" xfId="0" applyFont="1"/>
    <xf numFmtId="0" fontId="0" fillId="0" borderId="0" xfId="0" applyAlignment="1">
      <alignment horizontal="left" vertical="center" indent="3"/>
    </xf>
    <xf numFmtId="0" fontId="0" fillId="32" borderId="0" xfId="0" applyFill="1"/>
    <xf numFmtId="0" fontId="186" fillId="27" borderId="0" xfId="0" applyFont="1" applyFill="1" applyAlignment="1">
      <alignment horizontal="left" vertical="center"/>
    </xf>
    <xf numFmtId="0" fontId="187" fillId="0" borderId="0" xfId="0" applyFont="1" applyAlignment="1">
      <alignment vertical="center"/>
    </xf>
    <xf numFmtId="0" fontId="188" fillId="27" borderId="0" xfId="0" applyFont="1" applyFill="1" applyAlignment="1">
      <alignment vertical="top" wrapText="1"/>
    </xf>
    <xf numFmtId="166" fontId="187" fillId="27" borderId="0" xfId="0" applyNumberFormat="1" applyFont="1" applyFill="1" applyAlignment="1">
      <alignment vertical="center"/>
    </xf>
    <xf numFmtId="0" fontId="189" fillId="0" borderId="4" xfId="0" applyFont="1" applyBorder="1" applyAlignment="1">
      <alignment vertical="center"/>
    </xf>
    <xf numFmtId="0" fontId="190" fillId="27" borderId="4" xfId="0" applyFont="1" applyFill="1" applyBorder="1" applyAlignment="1">
      <alignment vertical="center"/>
    </xf>
    <xf numFmtId="0" fontId="191" fillId="0" borderId="0" xfId="0" applyFont="1"/>
    <xf numFmtId="0" fontId="191" fillId="27" borderId="0" xfId="0" applyFont="1" applyFill="1"/>
    <xf numFmtId="0" fontId="190" fillId="14" borderId="6" xfId="0" applyFont="1" applyFill="1" applyBorder="1" applyAlignment="1">
      <alignment vertical="center"/>
    </xf>
    <xf numFmtId="0" fontId="190" fillId="0" borderId="6" xfId="0" applyFont="1" applyBorder="1" applyAlignment="1">
      <alignment vertical="center"/>
    </xf>
    <xf numFmtId="0" fontId="190" fillId="13" borderId="6" xfId="0" applyFont="1" applyFill="1" applyBorder="1" applyAlignment="1">
      <alignment vertical="center"/>
    </xf>
    <xf numFmtId="0" fontId="190" fillId="0" borderId="4" xfId="0" applyFont="1" applyBorder="1" applyAlignment="1">
      <alignment vertical="center"/>
    </xf>
    <xf numFmtId="0" fontId="190" fillId="13" borderId="4" xfId="0" applyFont="1" applyFill="1" applyBorder="1" applyAlignment="1">
      <alignment vertical="center"/>
    </xf>
    <xf numFmtId="0" fontId="190" fillId="0" borderId="4" xfId="0" applyFont="1" applyBorder="1" applyAlignment="1">
      <alignment horizontal="left" vertical="center"/>
    </xf>
    <xf numFmtId="0" fontId="191" fillId="13" borderId="11" xfId="0" applyFont="1" applyFill="1" applyBorder="1" applyAlignment="1">
      <alignment horizontal="left" vertical="center"/>
    </xf>
    <xf numFmtId="0" fontId="190" fillId="0" borderId="11" xfId="0" applyFont="1" applyBorder="1" applyAlignment="1">
      <alignment horizontal="left" vertical="center"/>
    </xf>
    <xf numFmtId="0" fontId="190" fillId="0" borderId="0" xfId="0" applyFont="1" applyAlignment="1">
      <alignment horizontal="left" vertical="center"/>
    </xf>
    <xf numFmtId="0" fontId="191" fillId="14" borderId="0" xfId="0" applyFont="1" applyFill="1"/>
    <xf numFmtId="0" fontId="178" fillId="14" borderId="0" xfId="0" applyFont="1" applyFill="1" applyAlignment="1">
      <alignment vertical="center"/>
    </xf>
    <xf numFmtId="0" fontId="127" fillId="0" borderId="0" xfId="0" applyFont="1" applyAlignment="1">
      <alignment vertical="center"/>
    </xf>
    <xf numFmtId="0" fontId="127" fillId="36" borderId="0" xfId="0" applyFont="1" applyFill="1" applyAlignment="1">
      <alignment vertical="center"/>
    </xf>
    <xf numFmtId="0" fontId="190" fillId="0" borderId="0" xfId="0" applyFont="1" applyAlignment="1">
      <alignment vertical="center"/>
    </xf>
    <xf numFmtId="0" fontId="187" fillId="36" borderId="0" xfId="0" applyFont="1" applyFill="1" applyAlignment="1">
      <alignment vertical="center"/>
    </xf>
    <xf numFmtId="0" fontId="190" fillId="36" borderId="0" xfId="0" applyFont="1" applyFill="1" applyAlignment="1">
      <alignment vertical="center"/>
    </xf>
    <xf numFmtId="0" fontId="190" fillId="0" borderId="0" xfId="0" applyFont="1"/>
    <xf numFmtId="0" fontId="178" fillId="39" borderId="0" xfId="0" applyFont="1" applyFill="1" applyAlignment="1">
      <alignment horizontal="left" vertical="center"/>
    </xf>
    <xf numFmtId="0" fontId="192" fillId="14" borderId="3" xfId="0" applyFont="1" applyFill="1" applyBorder="1" applyAlignment="1">
      <alignment horizontal="center" vertical="center"/>
    </xf>
    <xf numFmtId="0" fontId="187" fillId="0" borderId="4" xfId="0" applyFont="1" applyBorder="1" applyAlignment="1">
      <alignment vertical="center"/>
    </xf>
    <xf numFmtId="0" fontId="187" fillId="13" borderId="4" xfId="0" applyFont="1" applyFill="1" applyBorder="1" applyAlignment="1">
      <alignment vertical="center"/>
    </xf>
    <xf numFmtId="0" fontId="193" fillId="0" borderId="4" xfId="0" applyFont="1" applyBorder="1" applyAlignment="1">
      <alignment horizontal="left" vertical="center"/>
    </xf>
    <xf numFmtId="0" fontId="194" fillId="14" borderId="0" xfId="0" applyFont="1" applyFill="1" applyAlignment="1">
      <alignment horizontal="left"/>
    </xf>
    <xf numFmtId="0" fontId="190" fillId="13" borderId="12" xfId="0" applyFont="1" applyFill="1" applyBorder="1" applyAlignment="1">
      <alignment horizontal="left"/>
    </xf>
    <xf numFmtId="0" fontId="190" fillId="0" borderId="6" xfId="0" applyFont="1" applyBorder="1" applyAlignment="1">
      <alignment horizontal="left"/>
    </xf>
    <xf numFmtId="0" fontId="190" fillId="13" borderId="6" xfId="0" applyFont="1" applyFill="1" applyBorder="1" applyAlignment="1">
      <alignment horizontal="left"/>
    </xf>
    <xf numFmtId="0" fontId="190" fillId="0" borderId="4" xfId="0" applyFont="1" applyBorder="1" applyAlignment="1">
      <alignment horizontal="left"/>
    </xf>
    <xf numFmtId="0" fontId="190" fillId="13" borderId="4" xfId="0" applyFont="1" applyFill="1" applyBorder="1" applyAlignment="1">
      <alignment horizontal="left"/>
    </xf>
    <xf numFmtId="0" fontId="195" fillId="13" borderId="6" xfId="0" applyFont="1" applyFill="1" applyBorder="1" applyAlignment="1">
      <alignment horizontal="left"/>
    </xf>
    <xf numFmtId="0" fontId="190" fillId="35" borderId="0" xfId="0" applyFont="1" applyFill="1" applyAlignment="1">
      <alignment horizontal="left" wrapText="1"/>
    </xf>
    <xf numFmtId="0" fontId="196" fillId="0" borderId="0" xfId="0" applyFont="1"/>
    <xf numFmtId="14" fontId="191" fillId="0" borderId="0" xfId="0" applyNumberFormat="1" applyFont="1"/>
    <xf numFmtId="0" fontId="197" fillId="0" borderId="0" xfId="0" applyFont="1" applyAlignment="1">
      <alignment horizontal="left" vertical="center"/>
    </xf>
    <xf numFmtId="0" fontId="198" fillId="0" borderId="0" xfId="0" applyFont="1" applyAlignment="1">
      <alignment horizontal="left" vertical="center"/>
    </xf>
    <xf numFmtId="0" fontId="199" fillId="0" borderId="0" xfId="0" applyFont="1" applyAlignment="1">
      <alignment horizontal="left" vertical="center"/>
    </xf>
    <xf numFmtId="0" fontId="200" fillId="0" borderId="0" xfId="0" applyFont="1" applyAlignment="1">
      <alignment horizontal="left" vertical="center"/>
    </xf>
    <xf numFmtId="0" fontId="201" fillId="0" borderId="0" xfId="0" applyFont="1" applyAlignment="1">
      <alignment horizontal="left" vertical="center"/>
    </xf>
    <xf numFmtId="43" fontId="79" fillId="0" borderId="0" xfId="0" applyNumberFormat="1" applyFont="1" applyAlignment="1">
      <alignment horizontal="left"/>
    </xf>
    <xf numFmtId="165" fontId="203" fillId="16" borderId="0" xfId="43" applyNumberFormat="1" applyFont="1" applyFill="1" applyAlignment="1">
      <alignment vertical="center"/>
    </xf>
    <xf numFmtId="165" fontId="176" fillId="38" borderId="0" xfId="43" applyNumberFormat="1" applyFont="1" applyFill="1" applyAlignment="1">
      <alignment horizontal="left" vertical="center" indent="2"/>
    </xf>
    <xf numFmtId="0" fontId="122" fillId="0" borderId="0" xfId="0" applyFont="1" applyAlignment="1">
      <alignment horizontal="center" vertical="center" textRotation="255" wrapText="1"/>
    </xf>
    <xf numFmtId="165" fontId="96" fillId="14" borderId="0" xfId="0" applyNumberFormat="1" applyFont="1" applyFill="1" applyAlignment="1">
      <alignment horizontal="left" vertical="center" indent="2"/>
    </xf>
    <xf numFmtId="165" fontId="206" fillId="46" borderId="0" xfId="43" applyNumberFormat="1" applyFont="1" applyFill="1" applyAlignment="1">
      <alignment horizontal="center" vertical="center"/>
    </xf>
    <xf numFmtId="0" fontId="26" fillId="0" borderId="0" xfId="0" applyFont="1" applyAlignment="1">
      <alignment vertical="center"/>
    </xf>
    <xf numFmtId="165" fontId="172" fillId="0" borderId="0" xfId="0" applyNumberFormat="1" applyFont="1"/>
    <xf numFmtId="0" fontId="40" fillId="0" borderId="19" xfId="0" applyFont="1" applyBorder="1" applyAlignment="1">
      <alignment vertical="center" wrapText="1"/>
    </xf>
    <xf numFmtId="0" fontId="40" fillId="0" borderId="19" xfId="0" applyFont="1" applyBorder="1" applyAlignment="1">
      <alignment vertical="center"/>
    </xf>
    <xf numFmtId="0" fontId="67" fillId="0" borderId="19" xfId="0" applyFont="1" applyBorder="1" applyAlignment="1">
      <alignment vertical="center"/>
    </xf>
    <xf numFmtId="0" fontId="59" fillId="0" borderId="0" xfId="0" applyFont="1" applyAlignment="1">
      <alignment horizontal="right" vertical="top"/>
    </xf>
    <xf numFmtId="0" fontId="25" fillId="33" borderId="0" xfId="0" applyFont="1" applyFill="1"/>
    <xf numFmtId="0" fontId="90" fillId="0" borderId="21" xfId="0" applyFont="1" applyBorder="1" applyAlignment="1">
      <alignment vertical="top"/>
    </xf>
    <xf numFmtId="0" fontId="59" fillId="0" borderId="0" xfId="0" applyFont="1" applyAlignment="1">
      <alignment vertical="top"/>
    </xf>
    <xf numFmtId="0" fontId="59" fillId="0" borderId="0" xfId="0" applyFont="1" applyAlignment="1">
      <alignment horizontal="center"/>
    </xf>
    <xf numFmtId="0" fontId="210" fillId="0" borderId="0" xfId="0" applyFont="1" applyAlignment="1">
      <alignment horizontal="left" vertical="center" wrapText="1"/>
    </xf>
    <xf numFmtId="0" fontId="211" fillId="0" borderId="0" xfId="0" applyFont="1" applyAlignment="1">
      <alignment vertical="center"/>
    </xf>
    <xf numFmtId="0" fontId="212" fillId="0" borderId="27" xfId="0" applyFont="1" applyBorder="1" applyAlignment="1">
      <alignment vertical="center" wrapText="1"/>
    </xf>
    <xf numFmtId="0" fontId="211" fillId="0" borderId="27" xfId="0" applyFont="1" applyBorder="1" applyAlignment="1">
      <alignment vertical="center" wrapText="1"/>
    </xf>
    <xf numFmtId="0" fontId="213" fillId="0" borderId="0" xfId="0" applyFont="1" applyAlignment="1">
      <alignment horizontal="left" vertical="top" wrapText="1" indent="1"/>
    </xf>
    <xf numFmtId="0" fontId="211" fillId="0" borderId="0" xfId="0" applyFont="1" applyAlignment="1">
      <alignment vertical="center" wrapText="1"/>
    </xf>
    <xf numFmtId="0" fontId="221" fillId="0" borderId="0" xfId="0" applyFont="1" applyAlignment="1">
      <alignment horizontal="left" vertical="top" wrapText="1" indent="1"/>
    </xf>
    <xf numFmtId="43" fontId="222" fillId="0" borderId="1" xfId="0" applyNumberFormat="1" applyFont="1" applyBorder="1" applyAlignment="1">
      <alignment vertical="center"/>
    </xf>
    <xf numFmtId="43" fontId="222" fillId="10" borderId="9" xfId="0" applyNumberFormat="1" applyFont="1" applyFill="1" applyBorder="1" applyAlignment="1">
      <alignment vertical="center"/>
    </xf>
    <xf numFmtId="43" fontId="222" fillId="0" borderId="9" xfId="0" applyNumberFormat="1" applyFont="1" applyBorder="1" applyAlignment="1">
      <alignment vertical="center"/>
    </xf>
    <xf numFmtId="0" fontId="178" fillId="39" borderId="0" xfId="0" applyFont="1" applyFill="1" applyAlignment="1">
      <alignment horizontal="left" vertical="center" wrapText="1"/>
    </xf>
    <xf numFmtId="0" fontId="224" fillId="0" borderId="0" xfId="0" applyFont="1" applyAlignment="1">
      <alignment vertical="center" wrapText="1"/>
    </xf>
    <xf numFmtId="166" fontId="43" fillId="0" borderId="0" xfId="0" applyNumberFormat="1" applyFont="1"/>
    <xf numFmtId="0" fontId="226" fillId="0" borderId="0" xfId="0" applyFont="1" applyAlignment="1">
      <alignment vertical="center" wrapText="1"/>
    </xf>
    <xf numFmtId="0" fontId="44" fillId="0" borderId="0" xfId="31" applyAlignment="1">
      <alignment vertical="center" wrapText="1"/>
    </xf>
    <xf numFmtId="0" fontId="227" fillId="0" borderId="0" xfId="0" applyFont="1"/>
    <xf numFmtId="0" fontId="226" fillId="0" borderId="0" xfId="0" applyFont="1" applyAlignment="1">
      <alignment vertical="center"/>
    </xf>
    <xf numFmtId="0" fontId="227" fillId="0" borderId="0" xfId="0" applyFont="1" applyAlignment="1">
      <alignment vertical="center"/>
    </xf>
    <xf numFmtId="0" fontId="226" fillId="0" borderId="0" xfId="0" applyFont="1" applyAlignment="1">
      <alignment horizontal="left" vertical="center"/>
    </xf>
    <xf numFmtId="0" fontId="165" fillId="0" borderId="0" xfId="0" applyFont="1"/>
    <xf numFmtId="0" fontId="21" fillId="0" borderId="0" xfId="0" applyFont="1" applyAlignment="1">
      <alignment vertical="center" wrapText="1"/>
    </xf>
    <xf numFmtId="0" fontId="21" fillId="0" borderId="0" xfId="0" applyFont="1" applyAlignment="1">
      <alignment vertical="top"/>
    </xf>
    <xf numFmtId="0" fontId="71" fillId="0" borderId="0" xfId="0" applyFont="1" applyAlignment="1">
      <alignment vertical="center"/>
    </xf>
    <xf numFmtId="0" fontId="227" fillId="0" borderId="0" xfId="0" applyFont="1" applyAlignment="1">
      <alignment vertical="center" wrapText="1"/>
    </xf>
    <xf numFmtId="0" fontId="59" fillId="10" borderId="0" xfId="0" applyFont="1" applyFill="1"/>
    <xf numFmtId="0" fontId="229" fillId="0" borderId="0" xfId="0" applyFont="1" applyAlignment="1">
      <alignment horizontal="center" vertical="center" wrapText="1"/>
    </xf>
    <xf numFmtId="0" fontId="26" fillId="0" borderId="0" xfId="0" applyFont="1"/>
    <xf numFmtId="0" fontId="93" fillId="0" borderId="0" xfId="0" applyFont="1"/>
    <xf numFmtId="0" fontId="90" fillId="0" borderId="0" xfId="0" applyFont="1" applyAlignment="1">
      <alignment horizontal="left" vertical="center"/>
    </xf>
    <xf numFmtId="0" fontId="168" fillId="0" borderId="0" xfId="0" applyFont="1"/>
    <xf numFmtId="165" fontId="206" fillId="10" borderId="0" xfId="43" applyNumberFormat="1" applyFont="1" applyFill="1" applyAlignment="1"/>
    <xf numFmtId="0" fontId="170" fillId="0" borderId="0" xfId="0" applyFont="1" applyAlignment="1">
      <alignment horizontal="center"/>
    </xf>
    <xf numFmtId="0" fontId="205" fillId="0" borderId="0" xfId="0" applyFont="1" applyAlignment="1">
      <alignment horizontal="center" vertical="center"/>
    </xf>
    <xf numFmtId="0" fontId="229" fillId="0" borderId="0" xfId="0" applyFont="1" applyAlignment="1">
      <alignment horizontal="center" vertical="center"/>
    </xf>
    <xf numFmtId="165" fontId="181" fillId="9" borderId="0" xfId="0" applyNumberFormat="1" applyFont="1" applyFill="1"/>
    <xf numFmtId="165" fontId="172" fillId="10" borderId="0" xfId="0" applyNumberFormat="1" applyFont="1" applyFill="1"/>
    <xf numFmtId="0" fontId="59" fillId="48" borderId="0" xfId="0" applyFont="1" applyFill="1"/>
    <xf numFmtId="165" fontId="0" fillId="0" borderId="0" xfId="0" applyNumberFormat="1"/>
    <xf numFmtId="0" fontId="229" fillId="0" borderId="0" xfId="0" applyFont="1" applyAlignment="1">
      <alignment horizontal="center" wrapText="1"/>
    </xf>
    <xf numFmtId="0" fontId="229" fillId="32" borderId="0" xfId="0" applyFont="1" applyFill="1" applyAlignment="1">
      <alignment horizontal="center" vertical="center" wrapText="1"/>
    </xf>
    <xf numFmtId="0" fontId="229" fillId="32" borderId="0" xfId="0" applyFont="1" applyFill="1" applyAlignment="1">
      <alignment horizontal="center" vertical="center"/>
    </xf>
    <xf numFmtId="0" fontId="229" fillId="22" borderId="0" xfId="0" applyFont="1" applyFill="1" applyAlignment="1">
      <alignment horizontal="center" vertical="center"/>
    </xf>
    <xf numFmtId="0" fontId="231" fillId="0" borderId="0" xfId="0" applyFont="1" applyAlignment="1">
      <alignment vertical="center"/>
    </xf>
    <xf numFmtId="0" fontId="232" fillId="0" borderId="0" xfId="0" applyFont="1" applyAlignment="1">
      <alignment vertical="center" wrapText="1"/>
    </xf>
    <xf numFmtId="0" fontId="232" fillId="49" borderId="0" xfId="0" applyFont="1" applyFill="1" applyAlignment="1">
      <alignment vertical="center" wrapText="1"/>
    </xf>
    <xf numFmtId="0" fontId="233" fillId="0" borderId="0" xfId="0" applyFont="1" applyAlignment="1">
      <alignment horizontal="right" vertical="center" indent="6"/>
    </xf>
    <xf numFmtId="0" fontId="232" fillId="49" borderId="0" xfId="0" quotePrefix="1" applyFont="1" applyFill="1" applyAlignment="1">
      <alignment vertical="center"/>
    </xf>
    <xf numFmtId="0" fontId="232" fillId="0" borderId="0" xfId="0" applyFont="1" applyAlignment="1">
      <alignment vertical="center"/>
    </xf>
    <xf numFmtId="0" fontId="225" fillId="0" borderId="0" xfId="0" applyFont="1" applyAlignment="1">
      <alignment vertical="center"/>
    </xf>
    <xf numFmtId="0" fontId="232" fillId="0" borderId="0" xfId="0" quotePrefix="1" applyFont="1" applyAlignment="1">
      <alignment vertical="center"/>
    </xf>
    <xf numFmtId="0" fontId="0" fillId="50" borderId="0" xfId="0" applyFill="1" applyAlignment="1">
      <alignment vertical="center"/>
    </xf>
    <xf numFmtId="0" fontId="0" fillId="51" borderId="0" xfId="0" applyFill="1"/>
    <xf numFmtId="0" fontId="225" fillId="0" borderId="0" xfId="0" applyFont="1" applyAlignment="1">
      <alignment vertical="center" wrapText="1"/>
    </xf>
    <xf numFmtId="0" fontId="0" fillId="24" borderId="0" xfId="0" applyFill="1"/>
    <xf numFmtId="0" fontId="0" fillId="52" borderId="0" xfId="0" applyFill="1" applyAlignment="1">
      <alignment vertical="center"/>
    </xf>
    <xf numFmtId="0" fontId="0" fillId="53" borderId="0" xfId="0" applyFill="1" applyAlignment="1">
      <alignment vertical="center"/>
    </xf>
    <xf numFmtId="0" fontId="234" fillId="0" borderId="0" xfId="0" applyFont="1" applyAlignment="1">
      <alignment vertical="center" wrapText="1"/>
    </xf>
    <xf numFmtId="0" fontId="0" fillId="24" borderId="0" xfId="0" applyFill="1" applyAlignment="1">
      <alignment vertical="center"/>
    </xf>
    <xf numFmtId="0" fontId="0" fillId="51" borderId="0" xfId="0" applyFill="1" applyAlignment="1">
      <alignment vertical="center"/>
    </xf>
    <xf numFmtId="0" fontId="0" fillId="0" borderId="0" xfId="0" applyAlignment="1">
      <alignment vertical="center" wrapText="1"/>
    </xf>
    <xf numFmtId="0" fontId="0" fillId="0" borderId="0" xfId="0" applyAlignment="1">
      <alignment horizontal="left" vertical="center"/>
    </xf>
    <xf numFmtId="0" fontId="235" fillId="0" borderId="0" xfId="0" applyFont="1"/>
    <xf numFmtId="0" fontId="43" fillId="32" borderId="0" xfId="0" applyFont="1" applyFill="1" applyAlignment="1">
      <alignment vertical="center"/>
    </xf>
    <xf numFmtId="15" fontId="43" fillId="0" borderId="0" xfId="0" applyNumberFormat="1" applyFont="1"/>
    <xf numFmtId="0" fontId="43" fillId="0" borderId="6" xfId="0" applyFont="1" applyBorder="1" applyAlignment="1">
      <alignment horizontal="left" vertical="center"/>
    </xf>
    <xf numFmtId="0" fontId="43" fillId="13" borderId="6" xfId="0" applyFont="1" applyFill="1" applyBorder="1" applyAlignment="1">
      <alignment horizontal="left" vertical="center"/>
    </xf>
    <xf numFmtId="0" fontId="236" fillId="0" borderId="0" xfId="0" applyFont="1" applyAlignment="1">
      <alignment vertical="center"/>
    </xf>
    <xf numFmtId="0" fontId="228" fillId="0" borderId="0" xfId="0" applyFont="1" applyAlignment="1">
      <alignment horizontal="left" vertical="center"/>
    </xf>
    <xf numFmtId="0" fontId="228" fillId="32" borderId="0" xfId="0" applyFont="1" applyFill="1" applyAlignment="1">
      <alignment horizontal="left" vertical="center"/>
    </xf>
    <xf numFmtId="0" fontId="44" fillId="0" borderId="0" xfId="31"/>
    <xf numFmtId="0" fontId="228" fillId="39" borderId="0" xfId="0" applyFont="1" applyFill="1" applyAlignment="1">
      <alignment horizontal="center" vertical="center"/>
    </xf>
    <xf numFmtId="0" fontId="0" fillId="0" borderId="0" xfId="0" quotePrefix="1"/>
    <xf numFmtId="0" fontId="22" fillId="0" borderId="16" xfId="0" applyFont="1" applyBorder="1" applyAlignment="1">
      <alignment horizontal="center"/>
    </xf>
    <xf numFmtId="165" fontId="0" fillId="32" borderId="0" xfId="0" applyNumberFormat="1" applyFill="1"/>
    <xf numFmtId="0" fontId="22" fillId="9" borderId="16" xfId="0" applyFont="1" applyFill="1" applyBorder="1" applyAlignment="1">
      <alignment horizontal="center"/>
    </xf>
    <xf numFmtId="0" fontId="22" fillId="9" borderId="17" xfId="0" applyFont="1" applyFill="1" applyBorder="1" applyAlignment="1">
      <alignment horizontal="center"/>
    </xf>
    <xf numFmtId="0" fontId="41" fillId="0" borderId="0" xfId="0" applyFont="1" applyAlignment="1">
      <alignment horizontal="left" vertical="center"/>
    </xf>
    <xf numFmtId="0" fontId="228" fillId="41" borderId="0" xfId="0" applyFont="1" applyFill="1" applyAlignment="1">
      <alignment horizontal="left" vertical="center" indent="2"/>
    </xf>
    <xf numFmtId="0" fontId="228" fillId="41" borderId="0" xfId="0" applyFont="1" applyFill="1" applyAlignment="1">
      <alignment horizontal="left" vertical="center"/>
    </xf>
    <xf numFmtId="167" fontId="22" fillId="0" borderId="0" xfId="0" applyNumberFormat="1" applyFont="1" applyAlignment="1">
      <alignment horizontal="center"/>
    </xf>
    <xf numFmtId="0" fontId="0" fillId="41" borderId="0" xfId="0" applyFill="1" applyAlignment="1">
      <alignment horizontal="left" vertical="center" indent="2"/>
    </xf>
    <xf numFmtId="0" fontId="228" fillId="41" borderId="0" xfId="0" applyFont="1" applyFill="1" applyAlignment="1">
      <alignment horizontal="center" vertical="center"/>
    </xf>
    <xf numFmtId="165" fontId="0" fillId="0" borderId="0" xfId="0" applyNumberFormat="1" applyAlignment="1">
      <alignment horizontal="left"/>
    </xf>
    <xf numFmtId="165" fontId="43" fillId="0" borderId="0" xfId="0" applyNumberFormat="1" applyFont="1" applyAlignment="1">
      <alignment horizontal="left"/>
    </xf>
    <xf numFmtId="0" fontId="21" fillId="0" borderId="0" xfId="0" applyFont="1" applyAlignment="1">
      <alignment horizontal="left" vertical="center"/>
    </xf>
    <xf numFmtId="0" fontId="125" fillId="0" borderId="0" xfId="0" applyFont="1"/>
    <xf numFmtId="0" fontId="202" fillId="0" borderId="19" xfId="0" applyFont="1" applyBorder="1" applyAlignment="1">
      <alignment horizontal="left"/>
    </xf>
    <xf numFmtId="0" fontId="237" fillId="0" borderId="0" xfId="0" applyFont="1"/>
    <xf numFmtId="0" fontId="125" fillId="0" borderId="19" xfId="0" applyFont="1" applyBorder="1" applyAlignment="1">
      <alignment horizontal="left"/>
    </xf>
    <xf numFmtId="0" fontId="9" fillId="0" borderId="28" xfId="0" applyFont="1" applyBorder="1" applyAlignment="1">
      <alignment horizontal="center"/>
    </xf>
    <xf numFmtId="0" fontId="9" fillId="54" borderId="0" xfId="0" applyFont="1" applyFill="1" applyAlignment="1">
      <alignment horizontal="center"/>
    </xf>
    <xf numFmtId="0" fontId="167" fillId="54" borderId="0" xfId="0" applyFont="1" applyFill="1"/>
    <xf numFmtId="0" fontId="86" fillId="54" borderId="0" xfId="0" applyFont="1" applyFill="1"/>
    <xf numFmtId="0" fontId="0" fillId="55" borderId="0" xfId="0" applyFill="1"/>
    <xf numFmtId="0" fontId="86" fillId="55" borderId="0" xfId="0" applyFont="1" applyFill="1"/>
    <xf numFmtId="0" fontId="168" fillId="38" borderId="0" xfId="0" applyFont="1" applyFill="1"/>
    <xf numFmtId="0" fontId="102" fillId="0" borderId="0" xfId="0" applyFont="1"/>
    <xf numFmtId="0" fontId="23" fillId="32" borderId="0" xfId="0" applyFont="1" applyFill="1"/>
    <xf numFmtId="0" fontId="102" fillId="38" borderId="0" xfId="0" applyFont="1" applyFill="1"/>
    <xf numFmtId="0" fontId="102" fillId="55" borderId="0" xfId="0" applyFont="1" applyFill="1"/>
    <xf numFmtId="0" fontId="43" fillId="38" borderId="0" xfId="0" applyFont="1" applyFill="1" applyAlignment="1">
      <alignment horizontal="left" indent="9"/>
    </xf>
    <xf numFmtId="0" fontId="43" fillId="55" borderId="0" xfId="0" applyFont="1" applyFill="1" applyAlignment="1">
      <alignment horizontal="left" indent="9"/>
    </xf>
    <xf numFmtId="0" fontId="21" fillId="32" borderId="0" xfId="0" applyFont="1" applyFill="1" applyAlignment="1">
      <alignment horizontal="left" indent="1"/>
    </xf>
    <xf numFmtId="0" fontId="43" fillId="38" borderId="0" xfId="0" applyFont="1" applyFill="1"/>
    <xf numFmtId="0" fontId="21" fillId="38" borderId="0" xfId="0" applyFont="1" applyFill="1" applyAlignment="1">
      <alignment horizontal="left" indent="1"/>
    </xf>
    <xf numFmtId="0" fontId="102" fillId="0" borderId="0" xfId="0" applyFont="1" applyAlignment="1">
      <alignment horizontal="left"/>
    </xf>
    <xf numFmtId="0" fontId="21" fillId="0" borderId="0" xfId="0" applyFont="1" applyAlignment="1">
      <alignment horizontal="left"/>
    </xf>
    <xf numFmtId="0" fontId="86" fillId="38" borderId="0" xfId="0" applyFont="1" applyFill="1"/>
    <xf numFmtId="0" fontId="228" fillId="0" borderId="0" xfId="0" applyFont="1" applyAlignment="1">
      <alignment vertical="center" wrapText="1"/>
    </xf>
    <xf numFmtId="0" fontId="228" fillId="0" borderId="0" xfId="0" applyFont="1" applyAlignment="1">
      <alignment vertical="center"/>
    </xf>
    <xf numFmtId="0" fontId="130" fillId="22" borderId="0" xfId="0" applyFont="1" applyFill="1" applyAlignment="1">
      <alignment horizontal="left"/>
    </xf>
    <xf numFmtId="167" fontId="0" fillId="0" borderId="0" xfId="0" applyNumberFormat="1" applyAlignment="1">
      <alignment horizontal="left"/>
    </xf>
    <xf numFmtId="167" fontId="228" fillId="0" borderId="0" xfId="0" applyNumberFormat="1" applyFont="1" applyAlignment="1">
      <alignment horizontal="left" vertical="center"/>
    </xf>
    <xf numFmtId="0" fontId="114" fillId="0" borderId="0" xfId="0" applyFont="1"/>
    <xf numFmtId="0" fontId="130" fillId="22" borderId="0" xfId="0" applyFont="1" applyFill="1" applyAlignment="1">
      <alignment horizontal="left" vertical="center"/>
    </xf>
    <xf numFmtId="167" fontId="22" fillId="0" borderId="0" xfId="0" quotePrefix="1" applyNumberFormat="1" applyFont="1" applyAlignment="1">
      <alignment horizontal="center"/>
    </xf>
    <xf numFmtId="0" fontId="44" fillId="0" borderId="0" xfId="31" applyAlignment="1">
      <alignment horizontal="center"/>
    </xf>
    <xf numFmtId="0" fontId="238" fillId="0" borderId="0" xfId="0" applyFont="1"/>
    <xf numFmtId="0" fontId="239" fillId="0" borderId="0" xfId="0" applyFont="1"/>
    <xf numFmtId="0" fontId="52" fillId="43" borderId="0" xfId="0" applyFont="1" applyFill="1"/>
    <xf numFmtId="164" fontId="56" fillId="0" borderId="0" xfId="0" applyNumberFormat="1" applyFont="1" applyAlignment="1">
      <alignment horizontal="left" vertical="center"/>
    </xf>
    <xf numFmtId="14" fontId="56" fillId="0" borderId="0" xfId="0" applyNumberFormat="1" applyFont="1" applyAlignment="1">
      <alignment horizontal="left" vertical="center"/>
    </xf>
    <xf numFmtId="166" fontId="56" fillId="0" borderId="0" xfId="0" applyNumberFormat="1" applyFont="1" applyAlignment="1">
      <alignment horizontal="left" vertical="center"/>
    </xf>
    <xf numFmtId="0" fontId="11" fillId="0" borderId="0" xfId="21" applyFill="1" applyAlignment="1" applyProtection="1">
      <alignment vertical="center"/>
    </xf>
    <xf numFmtId="0" fontId="56" fillId="0" borderId="0" xfId="0" quotePrefix="1" applyFont="1" applyAlignment="1">
      <alignment horizontal="left" vertical="center"/>
    </xf>
    <xf numFmtId="0" fontId="0" fillId="0" borderId="0" xfId="0" applyAlignment="1">
      <alignment horizontal="left" indent="1"/>
    </xf>
    <xf numFmtId="165" fontId="0" fillId="0" borderId="0" xfId="0" applyNumberFormat="1" applyAlignment="1">
      <alignment horizontal="left" indent="1"/>
    </xf>
    <xf numFmtId="0" fontId="114" fillId="44" borderId="0" xfId="0" applyFont="1" applyFill="1" applyAlignment="1">
      <alignment horizontal="center"/>
    </xf>
    <xf numFmtId="167" fontId="22" fillId="9" borderId="0" xfId="0" applyNumberFormat="1" applyFont="1" applyFill="1"/>
    <xf numFmtId="167" fontId="22" fillId="0" borderId="0" xfId="0" applyNumberFormat="1" applyFont="1"/>
    <xf numFmtId="0" fontId="22" fillId="10" borderId="0" xfId="0" applyFont="1" applyFill="1" applyAlignment="1">
      <alignment horizontal="left"/>
    </xf>
    <xf numFmtId="167" fontId="22" fillId="9" borderId="17" xfId="0" applyNumberFormat="1" applyFont="1" applyFill="1" applyBorder="1" applyAlignment="1">
      <alignment horizontal="left"/>
    </xf>
    <xf numFmtId="167" fontId="22" fillId="0" borderId="17" xfId="0" applyNumberFormat="1" applyFont="1" applyBorder="1" applyAlignment="1">
      <alignment horizontal="left"/>
    </xf>
    <xf numFmtId="0" fontId="228" fillId="53" borderId="0" xfId="0" applyFont="1" applyFill="1" applyAlignment="1">
      <alignment horizontal="left" vertical="center"/>
    </xf>
    <xf numFmtId="0" fontId="130" fillId="0" borderId="0" xfId="0" applyFont="1" applyAlignment="1">
      <alignment horizontal="left"/>
    </xf>
    <xf numFmtId="0" fontId="228" fillId="0" borderId="0" xfId="0" applyFont="1"/>
    <xf numFmtId="0" fontId="43" fillId="32" borderId="0" xfId="0" applyFont="1" applyFill="1"/>
    <xf numFmtId="0" fontId="0" fillId="0" borderId="0" xfId="0" applyAlignment="1">
      <alignment horizontal="right"/>
    </xf>
    <xf numFmtId="0" fontId="0" fillId="44" borderId="0" xfId="0" applyFill="1" applyAlignment="1">
      <alignment vertical="center"/>
    </xf>
    <xf numFmtId="167" fontId="22" fillId="0" borderId="0" xfId="0" applyNumberFormat="1" applyFont="1" applyAlignment="1">
      <alignment horizontal="left"/>
    </xf>
    <xf numFmtId="0" fontId="22" fillId="0" borderId="17" xfId="0" applyFont="1" applyBorder="1" applyAlignment="1">
      <alignment horizontal="left"/>
    </xf>
    <xf numFmtId="0" fontId="22" fillId="9" borderId="17" xfId="0" applyFont="1" applyFill="1" applyBorder="1" applyAlignment="1">
      <alignment horizontal="left"/>
    </xf>
    <xf numFmtId="0" fontId="228" fillId="0" borderId="0" xfId="0" applyFont="1" applyAlignment="1">
      <alignment horizontal="left" vertical="center" indent="2"/>
    </xf>
    <xf numFmtId="0" fontId="228" fillId="37" borderId="0" xfId="0" applyFont="1" applyFill="1" applyAlignment="1">
      <alignment horizontal="left" vertical="center"/>
    </xf>
    <xf numFmtId="165" fontId="237" fillId="0" borderId="0" xfId="0" applyNumberFormat="1" applyFont="1"/>
    <xf numFmtId="165" fontId="49" fillId="0" borderId="0" xfId="0" applyNumberFormat="1" applyFont="1"/>
    <xf numFmtId="0" fontId="49" fillId="10" borderId="0" xfId="0" applyFont="1" applyFill="1"/>
    <xf numFmtId="0" fontId="49" fillId="0" borderId="0" xfId="0" applyFont="1" applyAlignment="1">
      <alignment horizontal="left" indent="1"/>
    </xf>
    <xf numFmtId="0" fontId="21" fillId="32" borderId="0" xfId="0" applyFont="1" applyFill="1"/>
    <xf numFmtId="0" fontId="85" fillId="32" borderId="0" xfId="0" applyFont="1" applyFill="1" applyAlignment="1">
      <alignment horizontal="center" vertical="center"/>
    </xf>
    <xf numFmtId="0" fontId="85" fillId="32" borderId="0" xfId="0" applyFont="1" applyFill="1" applyAlignment="1">
      <alignment horizontal="center"/>
    </xf>
    <xf numFmtId="165" fontId="82" fillId="32" borderId="0" xfId="43" applyNumberFormat="1" applyFont="1" applyFill="1" applyAlignment="1">
      <alignment vertical="center"/>
    </xf>
    <xf numFmtId="165" fontId="99" fillId="32" borderId="0" xfId="43" applyNumberFormat="1" applyFont="1" applyFill="1" applyAlignment="1"/>
    <xf numFmtId="167" fontId="0" fillId="0" borderId="0" xfId="0" applyNumberFormat="1" applyAlignment="1">
      <alignment horizontal="center"/>
    </xf>
    <xf numFmtId="0" fontId="242" fillId="0" borderId="0" xfId="0" applyFont="1" applyAlignment="1">
      <alignment vertical="center"/>
    </xf>
    <xf numFmtId="165" fontId="172" fillId="0" borderId="0" xfId="0" applyNumberFormat="1" applyFont="1" applyAlignment="1">
      <alignment horizontal="center"/>
    </xf>
    <xf numFmtId="167" fontId="172" fillId="0" borderId="0" xfId="0" applyNumberFormat="1" applyFont="1"/>
    <xf numFmtId="0" fontId="0" fillId="0" borderId="0" xfId="0" quotePrefix="1" applyAlignment="1">
      <alignment vertical="center"/>
    </xf>
    <xf numFmtId="168" fontId="0" fillId="0" borderId="0" xfId="0" applyNumberFormat="1"/>
    <xf numFmtId="168" fontId="43" fillId="0" borderId="0" xfId="0" applyNumberFormat="1" applyFont="1"/>
    <xf numFmtId="0" fontId="170" fillId="0" borderId="0" xfId="0" applyFont="1" applyAlignment="1">
      <alignment vertical="top" wrapText="1"/>
    </xf>
    <xf numFmtId="0" fontId="170" fillId="0" borderId="0" xfId="0" applyFont="1" applyAlignment="1">
      <alignment vertical="center" wrapText="1"/>
    </xf>
    <xf numFmtId="0" fontId="110" fillId="0" borderId="0" xfId="0" applyFont="1"/>
    <xf numFmtId="0" fontId="59" fillId="10" borderId="0" xfId="0" applyFont="1" applyFill="1" applyAlignment="1">
      <alignment horizontal="center"/>
    </xf>
    <xf numFmtId="165" fontId="206" fillId="10" borderId="0" xfId="43" applyNumberFormat="1" applyFont="1" applyFill="1" applyAlignment="1">
      <alignment horizontal="left" vertical="center"/>
    </xf>
    <xf numFmtId="0" fontId="25" fillId="33" borderId="0" xfId="0" applyFont="1" applyFill="1" applyAlignment="1">
      <alignment horizontal="left" vertical="center" indent="3"/>
    </xf>
    <xf numFmtId="0" fontId="25" fillId="20" borderId="0" xfId="0" applyFont="1" applyFill="1" applyAlignment="1">
      <alignment horizontal="left" vertical="center" indent="3"/>
    </xf>
    <xf numFmtId="0" fontId="230" fillId="10" borderId="0" xfId="0" applyFont="1" applyFill="1" applyAlignment="1">
      <alignment vertical="center"/>
    </xf>
    <xf numFmtId="0" fontId="243" fillId="0" borderId="0" xfId="0" applyFont="1"/>
    <xf numFmtId="0" fontId="245" fillId="0" borderId="0" xfId="0" applyFont="1" applyAlignment="1">
      <alignment horizontal="left"/>
    </xf>
    <xf numFmtId="43" fontId="59" fillId="22" borderId="31" xfId="0" applyNumberFormat="1" applyFont="1" applyFill="1" applyBorder="1" applyAlignment="1">
      <alignment wrapText="1"/>
    </xf>
    <xf numFmtId="0" fontId="0" fillId="0" borderId="0" xfId="0" quotePrefix="1" applyAlignment="1">
      <alignment vertical="center" wrapText="1"/>
    </xf>
    <xf numFmtId="0" fontId="183" fillId="0" borderId="0" xfId="0" applyFont="1"/>
    <xf numFmtId="43" fontId="59" fillId="22" borderId="31" xfId="0" applyNumberFormat="1" applyFont="1" applyFill="1" applyBorder="1"/>
    <xf numFmtId="0" fontId="241" fillId="0" borderId="0" xfId="0" applyFont="1" applyAlignment="1">
      <alignment vertical="center" wrapText="1"/>
    </xf>
    <xf numFmtId="0" fontId="0" fillId="44" borderId="0" xfId="0" applyFill="1" applyAlignment="1">
      <alignment vertical="center" wrapText="1"/>
    </xf>
    <xf numFmtId="0" fontId="22" fillId="0" borderId="0" xfId="0" applyFont="1" applyAlignment="1">
      <alignment horizontal="center" vertical="center"/>
    </xf>
    <xf numFmtId="0" fontId="183" fillId="0" borderId="0" xfId="0" quotePrefix="1" applyFont="1"/>
    <xf numFmtId="0" fontId="114" fillId="46" borderId="0" xfId="0" applyFont="1" applyFill="1"/>
    <xf numFmtId="0" fontId="4" fillId="46" borderId="0" xfId="0" applyFont="1" applyFill="1"/>
    <xf numFmtId="0" fontId="90" fillId="0" borderId="0" xfId="0" applyFont="1" applyAlignment="1">
      <alignment vertical="top"/>
    </xf>
    <xf numFmtId="0" fontId="0" fillId="32" borderId="0" xfId="0" applyFill="1" applyAlignment="1">
      <alignment wrapText="1"/>
    </xf>
    <xf numFmtId="0" fontId="136" fillId="0" borderId="0" xfId="0" applyFont="1" applyAlignment="1">
      <alignment wrapText="1"/>
    </xf>
    <xf numFmtId="14" fontId="126" fillId="0" borderId="0" xfId="45" applyNumberFormat="1" applyFont="1" applyFill="1" applyAlignment="1">
      <alignment horizontal="left" vertical="center"/>
    </xf>
    <xf numFmtId="0" fontId="247" fillId="0" borderId="0" xfId="0" applyFont="1" applyAlignment="1">
      <alignment vertical="center"/>
    </xf>
    <xf numFmtId="0" fontId="130" fillId="0" borderId="0" xfId="0" applyFont="1" applyAlignment="1">
      <alignment horizontal="left" vertical="center" indent="2"/>
    </xf>
    <xf numFmtId="0" fontId="128" fillId="0" borderId="0" xfId="0" applyFont="1" applyAlignment="1">
      <alignment horizontal="left" vertical="center" indent="2"/>
    </xf>
    <xf numFmtId="0" fontId="22" fillId="0" borderId="0" xfId="0" applyFont="1" applyAlignment="1">
      <alignment horizontal="left" indent="2"/>
    </xf>
    <xf numFmtId="0" fontId="0" fillId="0" borderId="0" xfId="0" quotePrefix="1" applyAlignment="1">
      <alignment horizontal="center"/>
    </xf>
    <xf numFmtId="0" fontId="223" fillId="22" borderId="0" xfId="0" applyFont="1" applyFill="1" applyAlignment="1">
      <alignment horizontal="left" vertical="center"/>
    </xf>
    <xf numFmtId="0" fontId="248" fillId="0" borderId="0" xfId="0" applyFont="1" applyAlignment="1">
      <alignment horizontal="left"/>
    </xf>
    <xf numFmtId="0" fontId="185" fillId="0" borderId="0" xfId="0" applyFont="1"/>
    <xf numFmtId="14" fontId="0" fillId="0" borderId="0" xfId="0" applyNumberFormat="1" applyAlignment="1">
      <alignment horizontal="right"/>
    </xf>
    <xf numFmtId="0" fontId="223" fillId="14" borderId="0" xfId="0" applyFont="1" applyFill="1" applyAlignment="1">
      <alignment vertical="center"/>
    </xf>
    <xf numFmtId="0" fontId="248" fillId="0" borderId="0" xfId="0" applyFont="1" applyAlignment="1">
      <alignment horizontal="center"/>
    </xf>
    <xf numFmtId="43" fontId="9" fillId="3" borderId="9" xfId="22" applyNumberFormat="1" applyFont="1" applyBorder="1"/>
    <xf numFmtId="43" fontId="222" fillId="3" borderId="33" xfId="22" applyNumberFormat="1" applyFont="1" applyBorder="1" applyAlignment="1">
      <alignment wrapText="1"/>
    </xf>
    <xf numFmtId="0" fontId="9" fillId="0" borderId="34" xfId="0" applyFont="1" applyBorder="1"/>
    <xf numFmtId="43" fontId="9" fillId="3" borderId="1" xfId="22" applyNumberFormat="1" applyFont="1" applyAlignment="1">
      <alignment horizontal="center" wrapText="1"/>
    </xf>
    <xf numFmtId="43" fontId="9" fillId="3" borderId="1" xfId="22" quotePrefix="1" applyNumberFormat="1" applyFont="1" applyAlignment="1">
      <alignment horizontal="left"/>
    </xf>
    <xf numFmtId="43" fontId="9" fillId="3" borderId="1" xfId="22" quotePrefix="1" applyNumberFormat="1" applyFont="1" applyAlignment="1">
      <alignment horizontal="center"/>
    </xf>
    <xf numFmtId="43" fontId="116" fillId="0" borderId="1" xfId="22" applyNumberFormat="1" applyFont="1" applyFill="1" applyAlignment="1">
      <alignment horizontal="left"/>
    </xf>
    <xf numFmtId="43" fontId="116" fillId="0" borderId="1" xfId="22" applyNumberFormat="1" applyFont="1" applyFill="1"/>
    <xf numFmtId="0" fontId="0" fillId="0" borderId="19" xfId="0" applyBorder="1"/>
    <xf numFmtId="43" fontId="118" fillId="3" borderId="1" xfId="22" applyNumberFormat="1" applyFont="1" applyAlignment="1">
      <alignment horizontal="center" vertical="center"/>
    </xf>
    <xf numFmtId="43" fontId="116" fillId="0" borderId="1" xfId="22" quotePrefix="1" applyNumberFormat="1" applyFont="1" applyFill="1" applyAlignment="1">
      <alignment horizontal="center"/>
    </xf>
    <xf numFmtId="165" fontId="9" fillId="49" borderId="1" xfId="22" applyNumberFormat="1" applyFont="1" applyFill="1" applyAlignment="1">
      <alignment vertical="top"/>
    </xf>
    <xf numFmtId="9" fontId="250" fillId="0" borderId="1" xfId="22" quotePrefix="1" applyNumberFormat="1" applyFont="1" applyFill="1" applyAlignment="1">
      <alignment horizontal="center"/>
    </xf>
    <xf numFmtId="165" fontId="9" fillId="0" borderId="1" xfId="22" applyNumberFormat="1" applyFont="1" applyFill="1" applyAlignment="1">
      <alignment vertical="top"/>
    </xf>
    <xf numFmtId="9" fontId="250" fillId="49" borderId="10" xfId="0" applyNumberFormat="1" applyFont="1" applyFill="1" applyBorder="1" applyAlignment="1">
      <alignment horizontal="center"/>
    </xf>
    <xf numFmtId="9" fontId="250" fillId="49" borderId="0" xfId="0" applyNumberFormat="1" applyFont="1" applyFill="1" applyAlignment="1">
      <alignment horizontal="center"/>
    </xf>
    <xf numFmtId="165" fontId="9" fillId="3" borderId="1" xfId="22" applyNumberFormat="1" applyFont="1" applyAlignment="1">
      <alignment vertical="top"/>
    </xf>
    <xf numFmtId="9" fontId="250" fillId="0" borderId="10" xfId="0" applyNumberFormat="1" applyFont="1" applyBorder="1" applyAlignment="1">
      <alignment horizontal="center"/>
    </xf>
    <xf numFmtId="9" fontId="250" fillId="0" borderId="0" xfId="0" applyNumberFormat="1" applyFont="1" applyAlignment="1">
      <alignment horizontal="center"/>
    </xf>
    <xf numFmtId="9" fontId="49" fillId="44" borderId="0" xfId="47" applyFont="1" applyFill="1" applyAlignment="1">
      <alignment horizontal="center"/>
    </xf>
    <xf numFmtId="9" fontId="252" fillId="44" borderId="0" xfId="47" applyFont="1" applyFill="1" applyAlignment="1">
      <alignment horizontal="center"/>
    </xf>
    <xf numFmtId="169" fontId="4" fillId="0" borderId="0" xfId="48" applyNumberFormat="1" applyFont="1" applyFill="1"/>
    <xf numFmtId="9" fontId="126" fillId="0" borderId="0" xfId="47" applyFont="1" applyAlignment="1">
      <alignment horizontal="center"/>
    </xf>
    <xf numFmtId="169" fontId="4" fillId="32" borderId="0" xfId="0" applyNumberFormat="1" applyFont="1" applyFill="1"/>
    <xf numFmtId="169" fontId="4" fillId="0" borderId="0" xfId="0" applyNumberFormat="1" applyFont="1"/>
    <xf numFmtId="169" fontId="253" fillId="0" borderId="0" xfId="48" applyNumberFormat="1" applyFont="1" applyAlignment="1">
      <alignment horizontal="center"/>
    </xf>
    <xf numFmtId="169" fontId="4" fillId="32" borderId="0" xfId="48" applyNumberFormat="1" applyFont="1" applyFill="1"/>
    <xf numFmtId="169" fontId="4" fillId="44" borderId="0" xfId="0" applyNumberFormat="1" applyFont="1" applyFill="1"/>
    <xf numFmtId="0" fontId="254" fillId="0" borderId="20" xfId="0" applyFont="1" applyBorder="1" applyAlignment="1">
      <alignment horizontal="left" vertical="center"/>
    </xf>
    <xf numFmtId="169" fontId="9" fillId="0" borderId="0" xfId="48" applyNumberFormat="1" applyFont="1" applyFill="1"/>
    <xf numFmtId="169" fontId="9" fillId="32" borderId="0" xfId="0" applyNumberFormat="1" applyFont="1" applyFill="1"/>
    <xf numFmtId="169" fontId="9" fillId="0" borderId="0" xfId="0" applyNumberFormat="1" applyFont="1"/>
    <xf numFmtId="0" fontId="49" fillId="0" borderId="0" xfId="0" applyFont="1"/>
    <xf numFmtId="169" fontId="49" fillId="32" borderId="0" xfId="0" applyNumberFormat="1" applyFont="1" applyFill="1"/>
    <xf numFmtId="9" fontId="255" fillId="0" borderId="0" xfId="47" applyFont="1" applyAlignment="1">
      <alignment horizontal="center"/>
    </xf>
    <xf numFmtId="169" fontId="49" fillId="0" borderId="0" xfId="0" applyNumberFormat="1" applyFont="1"/>
    <xf numFmtId="169" fontId="49" fillId="44" borderId="0" xfId="0" applyNumberFormat="1" applyFont="1" applyFill="1"/>
    <xf numFmtId="169" fontId="0" fillId="0" borderId="0" xfId="0" applyNumberFormat="1"/>
    <xf numFmtId="0" fontId="254" fillId="0" borderId="20" xfId="0" applyFont="1" applyBorder="1" applyAlignment="1">
      <alignment horizontal="left"/>
    </xf>
    <xf numFmtId="169" fontId="9" fillId="0" borderId="0" xfId="48" applyNumberFormat="1" applyFont="1"/>
    <xf numFmtId="169" fontId="0" fillId="0" borderId="0" xfId="48" applyNumberFormat="1" applyFont="1"/>
    <xf numFmtId="169" fontId="226" fillId="0" borderId="0" xfId="48" applyNumberFormat="1" applyFont="1"/>
    <xf numFmtId="0" fontId="237" fillId="32" borderId="0" xfId="0" applyFont="1" applyFill="1" applyAlignment="1">
      <alignment horizontal="left"/>
    </xf>
    <xf numFmtId="0" fontId="256" fillId="56" borderId="0" xfId="0" applyFont="1" applyFill="1" applyAlignment="1">
      <alignment horizontal="center" vertical="center" wrapText="1"/>
    </xf>
    <xf numFmtId="0" fontId="241" fillId="0" borderId="0" xfId="0" applyFont="1" applyAlignment="1">
      <alignment vertical="center"/>
    </xf>
    <xf numFmtId="0" fontId="12" fillId="0" borderId="0" xfId="0" applyFont="1" applyAlignment="1">
      <alignment horizontal="left"/>
    </xf>
    <xf numFmtId="0" fontId="22" fillId="0" borderId="0" xfId="0" applyFont="1" applyAlignment="1">
      <alignment horizontal="center"/>
    </xf>
    <xf numFmtId="0" fontId="22" fillId="0" borderId="17" xfId="0" applyFont="1" applyBorder="1" applyAlignment="1">
      <alignment horizontal="center"/>
    </xf>
    <xf numFmtId="0" fontId="54" fillId="0" borderId="0" xfId="0" applyFont="1" applyAlignment="1">
      <alignment wrapText="1"/>
    </xf>
    <xf numFmtId="0" fontId="183" fillId="0" borderId="0" xfId="0" applyFont="1" applyAlignment="1">
      <alignment vertical="center" wrapText="1"/>
    </xf>
    <xf numFmtId="1" fontId="172" fillId="0" borderId="0" xfId="43" applyNumberFormat="1" applyFont="1"/>
    <xf numFmtId="167" fontId="43" fillId="0" borderId="0" xfId="0" applyNumberFormat="1" applyFont="1" applyAlignment="1">
      <alignment horizontal="left"/>
    </xf>
    <xf numFmtId="165" fontId="0" fillId="0" borderId="0" xfId="43" applyNumberFormat="1" applyFont="1"/>
    <xf numFmtId="1" fontId="172" fillId="0" borderId="0" xfId="0" applyNumberFormat="1" applyFont="1"/>
    <xf numFmtId="0" fontId="258" fillId="0" borderId="0" xfId="0" applyFont="1"/>
    <xf numFmtId="0" fontId="21" fillId="10" borderId="0" xfId="0" applyFont="1" applyFill="1"/>
    <xf numFmtId="165" fontId="21" fillId="32" borderId="0" xfId="0" applyNumberFormat="1" applyFont="1" applyFill="1"/>
    <xf numFmtId="165" fontId="82" fillId="32" borderId="0" xfId="0" applyNumberFormat="1" applyFont="1" applyFill="1"/>
    <xf numFmtId="167" fontId="22" fillId="9" borderId="0" xfId="0" applyNumberFormat="1" applyFont="1" applyFill="1" applyAlignment="1">
      <alignment horizontal="left"/>
    </xf>
    <xf numFmtId="0" fontId="22" fillId="9" borderId="0" xfId="0" applyFont="1" applyFill="1" applyAlignment="1">
      <alignment horizontal="left"/>
    </xf>
    <xf numFmtId="0" fontId="259" fillId="32" borderId="0" xfId="0" applyFont="1" applyFill="1" applyAlignment="1">
      <alignment horizontal="center"/>
    </xf>
    <xf numFmtId="0" fontId="241" fillId="57" borderId="0" xfId="0" applyFont="1" applyFill="1" applyAlignment="1">
      <alignment horizontal="center" vertical="center" wrapText="1"/>
    </xf>
    <xf numFmtId="0" fontId="43" fillId="57" borderId="0" xfId="0" applyFont="1" applyFill="1"/>
    <xf numFmtId="165" fontId="0" fillId="57" borderId="0" xfId="0" applyNumberFormat="1" applyFill="1" applyAlignment="1">
      <alignment horizontal="left" indent="1"/>
    </xf>
    <xf numFmtId="0" fontId="0" fillId="57" borderId="0" xfId="0" applyFill="1"/>
    <xf numFmtId="0" fontId="241" fillId="58" borderId="0" xfId="0" applyFont="1" applyFill="1" applyAlignment="1">
      <alignment horizontal="center" vertical="center" wrapText="1"/>
    </xf>
    <xf numFmtId="0" fontId="43" fillId="58" borderId="0" xfId="0" applyFont="1" applyFill="1"/>
    <xf numFmtId="165" fontId="43" fillId="58" borderId="0" xfId="0" applyNumberFormat="1" applyFont="1" applyFill="1" applyAlignment="1">
      <alignment horizontal="left" indent="1"/>
    </xf>
    <xf numFmtId="0" fontId="260" fillId="0" borderId="0" xfId="0" applyFont="1" applyAlignment="1">
      <alignment horizontal="left" vertical="center"/>
    </xf>
    <xf numFmtId="166" fontId="224" fillId="0" borderId="0" xfId="0" applyNumberFormat="1" applyFont="1"/>
    <xf numFmtId="164" fontId="43" fillId="0" borderId="0" xfId="0" applyNumberFormat="1" applyFont="1"/>
    <xf numFmtId="0" fontId="261" fillId="0" borderId="0" xfId="0" applyFont="1"/>
    <xf numFmtId="0" fontId="262" fillId="0" borderId="0" xfId="0" applyFont="1"/>
    <xf numFmtId="166" fontId="262" fillId="0" borderId="0" xfId="0" applyNumberFormat="1" applyFont="1"/>
    <xf numFmtId="0" fontId="263" fillId="0" borderId="0" xfId="0" applyFont="1"/>
    <xf numFmtId="0" fontId="43" fillId="0" borderId="0" xfId="0" applyFont="1" applyAlignment="1">
      <alignment wrapText="1"/>
    </xf>
    <xf numFmtId="0" fontId="212" fillId="0" borderId="0" xfId="0" applyFont="1"/>
    <xf numFmtId="43" fontId="9" fillId="0" borderId="0" xfId="0" applyNumberFormat="1" applyFont="1" applyAlignment="1">
      <alignment vertical="center"/>
    </xf>
    <xf numFmtId="0" fontId="102" fillId="35" borderId="0" xfId="0" applyFont="1" applyFill="1" applyAlignment="1">
      <alignment horizontal="left" vertical="center" wrapText="1"/>
    </xf>
    <xf numFmtId="14" fontId="56" fillId="10" borderId="0" xfId="0" applyNumberFormat="1" applyFont="1" applyFill="1" applyAlignment="1">
      <alignment horizontal="left" vertical="center"/>
    </xf>
    <xf numFmtId="0" fontId="240" fillId="0" borderId="0" xfId="0" quotePrefix="1" applyFont="1" applyAlignment="1">
      <alignment vertical="center"/>
    </xf>
    <xf numFmtId="165" fontId="43" fillId="0" borderId="0" xfId="0" applyNumberFormat="1" applyFont="1" applyAlignment="1">
      <alignment horizontal="left" indent="1"/>
    </xf>
    <xf numFmtId="167" fontId="21" fillId="0" borderId="0" xfId="0" applyNumberFormat="1" applyFont="1"/>
    <xf numFmtId="167" fontId="102" fillId="0" borderId="0" xfId="0" applyNumberFormat="1" applyFont="1"/>
    <xf numFmtId="165" fontId="59" fillId="22" borderId="31" xfId="0" applyNumberFormat="1" applyFont="1" applyFill="1" applyBorder="1"/>
    <xf numFmtId="165" fontId="82" fillId="32" borderId="0" xfId="0" applyNumberFormat="1" applyFont="1" applyFill="1" applyAlignment="1">
      <alignment horizontal="center"/>
    </xf>
    <xf numFmtId="0" fontId="183" fillId="11" borderId="0" xfId="0" applyFont="1" applyFill="1" applyAlignment="1">
      <alignment vertical="center" wrapText="1"/>
    </xf>
    <xf numFmtId="0" fontId="183" fillId="59" borderId="0" xfId="0" applyFont="1" applyFill="1" applyAlignment="1">
      <alignment vertical="center" wrapText="1"/>
    </xf>
    <xf numFmtId="0" fontId="228" fillId="59" borderId="0" xfId="0" applyFont="1" applyFill="1" applyAlignment="1">
      <alignment vertical="center" wrapText="1"/>
    </xf>
    <xf numFmtId="0" fontId="183" fillId="59" borderId="0" xfId="0" applyFont="1" applyFill="1" applyAlignment="1">
      <alignment vertical="center"/>
    </xf>
    <xf numFmtId="0" fontId="228" fillId="11" borderId="0" xfId="0" applyFont="1" applyFill="1" applyAlignment="1">
      <alignment vertical="center" wrapText="1"/>
    </xf>
    <xf numFmtId="0" fontId="258" fillId="11" borderId="0" xfId="0" applyFont="1" applyFill="1"/>
    <xf numFmtId="0" fontId="183" fillId="0" borderId="0" xfId="0" applyFont="1" applyAlignment="1">
      <alignment vertical="center"/>
    </xf>
    <xf numFmtId="165" fontId="82" fillId="0" borderId="0" xfId="0" applyNumberFormat="1" applyFont="1"/>
    <xf numFmtId="165" fontId="21" fillId="0" borderId="0" xfId="0" applyNumberFormat="1" applyFont="1"/>
    <xf numFmtId="0" fontId="243" fillId="32" borderId="0" xfId="0" applyFont="1" applyFill="1"/>
    <xf numFmtId="0" fontId="43" fillId="10" borderId="0" xfId="0" applyFont="1" applyFill="1"/>
    <xf numFmtId="0" fontId="49" fillId="10" borderId="0" xfId="0" applyFont="1" applyFill="1" applyAlignment="1">
      <alignment horizontal="left" indent="1"/>
    </xf>
    <xf numFmtId="43" fontId="59" fillId="0" borderId="9" xfId="0" applyNumberFormat="1" applyFont="1" applyBorder="1" applyAlignment="1">
      <alignment horizontal="center" vertical="center" wrapText="1"/>
    </xf>
    <xf numFmtId="43" fontId="244" fillId="0" borderId="0" xfId="0" applyNumberFormat="1" applyFont="1"/>
    <xf numFmtId="43" fontId="246" fillId="0" borderId="0" xfId="0" applyNumberFormat="1" applyFont="1" applyAlignment="1">
      <alignment horizontal="center" wrapText="1"/>
    </xf>
    <xf numFmtId="43" fontId="59" fillId="0" borderId="31" xfId="0" applyNumberFormat="1" applyFont="1" applyBorder="1" applyAlignment="1">
      <alignment horizontal="center" wrapText="1"/>
    </xf>
    <xf numFmtId="43" fontId="59" fillId="0" borderId="0" xfId="0" applyNumberFormat="1" applyFont="1" applyAlignment="1">
      <alignment horizontal="center" wrapText="1"/>
    </xf>
    <xf numFmtId="0" fontId="105" fillId="0" borderId="0" xfId="0" applyFont="1" applyAlignment="1">
      <alignment vertical="center"/>
    </xf>
    <xf numFmtId="43" fontId="59" fillId="0" borderId="9" xfId="0" applyNumberFormat="1" applyFont="1" applyBorder="1" applyAlignment="1">
      <alignment horizontal="center" wrapText="1"/>
    </xf>
    <xf numFmtId="0" fontId="245" fillId="0" borderId="0" xfId="0" applyFont="1" applyAlignment="1">
      <alignment horizontal="center" vertical="center"/>
    </xf>
    <xf numFmtId="43" fontId="246" fillId="0" borderId="32" xfId="0" applyNumberFormat="1" applyFont="1" applyBorder="1" applyAlignment="1">
      <alignment horizontal="center" wrapText="1"/>
    </xf>
    <xf numFmtId="0" fontId="71" fillId="0" borderId="0" xfId="0" applyFont="1" applyAlignment="1">
      <alignment vertical="center" wrapText="1"/>
    </xf>
    <xf numFmtId="0" fontId="80" fillId="0" borderId="0" xfId="0" applyFont="1" applyAlignment="1">
      <alignment horizontal="center"/>
    </xf>
    <xf numFmtId="0" fontId="245" fillId="0" borderId="0" xfId="0" applyFont="1" applyAlignment="1">
      <alignment horizontal="left" vertical="center"/>
    </xf>
    <xf numFmtId="167" fontId="22" fillId="11" borderId="0" xfId="0" applyNumberFormat="1" applyFont="1" applyFill="1" applyAlignment="1">
      <alignment horizontal="left"/>
    </xf>
    <xf numFmtId="0" fontId="130" fillId="11" borderId="0" xfId="0" applyFont="1" applyFill="1" applyAlignment="1">
      <alignment horizontal="left" vertical="center"/>
    </xf>
    <xf numFmtId="0" fontId="22" fillId="11" borderId="0" xfId="0" applyFont="1" applyFill="1" applyAlignment="1">
      <alignment horizontal="left"/>
    </xf>
    <xf numFmtId="167" fontId="22" fillId="11" borderId="17" xfId="0" applyNumberFormat="1" applyFont="1" applyFill="1" applyBorder="1" applyAlignment="1">
      <alignment horizontal="left"/>
    </xf>
    <xf numFmtId="0" fontId="130" fillId="14" borderId="0" xfId="0" applyFont="1" applyFill="1" applyAlignment="1">
      <alignment horizontal="left" vertical="center"/>
    </xf>
    <xf numFmtId="1" fontId="172" fillId="11" borderId="0" xfId="0" applyNumberFormat="1" applyFont="1" applyFill="1"/>
    <xf numFmtId="0" fontId="183" fillId="11" borderId="0" xfId="0" applyFont="1" applyFill="1"/>
    <xf numFmtId="167" fontId="228" fillId="11" borderId="0" xfId="0" applyNumberFormat="1" applyFont="1" applyFill="1" applyAlignment="1">
      <alignment horizontal="left" vertical="center"/>
    </xf>
    <xf numFmtId="167" fontId="43" fillId="11" borderId="0" xfId="0" applyNumberFormat="1" applyFont="1" applyFill="1" applyAlignment="1">
      <alignment horizontal="left"/>
    </xf>
    <xf numFmtId="0" fontId="228" fillId="11" borderId="0" xfId="0" applyFont="1" applyFill="1" applyAlignment="1">
      <alignment horizontal="left" vertical="center"/>
    </xf>
    <xf numFmtId="0" fontId="22" fillId="10" borderId="16" xfId="0" applyFont="1" applyFill="1" applyBorder="1" applyAlignment="1">
      <alignment horizontal="center"/>
    </xf>
    <xf numFmtId="0" fontId="228" fillId="39" borderId="0" xfId="0" applyFont="1" applyFill="1" applyAlignment="1">
      <alignment horizontal="center" vertical="center" wrapText="1"/>
    </xf>
    <xf numFmtId="0" fontId="228" fillId="0" borderId="0" xfId="0" applyFont="1" applyAlignment="1">
      <alignment horizontal="center" vertical="center" wrapText="1"/>
    </xf>
    <xf numFmtId="0" fontId="228" fillId="39" borderId="0" xfId="0" applyFont="1" applyFill="1" applyAlignment="1">
      <alignment horizontal="center" wrapText="1"/>
    </xf>
    <xf numFmtId="0" fontId="269" fillId="0" borderId="0" xfId="0" applyFont="1" applyAlignment="1">
      <alignment vertical="center"/>
    </xf>
    <xf numFmtId="0" fontId="273" fillId="0" borderId="0" xfId="0" applyFont="1" applyAlignment="1">
      <alignment vertical="center"/>
    </xf>
    <xf numFmtId="0" fontId="266" fillId="0" borderId="0" xfId="0" applyFont="1" applyAlignment="1">
      <alignment horizontal="left" vertical="center"/>
    </xf>
    <xf numFmtId="0" fontId="267" fillId="0" borderId="0" xfId="0" applyFont="1" applyAlignment="1">
      <alignment horizontal="center" vertical="center"/>
    </xf>
    <xf numFmtId="0" fontId="11" fillId="0" borderId="0" xfId="1" applyAlignment="1" applyProtection="1">
      <alignment horizontal="left" vertical="center"/>
    </xf>
    <xf numFmtId="0" fontId="268" fillId="0" borderId="0" xfId="0" applyFont="1" applyAlignment="1">
      <alignment vertical="center"/>
    </xf>
    <xf numFmtId="0" fontId="266" fillId="0" borderId="0" xfId="0" applyFont="1" applyAlignment="1">
      <alignment vertical="center"/>
    </xf>
    <xf numFmtId="0" fontId="270" fillId="0" borderId="0" xfId="0" applyFont="1" applyAlignment="1">
      <alignment vertical="center"/>
    </xf>
    <xf numFmtId="0" fontId="271" fillId="0" borderId="0" xfId="0" applyFont="1" applyAlignment="1">
      <alignment vertical="center"/>
    </xf>
    <xf numFmtId="0" fontId="272" fillId="0" borderId="0" xfId="0" applyFont="1" applyAlignment="1">
      <alignment horizontal="left" vertical="center"/>
    </xf>
    <xf numFmtId="165" fontId="82" fillId="10" borderId="0" xfId="43" applyNumberFormat="1" applyFont="1" applyFill="1" applyAlignment="1">
      <alignment horizontal="center" vertical="center"/>
    </xf>
    <xf numFmtId="0" fontId="94" fillId="32" borderId="0" xfId="0" applyFont="1" applyFill="1" applyAlignment="1">
      <alignment horizontal="center" vertical="center"/>
    </xf>
    <xf numFmtId="165" fontId="82" fillId="0" borderId="0" xfId="43" applyNumberFormat="1" applyFont="1" applyAlignment="1">
      <alignment horizontal="center"/>
    </xf>
    <xf numFmtId="0" fontId="85" fillId="10" borderId="0" xfId="0" applyFont="1" applyFill="1" applyAlignment="1">
      <alignment horizontal="center" vertical="center"/>
    </xf>
    <xf numFmtId="0" fontId="113" fillId="0" borderId="0" xfId="0" applyFont="1" applyAlignment="1">
      <alignment horizontal="center"/>
    </xf>
    <xf numFmtId="0" fontId="85" fillId="0" borderId="0" xfId="0" applyFont="1" applyAlignment="1">
      <alignment horizontal="center" vertical="center"/>
    </xf>
    <xf numFmtId="0" fontId="170" fillId="0" borderId="0" xfId="0" applyFont="1" applyAlignment="1">
      <alignment horizontal="center" vertical="center" wrapText="1"/>
    </xf>
    <xf numFmtId="0" fontId="170" fillId="0" borderId="0" xfId="0" applyFont="1" applyAlignment="1">
      <alignment horizontal="center" wrapText="1"/>
    </xf>
    <xf numFmtId="0" fontId="241" fillId="0" borderId="0" xfId="0" applyFont="1" applyAlignment="1">
      <alignment horizontal="center" vertical="center" wrapText="1"/>
    </xf>
    <xf numFmtId="0" fontId="183" fillId="0" borderId="0" xfId="0" applyFont="1" applyAlignment="1">
      <alignment horizontal="center" vertical="center" wrapText="1"/>
    </xf>
    <xf numFmtId="0" fontId="130" fillId="22" borderId="0" xfId="0" applyFont="1" applyFill="1" applyAlignment="1">
      <alignment horizontal="center" vertical="center" wrapText="1"/>
    </xf>
    <xf numFmtId="0" fontId="130" fillId="0" borderId="0" xfId="0" applyFont="1" applyAlignment="1">
      <alignment horizontal="center" vertical="center" wrapText="1"/>
    </xf>
    <xf numFmtId="0" fontId="9" fillId="15" borderId="0" xfId="0" applyFont="1" applyFill="1" applyAlignment="1">
      <alignment horizontal="center" vertical="center"/>
    </xf>
    <xf numFmtId="0" fontId="249" fillId="0" borderId="0" xfId="0" quotePrefix="1" applyFont="1" applyAlignment="1">
      <alignment horizontal="center"/>
    </xf>
    <xf numFmtId="0" fontId="0" fillId="0" borderId="0" xfId="0" applyAlignment="1">
      <alignment horizontal="center" vertical="center"/>
    </xf>
    <xf numFmtId="0" fontId="57" fillId="0" borderId="0" xfId="0" applyFont="1" applyAlignment="1">
      <alignment horizontal="left"/>
    </xf>
    <xf numFmtId="14" fontId="57" fillId="0" borderId="0" xfId="0" applyNumberFormat="1" applyFont="1" applyAlignment="1">
      <alignment horizontal="center"/>
    </xf>
    <xf numFmtId="0" fontId="9" fillId="0" borderId="0" xfId="0" applyFont="1" applyAlignment="1">
      <alignment horizontal="center" vertical="center" wrapText="1"/>
    </xf>
    <xf numFmtId="0" fontId="251" fillId="0" borderId="0" xfId="0" applyFont="1" applyAlignment="1">
      <alignment horizontal="center"/>
    </xf>
    <xf numFmtId="0" fontId="62" fillId="0" borderId="0" xfId="0" applyFont="1" applyAlignment="1">
      <alignment horizontal="center" vertical="center"/>
    </xf>
    <xf numFmtId="0" fontId="2" fillId="10" borderId="0" xfId="0" applyFont="1" applyFill="1" applyAlignment="1">
      <alignment horizontal="center"/>
    </xf>
    <xf numFmtId="0" fontId="82" fillId="0" borderId="0" xfId="43" applyNumberFormat="1" applyFont="1"/>
    <xf numFmtId="0" fontId="107" fillId="0" borderId="0" xfId="28" applyFont="1" applyAlignment="1">
      <alignment horizontal="center" vertical="center"/>
    </xf>
    <xf numFmtId="165" fontId="82" fillId="10" borderId="0" xfId="43" applyNumberFormat="1" applyFont="1" applyFill="1" applyAlignment="1">
      <alignment horizontal="center" vertical="center"/>
    </xf>
    <xf numFmtId="165" fontId="100" fillId="0" borderId="0" xfId="43" applyNumberFormat="1" applyFont="1" applyAlignment="1">
      <alignment horizontal="left" vertical="center"/>
    </xf>
    <xf numFmtId="0" fontId="94" fillId="32" borderId="0" xfId="0" applyFont="1" applyFill="1" applyAlignment="1">
      <alignment horizontal="center" vertical="center"/>
    </xf>
    <xf numFmtId="165" fontId="82" fillId="0" borderId="0" xfId="43" applyNumberFormat="1" applyFont="1" applyAlignment="1">
      <alignment horizontal="center"/>
    </xf>
    <xf numFmtId="0" fontId="85" fillId="10" borderId="0" xfId="0" applyFont="1" applyFill="1" applyAlignment="1">
      <alignment horizontal="center" vertical="center"/>
    </xf>
    <xf numFmtId="0" fontId="205" fillId="32" borderId="0" xfId="0" applyFont="1" applyFill="1" applyAlignment="1">
      <alignment vertical="center" wrapText="1"/>
    </xf>
    <xf numFmtId="0" fontId="113" fillId="0" borderId="0" xfId="0" applyFont="1" applyAlignment="1">
      <alignment horizontal="center"/>
    </xf>
    <xf numFmtId="165" fontId="175" fillId="32" borderId="0" xfId="43" applyNumberFormat="1" applyFont="1" applyFill="1" applyAlignment="1">
      <alignment horizontal="center" vertical="top"/>
    </xf>
    <xf numFmtId="0" fontId="42" fillId="0" borderId="0" xfId="0" applyFont="1" applyAlignment="1">
      <alignment horizontal="center" vertical="center" textRotation="135"/>
    </xf>
    <xf numFmtId="165" fontId="171" fillId="0" borderId="0" xfId="43" applyNumberFormat="1" applyFont="1" applyAlignment="1">
      <alignment horizontal="left" vertical="center"/>
    </xf>
    <xf numFmtId="0" fontId="85" fillId="0" borderId="0" xfId="0" applyFont="1" applyAlignment="1">
      <alignment horizontal="center" vertical="center"/>
    </xf>
    <xf numFmtId="165" fontId="82" fillId="0" borderId="0" xfId="43" applyNumberFormat="1" applyFont="1" applyAlignment="1">
      <alignment horizontal="center" vertical="center"/>
    </xf>
    <xf numFmtId="165" fontId="184" fillId="0" borderId="0" xfId="43" applyNumberFormat="1" applyFont="1" applyFill="1" applyAlignment="1">
      <alignment horizontal="center" vertical="center" wrapText="1"/>
    </xf>
    <xf numFmtId="165" fontId="175" fillId="32" borderId="0" xfId="43" applyNumberFormat="1" applyFont="1" applyFill="1" applyAlignment="1">
      <alignment horizontal="left" vertical="top"/>
    </xf>
    <xf numFmtId="0" fontId="170" fillId="0" borderId="0" xfId="0" applyFont="1" applyAlignment="1">
      <alignment horizontal="center" vertical="top" wrapText="1"/>
    </xf>
    <xf numFmtId="0" fontId="170" fillId="0" borderId="0" xfId="0" applyFont="1" applyAlignment="1">
      <alignment horizontal="center" vertical="center" wrapText="1"/>
    </xf>
    <xf numFmtId="15" fontId="170" fillId="0" borderId="0" xfId="0" applyNumberFormat="1" applyFont="1" applyAlignment="1">
      <alignment horizontal="center" wrapText="1"/>
    </xf>
    <xf numFmtId="0" fontId="170" fillId="0" borderId="0" xfId="0" applyFont="1" applyAlignment="1">
      <alignment horizontal="center" vertical="top" textRotation="135" wrapText="1"/>
    </xf>
    <xf numFmtId="0" fontId="170" fillId="0" borderId="0" xfId="0" applyFont="1" applyAlignment="1">
      <alignment horizontal="center" wrapText="1"/>
    </xf>
    <xf numFmtId="0" fontId="207" fillId="47" borderId="0" xfId="0" applyFont="1" applyFill="1" applyAlignment="1">
      <alignment horizontal="center" vertical="center" textRotation="255" wrapText="1"/>
    </xf>
    <xf numFmtId="0" fontId="207" fillId="47" borderId="5" xfId="0" applyFont="1" applyFill="1" applyBorder="1" applyAlignment="1">
      <alignment horizontal="center" vertical="center" textRotation="255" wrapText="1"/>
    </xf>
    <xf numFmtId="0" fontId="204" fillId="0" borderId="0" xfId="0" applyFont="1" applyAlignment="1">
      <alignment horizontal="center" vertical="center" textRotation="255"/>
    </xf>
    <xf numFmtId="0" fontId="48" fillId="0" borderId="0" xfId="0" applyFont="1" applyAlignment="1">
      <alignment horizontal="center" vertical="center"/>
    </xf>
    <xf numFmtId="0" fontId="122" fillId="19" borderId="0" xfId="0" applyFont="1" applyFill="1" applyAlignment="1">
      <alignment horizontal="center" vertical="center" textRotation="255" wrapText="1"/>
    </xf>
    <xf numFmtId="0" fontId="52" fillId="23" borderId="0" xfId="0" applyFont="1" applyFill="1" applyAlignment="1">
      <alignment horizontal="center"/>
    </xf>
    <xf numFmtId="0" fontId="102" fillId="40" borderId="24" xfId="0" applyFont="1" applyFill="1" applyBorder="1" applyAlignment="1">
      <alignment horizontal="center" vertical="center"/>
    </xf>
    <xf numFmtId="0" fontId="102" fillId="40" borderId="0" xfId="0" applyFont="1" applyFill="1" applyAlignment="1">
      <alignment horizontal="center" vertical="center"/>
    </xf>
    <xf numFmtId="43" fontId="34" fillId="15" borderId="25" xfId="0" applyNumberFormat="1" applyFont="1" applyFill="1" applyBorder="1" applyAlignment="1">
      <alignment horizontal="center"/>
    </xf>
    <xf numFmtId="43" fontId="34" fillId="15" borderId="10" xfId="0" applyNumberFormat="1" applyFont="1" applyFill="1" applyBorder="1" applyAlignment="1">
      <alignment horizontal="center"/>
    </xf>
    <xf numFmtId="0" fontId="121" fillId="9" borderId="7" xfId="0" applyFont="1" applyFill="1" applyBorder="1" applyAlignment="1">
      <alignment horizontal="center" vertical="center" textRotation="255" wrapText="1"/>
    </xf>
    <xf numFmtId="0" fontId="121" fillId="9" borderId="0" xfId="0" applyFont="1" applyFill="1" applyAlignment="1">
      <alignment horizontal="center" vertical="center" textRotation="255" wrapText="1"/>
    </xf>
    <xf numFmtId="0" fontId="109" fillId="34" borderId="0" xfId="0" applyFont="1" applyFill="1" applyAlignment="1">
      <alignment horizontal="center" vertical="center" wrapText="1"/>
    </xf>
    <xf numFmtId="0" fontId="47" fillId="0" borderId="0" xfId="0" applyFont="1" applyAlignment="1">
      <alignment horizontal="right" vertical="center"/>
    </xf>
    <xf numFmtId="0" fontId="45" fillId="0" borderId="0" xfId="0" applyFont="1" applyAlignment="1">
      <alignment horizontal="right" vertical="top"/>
    </xf>
    <xf numFmtId="0" fontId="36" fillId="11" borderId="0" xfId="0" applyFont="1" applyFill="1" applyAlignment="1">
      <alignment horizontal="center" vertical="center" textRotation="255" wrapText="1"/>
    </xf>
    <xf numFmtId="0" fontId="123" fillId="16" borderId="0" xfId="0" applyFont="1" applyFill="1" applyAlignment="1">
      <alignment horizontal="center" vertical="center" textRotation="255" wrapText="1"/>
    </xf>
    <xf numFmtId="0" fontId="52" fillId="23" borderId="0" xfId="0" applyFont="1" applyFill="1" applyAlignment="1">
      <alignment horizontal="center" vertical="center" textRotation="255"/>
    </xf>
    <xf numFmtId="0" fontId="121" fillId="24" borderId="0" xfId="0" applyFont="1" applyFill="1" applyAlignment="1">
      <alignment horizontal="center" vertical="center" textRotation="255" wrapText="1"/>
    </xf>
    <xf numFmtId="0" fontId="241" fillId="0" borderId="0" xfId="0" applyFont="1" applyAlignment="1">
      <alignment horizontal="center" vertical="center" wrapText="1"/>
    </xf>
    <xf numFmtId="0" fontId="183" fillId="39" borderId="0" xfId="0" applyFont="1" applyFill="1" applyAlignment="1">
      <alignment horizontal="center" vertical="center" wrapText="1"/>
    </xf>
    <xf numFmtId="0" fontId="228" fillId="0" borderId="0" xfId="0" applyFont="1" applyAlignment="1">
      <alignment horizontal="center" vertical="center" wrapText="1"/>
    </xf>
    <xf numFmtId="0" fontId="49" fillId="46" borderId="0" xfId="0" applyFont="1" applyFill="1" applyAlignment="1">
      <alignment horizontal="center"/>
    </xf>
    <xf numFmtId="0" fontId="21" fillId="32" borderId="0" xfId="0" applyFont="1" applyFill="1" applyAlignment="1">
      <alignment horizontal="center" vertical="center" wrapText="1"/>
    </xf>
    <xf numFmtId="0" fontId="274" fillId="22" borderId="0" xfId="0" applyFont="1" applyFill="1" applyAlignment="1">
      <alignment horizontal="center" vertical="center" wrapText="1"/>
    </xf>
    <xf numFmtId="0" fontId="264" fillId="0" borderId="0" xfId="0" applyFont="1" applyAlignment="1">
      <alignment horizontal="center"/>
    </xf>
    <xf numFmtId="0" fontId="102" fillId="0" borderId="0" xfId="0" applyFont="1" applyAlignment="1">
      <alignment horizontal="center"/>
    </xf>
    <xf numFmtId="0" fontId="0" fillId="0" borderId="0" xfId="0" applyAlignment="1">
      <alignment horizontal="center"/>
    </xf>
    <xf numFmtId="0" fontId="49" fillId="0" borderId="0" xfId="0" applyFont="1" applyAlignment="1">
      <alignment horizontal="center" vertical="center" wrapText="1"/>
    </xf>
    <xf numFmtId="0" fontId="49" fillId="0" borderId="30" xfId="0" applyFont="1" applyBorder="1" applyAlignment="1">
      <alignment horizontal="center" vertical="center" wrapText="1"/>
    </xf>
    <xf numFmtId="0" fontId="49" fillId="0" borderId="29" xfId="0" applyFont="1" applyBorder="1" applyAlignment="1">
      <alignment horizontal="center" vertical="center" wrapText="1"/>
    </xf>
    <xf numFmtId="0" fontId="264" fillId="0" borderId="0" xfId="0" applyFont="1" applyAlignment="1">
      <alignment horizontal="center" vertical="center"/>
    </xf>
    <xf numFmtId="0" fontId="49" fillId="0" borderId="0" xfId="0" applyFont="1" applyAlignment="1">
      <alignment horizontal="center"/>
    </xf>
    <xf numFmtId="0" fontId="49" fillId="38" borderId="0" xfId="0" applyFont="1" applyFill="1" applyAlignment="1">
      <alignment horizontal="center"/>
    </xf>
    <xf numFmtId="165" fontId="183" fillId="0" borderId="0" xfId="0" applyNumberFormat="1" applyFont="1" applyAlignment="1">
      <alignment horizontal="center" vertical="center" wrapText="1"/>
    </xf>
    <xf numFmtId="0" fontId="207" fillId="22" borderId="0" xfId="0" applyFont="1" applyFill="1" applyAlignment="1">
      <alignment horizontal="center" vertical="center" wrapText="1"/>
    </xf>
    <xf numFmtId="0" fontId="265" fillId="39" borderId="0" xfId="0" applyFont="1" applyFill="1" applyAlignment="1">
      <alignment horizontal="center" vertical="center" wrapText="1"/>
    </xf>
    <xf numFmtId="0" fontId="183" fillId="0" borderId="0" xfId="0" applyFont="1" applyAlignment="1">
      <alignment horizontal="center" vertical="center" wrapText="1"/>
    </xf>
    <xf numFmtId="0" fontId="114" fillId="0" borderId="0" xfId="0" applyFont="1" applyAlignment="1">
      <alignment horizontal="center"/>
    </xf>
    <xf numFmtId="0" fontId="130" fillId="22" borderId="0" xfId="0" applyFont="1" applyFill="1" applyAlignment="1">
      <alignment horizontal="center" vertical="center" wrapText="1"/>
    </xf>
    <xf numFmtId="0" fontId="228" fillId="0" borderId="0" xfId="0" applyFont="1" applyAlignment="1">
      <alignment horizontal="center" vertical="center"/>
    </xf>
    <xf numFmtId="0" fontId="130" fillId="22" borderId="7" xfId="0" applyFont="1" applyFill="1" applyBorder="1" applyAlignment="1">
      <alignment horizontal="center" vertical="center" wrapText="1"/>
    </xf>
    <xf numFmtId="167" fontId="2" fillId="32" borderId="0" xfId="0" applyNumberFormat="1" applyFont="1" applyFill="1" applyAlignment="1">
      <alignment horizontal="center"/>
    </xf>
    <xf numFmtId="167" fontId="2" fillId="32" borderId="30" xfId="0" applyNumberFormat="1" applyFont="1" applyFill="1" applyBorder="1" applyAlignment="1">
      <alignment horizontal="center"/>
    </xf>
    <xf numFmtId="0" fontId="257" fillId="0" borderId="0" xfId="0" applyFont="1" applyAlignment="1">
      <alignment horizontal="center" vertical="center"/>
    </xf>
    <xf numFmtId="0" fontId="130" fillId="0" borderId="0" xfId="0" applyFont="1" applyAlignment="1">
      <alignment horizontal="center" vertical="center" wrapText="1"/>
    </xf>
    <xf numFmtId="165" fontId="237" fillId="0" borderId="0" xfId="0" applyNumberFormat="1" applyFont="1" applyAlignment="1">
      <alignment horizontal="center"/>
    </xf>
    <xf numFmtId="43" fontId="250" fillId="0" borderId="25" xfId="22" applyNumberFormat="1" applyFont="1" applyFill="1" applyBorder="1" applyAlignment="1">
      <alignment horizontal="center" vertical="top"/>
    </xf>
    <xf numFmtId="43" fontId="250" fillId="0" borderId="10" xfId="22" applyNumberFormat="1" applyFont="1" applyFill="1" applyBorder="1" applyAlignment="1">
      <alignment horizontal="center" vertical="top"/>
    </xf>
    <xf numFmtId="9" fontId="9" fillId="3" borderId="25" xfId="22" applyNumberFormat="1" applyFont="1" applyBorder="1" applyAlignment="1">
      <alignment horizontal="center"/>
    </xf>
    <xf numFmtId="43" fontId="9" fillId="3" borderId="10" xfId="22" applyNumberFormat="1" applyFont="1" applyBorder="1" applyAlignment="1">
      <alignment horizontal="center"/>
    </xf>
    <xf numFmtId="0" fontId="9" fillId="15" borderId="0" xfId="0" applyFont="1" applyFill="1" applyAlignment="1">
      <alignment horizontal="center" vertical="center"/>
    </xf>
    <xf numFmtId="0" fontId="249" fillId="0" borderId="0" xfId="0" quotePrefix="1" applyFont="1" applyAlignment="1">
      <alignment horizontal="center"/>
    </xf>
    <xf numFmtId="43" fontId="34" fillId="3" borderId="25" xfId="22" applyNumberFormat="1" applyFont="1" applyBorder="1" applyAlignment="1">
      <alignment horizontal="center" vertical="center"/>
    </xf>
    <xf numFmtId="43" fontId="34" fillId="3" borderId="10" xfId="22" applyNumberFormat="1" applyFont="1" applyBorder="1" applyAlignment="1">
      <alignment horizontal="center" vertical="center"/>
    </xf>
    <xf numFmtId="9" fontId="9" fillId="49" borderId="25" xfId="22" applyNumberFormat="1" applyFont="1" applyFill="1" applyBorder="1" applyAlignment="1">
      <alignment horizontal="center" vertical="top"/>
    </xf>
    <xf numFmtId="43" fontId="9" fillId="49" borderId="10" xfId="22" applyNumberFormat="1" applyFont="1" applyFill="1" applyBorder="1" applyAlignment="1">
      <alignment horizontal="center" vertical="top"/>
    </xf>
    <xf numFmtId="9" fontId="9" fillId="38" borderId="25" xfId="22" applyNumberFormat="1" applyFont="1" applyFill="1" applyBorder="1" applyAlignment="1">
      <alignment horizontal="center"/>
    </xf>
    <xf numFmtId="43" fontId="9" fillId="38" borderId="10" xfId="22" applyNumberFormat="1" applyFont="1" applyFill="1" applyBorder="1" applyAlignment="1">
      <alignment horizontal="center"/>
    </xf>
    <xf numFmtId="9" fontId="9" fillId="3" borderId="25" xfId="22" applyNumberFormat="1" applyFont="1" applyBorder="1" applyAlignment="1">
      <alignment horizontal="center" vertical="top"/>
    </xf>
    <xf numFmtId="43" fontId="9" fillId="3" borderId="10" xfId="22" applyNumberFormat="1" applyFont="1" applyBorder="1" applyAlignment="1">
      <alignment horizontal="center" vertical="top"/>
    </xf>
    <xf numFmtId="9" fontId="9" fillId="38" borderId="25" xfId="22" applyNumberFormat="1" applyFont="1" applyFill="1" applyBorder="1" applyAlignment="1">
      <alignment horizontal="center" vertical="top"/>
    </xf>
    <xf numFmtId="43" fontId="9" fillId="38" borderId="10" xfId="22" applyNumberFormat="1" applyFont="1" applyFill="1" applyBorder="1" applyAlignment="1">
      <alignment horizontal="center" vertical="top"/>
    </xf>
    <xf numFmtId="0" fontId="21" fillId="0" borderId="0" xfId="0" applyFont="1" applyAlignment="1">
      <alignment horizontal="center" vertical="center"/>
    </xf>
    <xf numFmtId="0" fontId="0" fillId="32" borderId="0" xfId="0" applyFill="1" applyAlignment="1">
      <alignment horizontal="center"/>
    </xf>
    <xf numFmtId="0" fontId="57" fillId="0" borderId="0" xfId="0" applyFont="1" applyAlignment="1">
      <alignment horizontal="center" vertical="center"/>
    </xf>
    <xf numFmtId="0" fontId="0" fillId="0" borderId="0" xfId="0" applyAlignment="1">
      <alignment horizontal="center" vertical="center"/>
    </xf>
    <xf numFmtId="0" fontId="57" fillId="0" borderId="0" xfId="0" applyFont="1" applyAlignment="1">
      <alignment horizontal="center"/>
    </xf>
    <xf numFmtId="0" fontId="57" fillId="0" borderId="0" xfId="0" applyFont="1" applyAlignment="1">
      <alignment horizontal="left"/>
    </xf>
    <xf numFmtId="14" fontId="57" fillId="0" borderId="0" xfId="0" applyNumberFormat="1" applyFont="1" applyAlignment="1">
      <alignment horizontal="center"/>
    </xf>
    <xf numFmtId="0" fontId="9" fillId="0" borderId="29" xfId="0" applyFont="1" applyBorder="1" applyAlignment="1">
      <alignment horizontal="center" vertical="center" wrapText="1"/>
    </xf>
    <xf numFmtId="0" fontId="9" fillId="0" borderId="0" xfId="0" applyFont="1" applyAlignment="1">
      <alignment horizontal="center" vertical="center" wrapText="1"/>
    </xf>
    <xf numFmtId="0" fontId="0" fillId="31" borderId="0" xfId="0" applyFill="1" applyAlignment="1">
      <alignment horizontal="center"/>
    </xf>
    <xf numFmtId="0" fontId="114" fillId="0" borderId="0" xfId="0" applyFont="1" applyAlignment="1">
      <alignment vertical="center"/>
    </xf>
    <xf numFmtId="0" fontId="9" fillId="0" borderId="29" xfId="8" quotePrefix="1" applyFont="1" applyFill="1" applyBorder="1" applyAlignment="1">
      <alignment horizontal="center" vertical="top" wrapText="1"/>
    </xf>
    <xf numFmtId="0" fontId="9" fillId="0" borderId="0" xfId="8" quotePrefix="1" applyFont="1" applyFill="1" applyBorder="1" applyAlignment="1">
      <alignment horizontal="center" vertical="top" wrapText="1"/>
    </xf>
    <xf numFmtId="165" fontId="9" fillId="38" borderId="0" xfId="43" applyNumberFormat="1" applyFont="1" applyFill="1" applyAlignment="1">
      <alignment horizontal="center" vertical="center" wrapText="1"/>
    </xf>
    <xf numFmtId="0" fontId="251" fillId="0" borderId="0" xfId="0" applyFont="1" applyAlignment="1">
      <alignment horizontal="center"/>
    </xf>
    <xf numFmtId="0" fontId="102" fillId="32" borderId="0" xfId="0" applyFont="1" applyFill="1" applyAlignment="1">
      <alignment horizontal="center" vertical="center" textRotation="255"/>
    </xf>
    <xf numFmtId="0" fontId="214" fillId="0" borderId="0" xfId="0" applyFont="1" applyAlignment="1">
      <alignment horizontal="left" wrapText="1"/>
    </xf>
    <xf numFmtId="0" fontId="129" fillId="11" borderId="0" xfId="0" applyFont="1" applyFill="1" applyAlignment="1">
      <alignment horizontal="center" vertical="center" wrapText="1"/>
    </xf>
    <xf numFmtId="0" fontId="127" fillId="9" borderId="0" xfId="0" applyFont="1" applyFill="1" applyAlignment="1">
      <alignment horizontal="center" vertical="center" textRotation="255" wrapText="1"/>
    </xf>
    <xf numFmtId="0" fontId="0" fillId="0" borderId="0" xfId="0" applyAlignment="1">
      <alignment horizontal="center" vertical="center" wrapText="1"/>
    </xf>
    <xf numFmtId="0" fontId="131" fillId="0" borderId="0" xfId="0" applyFont="1" applyAlignment="1">
      <alignment horizontal="center" vertical="center" textRotation="135" wrapText="1"/>
    </xf>
    <xf numFmtId="44" fontId="135" fillId="0" borderId="0" xfId="45" applyNumberFormat="1" applyFont="1" applyFill="1" applyAlignment="1">
      <alignment horizontal="left"/>
    </xf>
    <xf numFmtId="0" fontId="62" fillId="0" borderId="0" xfId="0" applyFont="1" applyAlignment="1">
      <alignment horizontal="center" vertical="center"/>
    </xf>
    <xf numFmtId="44" fontId="143" fillId="0" borderId="0" xfId="45" applyNumberFormat="1" applyFont="1" applyFill="1" applyAlignment="1">
      <alignment horizontal="left" vertical="center"/>
    </xf>
    <xf numFmtId="0" fontId="114" fillId="32" borderId="0" xfId="0" applyFont="1" applyFill="1" applyAlignment="1">
      <alignment horizontal="center" vertical="center" textRotation="255"/>
    </xf>
    <xf numFmtId="0" fontId="125" fillId="0" borderId="0" xfId="0" applyFont="1" applyAlignment="1">
      <alignment horizontal="left" vertical="top"/>
    </xf>
    <xf numFmtId="0" fontId="119" fillId="41" borderId="0" xfId="0" applyFont="1" applyFill="1" applyAlignment="1">
      <alignment horizontal="center" vertical="center" wrapText="1"/>
    </xf>
    <xf numFmtId="44" fontId="132" fillId="32" borderId="0" xfId="45" applyNumberFormat="1" applyFont="1" applyFill="1" applyAlignment="1">
      <alignment horizontal="center" vertical="center" wrapText="1"/>
    </xf>
    <xf numFmtId="0" fontId="125" fillId="0" borderId="0" xfId="0" applyFont="1" applyAlignment="1">
      <alignment horizontal="center" vertical="center"/>
    </xf>
    <xf numFmtId="0" fontId="202" fillId="0" borderId="0" xfId="0" applyFont="1" applyAlignment="1">
      <alignment horizontal="center" vertical="center"/>
    </xf>
    <xf numFmtId="0" fontId="21" fillId="32" borderId="0" xfId="0" applyFont="1" applyFill="1" applyAlignment="1">
      <alignment horizontal="center" vertical="center" textRotation="255"/>
    </xf>
    <xf numFmtId="0" fontId="120" fillId="0" borderId="0" xfId="0" applyFont="1" applyAlignment="1">
      <alignment horizontal="center" vertical="center" wrapText="1"/>
    </xf>
    <xf numFmtId="0" fontId="21" fillId="0" borderId="0" xfId="0" applyFont="1" applyAlignment="1">
      <alignment horizontal="left" vertical="center" wrapText="1" indent="4"/>
    </xf>
    <xf numFmtId="0" fontId="21" fillId="0" borderId="0" xfId="0" applyFont="1" applyAlignment="1">
      <alignment horizontal="left" vertical="top" wrapText="1"/>
    </xf>
    <xf numFmtId="164" fontId="35" fillId="16" borderId="0" xfId="0" applyNumberFormat="1" applyFont="1" applyFill="1" applyAlignment="1">
      <alignment horizontal="center" vertical="center"/>
    </xf>
    <xf numFmtId="0" fontId="112" fillId="0" borderId="0" xfId="0" applyFont="1" applyAlignment="1">
      <alignment horizontal="left"/>
    </xf>
    <xf numFmtId="0" fontId="21" fillId="11" borderId="0" xfId="0" applyFont="1" applyFill="1" applyAlignment="1">
      <alignment vertical="center" textRotation="255" wrapText="1"/>
    </xf>
    <xf numFmtId="0" fontId="110" fillId="0" borderId="0" xfId="0" applyFont="1" applyAlignment="1">
      <alignment horizontal="center" vertical="center" textRotation="255"/>
    </xf>
    <xf numFmtId="0" fontId="21" fillId="10" borderId="0" xfId="0" applyFont="1" applyFill="1" applyAlignment="1">
      <alignment horizontal="center" vertical="center" wrapText="1"/>
    </xf>
    <xf numFmtId="0" fontId="65" fillId="0" borderId="0" xfId="0" applyFont="1" applyAlignment="1">
      <alignment horizontal="center" vertical="center" wrapText="1"/>
    </xf>
    <xf numFmtId="0" fontId="275" fillId="0" borderId="0" xfId="43" applyNumberFormat="1" applyFont="1"/>
    <xf numFmtId="0" fontId="4" fillId="32" borderId="0" xfId="0" applyNumberFormat="1" applyFont="1" applyFill="1"/>
    <xf numFmtId="0" fontId="1" fillId="0" borderId="29" xfId="0" applyFont="1" applyBorder="1" applyAlignment="1">
      <alignment horizontal="center" wrapText="1"/>
    </xf>
  </cellXfs>
  <cellStyles count="49">
    <cellStyle name="20% - Accent2 2" xfId="45" xr:uid="{AE8FF231-6AF8-4B52-AE88-D3258497928E}"/>
    <cellStyle name="20% - Accent3 2" xfId="26" xr:uid="{00000000-0005-0000-0000-000001000000}"/>
    <cellStyle name="20% - Accent3 2 2" xfId="38" xr:uid="{C1540660-7492-44D1-8E04-4AF2B06DC28E}"/>
    <cellStyle name="20% - Accent3 3" xfId="33" xr:uid="{E850735F-8E7B-40A2-8C66-884305B1294D}"/>
    <cellStyle name="20% - Accent5 2" xfId="42" xr:uid="{A6B5DB69-32BC-4A65-AC4B-8C2B5452778F}"/>
    <cellStyle name="40% - Accent2 2 2" xfId="3" xr:uid="{00000000-0005-0000-0000-000002000000}"/>
    <cellStyle name="40% - Accent2 2 2 2" xfId="32" xr:uid="{8C6348F5-0D64-4CDF-B606-E4274F551A3A}"/>
    <cellStyle name="Accent2 2" xfId="6" xr:uid="{00000000-0005-0000-0000-000003000000}"/>
    <cellStyle name="Accent3 2" xfId="5" xr:uid="{00000000-0005-0000-0000-000004000000}"/>
    <cellStyle name="Calculation 2" xfId="7" xr:uid="{00000000-0005-0000-0000-000006000000}"/>
    <cellStyle name="Calculation 3" xfId="22" xr:uid="{00000000-0005-0000-0000-000007000000}"/>
    <cellStyle name="Calculation 4" xfId="46" xr:uid="{52A765C3-9846-4C11-8AAB-9C55BCBBD203}"/>
    <cellStyle name="Check Cell 2" xfId="8" xr:uid="{00000000-0005-0000-0000-000008000000}"/>
    <cellStyle name="Comma" xfId="43" builtinId="3"/>
    <cellStyle name="Comma 2" xfId="24" xr:uid="{00000000-0005-0000-0000-00000A000000}"/>
    <cellStyle name="Comma 4" xfId="23" xr:uid="{00000000-0005-0000-0000-00000B000000}"/>
    <cellStyle name="Currency" xfId="48" builtinId="4"/>
    <cellStyle name="Currency 2" xfId="2" xr:uid="{00000000-0005-0000-0000-00000D000000}"/>
    <cellStyle name="Currency 3" xfId="12" xr:uid="{00000000-0005-0000-0000-00000E000000}"/>
    <cellStyle name="Currency 4" xfId="16" xr:uid="{00000000-0005-0000-0000-00000F000000}"/>
    <cellStyle name="Currency 4 2" xfId="36" xr:uid="{BEAA1F06-795F-46C0-8781-E9EAE2D00DCD}"/>
    <cellStyle name="Good 2" xfId="4" xr:uid="{00000000-0005-0000-0000-000010000000}"/>
    <cellStyle name="Hyperlink" xfId="1" builtinId="8"/>
    <cellStyle name="Hyperlink 2" xfId="11" xr:uid="{00000000-0005-0000-0000-000012000000}"/>
    <cellStyle name="Hyperlink 2 2" xfId="21" xr:uid="{00000000-0005-0000-0000-000013000000}"/>
    <cellStyle name="Hyperlink 3" xfId="18" xr:uid="{00000000-0005-0000-0000-000014000000}"/>
    <cellStyle name="Hyperlink 3 2" xfId="25" xr:uid="{00000000-0005-0000-0000-000015000000}"/>
    <cellStyle name="Hyperlink 4" xfId="31" xr:uid="{0CC31CBB-3358-4CF7-9FB1-66CF343FF7DC}"/>
    <cellStyle name="Linked Cell 2" xfId="40" xr:uid="{DCC908DD-E13E-4203-8DD7-E6E8BE86700C}"/>
    <cellStyle name="Linked Cell 3" xfId="44" xr:uid="{E2BC20A9-3223-4483-ACA3-AA512430B463}"/>
    <cellStyle name="Normal" xfId="0" builtinId="0"/>
    <cellStyle name="Normal 2" xfId="10" xr:uid="{00000000-0005-0000-0000-000018000000}"/>
    <cellStyle name="Normal 2 2" xfId="13" xr:uid="{00000000-0005-0000-0000-000019000000}"/>
    <cellStyle name="Normal 2 2 2" xfId="19" xr:uid="{00000000-0005-0000-0000-00001A000000}"/>
    <cellStyle name="Normal 2 2 3" xfId="34" xr:uid="{BC8AB216-2AC9-4DDD-B569-BABB12F3B49A}"/>
    <cellStyle name="Normal 3" xfId="15" xr:uid="{00000000-0005-0000-0000-00001B000000}"/>
    <cellStyle name="Normal 3 2" xfId="35" xr:uid="{A8B2DA2E-6008-4525-82F0-2558E3788872}"/>
    <cellStyle name="Normal 4" xfId="20" xr:uid="{00000000-0005-0000-0000-00001C000000}"/>
    <cellStyle name="Normal 5" xfId="14" xr:uid="{00000000-0005-0000-0000-00001D000000}"/>
    <cellStyle name="Normal 6" xfId="27" xr:uid="{00000000-0005-0000-0000-00001E000000}"/>
    <cellStyle name="Normal 6 2" xfId="39" xr:uid="{6BF4812A-C52E-45DB-B90B-EAFB743660E0}"/>
    <cellStyle name="Normal 7" xfId="30" xr:uid="{00000000-0005-0000-0000-00001F000000}"/>
    <cellStyle name="Output 2" xfId="29" xr:uid="{00000000-0005-0000-0000-000020000000}"/>
    <cellStyle name="Percent" xfId="47" builtinId="5"/>
    <cellStyle name="Percent 2" xfId="9" xr:uid="{00000000-0005-0000-0000-000021000000}"/>
    <cellStyle name="Percent 3" xfId="17" xr:uid="{00000000-0005-0000-0000-000022000000}"/>
    <cellStyle name="Percent 3 2" xfId="37" xr:uid="{51D7FFE5-57FC-4913-B41E-88D0673856B4}"/>
    <cellStyle name="Title 2" xfId="28" xr:uid="{00000000-0005-0000-0000-000023000000}"/>
    <cellStyle name="Total 2" xfId="41" xr:uid="{FFDF64E0-0692-4DF9-A98D-017BCF167C6D}"/>
  </cellStyles>
  <dxfs count="9">
    <dxf>
      <font>
        <b val="0"/>
        <i val="0"/>
        <strike val="0"/>
        <condense val="0"/>
        <extend val="0"/>
        <outline val="0"/>
        <shadow val="0"/>
        <u val="none"/>
        <vertAlign val="baseline"/>
        <sz val="14"/>
        <color rgb="FF000000"/>
        <name val="Arial"/>
        <family val="2"/>
        <scheme val="minor"/>
      </font>
      <fill>
        <patternFill>
          <bgColor theme="0"/>
        </patternFill>
      </fill>
    </dxf>
    <dxf>
      <font>
        <b val="0"/>
        <i val="0"/>
        <strike val="0"/>
        <condense val="0"/>
        <extend val="0"/>
        <outline val="0"/>
        <shadow val="0"/>
        <u val="none"/>
        <vertAlign val="baseline"/>
        <sz val="11"/>
        <color auto="1"/>
        <name val="Arial"/>
        <family val="2"/>
        <scheme val="minor"/>
      </font>
    </dxf>
    <dxf>
      <font>
        <b val="0"/>
        <i val="0"/>
        <strike val="0"/>
        <condense val="0"/>
        <extend val="0"/>
        <outline val="0"/>
        <shadow val="0"/>
        <u val="none"/>
        <vertAlign val="baseline"/>
        <sz val="14"/>
        <color rgb="FF000000"/>
        <name val="Arial"/>
        <family val="2"/>
        <scheme val="minor"/>
      </font>
      <fill>
        <patternFill>
          <bgColor theme="0"/>
        </patternFill>
      </fill>
    </dxf>
    <dxf>
      <font>
        <b val="0"/>
        <i val="0"/>
        <strike val="0"/>
        <condense val="0"/>
        <extend val="0"/>
        <outline val="0"/>
        <shadow val="0"/>
        <u val="none"/>
        <vertAlign val="baseline"/>
        <sz val="11"/>
        <color auto="1"/>
        <name val="Arial"/>
        <family val="2"/>
        <scheme val="minor"/>
      </font>
    </dxf>
    <dxf>
      <font>
        <b val="0"/>
        <i val="0"/>
        <strike val="0"/>
        <condense val="0"/>
        <extend val="0"/>
        <outline val="0"/>
        <shadow val="0"/>
        <u val="none"/>
        <vertAlign val="baseline"/>
        <sz val="14"/>
        <color rgb="FF000000"/>
        <name val="Arial"/>
        <family val="2"/>
        <scheme val="minor"/>
      </font>
      <fill>
        <patternFill>
          <bgColor theme="0"/>
        </patternFill>
      </fill>
    </dxf>
    <dxf>
      <font>
        <b val="0"/>
        <i val="0"/>
        <strike val="0"/>
        <condense val="0"/>
        <extend val="0"/>
        <outline val="0"/>
        <shadow val="0"/>
        <u val="none"/>
        <vertAlign val="baseline"/>
        <sz val="14"/>
        <color rgb="FF000000"/>
        <name val="Arial"/>
        <family val="2"/>
        <scheme val="minor"/>
      </font>
      <fill>
        <patternFill>
          <bgColor theme="0"/>
        </patternFill>
      </fill>
    </dxf>
    <dxf>
      <border outline="0">
        <top style="thin">
          <color rgb="FF7F7F7F"/>
        </top>
      </border>
    </dxf>
    <dxf>
      <font>
        <b val="0"/>
        <i val="0"/>
        <strike val="0"/>
        <condense val="0"/>
        <extend val="0"/>
        <outline val="0"/>
        <shadow val="0"/>
        <u val="none"/>
        <vertAlign val="baseline"/>
        <sz val="14"/>
        <color rgb="FF000000"/>
        <name val="Arial"/>
        <family val="2"/>
        <scheme val="minor"/>
      </font>
      <fill>
        <patternFill>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1</xdr:col>
      <xdr:colOff>0</xdr:colOff>
      <xdr:row>320</xdr:row>
      <xdr:rowOff>0</xdr:rowOff>
    </xdr:from>
    <xdr:ext cx="304800" cy="304800"/>
    <xdr:sp macro="" textlink="">
      <xdr:nvSpPr>
        <xdr:cNvPr id="2" name="pendo-image-badge-9f298f30">
          <a:extLst>
            <a:ext uri="{FF2B5EF4-FFF2-40B4-BE49-F238E27FC236}">
              <a16:creationId xmlns:a16="http://schemas.microsoft.com/office/drawing/2014/main" id="{305EDF46-27C2-4F21-BC71-4758BC504D7D}"/>
            </a:ext>
          </a:extLst>
        </xdr:cNvPr>
        <xdr:cNvSpPr>
          <a:spLocks noChangeAspect="1" noChangeArrowheads="1"/>
        </xdr:cNvSpPr>
      </xdr:nvSpPr>
      <xdr:spPr bwMode="auto">
        <a:xfrm>
          <a:off x="0" y="53583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175</xdr:row>
      <xdr:rowOff>0</xdr:rowOff>
    </xdr:from>
    <xdr:ext cx="304800" cy="312420"/>
    <xdr:sp macro="" textlink="">
      <xdr:nvSpPr>
        <xdr:cNvPr id="3" name="pendo-image-badge-9f298f30">
          <a:extLst>
            <a:ext uri="{FF2B5EF4-FFF2-40B4-BE49-F238E27FC236}">
              <a16:creationId xmlns:a16="http://schemas.microsoft.com/office/drawing/2014/main" id="{25525F79-24BB-4232-8761-5BFAD2A880D2}"/>
            </a:ext>
          </a:extLst>
        </xdr:cNvPr>
        <xdr:cNvSpPr>
          <a:spLocks noChangeAspect="1" noChangeArrowheads="1"/>
        </xdr:cNvSpPr>
      </xdr:nvSpPr>
      <xdr:spPr bwMode="auto">
        <a:xfrm>
          <a:off x="1219200" y="27066240"/>
          <a:ext cx="304800" cy="3124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165</xdr:row>
      <xdr:rowOff>0</xdr:rowOff>
    </xdr:from>
    <xdr:ext cx="304800" cy="304800"/>
    <xdr:sp macro="" textlink="">
      <xdr:nvSpPr>
        <xdr:cNvPr id="4" name="pendo-image-badge-9f298f30">
          <a:extLst>
            <a:ext uri="{FF2B5EF4-FFF2-40B4-BE49-F238E27FC236}">
              <a16:creationId xmlns:a16="http://schemas.microsoft.com/office/drawing/2014/main" id="{995A413F-6757-457C-BA81-CB54DE9D7B4A}"/>
            </a:ext>
          </a:extLst>
        </xdr:cNvPr>
        <xdr:cNvSpPr>
          <a:spLocks noChangeAspect="1" noChangeArrowheads="1"/>
        </xdr:cNvSpPr>
      </xdr:nvSpPr>
      <xdr:spPr bwMode="auto">
        <a:xfrm>
          <a:off x="3048000" y="25237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165</xdr:row>
      <xdr:rowOff>0</xdr:rowOff>
    </xdr:from>
    <xdr:ext cx="304800" cy="304800"/>
    <xdr:sp macro="" textlink="">
      <xdr:nvSpPr>
        <xdr:cNvPr id="5" name="pendo-image-badge-9f298f30">
          <a:extLst>
            <a:ext uri="{FF2B5EF4-FFF2-40B4-BE49-F238E27FC236}">
              <a16:creationId xmlns:a16="http://schemas.microsoft.com/office/drawing/2014/main" id="{9A1D4D40-506F-47D5-97C1-E20D059E16D1}"/>
            </a:ext>
          </a:extLst>
        </xdr:cNvPr>
        <xdr:cNvSpPr>
          <a:spLocks noChangeAspect="1" noChangeArrowheads="1"/>
        </xdr:cNvSpPr>
      </xdr:nvSpPr>
      <xdr:spPr bwMode="auto">
        <a:xfrm>
          <a:off x="0" y="25237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11A3F773AC1D9A35/Documents/50-2-CONTRACT.xlsx" TargetMode="External"/><Relationship Id="rId1" Type="http://schemas.openxmlformats.org/officeDocument/2006/relationships/externalLinkPath" Target="/11A3F773AC1D9A35/Documents/50-2-CONTRAC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Owner\Downloads\OH25%20MONTGOMERY%20V2%20@ASHWOOD\Templates%20OH25%20MONTGOMERY\60-SCOPE-OH25%20MONTGOMERY.xlsm" TargetMode="External"/><Relationship Id="rId1" Type="http://schemas.openxmlformats.org/officeDocument/2006/relationships/externalLinkPath" Target="file:///C:\Users\Owner\Downloads\OH25%20MONTGOMERY%20V2%20@ASHWOOD\Templates%20OH25%20MONTGOMERY\60-SCOPE-OH25%20MONTGOMERY.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mail cvr"/>
      <sheetName val="quicklist"/>
      <sheetName val="signpgs"/>
      <sheetName val="cst o&amp;p to ins co."/>
      <sheetName val="jobinfo(2)"/>
      <sheetName val="AOBOH"/>
      <sheetName val="AOBGA"/>
      <sheetName val="SUB MIT"/>
      <sheetName val="SUBC"/>
      <sheetName val="signpgs (3)"/>
      <sheetName val="SUBCPS1"/>
      <sheetName val="CHANGES"/>
      <sheetName val="POL"/>
      <sheetName val="DRAWS"/>
      <sheetName val="AOB2"/>
      <sheetName val="aob"/>
    </sheetNames>
    <sheetDataSet>
      <sheetData sheetId="0"/>
      <sheetData sheetId="1"/>
      <sheetData sheetId="2"/>
      <sheetData sheetId="3"/>
      <sheetData sheetId="4">
        <row r="1">
          <cell r="C1" t="str">
            <v>LACEY, EUNICE</v>
          </cell>
        </row>
        <row r="2">
          <cell r="C2" t="str">
            <v>13601 5th Ave</v>
          </cell>
        </row>
        <row r="3">
          <cell r="C3" t="str">
            <v>East Cleveland, OH</v>
          </cell>
        </row>
        <row r="4">
          <cell r="C4" t="str">
            <v>Emedlacey@gmail.com</v>
          </cell>
        </row>
        <row r="5">
          <cell r="B5" t="str">
            <v>Cst-owner Phone#</v>
          </cell>
          <cell r="C5" t="str">
            <v>(216) 450-4913</v>
          </cell>
        </row>
        <row r="6">
          <cell r="B6" t="str">
            <v>Co-Owner.cst#2</v>
          </cell>
          <cell r="C6" t="str">
            <v>TBD</v>
          </cell>
        </row>
        <row r="11">
          <cell r="B11" t="str">
            <v>Cause of Loss</v>
          </cell>
          <cell r="C11" t="str">
            <v>BATHTUB OVERFLOW</v>
          </cell>
        </row>
        <row r="12">
          <cell r="B12" t="str">
            <v>date of loss</v>
          </cell>
          <cell r="C12">
            <v>45765</v>
          </cell>
        </row>
        <row r="13">
          <cell r="B13" t="str">
            <v>rebuild  type 1</v>
          </cell>
          <cell r="C13" t="str">
            <v>interior repairs LVL2</v>
          </cell>
        </row>
        <row r="14">
          <cell r="B14" t="str">
            <v>rebuild  type 2</v>
          </cell>
          <cell r="C14" t="str">
            <v>interior repairs LVL1</v>
          </cell>
        </row>
        <row r="15">
          <cell r="B15" t="str">
            <v>rebuild  type 3</v>
          </cell>
          <cell r="C15" t="str">
            <v>BASEMENT</v>
          </cell>
        </row>
        <row r="16">
          <cell r="B16" t="str">
            <v>DEMO</v>
          </cell>
          <cell r="C16" t="str">
            <v>Y</v>
          </cell>
        </row>
        <row r="17">
          <cell r="B17" t="str">
            <v>Mitigation</v>
          </cell>
          <cell r="C17" t="str">
            <v>Y</v>
          </cell>
        </row>
        <row r="18">
          <cell r="B18" t="str">
            <v>Other Structures</v>
          </cell>
          <cell r="C18" t="str">
            <v>NA</v>
          </cell>
        </row>
        <row r="19">
          <cell r="B19" t="str">
            <v>Replacement</v>
          </cell>
          <cell r="C19" t="str">
            <v>Y</v>
          </cell>
        </row>
        <row r="20">
          <cell r="B20" t="str">
            <v>CPS / CLN / CON/ CGN</v>
          </cell>
          <cell r="C20" t="str">
            <v>Y</v>
          </cell>
        </row>
        <row r="21">
          <cell r="B21" t="str">
            <v>Year Built</v>
          </cell>
          <cell r="C21" t="str">
            <v>PRE 1978</v>
          </cell>
        </row>
        <row r="22">
          <cell r="B22" t="str">
            <v>Contract Date</v>
          </cell>
          <cell r="C22">
            <v>45822</v>
          </cell>
        </row>
        <row r="23">
          <cell r="B23" t="str">
            <v>Loss of use/ ALE</v>
          </cell>
          <cell r="C23" t="str">
            <v>Y</v>
          </cell>
        </row>
        <row r="24">
          <cell r="B24" t="str">
            <v>Breathing issue</v>
          </cell>
          <cell r="C24" t="str">
            <v>TBD</v>
          </cell>
        </row>
        <row r="25">
          <cell r="B25" t="str">
            <v>HMR</v>
          </cell>
          <cell r="C25" t="str">
            <v>TBD</v>
          </cell>
        </row>
        <row r="26">
          <cell r="B26" t="str">
            <v xml:space="preserve">Insurance Co. Name </v>
          </cell>
          <cell r="C26" t="str">
            <v>AAA Insurance</v>
          </cell>
        </row>
        <row r="27">
          <cell r="B27" t="str">
            <v xml:space="preserve">Claim # </v>
          </cell>
          <cell r="C27" t="str">
            <v>#017095711</v>
          </cell>
        </row>
        <row r="28">
          <cell r="B28" t="str">
            <v>policy #</v>
          </cell>
          <cell r="C28" t="str">
            <v>OHH000190052</v>
          </cell>
        </row>
        <row r="29">
          <cell r="B29" t="str">
            <v>Email INS. co.</v>
          </cell>
          <cell r="C29" t="str">
            <v>STAPLES.OLIVIA @ace.aaa.com</v>
          </cell>
        </row>
        <row r="30">
          <cell r="B30" t="str">
            <v>DESK Adjuster DA</v>
          </cell>
          <cell r="C30" t="str">
            <v>STAPLES, OLIVIA 207 776 6150</v>
          </cell>
        </row>
        <row r="31">
          <cell r="B31" t="str">
            <v>DA Phone</v>
          </cell>
          <cell r="C31" t="str">
            <v>207 776 6150</v>
          </cell>
        </row>
        <row r="32">
          <cell r="B32" t="str">
            <v>DA Ph. Ext. #</v>
          </cell>
          <cell r="C32" t="str">
            <v>207 776 6150</v>
          </cell>
        </row>
        <row r="33">
          <cell r="B33" t="str">
            <v xml:space="preserve">DA Email </v>
          </cell>
          <cell r="C33" t="str">
            <v>STAPLES.OLIVIA @ace.aaa.com</v>
          </cell>
        </row>
        <row r="34">
          <cell r="B34" t="str">
            <v>Field Adjuster Name</v>
          </cell>
          <cell r="C34" t="str">
            <v>FA</v>
          </cell>
        </row>
        <row r="35">
          <cell r="B35" t="str">
            <v>Phone # field adj</v>
          </cell>
          <cell r="C35" t="str">
            <v>FA</v>
          </cell>
        </row>
        <row r="36">
          <cell r="B36" t="str">
            <v>Field adj email</v>
          </cell>
          <cell r="C36" t="str">
            <v>PH</v>
          </cell>
        </row>
        <row r="37">
          <cell r="B37" t="str">
            <v>adj contents</v>
          </cell>
          <cell r="C37" t="str">
            <v>TBD</v>
          </cell>
        </row>
        <row r="38">
          <cell r="B38" t="str">
            <v>adj CPS phone #</v>
          </cell>
          <cell r="C38" t="str">
            <v>TBD</v>
          </cell>
        </row>
        <row r="39">
          <cell r="B39" t="str">
            <v>adj CPS email</v>
          </cell>
          <cell r="C39" t="str">
            <v>TBD</v>
          </cell>
        </row>
        <row r="40">
          <cell r="B40" t="str">
            <v>TMP adj</v>
          </cell>
          <cell r="C40" t="str">
            <v>TBD</v>
          </cell>
        </row>
        <row r="41">
          <cell r="B41" t="str">
            <v>TMP adj phone #</v>
          </cell>
          <cell r="C41" t="str">
            <v>TBD</v>
          </cell>
        </row>
        <row r="42">
          <cell r="B42" t="str">
            <v>adj TMP email</v>
          </cell>
          <cell r="C42" t="str">
            <v>TBD</v>
          </cell>
        </row>
        <row r="51">
          <cell r="C51" t="str">
            <v>OH25 LACEY, E</v>
          </cell>
        </row>
        <row r="100">
          <cell r="C100" t="str">
            <v>All Phase Consulting, LLC</v>
          </cell>
          <cell r="D100" t="str">
            <v>Wayside Builders, LLC</v>
          </cell>
        </row>
        <row r="112">
          <cell r="C112" t="str">
            <v>Joe Jones, PM  216.450.7228</v>
          </cell>
          <cell r="D112" t="str">
            <v>Tony Jones 216.347.2656</v>
          </cell>
        </row>
      </sheetData>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opeCHLST"/>
      <sheetName val="LISTS ENC"/>
      <sheetName val="kit bath"/>
      <sheetName val="jobinfo(2)"/>
      <sheetName val="quicklist"/>
      <sheetName val="chklst"/>
      <sheetName val="pics"/>
      <sheetName val="brief"/>
      <sheetName val="HMR"/>
      <sheetName val="mnt EXT"/>
      <sheetName val="LABEL10X"/>
      <sheetName val="forms"/>
      <sheetName val="ScopeINT"/>
      <sheetName val="INT QUICK"/>
      <sheetName val="RFG LABELS"/>
      <sheetName val="Scope 2"/>
      <sheetName val="Scope 3"/>
      <sheetName val="Scope 4"/>
    </sheetNames>
    <sheetDataSet>
      <sheetData sheetId="0"/>
      <sheetData sheetId="1"/>
      <sheetData sheetId="2"/>
      <sheetData sheetId="3">
        <row r="1">
          <cell r="C1" t="str">
            <v>MONTGOMERY, JAVIONNA ANTONIO</v>
          </cell>
        </row>
        <row r="5">
          <cell r="C5" t="str">
            <v>(216) 551-5572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EBD3A2-3591-4D56-805A-89A2550800AF}" name="Table2" displayName="Table2" ref="C18:F31" headerRowCount="0" totalsRowShown="0" headerRowDxfId="8" dataDxfId="7" tableBorderDxfId="6">
  <tableColumns count="4">
    <tableColumn id="1" xr3:uid="{D71C7558-F039-44FD-AB2E-4D5FBF115296}" name="Column1" dataDxfId="5"/>
    <tableColumn id="4" xr3:uid="{842D1722-D7C4-4EA8-A1A6-B16F67430FAF}" name="Column4" dataDxfId="4"/>
    <tableColumn id="2" xr3:uid="{9C9AC948-7DAB-430A-AC3D-7EDE155CF5C0}" name="Column2" headerRowDxfId="3" dataDxfId="2"/>
    <tableColumn id="3" xr3:uid="{254B26DA-8902-4BCA-B4EB-48989542D87A}" name="Column3" headerRowDxfId="1" dataDxfId="0"/>
  </tableColumns>
  <tableStyleInfo name="TableStyleLight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mailto:claims@claims.allstate.com" TargetMode="External"/><Relationship Id="rId2" Type="http://schemas.openxmlformats.org/officeDocument/2006/relationships/hyperlink" Target="mailto:wsbjoe9@gmail.com" TargetMode="External"/><Relationship Id="rId1" Type="http://schemas.openxmlformats.org/officeDocument/2006/relationships/hyperlink" Target="http://www.akbuilds.com/" TargetMode="External"/><Relationship Id="rId5" Type="http://schemas.openxmlformats.org/officeDocument/2006/relationships/printerSettings" Target="../printerSettings/printerSettings4.bin"/><Relationship Id="rId4" Type="http://schemas.openxmlformats.org/officeDocument/2006/relationships/hyperlink" Target="mailto:KHAIAKEN@SBCGLOBAL.NET"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6" Type="http://schemas.openxmlformats.org/officeDocument/2006/relationships/hyperlink" Target="https://encircleapp.com/app/property-claims/claim/4154073/activity/structure/4971494/room/29242095" TargetMode="External"/><Relationship Id="rId21" Type="http://schemas.openxmlformats.org/officeDocument/2006/relationships/hyperlink" Target="https://encircleapp.com/app/property-claims/claim/4154073/activity/structure/4971494/room/29242090" TargetMode="External"/><Relationship Id="rId42" Type="http://schemas.openxmlformats.org/officeDocument/2006/relationships/hyperlink" Target="https://encircleapp.com/app/property-claims/claim/4154073/activity/structure/4971494/room/29242072" TargetMode="External"/><Relationship Id="rId47" Type="http://schemas.openxmlformats.org/officeDocument/2006/relationships/hyperlink" Target="https://encircleapp.com/app/property-claims/claim/4154073/activity/structure/4971494/room/29242114" TargetMode="External"/><Relationship Id="rId63" Type="http://schemas.openxmlformats.org/officeDocument/2006/relationships/hyperlink" Target="https://encircleapp.com/app/property-claims/claim/4154073/activity/structure/4971494/room/29242125" TargetMode="External"/><Relationship Id="rId68" Type="http://schemas.openxmlformats.org/officeDocument/2006/relationships/hyperlink" Target="https://encircleapp.com/app/property-claims/claim/4154073/activity/structure/4971494/room/29242130" TargetMode="External"/><Relationship Id="rId84" Type="http://schemas.openxmlformats.org/officeDocument/2006/relationships/hyperlink" Target="https://encircleapp.com/app/property-claims/claim/4154073/activity/structure/4971494/room/29242147" TargetMode="External"/><Relationship Id="rId89" Type="http://schemas.openxmlformats.org/officeDocument/2006/relationships/hyperlink" Target="https://encircleapp.com/app/property-claims/claim/4154073/activity/structure/4971494/room/29242079" TargetMode="External"/><Relationship Id="rId16" Type="http://schemas.openxmlformats.org/officeDocument/2006/relationships/hyperlink" Target="https://encircleapp.com/app/property-claims/claim/4154073/activity/structure/4971494/room/29242085" TargetMode="External"/><Relationship Id="rId11" Type="http://schemas.openxmlformats.org/officeDocument/2006/relationships/hyperlink" Target="https://encircleapp.com/app/property-claims/claim/4154073/activity/structure/4971494/room/29242080" TargetMode="External"/><Relationship Id="rId32" Type="http://schemas.openxmlformats.org/officeDocument/2006/relationships/hyperlink" Target="https://encircleapp.com/app/property-claims/claim/4154073/activity/structure/4971494/room/29242101" TargetMode="External"/><Relationship Id="rId37" Type="http://schemas.openxmlformats.org/officeDocument/2006/relationships/hyperlink" Target="https://encircleapp.com/app/property-claims/claim/4154073/activity/structure/4971494/room/29242106" TargetMode="External"/><Relationship Id="rId53" Type="http://schemas.openxmlformats.org/officeDocument/2006/relationships/hyperlink" Target="https://encircleapp.com/app/property-claims/claim/4154073/activity/structure/4971494/room/29242119" TargetMode="External"/><Relationship Id="rId58" Type="http://schemas.openxmlformats.org/officeDocument/2006/relationships/hyperlink" Target="https://encircleapp.com/app/property-claims/claim/4154073/activity/structure/4971494/room/29242120" TargetMode="External"/><Relationship Id="rId74" Type="http://schemas.openxmlformats.org/officeDocument/2006/relationships/hyperlink" Target="https://encircleapp.com/app/property-claims/claim/4154073/activity/structure/4971494/room/29242137" TargetMode="External"/><Relationship Id="rId79" Type="http://schemas.openxmlformats.org/officeDocument/2006/relationships/hyperlink" Target="https://encircleapp.com/app/property-claims/claim/4154073/activity/structure/4971494/room/29242142" TargetMode="External"/><Relationship Id="rId5" Type="http://schemas.openxmlformats.org/officeDocument/2006/relationships/hyperlink" Target="https://encircleapp.com/app/property-claims/claim/4154073/activity/structure/4971494/room/29242064" TargetMode="External"/><Relationship Id="rId90" Type="http://schemas.openxmlformats.org/officeDocument/2006/relationships/printerSettings" Target="../printerSettings/printerSettings13.bin"/><Relationship Id="rId14" Type="http://schemas.openxmlformats.org/officeDocument/2006/relationships/hyperlink" Target="https://encircleapp.com/app/property-claims/claim/4154073/activity/structure/4971494/room/29242083" TargetMode="External"/><Relationship Id="rId22" Type="http://schemas.openxmlformats.org/officeDocument/2006/relationships/hyperlink" Target="https://encircleapp.com/app/property-claims/claim/4154073/activity/structure/4971494/room/29242091" TargetMode="External"/><Relationship Id="rId27" Type="http://schemas.openxmlformats.org/officeDocument/2006/relationships/hyperlink" Target="https://encircleapp.com/app/property-claims/claim/4154073/activity/structure/4971494/room/29242096" TargetMode="External"/><Relationship Id="rId30" Type="http://schemas.openxmlformats.org/officeDocument/2006/relationships/hyperlink" Target="https://encircleapp.com/app/property-claims/claim/4154073/activity/structure/4971494/room/29242099" TargetMode="External"/><Relationship Id="rId35" Type="http://schemas.openxmlformats.org/officeDocument/2006/relationships/hyperlink" Target="https://encircleapp.com/app/property-claims/claim/4154073/activity/structure/4971494/room/29242104" TargetMode="External"/><Relationship Id="rId43" Type="http://schemas.openxmlformats.org/officeDocument/2006/relationships/hyperlink" Target="https://encircleapp.com/app/property-claims/claim/4154073/activity/structure/4971494/room/29242073" TargetMode="External"/><Relationship Id="rId48" Type="http://schemas.openxmlformats.org/officeDocument/2006/relationships/hyperlink" Target="https://encircleapp.com/app/property-claims/claim/4154073/activity/structure/4971494/room/29242113" TargetMode="External"/><Relationship Id="rId56" Type="http://schemas.openxmlformats.org/officeDocument/2006/relationships/hyperlink" Target="https://encircleapp.com/app/property-claims/claim/4154073/activity/structure/4971494/room/29242076" TargetMode="External"/><Relationship Id="rId64" Type="http://schemas.openxmlformats.org/officeDocument/2006/relationships/hyperlink" Target="https://encircleapp.com/app/property-claims/claim/4154073/activity/structure/4971494/room/29242126" TargetMode="External"/><Relationship Id="rId69" Type="http://schemas.openxmlformats.org/officeDocument/2006/relationships/hyperlink" Target="https://encircleapp.com/app/property-claims/claim/4154073/activity/structure/4971494/room/29242132" TargetMode="External"/><Relationship Id="rId77" Type="http://schemas.openxmlformats.org/officeDocument/2006/relationships/hyperlink" Target="https://encircleapp.com/app/property-claims/claim/4154073/activity/structure/4971494/room/29242140" TargetMode="External"/><Relationship Id="rId8" Type="http://schemas.openxmlformats.org/officeDocument/2006/relationships/hyperlink" Target="https://encircleapp.com/app/property-claims/claim/4154073/activity/structure/4971494/room/29242067" TargetMode="External"/><Relationship Id="rId51" Type="http://schemas.openxmlformats.org/officeDocument/2006/relationships/hyperlink" Target="https://encircleapp.com/app/property-claims/claim/4154073/activity/structure/4971494/room/29242117" TargetMode="External"/><Relationship Id="rId72" Type="http://schemas.openxmlformats.org/officeDocument/2006/relationships/hyperlink" Target="https://encircleapp.com/app/property-claims/claim/4154073/activity/structure/4971494/room/29242135" TargetMode="External"/><Relationship Id="rId80" Type="http://schemas.openxmlformats.org/officeDocument/2006/relationships/hyperlink" Target="https://encircleapp.com/app/property-claims/claim/4154073/activity/structure/4971494/room/29242143" TargetMode="External"/><Relationship Id="rId85" Type="http://schemas.openxmlformats.org/officeDocument/2006/relationships/hyperlink" Target="https://encircleapp.com/app/property-claims/claim/4154073/activity/structure/4971494/room/29242148" TargetMode="External"/><Relationship Id="rId3" Type="http://schemas.openxmlformats.org/officeDocument/2006/relationships/hyperlink" Target="https://www.getencircle.com/product-walkthrough-floor-plan" TargetMode="External"/><Relationship Id="rId12" Type="http://schemas.openxmlformats.org/officeDocument/2006/relationships/hyperlink" Target="https://encircleapp.com/app/property-claims/claim/4154073/activity/structure/4971494/room/29242081" TargetMode="External"/><Relationship Id="rId17" Type="http://schemas.openxmlformats.org/officeDocument/2006/relationships/hyperlink" Target="https://encircleapp.com/app/property-claims/claim/4154073/activity/structure/4971494/room/29242086" TargetMode="External"/><Relationship Id="rId25" Type="http://schemas.openxmlformats.org/officeDocument/2006/relationships/hyperlink" Target="https://encircleapp.com/app/property-claims/claim/4154073/activity/structure/4971494/room/29242094" TargetMode="External"/><Relationship Id="rId33" Type="http://schemas.openxmlformats.org/officeDocument/2006/relationships/hyperlink" Target="https://encircleapp.com/app/property-claims/claim/4154073/activity/structure/4971494/room/29242102" TargetMode="External"/><Relationship Id="rId38" Type="http://schemas.openxmlformats.org/officeDocument/2006/relationships/hyperlink" Target="https://encircleapp.com/app/property-claims/claim/4154073/activity/structure/4971494/room/29242107" TargetMode="External"/><Relationship Id="rId46" Type="http://schemas.openxmlformats.org/officeDocument/2006/relationships/hyperlink" Target="https://encircleapp.com/app/property-claims/claim/4154073/activity/structure/4971494/room/29242112" TargetMode="External"/><Relationship Id="rId59" Type="http://schemas.openxmlformats.org/officeDocument/2006/relationships/hyperlink" Target="https://encircleapp.com/app/property-claims/claim/4154073/activity/structure/4971494/room/29242121" TargetMode="External"/><Relationship Id="rId67" Type="http://schemas.openxmlformats.org/officeDocument/2006/relationships/hyperlink" Target="https://encircleapp.com/app/property-claims/claim/4154073/activity/structure/4971494/room/29242129" TargetMode="External"/><Relationship Id="rId20" Type="http://schemas.openxmlformats.org/officeDocument/2006/relationships/hyperlink" Target="https://encircleapp.com/app/property-claims/claim/4154073/activity/structure/4971494/room/29242089" TargetMode="External"/><Relationship Id="rId41" Type="http://schemas.openxmlformats.org/officeDocument/2006/relationships/hyperlink" Target="https://encircleapp.com/app/property-claims/claim/4154073/activity/structure/4971494/room/29242071" TargetMode="External"/><Relationship Id="rId54" Type="http://schemas.openxmlformats.org/officeDocument/2006/relationships/hyperlink" Target="https://encircleapp.com/app/property-claims/claim/4154073/activity/structure/4971494/room/29242074" TargetMode="External"/><Relationship Id="rId62" Type="http://schemas.openxmlformats.org/officeDocument/2006/relationships/hyperlink" Target="https://encircleapp.com/app/property-claims/claim/4154073/activity/structure/4971494/room/29242124" TargetMode="External"/><Relationship Id="rId70" Type="http://schemas.openxmlformats.org/officeDocument/2006/relationships/hyperlink" Target="https://encircleapp.com/app/property-claims/claim/4154073/activity/structure/4971494/room/29242133" TargetMode="External"/><Relationship Id="rId75" Type="http://schemas.openxmlformats.org/officeDocument/2006/relationships/hyperlink" Target="https://encircleapp.com/app/property-claims/claim/4154073/activity/structure/4971494/room/29242138" TargetMode="External"/><Relationship Id="rId83" Type="http://schemas.openxmlformats.org/officeDocument/2006/relationships/hyperlink" Target="https://encircleapp.com/app/property-claims/claim/4154073/activity/structure/4971494/room/29242146" TargetMode="External"/><Relationship Id="rId88" Type="http://schemas.openxmlformats.org/officeDocument/2006/relationships/hyperlink" Target="https://encircleapp.com/app/property-claims/claim/4154073/activity/structure/4971494/room/29242078" TargetMode="External"/><Relationship Id="rId1" Type="http://schemas.openxmlformats.org/officeDocument/2006/relationships/hyperlink" Target="https://encircleapp.com/app/property-claims" TargetMode="External"/><Relationship Id="rId6" Type="http://schemas.openxmlformats.org/officeDocument/2006/relationships/hyperlink" Target="https://encircleapp.com/app/property-claims/claim/4154073/activity/structure/4971494/room/29242065" TargetMode="External"/><Relationship Id="rId15" Type="http://schemas.openxmlformats.org/officeDocument/2006/relationships/hyperlink" Target="https://encircleapp.com/app/property-claims/claim/4154073/activity/structure/4971494/room/29242084" TargetMode="External"/><Relationship Id="rId23" Type="http://schemas.openxmlformats.org/officeDocument/2006/relationships/hyperlink" Target="https://encircleapp.com/app/property-claims/claim/4154073/activity/structure/4971494/room/29242092" TargetMode="External"/><Relationship Id="rId28" Type="http://schemas.openxmlformats.org/officeDocument/2006/relationships/hyperlink" Target="https://encircleapp.com/app/property-claims/claim/4154073/activity/structure/4971494/room/29242097" TargetMode="External"/><Relationship Id="rId36" Type="http://schemas.openxmlformats.org/officeDocument/2006/relationships/hyperlink" Target="https://encircleapp.com/app/property-claims/claim/4154073/activity/structure/4971494/room/29242105" TargetMode="External"/><Relationship Id="rId49" Type="http://schemas.openxmlformats.org/officeDocument/2006/relationships/hyperlink" Target="https://encircleapp.com/app/property-claims/claim/4154073/activity/structure/4971494/room/29242116" TargetMode="External"/><Relationship Id="rId57" Type="http://schemas.openxmlformats.org/officeDocument/2006/relationships/hyperlink" Target="https://encircleapp.com/app/property-claims/claim/4154073/activity/structure/4971494/room/29242077" TargetMode="External"/><Relationship Id="rId10" Type="http://schemas.openxmlformats.org/officeDocument/2006/relationships/hyperlink" Target="https://encircleapp.com/app/property-claims/claim/4154073/activity/structure/4971494/room/29242070" TargetMode="External"/><Relationship Id="rId31" Type="http://schemas.openxmlformats.org/officeDocument/2006/relationships/hyperlink" Target="https://encircleapp.com/app/property-claims/claim/4154073/activity/structure/4971494/room/29242100" TargetMode="External"/><Relationship Id="rId44" Type="http://schemas.openxmlformats.org/officeDocument/2006/relationships/hyperlink" Target="https://encircleapp.com/app/property-claims/claim/4154073/activity/structure/4971494/room/29242110" TargetMode="External"/><Relationship Id="rId52" Type="http://schemas.openxmlformats.org/officeDocument/2006/relationships/hyperlink" Target="https://encircleapp.com/app/property-claims/claim/4154073/activity/structure/4971494/room/29242118" TargetMode="External"/><Relationship Id="rId60" Type="http://schemas.openxmlformats.org/officeDocument/2006/relationships/hyperlink" Target="https://encircleapp.com/app/property-claims/claim/4154073/activity/structure/4971494/room/29242122" TargetMode="External"/><Relationship Id="rId65" Type="http://schemas.openxmlformats.org/officeDocument/2006/relationships/hyperlink" Target="https://encircleapp.com/app/property-claims/claim/4154073/activity/structure/4971494/room/29242127" TargetMode="External"/><Relationship Id="rId73" Type="http://schemas.openxmlformats.org/officeDocument/2006/relationships/hyperlink" Target="https://encircleapp.com/app/property-claims/claim/4154073/activity/structure/4971494/room/29242136" TargetMode="External"/><Relationship Id="rId78" Type="http://schemas.openxmlformats.org/officeDocument/2006/relationships/hyperlink" Target="https://encircleapp.com/app/property-claims/claim/4154073/activity/structure/4971494/room/29242141" TargetMode="External"/><Relationship Id="rId81" Type="http://schemas.openxmlformats.org/officeDocument/2006/relationships/hyperlink" Target="https://encircleapp.com/app/property-claims/claim/4154073/activity/structure/4971494/room/29242144" TargetMode="External"/><Relationship Id="rId86" Type="http://schemas.openxmlformats.org/officeDocument/2006/relationships/hyperlink" Target="https://encircleapp.com/app/property-claims/claim/4154073/activity/structure/4971494/room/29242149" TargetMode="External"/><Relationship Id="rId4" Type="http://schemas.openxmlformats.org/officeDocument/2006/relationships/hyperlink" Target="https://encircleapp.com/app/property-claims/claim/4154073/activity/structure/4971494/room/29242063" TargetMode="External"/><Relationship Id="rId9" Type="http://schemas.openxmlformats.org/officeDocument/2006/relationships/hyperlink" Target="https://encircleapp.com/app/property-claims/claim/4154073/activity/structure/4971494/room/29242069" TargetMode="External"/><Relationship Id="rId13" Type="http://schemas.openxmlformats.org/officeDocument/2006/relationships/hyperlink" Target="https://encircleapp.com/app/property-claims/claim/4154073/activity/structure/4971494/room/29242082" TargetMode="External"/><Relationship Id="rId18" Type="http://schemas.openxmlformats.org/officeDocument/2006/relationships/hyperlink" Target="https://encircleapp.com/app/property-claims/claim/4154073/activity/structure/4971494/room/29242087" TargetMode="External"/><Relationship Id="rId39" Type="http://schemas.openxmlformats.org/officeDocument/2006/relationships/hyperlink" Target="https://encircleapp.com/app/property-claims/claim/4154073/activity/structure/4971494/room/29242108" TargetMode="External"/><Relationship Id="rId34" Type="http://schemas.openxmlformats.org/officeDocument/2006/relationships/hyperlink" Target="https://encircleapp.com/app/property-claims/claim/4154073/activity/structure/4971494/room/29242103" TargetMode="External"/><Relationship Id="rId50" Type="http://schemas.openxmlformats.org/officeDocument/2006/relationships/hyperlink" Target="https://encircleapp.com/app/property-claims/claim/4154073/activity/structure/4971494/room/29242115" TargetMode="External"/><Relationship Id="rId55" Type="http://schemas.openxmlformats.org/officeDocument/2006/relationships/hyperlink" Target="https://encircleapp.com/app/property-claims/claim/4154073/activity/structure/4971494/room/29242075" TargetMode="External"/><Relationship Id="rId76" Type="http://schemas.openxmlformats.org/officeDocument/2006/relationships/hyperlink" Target="https://encircleapp.com/app/property-claims/claim/4154073/activity/structure/4971494/room/29242139" TargetMode="External"/><Relationship Id="rId7" Type="http://schemas.openxmlformats.org/officeDocument/2006/relationships/hyperlink" Target="https://encircleapp.com/app/property-claims/claim/4154073/activity/structure/4971494/room/29242066" TargetMode="External"/><Relationship Id="rId71" Type="http://schemas.openxmlformats.org/officeDocument/2006/relationships/hyperlink" Target="https://encircleapp.com/app/property-claims/claim/4154073/activity/structure/4971494/room/29242134" TargetMode="External"/><Relationship Id="rId2" Type="http://schemas.openxmlformats.org/officeDocument/2006/relationships/hyperlink" Target="https://encircleapp.com/app/property-claims/claim/4154073/structures-and-rooms/structure/4971494" TargetMode="External"/><Relationship Id="rId29" Type="http://schemas.openxmlformats.org/officeDocument/2006/relationships/hyperlink" Target="https://encircleapp.com/app/property-claims/claim/4154073/activity/structure/4971494/room/29242098" TargetMode="External"/><Relationship Id="rId24" Type="http://schemas.openxmlformats.org/officeDocument/2006/relationships/hyperlink" Target="https://encircleapp.com/app/property-claims/claim/4154073/activity/structure/4971494/room/29242093" TargetMode="External"/><Relationship Id="rId40" Type="http://schemas.openxmlformats.org/officeDocument/2006/relationships/hyperlink" Target="https://encircleapp.com/app/property-claims/claim/4154073/activity/structure/4971494/room/29242109" TargetMode="External"/><Relationship Id="rId45" Type="http://schemas.openxmlformats.org/officeDocument/2006/relationships/hyperlink" Target="https://encircleapp.com/app/property-claims/claim/4154073/activity/structure/4971494/room/29242111" TargetMode="External"/><Relationship Id="rId66" Type="http://schemas.openxmlformats.org/officeDocument/2006/relationships/hyperlink" Target="https://encircleapp.com/app/property-claims/claim/4154073/activity/structure/4971494/room/29242128" TargetMode="External"/><Relationship Id="rId87" Type="http://schemas.openxmlformats.org/officeDocument/2006/relationships/hyperlink" Target="https://encircleapp.com/app/property-claims/claim/4154073/activity/structure/4971494/room/29242150" TargetMode="External"/><Relationship Id="rId61" Type="http://schemas.openxmlformats.org/officeDocument/2006/relationships/hyperlink" Target="https://encircleapp.com/app/property-claims/claim/4154073/activity/structure/4971494/room/29242123" TargetMode="External"/><Relationship Id="rId82" Type="http://schemas.openxmlformats.org/officeDocument/2006/relationships/hyperlink" Target="https://encircleapp.com/app/property-claims/claim/4154073/activity/structure/4971494/room/29242145" TargetMode="External"/><Relationship Id="rId19" Type="http://schemas.openxmlformats.org/officeDocument/2006/relationships/hyperlink" Target="https://encircleapp.com/app/property-claims/claim/4154073/activity/structure/4971494/room/29242088"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mailto:manage.apc@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318A9-D180-4CD9-9C10-8A2E09DC8353}">
  <sheetPr codeName="Sheet1"/>
  <dimension ref="A1:C12"/>
  <sheetViews>
    <sheetView topLeftCell="A4" zoomScaleNormal="100" workbookViewId="0">
      <selection activeCell="B20" sqref="B20"/>
    </sheetView>
  </sheetViews>
  <sheetFormatPr defaultColWidth="6.5" defaultRowHeight="21"/>
  <cols>
    <col min="1" max="1" width="7.59765625" style="175" customWidth="1"/>
    <col min="2" max="2" width="74.5" style="338" customWidth="1"/>
    <col min="3" max="3" width="0.8984375" style="146" customWidth="1"/>
    <col min="4" max="16384" width="6.5" style="146"/>
  </cols>
  <sheetData>
    <row r="1" spans="1:3" ht="43.95" customHeight="1">
      <c r="A1" s="191" t="s">
        <v>0</v>
      </c>
      <c r="B1" s="336"/>
      <c r="C1" s="192"/>
    </row>
    <row r="2" spans="1:3" ht="66" customHeight="1">
      <c r="B2" s="844" t="s">
        <v>1</v>
      </c>
      <c r="C2" s="844"/>
    </row>
    <row r="3" spans="1:3" ht="43.95" customHeight="1">
      <c r="A3" s="175" t="s">
        <v>2</v>
      </c>
      <c r="B3" s="336" t="s">
        <v>3</v>
      </c>
      <c r="C3" s="147"/>
    </row>
    <row r="4" spans="1:3" ht="43.95" customHeight="1">
      <c r="A4" s="190" t="s">
        <v>2</v>
      </c>
      <c r="B4" s="337" t="str">
        <f>+'quick chklst'!A1</f>
        <v>BASIC SUMMARY OF RESTORATION PROCESS; (Quick version).</v>
      </c>
      <c r="C4" s="147"/>
    </row>
    <row r="5" spans="1:3" ht="43.95" customHeight="1">
      <c r="A5" s="190"/>
      <c r="B5" s="337"/>
      <c r="C5" s="147"/>
    </row>
    <row r="6" spans="1:3" ht="43.95" customHeight="1">
      <c r="A6" s="175" t="s">
        <v>2</v>
      </c>
      <c r="B6" s="336" t="e">
        <f>+#REF!</f>
        <v>#REF!</v>
      </c>
      <c r="C6" s="147"/>
    </row>
    <row r="7" spans="1:3" ht="43.95" customHeight="1">
      <c r="A7" s="190" t="s">
        <v>2</v>
      </c>
      <c r="B7" s="338" t="e">
        <f>ENC!#REF!</f>
        <v>#REF!</v>
      </c>
      <c r="C7" s="148"/>
    </row>
    <row r="8" spans="1:3" ht="43.95" customHeight="1">
      <c r="A8" s="175" t="s">
        <v>2</v>
      </c>
      <c r="B8" s="336" t="str">
        <f>ENC!A1</f>
        <v xml:space="preserve">ENCIRCLE </v>
      </c>
      <c r="C8" s="147"/>
    </row>
    <row r="9" spans="1:3" ht="43.95" customHeight="1">
      <c r="A9" s="190" t="s">
        <v>2</v>
      </c>
      <c r="B9" s="338" t="e">
        <f>+#REF!</f>
        <v>#REF!</v>
      </c>
      <c r="C9" s="147"/>
    </row>
    <row r="10" spans="1:3" ht="43.95" customHeight="1">
      <c r="A10" s="175" t="s">
        <v>2</v>
      </c>
      <c r="B10" s="336" t="e">
        <f>+#REF!</f>
        <v>#REF!</v>
      </c>
      <c r="C10" s="147"/>
    </row>
    <row r="11" spans="1:3" ht="43.95" customHeight="1">
      <c r="A11" s="190" t="s">
        <v>2</v>
      </c>
      <c r="B11" s="338" t="str">
        <f>+'how2'!A115</f>
        <v>Note on creating the New Custmer Contract &amp; Docs</v>
      </c>
      <c r="C11" s="147"/>
    </row>
    <row r="12" spans="1:3" ht="43.95" customHeight="1">
      <c r="A12" s="175" t="s">
        <v>2</v>
      </c>
      <c r="B12" s="336" t="s">
        <v>4</v>
      </c>
      <c r="C12" s="147"/>
    </row>
  </sheetData>
  <mergeCells count="1">
    <mergeCell ref="B2:C2"/>
  </mergeCells>
  <printOptions gridLines="1"/>
  <pageMargins left="0.56000000000000005" right="0.27" top="0.46" bottom="0.75" header="0.3" footer="0.3"/>
  <pageSetup orientation="portrait" r:id="rId1"/>
  <headerFooter>
    <oddFooter>&amp;L&amp;P&amp;C&amp;A&amp;R&amp;F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C523E-DA7D-4380-8A7D-81A68DD94BC3}">
  <sheetPr codeName="Sheet7"/>
  <dimension ref="A1:G118"/>
  <sheetViews>
    <sheetView view="pageBreakPreview" zoomScaleNormal="100" zoomScaleSheetLayoutView="100" workbookViewId="0">
      <selection activeCell="A16" sqref="A16"/>
    </sheetView>
  </sheetViews>
  <sheetFormatPr defaultColWidth="8.69921875" defaultRowHeight="21.6" customHeight="1"/>
  <cols>
    <col min="1" max="1" width="6.59765625" style="102" customWidth="1"/>
    <col min="2" max="2" width="1.5" style="101" hidden="1" customWidth="1"/>
    <col min="3" max="3" width="66.3984375" style="101" customWidth="1"/>
    <col min="4" max="4" width="15" style="101" customWidth="1"/>
    <col min="5" max="5" width="4.19921875" style="101" customWidth="1"/>
    <col min="6" max="6" width="5.19921875" style="101" customWidth="1"/>
  </cols>
  <sheetData>
    <row r="1" spans="1:7" ht="21.6" customHeight="1">
      <c r="A1" s="136" t="s">
        <v>5</v>
      </c>
      <c r="B1" s="134"/>
      <c r="D1" s="135" t="str">
        <f>+'jobinfo(2)'!C2</f>
        <v>3922 E 189 STR</v>
      </c>
    </row>
    <row r="2" spans="1:7" ht="21.6" customHeight="1">
      <c r="A2" s="645" t="s">
        <v>6</v>
      </c>
      <c r="B2" s="133"/>
      <c r="C2" s="331" t="str">
        <f>+'jobinfo(2)'!C51</f>
        <v>OH25 BROWNLEE @E189</v>
      </c>
      <c r="D2" s="135" t="str">
        <f>+'jobinfo(2)'!C3</f>
        <v>CLEVELAND, OH 44128</v>
      </c>
    </row>
    <row r="3" spans="1:7" ht="21.6" customHeight="1">
      <c r="A3" s="825">
        <v>1</v>
      </c>
      <c r="B3" s="132" t="s">
        <v>7</v>
      </c>
      <c r="C3" s="154" t="s">
        <v>8</v>
      </c>
      <c r="D3" s="846" t="s">
        <v>9</v>
      </c>
      <c r="E3" s="846"/>
      <c r="F3" s="846"/>
    </row>
    <row r="4" spans="1:7" ht="21.6" customHeight="1">
      <c r="A4" s="824"/>
      <c r="B4" s="131"/>
      <c r="C4" s="130" t="s">
        <v>10</v>
      </c>
      <c r="D4" s="139" t="str">
        <f>'jobinfo(2)'!C26</f>
        <v>ALLSTATE INS CO.</v>
      </c>
      <c r="E4" s="161"/>
      <c r="F4" s="163"/>
      <c r="G4">
        <v>100</v>
      </c>
    </row>
    <row r="5" spans="1:7" ht="21.6" customHeight="1">
      <c r="A5" s="847" t="s">
        <v>11</v>
      </c>
      <c r="C5" s="124" t="s">
        <v>12</v>
      </c>
      <c r="D5" s="111" t="s">
        <v>13</v>
      </c>
      <c r="E5" s="118"/>
      <c r="F5" s="117"/>
    </row>
    <row r="6" spans="1:7" ht="21.6" customHeight="1">
      <c r="A6" s="847"/>
      <c r="C6" s="129" t="s">
        <v>14</v>
      </c>
      <c r="D6" s="108" t="s">
        <v>13</v>
      </c>
      <c r="E6" s="161"/>
      <c r="F6" s="163"/>
    </row>
    <row r="7" spans="1:7" ht="21.6" customHeight="1">
      <c r="A7" s="847"/>
      <c r="C7" s="128" t="s">
        <v>15</v>
      </c>
      <c r="D7" s="111" t="s">
        <v>13</v>
      </c>
      <c r="E7" s="118"/>
      <c r="F7" s="117"/>
    </row>
    <row r="8" spans="1:7" ht="21.6" customHeight="1">
      <c r="A8" s="847"/>
      <c r="C8" s="124" t="s">
        <v>16</v>
      </c>
      <c r="D8" s="109" t="s">
        <v>13</v>
      </c>
      <c r="E8" s="161"/>
      <c r="F8" s="163"/>
      <c r="G8">
        <v>200</v>
      </c>
    </row>
    <row r="9" spans="1:7" ht="21.6" customHeight="1">
      <c r="A9" s="825">
        <v>2</v>
      </c>
      <c r="B9" s="127" t="s">
        <v>17</v>
      </c>
      <c r="C9" s="126" t="s">
        <v>18</v>
      </c>
      <c r="D9" s="125" t="s">
        <v>13</v>
      </c>
      <c r="E9" s="125"/>
      <c r="F9" s="125"/>
    </row>
    <row r="10" spans="1:7" ht="21.6" customHeight="1">
      <c r="A10" s="848"/>
      <c r="B10" s="106"/>
      <c r="C10" s="124" t="s">
        <v>19</v>
      </c>
      <c r="D10" s="123" t="s">
        <v>13</v>
      </c>
      <c r="E10" s="164"/>
      <c r="F10" s="165"/>
    </row>
    <row r="11" spans="1:7" ht="21.6" customHeight="1">
      <c r="A11" s="848"/>
      <c r="B11" s="106"/>
      <c r="C11" s="121" t="s">
        <v>20</v>
      </c>
      <c r="D11" s="111" t="s">
        <v>13</v>
      </c>
      <c r="E11" s="118"/>
      <c r="F11" s="117"/>
      <c r="G11">
        <v>500</v>
      </c>
    </row>
    <row r="12" spans="1:7" ht="21.6" customHeight="1">
      <c r="A12" s="823" t="s">
        <v>21</v>
      </c>
      <c r="B12" s="106"/>
      <c r="C12" s="166" t="s">
        <v>22</v>
      </c>
      <c r="D12" s="108" t="s">
        <v>13</v>
      </c>
      <c r="E12" s="164"/>
      <c r="F12" s="165"/>
    </row>
    <row r="13" spans="1:7" ht="21.6" customHeight="1">
      <c r="A13" s="157"/>
      <c r="B13" s="106"/>
      <c r="C13" s="122" t="s">
        <v>23</v>
      </c>
      <c r="D13" s="111" t="s">
        <v>13</v>
      </c>
      <c r="E13" s="164"/>
      <c r="F13" s="165"/>
    </row>
    <row r="14" spans="1:7" ht="21.6" customHeight="1">
      <c r="A14" s="823" t="s">
        <v>24</v>
      </c>
      <c r="B14" s="106"/>
      <c r="C14" s="121" t="s">
        <v>25</v>
      </c>
      <c r="D14" s="123" t="s">
        <v>13</v>
      </c>
      <c r="E14" s="164"/>
      <c r="F14" s="165"/>
    </row>
    <row r="15" spans="1:7" ht="21.6" customHeight="1">
      <c r="A15" s="137"/>
      <c r="B15" s="106"/>
      <c r="C15" s="121" t="s">
        <v>26</v>
      </c>
      <c r="D15" s="111" t="s">
        <v>13</v>
      </c>
      <c r="E15" s="118"/>
      <c r="F15" s="117"/>
    </row>
    <row r="16" spans="1:7" ht="21.6" customHeight="1">
      <c r="A16" s="825">
        <v>3</v>
      </c>
      <c r="C16" s="325" t="s">
        <v>27</v>
      </c>
      <c r="D16" s="120" t="s">
        <v>13</v>
      </c>
      <c r="E16" s="120"/>
      <c r="F16" s="120"/>
    </row>
    <row r="17" spans="1:7" ht="21.6" customHeight="1">
      <c r="A17" s="643" t="s">
        <v>28</v>
      </c>
      <c r="B17" s="120"/>
      <c r="C17" s="119" t="s">
        <v>29</v>
      </c>
      <c r="D17" s="109" t="s">
        <v>13</v>
      </c>
      <c r="E17" s="118"/>
      <c r="F17" s="117"/>
      <c r="G17">
        <v>100</v>
      </c>
    </row>
    <row r="18" spans="1:7" ht="21.6" customHeight="1">
      <c r="A18" s="644" t="s">
        <v>30</v>
      </c>
      <c r="B18" s="152"/>
      <c r="C18" s="330" t="s">
        <v>31</v>
      </c>
      <c r="D18" s="160" t="s">
        <v>13</v>
      </c>
      <c r="E18" s="161"/>
      <c r="F18" s="117"/>
    </row>
    <row r="19" spans="1:7" ht="21.6" customHeight="1" thickBot="1">
      <c r="A19" s="642" t="s">
        <v>32</v>
      </c>
      <c r="B19" s="116" t="s">
        <v>33</v>
      </c>
      <c r="C19" s="154" t="s">
        <v>34</v>
      </c>
      <c r="D19" s="115"/>
      <c r="E19" s="115"/>
      <c r="F19" s="115"/>
    </row>
    <row r="20" spans="1:7" ht="21.6" customHeight="1" thickTop="1" thickBot="1">
      <c r="A20" s="158">
        <v>4</v>
      </c>
      <c r="C20" s="114" t="s">
        <v>35</v>
      </c>
      <c r="D20" s="113" t="s">
        <v>13</v>
      </c>
      <c r="E20" s="113"/>
      <c r="F20" s="113"/>
      <c r="G20">
        <v>1000</v>
      </c>
    </row>
    <row r="21" spans="1:7" ht="21.6" customHeight="1" thickTop="1" thickBot="1">
      <c r="A21" s="158">
        <v>5</v>
      </c>
      <c r="C21" s="112" t="s">
        <v>36</v>
      </c>
      <c r="D21" s="167" t="s">
        <v>13</v>
      </c>
      <c r="E21" s="168"/>
      <c r="F21" s="165"/>
      <c r="G21">
        <v>2000</v>
      </c>
    </row>
    <row r="22" spans="1:7" ht="21.6" customHeight="1" thickTop="1" thickBot="1">
      <c r="A22" s="158">
        <v>6</v>
      </c>
      <c r="C22" s="110" t="s">
        <v>37</v>
      </c>
      <c r="D22" s="104" t="s">
        <v>38</v>
      </c>
      <c r="E22" s="169"/>
      <c r="F22" s="170"/>
      <c r="G22">
        <v>2000</v>
      </c>
    </row>
    <row r="23" spans="1:7" ht="21.6" customHeight="1" thickTop="1" thickBot="1">
      <c r="C23" s="159" t="s">
        <v>39</v>
      </c>
      <c r="D23" s="171" t="s">
        <v>38</v>
      </c>
      <c r="E23" s="172"/>
      <c r="F23" s="173"/>
    </row>
    <row r="24" spans="1:7" ht="21.6" customHeight="1" thickTop="1">
      <c r="A24" s="642" t="s">
        <v>40</v>
      </c>
      <c r="B24" s="103" t="s">
        <v>41</v>
      </c>
      <c r="C24" s="150" t="s">
        <v>42</v>
      </c>
      <c r="D24" s="105"/>
      <c r="E24" s="105"/>
      <c r="F24" s="105"/>
    </row>
    <row r="25" spans="1:7" ht="21.6" customHeight="1" thickBot="1">
      <c r="A25" s="827"/>
      <c r="B25" s="103"/>
      <c r="C25" s="107" t="s">
        <v>43</v>
      </c>
      <c r="D25" s="105"/>
      <c r="E25" s="105"/>
      <c r="F25" s="105"/>
    </row>
    <row r="26" spans="1:7" ht="21.6" customHeight="1" thickTop="1" thickBot="1">
      <c r="A26" s="849">
        <v>7</v>
      </c>
      <c r="B26" s="106"/>
      <c r="C26" s="324" t="s">
        <v>44</v>
      </c>
      <c r="D26" s="167"/>
      <c r="E26" s="168"/>
      <c r="F26" s="165"/>
      <c r="G26">
        <v>200</v>
      </c>
    </row>
    <row r="27" spans="1:7" ht="21.6" customHeight="1" thickTop="1" thickBot="1">
      <c r="A27" s="849"/>
      <c r="B27" s="106"/>
      <c r="C27" s="322" t="s">
        <v>45</v>
      </c>
      <c r="D27" s="104" t="s">
        <v>13</v>
      </c>
      <c r="E27" s="169"/>
      <c r="F27" s="172"/>
    </row>
    <row r="28" spans="1:7" ht="21.6" customHeight="1" thickTop="1" thickBot="1">
      <c r="A28" s="849"/>
      <c r="B28" s="106"/>
      <c r="C28" s="323" t="s">
        <v>46</v>
      </c>
      <c r="D28" s="171" t="s">
        <v>38</v>
      </c>
      <c r="E28" s="172"/>
      <c r="F28" s="174"/>
    </row>
    <row r="29" spans="1:7" ht="21.6" customHeight="1" thickTop="1">
      <c r="A29" s="825">
        <v>8</v>
      </c>
      <c r="B29" s="105" t="s">
        <v>47</v>
      </c>
      <c r="C29" s="151" t="s">
        <v>47</v>
      </c>
      <c r="D29" s="105"/>
      <c r="E29" s="105"/>
      <c r="F29" s="105"/>
    </row>
    <row r="30" spans="1:7" ht="21.6" customHeight="1">
      <c r="A30" s="642" t="s">
        <v>48</v>
      </c>
      <c r="B30" s="106"/>
      <c r="C30" s="326" t="s">
        <v>49</v>
      </c>
      <c r="D30" s="171"/>
      <c r="E30" s="172"/>
      <c r="F30" s="174"/>
      <c r="G30">
        <v>500</v>
      </c>
    </row>
    <row r="31" spans="1:7" ht="21.6" customHeight="1">
      <c r="A31" s="158">
        <v>9</v>
      </c>
      <c r="B31" s="154" t="s">
        <v>50</v>
      </c>
      <c r="C31" s="162" t="s">
        <v>51</v>
      </c>
      <c r="D31" s="171"/>
      <c r="E31" s="172"/>
      <c r="F31" s="174"/>
    </row>
    <row r="32" spans="1:7" ht="21.6" customHeight="1">
      <c r="A32" s="642" t="s">
        <v>52</v>
      </c>
      <c r="B32" s="105"/>
      <c r="C32" s="328" t="s">
        <v>53</v>
      </c>
      <c r="D32" s="104"/>
      <c r="E32" s="169"/>
      <c r="F32" s="172"/>
      <c r="G32" s="151"/>
    </row>
    <row r="33" spans="1:7" ht="21.6" customHeight="1">
      <c r="A33" s="845">
        <v>10</v>
      </c>
      <c r="B33" s="101" t="s">
        <v>33</v>
      </c>
      <c r="C33" s="329" t="s">
        <v>54</v>
      </c>
      <c r="D33" s="171"/>
      <c r="E33" s="172"/>
      <c r="F33" s="174"/>
    </row>
    <row r="34" spans="1:7" ht="21.6" customHeight="1">
      <c r="A34" s="845"/>
      <c r="B34" s="149" t="s">
        <v>55</v>
      </c>
      <c r="C34" s="101" t="s">
        <v>56</v>
      </c>
      <c r="D34" s="104"/>
      <c r="E34" s="169"/>
      <c r="F34" s="172"/>
    </row>
    <row r="35" spans="1:7" ht="21.6" customHeight="1">
      <c r="A35" s="845"/>
      <c r="C35" s="327" t="s">
        <v>57</v>
      </c>
      <c r="D35" s="104"/>
      <c r="E35" s="169"/>
      <c r="F35" s="172"/>
    </row>
    <row r="36" spans="1:7" ht="21.6" customHeight="1">
      <c r="A36" s="824"/>
      <c r="G36">
        <f>SUM(G1:G35)</f>
        <v>6600</v>
      </c>
    </row>
    <row r="37" spans="1:7" ht="21.6" customHeight="1">
      <c r="B37" s="134"/>
      <c r="C37" s="136" t="s">
        <v>5</v>
      </c>
      <c r="D37" s="370" t="str">
        <f>+'jobinfo(2)'!$C$2</f>
        <v>3922 E 189 STR</v>
      </c>
      <c r="E37" s="371"/>
      <c r="F37" s="371"/>
    </row>
    <row r="38" spans="1:7" ht="21.6" customHeight="1">
      <c r="A38" s="426" t="s">
        <v>6</v>
      </c>
      <c r="B38" s="133"/>
      <c r="C38" s="331" t="str">
        <f>+'jobinfo(2)'!C51</f>
        <v>OH25 BROWNLEE @E189</v>
      </c>
      <c r="D38" s="370" t="str">
        <f>+'jobinfo(2)'!$C$3</f>
        <v>CLEVELAND, OH 44128</v>
      </c>
      <c r="E38" s="371"/>
      <c r="F38" s="371"/>
    </row>
    <row r="39" spans="1:7" ht="21.6" customHeight="1">
      <c r="A39" s="827">
        <v>1</v>
      </c>
      <c r="B39" s="132" t="s">
        <v>7</v>
      </c>
      <c r="C39" s="405" t="s">
        <v>8</v>
      </c>
      <c r="D39" s="854" t="str">
        <f>'jobinfo(2)'!$C$27</f>
        <v>CLM</v>
      </c>
      <c r="E39" s="854"/>
      <c r="F39" s="854"/>
    </row>
    <row r="40" spans="1:7" ht="21.6" customHeight="1">
      <c r="A40" s="824"/>
      <c r="B40" s="131"/>
      <c r="C40" s="130" t="s">
        <v>10</v>
      </c>
      <c r="D40" s="854" t="str">
        <f>'jobinfo(2)'!$C$26</f>
        <v>ALLSTATE INS CO.</v>
      </c>
      <c r="E40" s="854"/>
      <c r="F40" s="854"/>
    </row>
    <row r="41" spans="1:7" ht="21.6" customHeight="1">
      <c r="A41" s="847" t="s">
        <v>11</v>
      </c>
      <c r="C41" s="124" t="s">
        <v>58</v>
      </c>
      <c r="D41" s="111"/>
      <c r="E41" s="118"/>
      <c r="F41" s="117"/>
    </row>
    <row r="42" spans="1:7" ht="21.6" customHeight="1">
      <c r="A42" s="847"/>
      <c r="C42" s="124" t="s">
        <v>16</v>
      </c>
      <c r="D42" s="109"/>
      <c r="E42" s="161"/>
      <c r="F42" s="163"/>
    </row>
    <row r="43" spans="1:7" ht="21.6" customHeight="1">
      <c r="A43" s="827">
        <v>2</v>
      </c>
      <c r="B43" s="127" t="s">
        <v>17</v>
      </c>
      <c r="C43" s="410" t="s">
        <v>18</v>
      </c>
      <c r="D43" s="125"/>
      <c r="E43" s="125"/>
      <c r="F43" s="125"/>
    </row>
    <row r="44" spans="1:7" ht="21.6" customHeight="1">
      <c r="A44" s="365" t="s">
        <v>59</v>
      </c>
      <c r="B44" s="365"/>
      <c r="C44" s="365"/>
      <c r="D44" s="414"/>
      <c r="E44" s="118"/>
      <c r="F44" s="117"/>
    </row>
    <row r="45" spans="1:7" ht="21.6" customHeight="1">
      <c r="A45" s="157"/>
      <c r="B45" s="106"/>
      <c r="C45" s="404" t="s">
        <v>60</v>
      </c>
      <c r="D45" s="111"/>
      <c r="E45" s="164"/>
      <c r="F45" s="165"/>
    </row>
    <row r="46" spans="1:7" ht="21.6" customHeight="1">
      <c r="A46" s="156" t="s">
        <v>24</v>
      </c>
      <c r="B46" s="106"/>
      <c r="C46" s="403" t="s">
        <v>61</v>
      </c>
      <c r="D46" s="123"/>
      <c r="E46" s="164"/>
      <c r="F46" s="165"/>
    </row>
    <row r="47" spans="1:7" ht="21.6" customHeight="1">
      <c r="A47" s="827">
        <v>3</v>
      </c>
      <c r="C47" s="411" t="s">
        <v>27</v>
      </c>
      <c r="D47" s="120"/>
      <c r="E47" s="120"/>
      <c r="F47" s="120"/>
    </row>
    <row r="48" spans="1:7" ht="21.6" customHeight="1">
      <c r="A48" s="158" t="s">
        <v>28</v>
      </c>
      <c r="B48" s="120"/>
      <c r="C48" s="402" t="s">
        <v>29</v>
      </c>
      <c r="D48" s="109"/>
      <c r="E48" s="118"/>
      <c r="F48" s="117"/>
    </row>
    <row r="49" spans="1:6" ht="21.6" customHeight="1" thickBot="1">
      <c r="A49" s="158" t="s">
        <v>62</v>
      </c>
      <c r="B49" s="120"/>
      <c r="C49" s="406" t="s">
        <v>63</v>
      </c>
      <c r="D49" s="109"/>
      <c r="E49" s="118"/>
      <c r="F49" s="117"/>
    </row>
    <row r="50" spans="1:6" ht="21.6" customHeight="1" thickTop="1">
      <c r="A50" s="822" t="s">
        <v>30</v>
      </c>
      <c r="B50" s="152"/>
      <c r="C50" s="330" t="s">
        <v>64</v>
      </c>
      <c r="D50" s="160"/>
      <c r="E50" s="161"/>
      <c r="F50" s="117"/>
    </row>
    <row r="51" spans="1:6" ht="21.6" customHeight="1">
      <c r="A51" s="401"/>
      <c r="B51" s="152"/>
      <c r="C51" s="101" t="s">
        <v>65</v>
      </c>
      <c r="D51" s="160"/>
      <c r="E51" s="161"/>
      <c r="F51" s="117"/>
    </row>
    <row r="52" spans="1:6" ht="21.6" customHeight="1">
      <c r="A52" s="857" t="s">
        <v>66</v>
      </c>
      <c r="B52" s="152"/>
      <c r="C52" s="367" t="s">
        <v>67</v>
      </c>
      <c r="D52" s="160"/>
      <c r="E52" s="161"/>
      <c r="F52" s="117"/>
    </row>
    <row r="53" spans="1:6" ht="21.6" customHeight="1">
      <c r="A53" s="857"/>
      <c r="B53" s="152"/>
      <c r="C53" s="101" t="s">
        <v>68</v>
      </c>
      <c r="D53" s="160"/>
      <c r="E53" s="161"/>
      <c r="F53" s="117"/>
    </row>
    <row r="54" spans="1:6" ht="21.6" customHeight="1">
      <c r="B54" s="152"/>
      <c r="D54" s="160"/>
      <c r="E54" s="161"/>
      <c r="F54" s="117"/>
    </row>
    <row r="55" spans="1:6" ht="21.6" customHeight="1">
      <c r="A55" s="825" t="s">
        <v>32</v>
      </c>
      <c r="B55" s="116" t="s">
        <v>33</v>
      </c>
      <c r="C55" s="154" t="s">
        <v>34</v>
      </c>
      <c r="D55" s="115"/>
      <c r="E55" s="115"/>
      <c r="F55" s="115"/>
    </row>
    <row r="56" spans="1:6" ht="21.6" customHeight="1" thickBot="1">
      <c r="A56" s="101" t="s">
        <v>69</v>
      </c>
      <c r="B56" s="116"/>
      <c r="C56" s="154"/>
      <c r="D56" s="115"/>
      <c r="E56" s="115"/>
      <c r="F56" s="115"/>
    </row>
    <row r="57" spans="1:6" ht="21.6" customHeight="1" thickTop="1" thickBot="1">
      <c r="A57" s="155">
        <v>4</v>
      </c>
      <c r="C57" s="114" t="s">
        <v>35</v>
      </c>
      <c r="D57" s="113"/>
      <c r="E57" s="113"/>
      <c r="F57" s="113"/>
    </row>
    <row r="58" spans="1:6" ht="21.6" customHeight="1" thickTop="1" thickBot="1">
      <c r="A58" s="155">
        <v>5</v>
      </c>
      <c r="C58" s="112" t="s">
        <v>36</v>
      </c>
      <c r="D58" s="167"/>
      <c r="E58" s="168"/>
      <c r="F58" s="165"/>
    </row>
    <row r="59" spans="1:6" ht="21.6" customHeight="1" thickTop="1" thickBot="1">
      <c r="A59" s="155">
        <v>6</v>
      </c>
      <c r="C59" s="110" t="s">
        <v>37</v>
      </c>
      <c r="D59" s="104"/>
      <c r="E59" s="169"/>
      <c r="F59" s="170"/>
    </row>
    <row r="60" spans="1:6" ht="21.6" customHeight="1" thickTop="1" thickBot="1">
      <c r="C60" s="400" t="s">
        <v>39</v>
      </c>
      <c r="D60" s="171"/>
      <c r="E60" s="172"/>
      <c r="F60" s="173"/>
    </row>
    <row r="61" spans="1:6" ht="21.6" customHeight="1" thickTop="1">
      <c r="A61" s="825" t="s">
        <v>40</v>
      </c>
      <c r="B61" s="103" t="s">
        <v>41</v>
      </c>
      <c r="C61" s="367" t="s">
        <v>70</v>
      </c>
      <c r="D61" s="105"/>
      <c r="E61" s="105"/>
      <c r="F61" s="105"/>
    </row>
    <row r="62" spans="1:6" ht="21.6" customHeight="1">
      <c r="A62" s="827"/>
      <c r="B62" s="103"/>
      <c r="C62" s="478" t="s">
        <v>71</v>
      </c>
      <c r="D62" s="105"/>
      <c r="E62" s="105"/>
      <c r="F62" s="105"/>
    </row>
    <row r="63" spans="1:6" ht="21.6" customHeight="1">
      <c r="A63" s="101" t="s">
        <v>72</v>
      </c>
      <c r="B63" s="103"/>
      <c r="D63" s="105"/>
      <c r="E63" s="105"/>
      <c r="F63" s="105"/>
    </row>
    <row r="64" spans="1:6" ht="21.6" customHeight="1" thickBot="1">
      <c r="A64" s="827"/>
      <c r="B64" s="103"/>
      <c r="C64" s="322" t="s">
        <v>45</v>
      </c>
      <c r="D64" s="105"/>
      <c r="E64" s="105"/>
      <c r="F64" s="105"/>
    </row>
    <row r="65" spans="1:6" ht="21.6" customHeight="1" thickTop="1" thickBot="1">
      <c r="A65" s="855">
        <v>7</v>
      </c>
      <c r="B65" s="106"/>
      <c r="C65" s="323" t="s">
        <v>46</v>
      </c>
      <c r="D65" s="167"/>
      <c r="E65" s="168"/>
      <c r="F65" s="165"/>
    </row>
    <row r="66" spans="1:6" ht="21.6" customHeight="1" thickTop="1" thickBot="1">
      <c r="A66" s="855"/>
      <c r="B66" s="106"/>
      <c r="C66" s="324" t="s">
        <v>44</v>
      </c>
      <c r="D66" s="104"/>
      <c r="E66" s="169"/>
      <c r="F66" s="172"/>
    </row>
    <row r="67" spans="1:6" ht="21.6" customHeight="1" thickTop="1">
      <c r="A67" s="855"/>
      <c r="B67" s="106"/>
      <c r="C67" s="408" t="s">
        <v>53</v>
      </c>
      <c r="D67" s="171"/>
      <c r="E67" s="172"/>
      <c r="F67" s="174"/>
    </row>
    <row r="68" spans="1:6" ht="21.6" customHeight="1">
      <c r="A68" s="827">
        <v>8</v>
      </c>
      <c r="B68" s="105" t="s">
        <v>47</v>
      </c>
      <c r="C68" s="407" t="s">
        <v>73</v>
      </c>
      <c r="D68" s="105"/>
      <c r="E68" s="105"/>
      <c r="F68" s="105"/>
    </row>
    <row r="69" spans="1:6" ht="21.6" customHeight="1">
      <c r="A69" s="825" t="s">
        <v>48</v>
      </c>
      <c r="B69" s="106"/>
      <c r="C69" s="326" t="s">
        <v>74</v>
      </c>
      <c r="D69" s="171"/>
      <c r="E69" s="172"/>
      <c r="F69" s="174"/>
    </row>
    <row r="70" spans="1:6" ht="21.6" customHeight="1">
      <c r="A70" s="827"/>
      <c r="B70" s="106"/>
      <c r="C70" s="398" t="s">
        <v>75</v>
      </c>
      <c r="D70" s="171"/>
      <c r="E70" s="172"/>
      <c r="F70" s="174"/>
    </row>
    <row r="71" spans="1:6" ht="21.6" customHeight="1">
      <c r="A71" s="827"/>
      <c r="B71" s="106"/>
      <c r="C71" s="398" t="s">
        <v>76</v>
      </c>
      <c r="D71" s="171"/>
      <c r="E71" s="172"/>
      <c r="F71" s="174"/>
    </row>
    <row r="72" spans="1:6" ht="21.6" customHeight="1">
      <c r="A72" s="827"/>
      <c r="B72" s="106"/>
      <c r="C72" s="479" t="s">
        <v>77</v>
      </c>
      <c r="D72" s="171"/>
      <c r="E72" s="172"/>
      <c r="F72" s="174"/>
    </row>
    <row r="73" spans="1:6" ht="21.6" customHeight="1">
      <c r="A73" s="155">
        <v>9</v>
      </c>
      <c r="B73" s="154" t="s">
        <v>50</v>
      </c>
      <c r="C73" s="409" t="s">
        <v>51</v>
      </c>
      <c r="D73" s="171"/>
      <c r="E73" s="172"/>
      <c r="F73" s="174"/>
    </row>
    <row r="74" spans="1:6" ht="21.6" customHeight="1">
      <c r="A74" s="155"/>
      <c r="B74" s="154"/>
      <c r="C74" s="425" t="s">
        <v>78</v>
      </c>
      <c r="D74" s="171"/>
      <c r="E74" s="172"/>
      <c r="F74" s="174"/>
    </row>
    <row r="75" spans="1:6" ht="21.6" customHeight="1">
      <c r="A75" s="825" t="s">
        <v>52</v>
      </c>
      <c r="B75" s="105"/>
      <c r="C75" s="424" t="s">
        <v>53</v>
      </c>
      <c r="D75" s="104"/>
      <c r="E75" s="169"/>
      <c r="F75" s="172"/>
    </row>
    <row r="76" spans="1:6" ht="21.6" customHeight="1">
      <c r="A76" s="856">
        <v>10</v>
      </c>
      <c r="B76" s="101" t="s">
        <v>33</v>
      </c>
      <c r="C76" s="329" t="s">
        <v>54</v>
      </c>
      <c r="D76" s="171"/>
      <c r="E76" s="172"/>
      <c r="F76" s="174"/>
    </row>
    <row r="77" spans="1:6" ht="21.6" customHeight="1" thickBot="1">
      <c r="A77" s="856"/>
      <c r="B77" s="149" t="s">
        <v>55</v>
      </c>
      <c r="C77" s="101" t="s">
        <v>56</v>
      </c>
      <c r="D77" s="104"/>
      <c r="E77" s="169"/>
      <c r="F77" s="172"/>
    </row>
    <row r="78" spans="1:6" ht="21.6" customHeight="1" thickTop="1" thickBot="1">
      <c r="A78" s="856"/>
      <c r="C78" s="324" t="s">
        <v>44</v>
      </c>
      <c r="D78" s="104"/>
      <c r="E78" s="169"/>
      <c r="F78" s="172"/>
    </row>
    <row r="79" spans="1:6" ht="21.6" customHeight="1" thickTop="1">
      <c r="A79" s="366" t="s">
        <v>79</v>
      </c>
      <c r="D79" s="418" t="str">
        <f>'jobinfo(2)'!$C$51</f>
        <v>OH25 BROWNLEE @E189</v>
      </c>
    </row>
    <row r="80" spans="1:6" ht="21.6" customHeight="1" thickBot="1">
      <c r="A80" s="365" t="s">
        <v>80</v>
      </c>
      <c r="D80" s="419" t="str">
        <f>'jobinfo(2)'!$C$1</f>
        <v>BROWNLEE, KEN</v>
      </c>
    </row>
    <row r="81" spans="1:5" ht="21.6" customHeight="1" thickTop="1" thickBot="1">
      <c r="A81" s="853" t="s">
        <v>81</v>
      </c>
      <c r="B81" s="412"/>
      <c r="C81" s="112" t="s">
        <v>82</v>
      </c>
      <c r="D81" s="420" t="str">
        <f>'jobinfo(2)'!$C$2</f>
        <v>3922 E 189 STR</v>
      </c>
    </row>
    <row r="82" spans="1:5" ht="21.6" customHeight="1" thickTop="1" thickBot="1">
      <c r="A82" s="853"/>
      <c r="C82" s="110" t="s">
        <v>83</v>
      </c>
      <c r="D82" s="421"/>
      <c r="E82" s="413"/>
    </row>
    <row r="83" spans="1:5" ht="21.6" customHeight="1" thickTop="1">
      <c r="A83" s="853"/>
      <c r="C83" s="101" t="s">
        <v>84</v>
      </c>
      <c r="D83" s="420" t="str">
        <f>'jobinfo(2)'!$C$4</f>
        <v>KHAIAKEN@SBCGLOBAL.NET</v>
      </c>
    </row>
    <row r="84" spans="1:5" ht="21.6" customHeight="1">
      <c r="A84" s="853"/>
      <c r="D84" s="420">
        <f>'jobinfo(2)'!$C$5</f>
        <v>2163241337</v>
      </c>
    </row>
    <row r="85" spans="1:5" ht="21.6" customHeight="1">
      <c r="A85" s="372"/>
      <c r="B85" s="373"/>
      <c r="C85" s="373"/>
      <c r="D85" s="422"/>
    </row>
    <row r="86" spans="1:5" ht="21.6" customHeight="1">
      <c r="A86" s="397"/>
      <c r="C86" s="330" t="s">
        <v>85</v>
      </c>
      <c r="D86" s="422"/>
    </row>
    <row r="87" spans="1:5" ht="21.6" customHeight="1">
      <c r="A87" s="850" t="s">
        <v>86</v>
      </c>
      <c r="C87" s="377" t="s">
        <v>87</v>
      </c>
      <c r="D87" s="423" t="str">
        <f>'jobinfo(2)'!$C$27</f>
        <v>CLM</v>
      </c>
    </row>
    <row r="88" spans="1:5" ht="21.6" customHeight="1">
      <c r="A88" s="850"/>
      <c r="C88" s="377" t="s">
        <v>88</v>
      </c>
      <c r="D88" s="420" t="str">
        <f>'jobinfo(2)'!$C$11</f>
        <v>WATER</v>
      </c>
    </row>
    <row r="89" spans="1:5" ht="21.6" customHeight="1">
      <c r="A89" s="850"/>
      <c r="C89" s="377" t="s">
        <v>89</v>
      </c>
      <c r="D89" s="420">
        <f>'jobinfo(2)'!$C$12</f>
        <v>45986</v>
      </c>
    </row>
    <row r="90" spans="1:5" ht="21.6" customHeight="1">
      <c r="A90" s="850"/>
      <c r="C90" s="399" t="s">
        <v>90</v>
      </c>
      <c r="D90" s="420" t="str">
        <f>'jobinfo(2)'!$C$13</f>
        <v>interior repairs LVL1</v>
      </c>
    </row>
    <row r="91" spans="1:5" ht="21.6" customHeight="1">
      <c r="A91" s="850"/>
      <c r="C91" s="377" t="s">
        <v>91</v>
      </c>
      <c r="D91" s="420" t="str">
        <f>'jobinfo(2)'!$C$14</f>
        <v>interior repairs LVL2</v>
      </c>
    </row>
    <row r="92" spans="1:5" ht="21.6" customHeight="1">
      <c r="A92" s="850"/>
      <c r="C92" s="415" t="s">
        <v>92</v>
      </c>
      <c r="D92" s="420">
        <f>'jobinfo(2)'!$C$15</f>
        <v>0</v>
      </c>
    </row>
    <row r="93" spans="1:5" ht="21.6" customHeight="1">
      <c r="A93" s="372"/>
      <c r="B93" s="373"/>
      <c r="C93" s="373"/>
    </row>
    <row r="94" spans="1:5" ht="21.6" customHeight="1">
      <c r="C94" s="101" t="s">
        <v>93</v>
      </c>
      <c r="D94" s="417"/>
    </row>
    <row r="95" spans="1:5" ht="21.6" customHeight="1">
      <c r="C95" s="101" t="s">
        <v>94</v>
      </c>
      <c r="D95" s="417"/>
    </row>
    <row r="96" spans="1:5" ht="21.6" customHeight="1" thickBot="1">
      <c r="D96" s="417"/>
    </row>
    <row r="97" spans="1:4" ht="21.6" customHeight="1" thickTop="1" thickBot="1">
      <c r="C97" s="416" t="s">
        <v>95</v>
      </c>
    </row>
    <row r="98" spans="1:4" ht="21.6" customHeight="1" thickTop="1" thickBot="1">
      <c r="C98" s="110" t="s">
        <v>96</v>
      </c>
    </row>
    <row r="99" spans="1:4" ht="21.6" customHeight="1" thickTop="1" thickBot="1">
      <c r="C99" s="396" t="s">
        <v>97</v>
      </c>
    </row>
    <row r="100" spans="1:4" ht="21.6" customHeight="1" thickTop="1" thickBot="1">
      <c r="C100" s="395" t="s">
        <v>36</v>
      </c>
    </row>
    <row r="101" spans="1:4" ht="21.6" customHeight="1" thickTop="1">
      <c r="A101" s="374"/>
      <c r="B101" s="375"/>
      <c r="C101" s="375"/>
    </row>
    <row r="102" spans="1:4" ht="21.6" customHeight="1">
      <c r="C102" s="367" t="s">
        <v>67</v>
      </c>
    </row>
    <row r="103" spans="1:4" ht="21.6" customHeight="1">
      <c r="C103" s="376" t="s">
        <v>98</v>
      </c>
    </row>
    <row r="104" spans="1:4" ht="21.6" customHeight="1">
      <c r="C104" s="101" t="s">
        <v>99</v>
      </c>
    </row>
    <row r="105" spans="1:4" ht="21.6" customHeight="1">
      <c r="C105" s="101" t="s">
        <v>100</v>
      </c>
    </row>
    <row r="106" spans="1:4" ht="21.6" customHeight="1">
      <c r="C106" s="101" t="s">
        <v>101</v>
      </c>
    </row>
    <row r="107" spans="1:4" ht="21.6" customHeight="1">
      <c r="A107" s="374"/>
      <c r="B107" s="375"/>
      <c r="C107" s="375"/>
    </row>
    <row r="108" spans="1:4" ht="21.6" customHeight="1">
      <c r="C108" s="368" t="s">
        <v>75</v>
      </c>
    </row>
    <row r="109" spans="1:4" ht="21.6" customHeight="1">
      <c r="A109" s="851" t="s">
        <v>102</v>
      </c>
      <c r="B109" s="851"/>
      <c r="C109" s="851"/>
      <c r="D109" s="851"/>
    </row>
    <row r="110" spans="1:4" ht="21.6" customHeight="1">
      <c r="A110" s="394" t="s">
        <v>103</v>
      </c>
      <c r="B110" s="826"/>
      <c r="C110" s="393"/>
      <c r="D110" s="826"/>
    </row>
    <row r="111" spans="1:4" ht="21.6" customHeight="1">
      <c r="A111" s="852" t="s">
        <v>104</v>
      </c>
      <c r="B111" s="852"/>
      <c r="C111" s="852"/>
      <c r="D111" s="852"/>
    </row>
    <row r="112" spans="1:4" ht="21.6" customHeight="1">
      <c r="A112" s="392"/>
      <c r="B112" s="391"/>
      <c r="C112" s="390" t="s">
        <v>77</v>
      </c>
    </row>
    <row r="113" spans="1:3" ht="21.6" customHeight="1">
      <c r="C113" s="369"/>
    </row>
    <row r="114" spans="1:3" ht="21.6" customHeight="1">
      <c r="A114" s="389"/>
      <c r="C114" s="388" t="s">
        <v>105</v>
      </c>
    </row>
    <row r="115" spans="1:3" ht="21.6" customHeight="1">
      <c r="C115" s="369"/>
    </row>
    <row r="116" spans="1:3" ht="21.6" customHeight="1">
      <c r="C116" s="387" t="s">
        <v>78</v>
      </c>
    </row>
    <row r="117" spans="1:3" ht="21.6" customHeight="1">
      <c r="C117" s="369"/>
    </row>
    <row r="118" spans="1:3" ht="21.6" customHeight="1">
      <c r="C118" s="386" t="s">
        <v>106</v>
      </c>
    </row>
  </sheetData>
  <mergeCells count="15">
    <mergeCell ref="A87:A92"/>
    <mergeCell ref="A109:D109"/>
    <mergeCell ref="A111:D111"/>
    <mergeCell ref="A81:A84"/>
    <mergeCell ref="D39:F39"/>
    <mergeCell ref="A41:A42"/>
    <mergeCell ref="A65:A67"/>
    <mergeCell ref="A76:A78"/>
    <mergeCell ref="D40:F40"/>
    <mergeCell ref="A52:A53"/>
    <mergeCell ref="A33:A35"/>
    <mergeCell ref="D3:F3"/>
    <mergeCell ref="A5:A8"/>
    <mergeCell ref="A10:A11"/>
    <mergeCell ref="A26:A28"/>
  </mergeCells>
  <printOptions gridLines="1"/>
  <pageMargins left="0.32" right="0.27" top="0.19" bottom="0.38" header="0.17" footer="0.16"/>
  <pageSetup orientation="portrait" r:id="rId1"/>
  <headerFooter>
    <oddFooter>&amp;LPage@  &amp;P  &amp;D   &amp;T&amp;C&amp;A&amp;R&amp;F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91280-A263-4208-A6A1-53CFD5ADB01A}">
  <sheetPr codeName="Sheet3"/>
  <dimension ref="A1:J140"/>
  <sheetViews>
    <sheetView zoomScaleNormal="100" zoomScaleSheetLayoutView="100" workbookViewId="0">
      <selection activeCell="E3" sqref="E3"/>
    </sheetView>
  </sheetViews>
  <sheetFormatPr defaultColWidth="8.69921875" defaultRowHeight="21" customHeight="1"/>
  <cols>
    <col min="1" max="1" width="2.69921875" customWidth="1"/>
    <col min="2" max="2" width="79.69921875" customWidth="1"/>
    <col min="3" max="3" width="5.09765625" style="183" customWidth="1"/>
    <col min="4" max="4" width="7.09765625" style="655" customWidth="1"/>
  </cols>
  <sheetData>
    <row r="1" spans="1:5" s="101" customFormat="1" ht="21" customHeight="1">
      <c r="A1" s="102"/>
      <c r="B1" s="482" t="s">
        <v>107</v>
      </c>
      <c r="C1" s="492"/>
      <c r="D1" s="859" t="str">
        <f>'jobinfo(2)'!C1</f>
        <v>BROWNLEE, KEN</v>
      </c>
    </row>
    <row r="2" spans="1:5" s="101" customFormat="1" ht="21" customHeight="1">
      <c r="A2" s="657" t="s">
        <v>108</v>
      </c>
      <c r="B2" s="656"/>
      <c r="C2" s="492"/>
      <c r="D2" s="859"/>
    </row>
    <row r="3" spans="1:5" s="101" customFormat="1" ht="21" customHeight="1" thickBot="1">
      <c r="A3" s="735">
        <v>1</v>
      </c>
      <c r="B3" s="520" t="s">
        <v>109</v>
      </c>
      <c r="C3" s="518" t="s">
        <v>110</v>
      </c>
      <c r="D3" s="653"/>
      <c r="E3" s="735">
        <v>201</v>
      </c>
    </row>
    <row r="4" spans="1:5" s="101" customFormat="1" ht="21" customHeight="1" thickTop="1" thickBot="1">
      <c r="A4" s="735">
        <v>2</v>
      </c>
      <c r="B4" s="519" t="s">
        <v>111</v>
      </c>
      <c r="C4" s="532" t="s">
        <v>112</v>
      </c>
      <c r="D4" s="860" t="str">
        <f>'jobinfo(2)'!C2</f>
        <v>3922 E 189 STR</v>
      </c>
      <c r="E4" s="568">
        <f t="shared" ref="E4:E28" si="0">E3+1</f>
        <v>202</v>
      </c>
    </row>
    <row r="5" spans="1:5" s="101" customFormat="1" ht="21" customHeight="1" thickTop="1" thickBot="1">
      <c r="A5" s="735">
        <v>3</v>
      </c>
      <c r="B5" s="483" t="s">
        <v>113</v>
      </c>
      <c r="C5" s="518" t="s">
        <v>112</v>
      </c>
      <c r="D5" s="860"/>
      <c r="E5" s="735">
        <f t="shared" si="0"/>
        <v>203</v>
      </c>
    </row>
    <row r="6" spans="1:5" s="101" customFormat="1" ht="21" customHeight="1" thickTop="1" thickBot="1">
      <c r="A6" s="735">
        <v>4</v>
      </c>
      <c r="B6" s="521" t="s">
        <v>114</v>
      </c>
      <c r="C6" s="532" t="s">
        <v>115</v>
      </c>
      <c r="D6" s="654"/>
      <c r="E6" s="568">
        <f t="shared" si="0"/>
        <v>204</v>
      </c>
    </row>
    <row r="7" spans="1:5" s="101" customFormat="1" ht="21" customHeight="1" thickTop="1" thickBot="1">
      <c r="A7" s="735">
        <v>5</v>
      </c>
      <c r="B7" s="489" t="s">
        <v>116</v>
      </c>
      <c r="C7" s="524" t="s">
        <v>117</v>
      </c>
      <c r="D7" s="828" t="str">
        <f>'jobinfo(2)'!B5</f>
        <v>Cst-owner Phone#</v>
      </c>
      <c r="E7" s="735">
        <f t="shared" si="0"/>
        <v>205</v>
      </c>
    </row>
    <row r="8" spans="1:5" s="101" customFormat="1" ht="21" customHeight="1" thickTop="1" thickBot="1">
      <c r="A8" s="523" t="s">
        <v>118</v>
      </c>
      <c r="B8" s="517"/>
      <c r="C8" s="492"/>
      <c r="D8" s="828">
        <f>'jobinfo(2)'!C5</f>
        <v>2163241337</v>
      </c>
      <c r="E8" s="568">
        <f t="shared" si="0"/>
        <v>206</v>
      </c>
    </row>
    <row r="9" spans="1:5" s="101" customFormat="1" ht="21" customHeight="1" thickTop="1" thickBot="1">
      <c r="A9" s="735">
        <v>6</v>
      </c>
      <c r="B9" s="733" t="s">
        <v>119</v>
      </c>
      <c r="C9" s="532" t="s">
        <v>115</v>
      </c>
      <c r="D9" s="371"/>
      <c r="E9" s="735">
        <f t="shared" si="0"/>
        <v>207</v>
      </c>
    </row>
    <row r="10" spans="1:5" s="101" customFormat="1" ht="21" customHeight="1" thickTop="1" thickBot="1">
      <c r="A10" s="735">
        <v>7</v>
      </c>
      <c r="B10" s="733" t="s">
        <v>120</v>
      </c>
      <c r="C10" s="518" t="s">
        <v>115</v>
      </c>
      <c r="D10" s="860" t="str">
        <f>'jobinfo(2)'!C4</f>
        <v>KHAIAKEN@SBCGLOBAL.NET</v>
      </c>
      <c r="E10" s="568">
        <f t="shared" si="0"/>
        <v>208</v>
      </c>
    </row>
    <row r="11" spans="1:5" s="101" customFormat="1" ht="21" customHeight="1" thickTop="1" thickBot="1">
      <c r="A11" s="527" t="s">
        <v>121</v>
      </c>
      <c r="B11" s="517"/>
      <c r="C11" s="492"/>
      <c r="D11" s="860"/>
      <c r="E11" s="735">
        <f t="shared" si="0"/>
        <v>209</v>
      </c>
    </row>
    <row r="12" spans="1:5" s="491" customFormat="1" ht="21" customHeight="1" thickTop="1" thickBot="1">
      <c r="A12" s="735">
        <v>8</v>
      </c>
      <c r="B12" s="490" t="s">
        <v>122</v>
      </c>
      <c r="C12" s="533" t="s">
        <v>117</v>
      </c>
      <c r="E12" s="568">
        <f t="shared" si="0"/>
        <v>210</v>
      </c>
    </row>
    <row r="13" spans="1:5" s="491" customFormat="1" ht="21" customHeight="1" thickTop="1" thickBot="1">
      <c r="A13" s="735"/>
      <c r="B13" s="673" t="s">
        <v>123</v>
      </c>
      <c r="C13" s="533"/>
      <c r="E13" s="568"/>
    </row>
    <row r="14" spans="1:5" s="491" customFormat="1" ht="21" customHeight="1" thickTop="1" thickBot="1">
      <c r="A14" s="735">
        <v>9</v>
      </c>
      <c r="B14" s="529" t="s">
        <v>124</v>
      </c>
      <c r="C14" s="526" t="s">
        <v>117</v>
      </c>
      <c r="E14" s="735">
        <f>E12+1</f>
        <v>211</v>
      </c>
    </row>
    <row r="15" spans="1:5" s="101" customFormat="1" ht="21" customHeight="1" thickTop="1" thickBot="1">
      <c r="A15" s="735">
        <v>10</v>
      </c>
      <c r="B15" s="489" t="s">
        <v>125</v>
      </c>
      <c r="C15" s="533" t="s">
        <v>117</v>
      </c>
      <c r="E15" s="568">
        <f t="shared" si="0"/>
        <v>212</v>
      </c>
    </row>
    <row r="16" spans="1:5" s="101" customFormat="1" ht="21" customHeight="1" thickTop="1" thickBot="1">
      <c r="A16" s="484"/>
      <c r="B16" s="658" t="s">
        <v>126</v>
      </c>
      <c r="C16" s="526" t="s">
        <v>117</v>
      </c>
      <c r="D16" s="863" t="str">
        <f>'jobinfo(2)'!C26</f>
        <v>ALLSTATE INS CO.</v>
      </c>
      <c r="E16" s="735">
        <f t="shared" si="0"/>
        <v>213</v>
      </c>
    </row>
    <row r="17" spans="1:5" s="101" customFormat="1" ht="21" customHeight="1" thickTop="1" thickBot="1">
      <c r="A17" s="484"/>
      <c r="B17" s="658" t="s">
        <v>127</v>
      </c>
      <c r="C17" s="533" t="s">
        <v>117</v>
      </c>
      <c r="D17" s="863"/>
      <c r="E17" s="568">
        <f t="shared" si="0"/>
        <v>214</v>
      </c>
    </row>
    <row r="18" spans="1:5" s="101" customFormat="1" ht="21" customHeight="1" thickTop="1" thickBot="1">
      <c r="A18" s="484"/>
      <c r="B18" s="659" t="s">
        <v>128</v>
      </c>
      <c r="C18" s="526" t="s">
        <v>117</v>
      </c>
      <c r="D18" s="863"/>
      <c r="E18" s="735">
        <f t="shared" si="0"/>
        <v>215</v>
      </c>
    </row>
    <row r="19" spans="1:5" s="101" customFormat="1" ht="21" customHeight="1" thickTop="1" thickBot="1">
      <c r="B19" s="658" t="s">
        <v>129</v>
      </c>
      <c r="C19" s="533" t="s">
        <v>117</v>
      </c>
      <c r="E19" s="568">
        <f t="shared" si="0"/>
        <v>216</v>
      </c>
    </row>
    <row r="20" spans="1:5" s="101" customFormat="1" ht="21" customHeight="1" thickTop="1" thickBot="1">
      <c r="B20" s="658" t="s">
        <v>130</v>
      </c>
      <c r="C20" s="526" t="s">
        <v>117</v>
      </c>
      <c r="E20" s="735">
        <f t="shared" si="0"/>
        <v>217</v>
      </c>
    </row>
    <row r="21" spans="1:5" s="101" customFormat="1" ht="21" customHeight="1" thickTop="1" thickBot="1">
      <c r="B21" s="658" t="s">
        <v>131</v>
      </c>
      <c r="C21" s="534" t="s">
        <v>117</v>
      </c>
      <c r="E21" s="568">
        <f t="shared" si="0"/>
        <v>218</v>
      </c>
    </row>
    <row r="22" spans="1:5" s="101" customFormat="1" ht="21" customHeight="1" thickTop="1" thickBot="1">
      <c r="B22" s="658" t="s">
        <v>132</v>
      </c>
      <c r="C22" s="526" t="s">
        <v>117</v>
      </c>
      <c r="E22" s="735">
        <f t="shared" si="0"/>
        <v>219</v>
      </c>
    </row>
    <row r="23" spans="1:5" s="101" customFormat="1" ht="21" customHeight="1" thickTop="1" thickBot="1">
      <c r="A23" s="484">
        <v>12</v>
      </c>
      <c r="B23" s="101" t="s">
        <v>133</v>
      </c>
      <c r="C23" s="492" t="s">
        <v>134</v>
      </c>
      <c r="D23" s="861"/>
      <c r="E23" s="568">
        <f t="shared" si="0"/>
        <v>220</v>
      </c>
    </row>
    <row r="24" spans="1:5" s="101" customFormat="1" ht="21" customHeight="1" thickTop="1" thickBot="1">
      <c r="A24" s="484">
        <v>13</v>
      </c>
      <c r="B24" s="488" t="s">
        <v>135</v>
      </c>
      <c r="C24" s="492"/>
      <c r="D24" s="861"/>
      <c r="E24" s="735">
        <f t="shared" si="0"/>
        <v>221</v>
      </c>
    </row>
    <row r="25" spans="1:5" s="101" customFormat="1" ht="21" customHeight="1" thickTop="1" thickBot="1">
      <c r="A25" s="528">
        <v>14</v>
      </c>
      <c r="B25" s="660" t="s">
        <v>136</v>
      </c>
      <c r="C25" s="534" t="s">
        <v>117</v>
      </c>
      <c r="D25" s="862" t="str">
        <f>'jobinfo(2)'!C27</f>
        <v>CLM</v>
      </c>
      <c r="E25" s="568">
        <f t="shared" si="0"/>
        <v>222</v>
      </c>
    </row>
    <row r="26" spans="1:5" s="101" customFormat="1" ht="21" customHeight="1" thickTop="1" thickBot="1">
      <c r="A26" s="376" t="s">
        <v>137</v>
      </c>
      <c r="C26" s="492"/>
      <c r="D26" s="862"/>
      <c r="E26" s="735">
        <f t="shared" si="0"/>
        <v>223</v>
      </c>
    </row>
    <row r="27" spans="1:5" s="101" customFormat="1" ht="21" customHeight="1" thickTop="1" thickBot="1">
      <c r="A27" s="407" t="s">
        <v>138</v>
      </c>
      <c r="C27" s="829" t="s">
        <v>139</v>
      </c>
      <c r="D27" s="862"/>
      <c r="E27" s="568">
        <f t="shared" si="0"/>
        <v>224</v>
      </c>
    </row>
    <row r="28" spans="1:5" s="101" customFormat="1" ht="21" customHeight="1" thickTop="1" thickBot="1">
      <c r="A28" s="484">
        <v>16</v>
      </c>
      <c r="B28" s="101" t="s">
        <v>140</v>
      </c>
      <c r="C28" s="534" t="s">
        <v>117</v>
      </c>
      <c r="D28" s="862"/>
      <c r="E28" s="735">
        <f t="shared" si="0"/>
        <v>225</v>
      </c>
    </row>
    <row r="29" spans="1:5" s="101" customFormat="1" ht="21" customHeight="1" thickTop="1">
      <c r="A29" s="484">
        <v>17</v>
      </c>
      <c r="B29" s="101" t="s">
        <v>141</v>
      </c>
      <c r="C29" s="829" t="s">
        <v>139</v>
      </c>
      <c r="D29" s="862"/>
    </row>
    <row r="30" spans="1:5" s="101" customFormat="1" ht="21" customHeight="1">
      <c r="A30" s="484">
        <v>19</v>
      </c>
      <c r="B30" s="330" t="s">
        <v>142</v>
      </c>
      <c r="C30" s="829" t="s">
        <v>139</v>
      </c>
      <c r="D30" s="862"/>
    </row>
    <row r="31" spans="1:5" s="101" customFormat="1" ht="21" customHeight="1">
      <c r="A31" s="484">
        <v>20</v>
      </c>
      <c r="B31" s="101" t="s">
        <v>99</v>
      </c>
      <c r="C31" s="525" t="s">
        <v>117</v>
      </c>
      <c r="D31" s="862"/>
    </row>
    <row r="32" spans="1:5" s="101" customFormat="1" ht="21" customHeight="1">
      <c r="A32" s="484">
        <v>21</v>
      </c>
      <c r="B32" s="101" t="s">
        <v>143</v>
      </c>
      <c r="C32" s="829" t="s">
        <v>139</v>
      </c>
      <c r="D32" s="371"/>
    </row>
    <row r="33" spans="1:10" s="101" customFormat="1" ht="21" customHeight="1">
      <c r="A33" s="484"/>
      <c r="B33" s="101" t="s">
        <v>144</v>
      </c>
      <c r="C33" s="829" t="s">
        <v>139</v>
      </c>
      <c r="D33" s="371"/>
    </row>
    <row r="34" spans="1:10" s="101" customFormat="1" ht="21" customHeight="1">
      <c r="A34" s="484">
        <v>22</v>
      </c>
      <c r="B34" s="101" t="s">
        <v>145</v>
      </c>
      <c r="C34" s="829" t="s">
        <v>139</v>
      </c>
      <c r="D34" s="371"/>
    </row>
    <row r="35" spans="1:10" s="101" customFormat="1" ht="21" customHeight="1">
      <c r="A35" s="484">
        <v>23</v>
      </c>
      <c r="B35" s="330" t="s">
        <v>146</v>
      </c>
      <c r="C35" s="829" t="s">
        <v>139</v>
      </c>
      <c r="D35" s="371"/>
    </row>
    <row r="36" spans="1:10" s="101" customFormat="1" ht="21" customHeight="1">
      <c r="A36" s="484">
        <v>24</v>
      </c>
      <c r="B36" s="478" t="s">
        <v>147</v>
      </c>
      <c r="C36" s="531" t="s">
        <v>112</v>
      </c>
      <c r="D36" s="371"/>
    </row>
    <row r="37" spans="1:10" s="101" customFormat="1" ht="21" customHeight="1">
      <c r="A37" s="484">
        <v>25</v>
      </c>
      <c r="B37" s="367" t="s">
        <v>148</v>
      </c>
      <c r="C37" s="492"/>
      <c r="D37" s="371"/>
    </row>
    <row r="38" spans="1:10" s="101" customFormat="1" ht="21" customHeight="1">
      <c r="B38" s="103" t="s">
        <v>41</v>
      </c>
      <c r="C38" s="492"/>
      <c r="D38" s="371"/>
    </row>
    <row r="39" spans="1:10" s="101" customFormat="1" ht="21" customHeight="1">
      <c r="C39" s="492"/>
      <c r="D39" s="371"/>
    </row>
    <row r="40" spans="1:10" s="101" customFormat="1" ht="21" customHeight="1">
      <c r="A40" s="484">
        <v>26</v>
      </c>
      <c r="C40" s="492"/>
      <c r="D40" s="371"/>
    </row>
    <row r="41" spans="1:10" s="101" customFormat="1" ht="21" customHeight="1">
      <c r="A41" s="484">
        <v>27</v>
      </c>
      <c r="C41" s="492"/>
      <c r="D41" s="371"/>
    </row>
    <row r="42" spans="1:10" s="101" customFormat="1" ht="21" customHeight="1">
      <c r="A42" s="484">
        <v>28</v>
      </c>
      <c r="C42" s="492"/>
      <c r="D42" s="371"/>
    </row>
    <row r="43" spans="1:10" s="101" customFormat="1" ht="21" customHeight="1">
      <c r="A43" s="484">
        <v>29</v>
      </c>
      <c r="B43" s="330"/>
      <c r="C43" s="492"/>
      <c r="D43" s="371"/>
    </row>
    <row r="44" spans="1:10" s="101" customFormat="1" ht="21" customHeight="1">
      <c r="A44" s="484">
        <v>30</v>
      </c>
      <c r="B44" s="330"/>
      <c r="C44" s="492"/>
      <c r="D44" s="371"/>
    </row>
    <row r="45" spans="1:10" s="101" customFormat="1" ht="21" customHeight="1">
      <c r="A45" s="484">
        <v>31</v>
      </c>
      <c r="B45" s="386"/>
      <c r="C45" s="492"/>
      <c r="D45" s="371"/>
    </row>
    <row r="46" spans="1:10" s="101" customFormat="1" ht="21" customHeight="1">
      <c r="C46" s="492"/>
      <c r="D46" s="371"/>
      <c r="G46" s="102"/>
      <c r="I46" s="386" t="s">
        <v>149</v>
      </c>
      <c r="J46" s="422"/>
    </row>
    <row r="47" spans="1:10" s="101" customFormat="1" ht="21" customHeight="1">
      <c r="C47" s="492"/>
      <c r="D47" s="371"/>
      <c r="G47" s="102"/>
      <c r="I47" s="481" t="s">
        <v>150</v>
      </c>
      <c r="J47" s="422"/>
    </row>
    <row r="48" spans="1:10" s="101" customFormat="1" ht="21" customHeight="1">
      <c r="C48" s="492"/>
      <c r="D48" s="371"/>
      <c r="G48" s="102"/>
      <c r="I48" s="481" t="s">
        <v>151</v>
      </c>
    </row>
    <row r="49" spans="3:10" s="101" customFormat="1" ht="21" customHeight="1">
      <c r="C49" s="492"/>
      <c r="D49" s="371"/>
      <c r="G49" s="102"/>
      <c r="I49" s="386">
        <f>'quick chklst'!C54</f>
        <v>0</v>
      </c>
    </row>
    <row r="50" spans="3:10" s="101" customFormat="1" ht="21" customHeight="1">
      <c r="C50" s="492"/>
      <c r="D50" s="371"/>
      <c r="E50" s="371"/>
      <c r="F50" s="371"/>
      <c r="G50" s="102"/>
      <c r="H50" s="134"/>
      <c r="I50" s="136" t="s">
        <v>5</v>
      </c>
      <c r="J50" s="370" t="str">
        <f>+'jobinfo(2)'!$C$2</f>
        <v>3922 E 189 STR</v>
      </c>
    </row>
    <row r="51" spans="3:10" s="101" customFormat="1" ht="21" customHeight="1">
      <c r="C51" s="492"/>
      <c r="D51" s="371"/>
      <c r="E51" s="371"/>
      <c r="F51" s="371"/>
      <c r="G51" s="426" t="s">
        <v>6</v>
      </c>
      <c r="H51" s="133"/>
      <c r="I51" s="331" t="str">
        <f>+'jobinfo(2)'!C138</f>
        <v>ALLSTATE INS CO.</v>
      </c>
      <c r="J51" s="370" t="str">
        <f>+'jobinfo(2)'!$C$3</f>
        <v>CLEVELAND, OH 44128</v>
      </c>
    </row>
    <row r="52" spans="3:10" s="101" customFormat="1" ht="21" customHeight="1">
      <c r="C52" s="492"/>
      <c r="D52" s="371"/>
      <c r="E52" s="161"/>
      <c r="F52" s="117"/>
      <c r="G52" s="822" t="s">
        <v>30</v>
      </c>
      <c r="H52" s="152"/>
      <c r="I52" s="330" t="s">
        <v>64</v>
      </c>
      <c r="J52" s="160"/>
    </row>
    <row r="53" spans="3:10" s="101" customFormat="1" ht="21" customHeight="1">
      <c r="C53" s="492"/>
      <c r="D53" s="371"/>
      <c r="E53" s="161"/>
      <c r="F53" s="117"/>
      <c r="G53" s="401"/>
      <c r="H53" s="152"/>
      <c r="I53" s="101" t="s">
        <v>65</v>
      </c>
      <c r="J53" s="160"/>
    </row>
    <row r="54" spans="3:10" s="101" customFormat="1" ht="21" customHeight="1">
      <c r="C54" s="492"/>
      <c r="D54" s="371"/>
      <c r="E54" s="161"/>
      <c r="F54" s="117"/>
      <c r="G54" s="101" t="s">
        <v>69</v>
      </c>
      <c r="H54" s="152"/>
      <c r="J54" s="160"/>
    </row>
    <row r="55" spans="3:10" s="101" customFormat="1" ht="21" customHeight="1" thickBot="1">
      <c r="C55" s="492"/>
      <c r="D55" s="371"/>
      <c r="E55" s="115"/>
      <c r="F55" s="115"/>
      <c r="G55" s="825" t="s">
        <v>32</v>
      </c>
      <c r="H55" s="116" t="s">
        <v>33</v>
      </c>
      <c r="I55" s="154" t="s">
        <v>34</v>
      </c>
      <c r="J55" s="115"/>
    </row>
    <row r="56" spans="3:10" s="101" customFormat="1" ht="21" customHeight="1" thickTop="1" thickBot="1">
      <c r="C56" s="492"/>
      <c r="D56" s="371"/>
      <c r="E56" s="113"/>
      <c r="F56" s="113"/>
      <c r="G56" s="155">
        <v>4</v>
      </c>
      <c r="I56" s="114" t="s">
        <v>35</v>
      </c>
      <c r="J56" s="113"/>
    </row>
    <row r="57" spans="3:10" s="101" customFormat="1" ht="21" customHeight="1" thickTop="1" thickBot="1">
      <c r="C57" s="492"/>
      <c r="D57" s="371"/>
      <c r="E57" s="168"/>
      <c r="F57" s="165"/>
      <c r="G57" s="155">
        <v>5</v>
      </c>
      <c r="I57" s="112" t="s">
        <v>36</v>
      </c>
      <c r="J57" s="167"/>
    </row>
    <row r="58" spans="3:10" s="101" customFormat="1" ht="21" customHeight="1" thickTop="1" thickBot="1">
      <c r="C58" s="492"/>
      <c r="D58" s="371"/>
      <c r="E58" s="169"/>
      <c r="F58" s="170"/>
      <c r="G58" s="155">
        <v>6</v>
      </c>
      <c r="I58" s="110" t="s">
        <v>37</v>
      </c>
      <c r="J58" s="104"/>
    </row>
    <row r="59" spans="3:10" s="101" customFormat="1" ht="21" customHeight="1" thickTop="1" thickBot="1">
      <c r="C59" s="492"/>
      <c r="D59" s="371"/>
      <c r="E59" s="172"/>
      <c r="F59" s="173"/>
      <c r="G59" s="102"/>
      <c r="I59" s="400" t="s">
        <v>39</v>
      </c>
      <c r="J59" s="171"/>
    </row>
    <row r="60" spans="3:10" s="101" customFormat="1" ht="21" customHeight="1" thickTop="1">
      <c r="C60" s="492"/>
      <c r="D60" s="371"/>
      <c r="E60" s="105"/>
      <c r="F60" s="105"/>
      <c r="G60" s="827"/>
      <c r="H60" s="103"/>
      <c r="I60" s="478" t="s">
        <v>71</v>
      </c>
      <c r="J60" s="105"/>
    </row>
    <row r="61" spans="3:10" s="101" customFormat="1" ht="21" customHeight="1" thickBot="1">
      <c r="C61" s="492"/>
      <c r="D61" s="371"/>
      <c r="E61" s="105"/>
      <c r="F61" s="105"/>
      <c r="G61" s="827"/>
      <c r="H61" s="103"/>
      <c r="I61" s="322" t="s">
        <v>45</v>
      </c>
      <c r="J61" s="105"/>
    </row>
    <row r="62" spans="3:10" s="101" customFormat="1" ht="21" customHeight="1" thickTop="1" thickBot="1">
      <c r="C62" s="492"/>
      <c r="D62" s="371"/>
      <c r="E62" s="168"/>
      <c r="F62" s="165"/>
      <c r="G62" s="855">
        <v>7</v>
      </c>
      <c r="H62" s="106"/>
      <c r="I62" s="323" t="s">
        <v>46</v>
      </c>
      <c r="J62" s="167"/>
    </row>
    <row r="63" spans="3:10" s="101" customFormat="1" ht="21" customHeight="1" thickTop="1" thickBot="1">
      <c r="C63" s="492"/>
      <c r="D63" s="371"/>
      <c r="E63" s="169"/>
      <c r="F63" s="172"/>
      <c r="G63" s="855"/>
      <c r="H63" s="106"/>
      <c r="I63" s="324" t="s">
        <v>44</v>
      </c>
      <c r="J63" s="104"/>
    </row>
    <row r="64" spans="3:10" s="101" customFormat="1" ht="21" customHeight="1" thickTop="1">
      <c r="C64" s="492"/>
      <c r="D64" s="371"/>
      <c r="E64" s="172"/>
      <c r="F64" s="174"/>
      <c r="G64" s="855"/>
      <c r="H64" s="106"/>
      <c r="I64" s="408" t="s">
        <v>53</v>
      </c>
      <c r="J64" s="171"/>
    </row>
    <row r="65" spans="3:10" s="101" customFormat="1" ht="21" customHeight="1">
      <c r="C65" s="492"/>
      <c r="D65" s="371"/>
      <c r="E65" s="105"/>
      <c r="F65" s="105"/>
      <c r="G65" s="827">
        <v>8</v>
      </c>
      <c r="H65" s="105" t="s">
        <v>47</v>
      </c>
      <c r="I65" s="407" t="s">
        <v>73</v>
      </c>
      <c r="J65" s="105"/>
    </row>
    <row r="66" spans="3:10" s="101" customFormat="1" ht="21" customHeight="1">
      <c r="C66" s="492"/>
      <c r="D66" s="371"/>
      <c r="E66" s="172"/>
      <c r="F66" s="174"/>
      <c r="G66" s="825" t="s">
        <v>48</v>
      </c>
      <c r="H66" s="106"/>
      <c r="I66" s="326" t="s">
        <v>74</v>
      </c>
      <c r="J66" s="171"/>
    </row>
    <row r="67" spans="3:10" s="101" customFormat="1" ht="21" customHeight="1">
      <c r="C67" s="492"/>
      <c r="D67" s="371"/>
      <c r="E67" s="172"/>
      <c r="F67" s="174"/>
      <c r="G67" s="827"/>
      <c r="H67" s="106"/>
      <c r="I67" s="398" t="s">
        <v>76</v>
      </c>
      <c r="J67" s="171"/>
    </row>
    <row r="68" spans="3:10" s="101" customFormat="1" ht="21" customHeight="1">
      <c r="C68" s="492"/>
      <c r="D68" s="371"/>
      <c r="E68" s="169"/>
      <c r="F68" s="172"/>
      <c r="G68" s="825" t="s">
        <v>52</v>
      </c>
      <c r="H68" s="105"/>
      <c r="I68" s="424" t="s">
        <v>53</v>
      </c>
      <c r="J68" s="104"/>
    </row>
    <row r="69" spans="3:10" s="101" customFormat="1" ht="21" customHeight="1">
      <c r="C69" s="492"/>
      <c r="D69" s="371"/>
      <c r="E69" s="172"/>
      <c r="F69" s="174"/>
      <c r="G69" s="856">
        <v>10</v>
      </c>
      <c r="H69" s="101" t="s">
        <v>33</v>
      </c>
      <c r="I69" s="329" t="s">
        <v>54</v>
      </c>
      <c r="J69" s="171"/>
    </row>
    <row r="70" spans="3:10" s="101" customFormat="1" ht="21" customHeight="1" thickBot="1">
      <c r="C70" s="492"/>
      <c r="D70" s="371"/>
      <c r="E70" s="169"/>
      <c r="F70" s="172"/>
      <c r="G70" s="856"/>
      <c r="H70" s="149" t="s">
        <v>55</v>
      </c>
      <c r="I70" s="101" t="s">
        <v>56</v>
      </c>
      <c r="J70" s="104"/>
    </row>
    <row r="71" spans="3:10" s="101" customFormat="1" ht="21" customHeight="1" thickTop="1" thickBot="1">
      <c r="C71" s="492"/>
      <c r="D71" s="371"/>
      <c r="E71" s="169"/>
      <c r="F71" s="172"/>
      <c r="G71" s="856"/>
      <c r="I71" s="324" t="s">
        <v>44</v>
      </c>
      <c r="J71" s="104"/>
    </row>
    <row r="72" spans="3:10" s="101" customFormat="1" ht="21" customHeight="1" thickTop="1">
      <c r="C72" s="492"/>
      <c r="D72" s="371"/>
      <c r="G72" s="366" t="s">
        <v>79</v>
      </c>
      <c r="J72" s="418" t="str">
        <f>'jobinfo(2)'!$C$51</f>
        <v>OH25 BROWNLEE @E189</v>
      </c>
    </row>
    <row r="73" spans="3:10" s="101" customFormat="1" ht="21" customHeight="1" thickBot="1">
      <c r="C73" s="492"/>
      <c r="D73" s="371"/>
      <c r="G73" s="365" t="s">
        <v>80</v>
      </c>
      <c r="J73" s="419" t="str">
        <f>'jobinfo(2)'!$C$1</f>
        <v>BROWNLEE, KEN</v>
      </c>
    </row>
    <row r="74" spans="3:10" s="101" customFormat="1" ht="21" customHeight="1" thickTop="1" thickBot="1">
      <c r="C74" s="492"/>
      <c r="D74" s="371"/>
      <c r="G74" s="853" t="s">
        <v>81</v>
      </c>
      <c r="H74" s="412"/>
      <c r="I74" s="112" t="s">
        <v>82</v>
      </c>
      <c r="J74" s="420" t="str">
        <f>'jobinfo(2)'!$C$2</f>
        <v>3922 E 189 STR</v>
      </c>
    </row>
    <row r="75" spans="3:10" s="101" customFormat="1" ht="21" customHeight="1" thickTop="1" thickBot="1">
      <c r="C75" s="492"/>
      <c r="D75" s="371"/>
      <c r="E75" s="413"/>
      <c r="G75" s="853"/>
      <c r="I75" s="110" t="s">
        <v>83</v>
      </c>
      <c r="J75" s="421"/>
    </row>
    <row r="76" spans="3:10" s="101" customFormat="1" ht="21" customHeight="1" thickTop="1">
      <c r="C76" s="492"/>
      <c r="D76" s="371"/>
      <c r="G76" s="853"/>
      <c r="I76" s="101" t="s">
        <v>84</v>
      </c>
      <c r="J76" s="420" t="str">
        <f>'jobinfo(2)'!$C$4</f>
        <v>KHAIAKEN@SBCGLOBAL.NET</v>
      </c>
    </row>
    <row r="77" spans="3:10" s="101" customFormat="1" ht="21" customHeight="1">
      <c r="C77" s="492"/>
      <c r="D77" s="371"/>
      <c r="G77" s="853"/>
      <c r="J77" s="420">
        <f>'jobinfo(2)'!$C$5</f>
        <v>2163241337</v>
      </c>
    </row>
    <row r="78" spans="3:10" s="101" customFormat="1" ht="21" customHeight="1">
      <c r="C78" s="492"/>
      <c r="D78" s="371"/>
      <c r="G78" s="397"/>
      <c r="I78" s="330" t="s">
        <v>85</v>
      </c>
      <c r="J78" s="422"/>
    </row>
    <row r="79" spans="3:10" s="101" customFormat="1" ht="21" customHeight="1">
      <c r="C79" s="492"/>
      <c r="D79" s="371"/>
      <c r="G79" s="850" t="s">
        <v>86</v>
      </c>
      <c r="I79" s="377" t="s">
        <v>87</v>
      </c>
      <c r="J79" s="423" t="str">
        <f>'jobinfo(2)'!$C$27</f>
        <v>CLM</v>
      </c>
    </row>
    <row r="80" spans="3:10" s="101" customFormat="1" ht="21" customHeight="1">
      <c r="C80" s="492"/>
      <c r="D80" s="371"/>
      <c r="G80" s="850"/>
      <c r="I80" s="377" t="s">
        <v>88</v>
      </c>
      <c r="J80" s="420" t="str">
        <f>'jobinfo(2)'!$C$11</f>
        <v>WATER</v>
      </c>
    </row>
    <row r="81" spans="3:10" s="101" customFormat="1" ht="21" customHeight="1">
      <c r="C81" s="492"/>
      <c r="D81" s="371"/>
      <c r="G81" s="850"/>
      <c r="I81" s="377" t="s">
        <v>89</v>
      </c>
      <c r="J81" s="420">
        <f>'jobinfo(2)'!$C$12</f>
        <v>45986</v>
      </c>
    </row>
    <row r="82" spans="3:10" s="101" customFormat="1" ht="21" customHeight="1">
      <c r="C82" s="492"/>
      <c r="D82" s="371"/>
      <c r="G82" s="850"/>
      <c r="I82" s="399" t="s">
        <v>90</v>
      </c>
      <c r="J82" s="420" t="str">
        <f>'jobinfo(2)'!$C$13</f>
        <v>interior repairs LVL1</v>
      </c>
    </row>
    <row r="83" spans="3:10" s="101" customFormat="1" ht="21" customHeight="1">
      <c r="C83" s="492"/>
      <c r="D83" s="371"/>
      <c r="G83" s="850"/>
      <c r="I83" s="377" t="s">
        <v>91</v>
      </c>
      <c r="J83" s="420" t="str">
        <f>'jobinfo(2)'!$C$14</f>
        <v>interior repairs LVL2</v>
      </c>
    </row>
    <row r="84" spans="3:10" s="101" customFormat="1" ht="21" customHeight="1">
      <c r="C84" s="492"/>
      <c r="D84" s="371"/>
      <c r="G84" s="850"/>
      <c r="I84" s="415" t="s">
        <v>92</v>
      </c>
      <c r="J84" s="420">
        <f>'jobinfo(2)'!$C$15</f>
        <v>0</v>
      </c>
    </row>
    <row r="85" spans="3:10" s="101" customFormat="1" ht="21" customHeight="1">
      <c r="C85" s="492"/>
      <c r="D85" s="371"/>
      <c r="G85" s="102"/>
      <c r="I85" s="101" t="s">
        <v>93</v>
      </c>
      <c r="J85" s="417"/>
    </row>
    <row r="86" spans="3:10" s="101" customFormat="1" ht="21" customHeight="1" thickBot="1">
      <c r="C86" s="492"/>
      <c r="D86" s="371"/>
      <c r="G86" s="102"/>
      <c r="I86" s="101" t="s">
        <v>94</v>
      </c>
      <c r="J86" s="417"/>
    </row>
    <row r="87" spans="3:10" s="101" customFormat="1" ht="21" customHeight="1" thickTop="1" thickBot="1">
      <c r="C87" s="492"/>
      <c r="D87" s="371"/>
      <c r="G87" s="102"/>
      <c r="I87" s="416" t="s">
        <v>95</v>
      </c>
    </row>
    <row r="88" spans="3:10" s="101" customFormat="1" ht="21" customHeight="1" thickTop="1">
      <c r="C88" s="492"/>
      <c r="D88" s="371"/>
      <c r="G88" s="102"/>
    </row>
    <row r="89" spans="3:10" s="101" customFormat="1" ht="21" customHeight="1" thickBot="1">
      <c r="C89" s="492"/>
      <c r="D89" s="371"/>
      <c r="G89" s="102"/>
      <c r="I89" s="110" t="s">
        <v>96</v>
      </c>
    </row>
    <row r="90" spans="3:10" s="101" customFormat="1" ht="21" customHeight="1" thickTop="1" thickBot="1">
      <c r="C90" s="492"/>
      <c r="D90" s="371"/>
      <c r="G90" s="102"/>
      <c r="I90" s="396" t="s">
        <v>97</v>
      </c>
    </row>
    <row r="91" spans="3:10" s="101" customFormat="1" ht="21" customHeight="1" thickTop="1" thickBot="1">
      <c r="C91" s="492"/>
      <c r="D91" s="371"/>
      <c r="G91" s="102"/>
      <c r="I91" s="395" t="s">
        <v>36</v>
      </c>
    </row>
    <row r="92" spans="3:10" s="101" customFormat="1" ht="21" customHeight="1" thickTop="1">
      <c r="C92" s="492"/>
      <c r="D92" s="371"/>
      <c r="G92" s="374"/>
      <c r="H92" s="375"/>
      <c r="I92" s="375"/>
    </row>
    <row r="93" spans="3:10" s="101" customFormat="1" ht="21" customHeight="1">
      <c r="C93" s="492"/>
      <c r="D93" s="371"/>
      <c r="G93" s="102"/>
      <c r="I93" s="101" t="s">
        <v>99</v>
      </c>
    </row>
    <row r="94" spans="3:10" s="101" customFormat="1" ht="21" customHeight="1">
      <c r="C94" s="492"/>
      <c r="D94" s="371"/>
      <c r="G94" s="102"/>
      <c r="I94" s="101" t="s">
        <v>100</v>
      </c>
    </row>
    <row r="95" spans="3:10" s="101" customFormat="1" ht="21" customHeight="1">
      <c r="C95" s="492"/>
      <c r="D95" s="371"/>
      <c r="G95" s="102"/>
      <c r="I95" s="101" t="s">
        <v>101</v>
      </c>
    </row>
    <row r="96" spans="3:10" s="101" customFormat="1" ht="21" customHeight="1">
      <c r="C96" s="492"/>
      <c r="D96" s="371"/>
      <c r="G96" s="374"/>
      <c r="H96" s="375"/>
      <c r="I96" s="375"/>
    </row>
    <row r="97" spans="1:10" s="101" customFormat="1" ht="21" customHeight="1">
      <c r="C97" s="492"/>
      <c r="D97" s="371"/>
      <c r="G97" s="102"/>
      <c r="I97" s="368" t="s">
        <v>75</v>
      </c>
    </row>
    <row r="98" spans="1:10" s="101" customFormat="1" ht="21" customHeight="1">
      <c r="C98" s="492"/>
      <c r="D98" s="371"/>
      <c r="G98" s="851" t="s">
        <v>102</v>
      </c>
      <c r="H98" s="851"/>
      <c r="I98" s="851"/>
      <c r="J98" s="851"/>
    </row>
    <row r="99" spans="1:10" s="101" customFormat="1" ht="21" customHeight="1">
      <c r="C99" s="492"/>
      <c r="D99" s="371"/>
      <c r="G99" s="394" t="s">
        <v>103</v>
      </c>
      <c r="H99" s="826"/>
      <c r="I99" s="393"/>
      <c r="J99" s="826"/>
    </row>
    <row r="100" spans="1:10" s="101" customFormat="1" ht="21" customHeight="1">
      <c r="C100" s="492"/>
      <c r="D100" s="371"/>
      <c r="G100" s="858" t="s">
        <v>104</v>
      </c>
      <c r="H100" s="858"/>
      <c r="I100" s="858"/>
      <c r="J100" s="858"/>
    </row>
    <row r="101" spans="1:10" s="101" customFormat="1" ht="21" customHeight="1">
      <c r="A101" s="102"/>
      <c r="B101" s="387"/>
      <c r="C101" s="492"/>
      <c r="D101" s="371"/>
    </row>
    <row r="102" spans="1:10" s="101" customFormat="1" ht="21" customHeight="1">
      <c r="A102" s="102"/>
      <c r="B102" s="387"/>
      <c r="C102" s="492"/>
      <c r="D102" s="371"/>
    </row>
    <row r="103" spans="1:10" s="101" customFormat="1" ht="21" customHeight="1">
      <c r="A103" s="102"/>
      <c r="B103" s="387"/>
      <c r="C103" s="492"/>
      <c r="D103" s="371"/>
    </row>
    <row r="104" spans="1:10" s="101" customFormat="1" ht="21" customHeight="1">
      <c r="A104" s="102"/>
      <c r="B104" s="387"/>
      <c r="C104" s="492"/>
      <c r="D104" s="371"/>
    </row>
    <row r="105" spans="1:10" s="101" customFormat="1" ht="21" customHeight="1">
      <c r="A105" s="102"/>
      <c r="B105" s="387"/>
      <c r="C105" s="492"/>
      <c r="D105" s="371"/>
    </row>
    <row r="106" spans="1:10" s="101" customFormat="1" ht="21" customHeight="1">
      <c r="A106" s="102"/>
      <c r="B106" s="387"/>
      <c r="C106" s="492"/>
      <c r="D106" s="371"/>
    </row>
    <row r="107" spans="1:10" s="101" customFormat="1" ht="21" customHeight="1">
      <c r="A107" s="102"/>
      <c r="B107" s="387"/>
      <c r="C107" s="492"/>
      <c r="D107" s="371"/>
    </row>
    <row r="108" spans="1:10" s="101" customFormat="1" ht="21" customHeight="1">
      <c r="A108" s="102"/>
      <c r="B108" s="387"/>
      <c r="C108" s="492"/>
      <c r="D108" s="371"/>
    </row>
    <row r="109" spans="1:10" s="101" customFormat="1" ht="21" customHeight="1">
      <c r="A109" s="102"/>
      <c r="B109" s="387"/>
      <c r="C109" s="492"/>
      <c r="D109" s="371"/>
    </row>
    <row r="110" spans="1:10" s="101" customFormat="1" ht="21" customHeight="1">
      <c r="A110" s="102"/>
      <c r="B110" s="387"/>
      <c r="C110" s="492"/>
      <c r="D110" s="371"/>
    </row>
    <row r="111" spans="1:10" s="101" customFormat="1" ht="21" customHeight="1">
      <c r="A111" s="102"/>
      <c r="B111" s="387"/>
      <c r="C111" s="492"/>
      <c r="D111" s="371"/>
    </row>
    <row r="112" spans="1:10" s="101" customFormat="1" ht="21" customHeight="1">
      <c r="A112" s="102"/>
      <c r="B112" s="387"/>
      <c r="C112" s="492"/>
      <c r="D112" s="371"/>
    </row>
    <row r="113" spans="1:4" s="101" customFormat="1" ht="21" customHeight="1">
      <c r="A113" s="102"/>
      <c r="B113" s="387"/>
      <c r="C113" s="492"/>
      <c r="D113" s="371"/>
    </row>
    <row r="114" spans="1:4" s="101" customFormat="1" ht="21" customHeight="1">
      <c r="A114" s="102"/>
      <c r="B114" s="387"/>
      <c r="C114" s="492"/>
      <c r="D114" s="371"/>
    </row>
    <row r="115" spans="1:4" s="101" customFormat="1" ht="21" customHeight="1">
      <c r="A115" s="102"/>
      <c r="B115" s="387"/>
      <c r="C115" s="492"/>
      <c r="D115" s="371"/>
    </row>
    <row r="116" spans="1:4" s="101" customFormat="1" ht="21" customHeight="1">
      <c r="A116" s="102"/>
      <c r="B116" s="387"/>
      <c r="C116" s="492"/>
      <c r="D116" s="371"/>
    </row>
    <row r="117" spans="1:4" s="101" customFormat="1" ht="21" customHeight="1">
      <c r="A117" s="102"/>
      <c r="B117" s="387"/>
      <c r="C117" s="492"/>
      <c r="D117" s="371"/>
    </row>
    <row r="118" spans="1:4" s="101" customFormat="1" ht="21" customHeight="1">
      <c r="A118" s="102"/>
      <c r="B118" s="387"/>
      <c r="C118" s="492"/>
      <c r="D118" s="371"/>
    </row>
    <row r="119" spans="1:4" s="101" customFormat="1" ht="21" customHeight="1">
      <c r="A119" s="102"/>
      <c r="B119" s="387"/>
      <c r="C119" s="492"/>
      <c r="D119" s="371"/>
    </row>
    <row r="120" spans="1:4" s="101" customFormat="1" ht="21" customHeight="1">
      <c r="A120" s="102"/>
      <c r="B120" s="387"/>
      <c r="C120" s="492"/>
      <c r="D120" s="371"/>
    </row>
    <row r="121" spans="1:4" s="101" customFormat="1" ht="21" customHeight="1">
      <c r="A121" s="102"/>
      <c r="B121" s="387"/>
      <c r="C121" s="492"/>
      <c r="D121" s="371"/>
    </row>
    <row r="122" spans="1:4" s="101" customFormat="1" ht="21" customHeight="1">
      <c r="C122" s="492"/>
      <c r="D122" s="371"/>
    </row>
    <row r="123" spans="1:4" s="101" customFormat="1" ht="21" customHeight="1">
      <c r="C123" s="492"/>
      <c r="D123" s="371"/>
    </row>
    <row r="124" spans="1:4" s="101" customFormat="1" ht="21" customHeight="1">
      <c r="C124" s="492"/>
      <c r="D124" s="371"/>
    </row>
    <row r="125" spans="1:4" s="101" customFormat="1" ht="21" customHeight="1">
      <c r="C125" s="492"/>
      <c r="D125" s="371"/>
    </row>
    <row r="126" spans="1:4" s="101" customFormat="1" ht="21" customHeight="1">
      <c r="C126" s="492"/>
      <c r="D126" s="371"/>
    </row>
    <row r="127" spans="1:4" s="101" customFormat="1" ht="21" customHeight="1">
      <c r="C127" s="492"/>
      <c r="D127" s="371"/>
    </row>
    <row r="128" spans="1:4" s="101" customFormat="1" ht="21" customHeight="1">
      <c r="C128" s="492"/>
      <c r="D128" s="371"/>
    </row>
    <row r="129" spans="3:4" s="101" customFormat="1" ht="21" customHeight="1">
      <c r="C129" s="492"/>
      <c r="D129" s="371"/>
    </row>
    <row r="130" spans="3:4" s="101" customFormat="1" ht="21" customHeight="1">
      <c r="C130" s="492"/>
      <c r="D130" s="371"/>
    </row>
    <row r="131" spans="3:4" s="101" customFormat="1" ht="21" customHeight="1">
      <c r="C131" s="492"/>
      <c r="D131" s="371"/>
    </row>
    <row r="135" spans="3:4" s="101" customFormat="1" ht="21" customHeight="1">
      <c r="C135" s="492"/>
      <c r="D135" s="371"/>
    </row>
    <row r="136" spans="3:4" s="101" customFormat="1" ht="21" customHeight="1">
      <c r="C136" s="492"/>
      <c r="D136" s="371"/>
    </row>
    <row r="137" spans="3:4" s="101" customFormat="1" ht="21" customHeight="1">
      <c r="C137" s="492"/>
      <c r="D137" s="371"/>
    </row>
    <row r="138" spans="3:4" s="101" customFormat="1" ht="21" customHeight="1">
      <c r="C138" s="492"/>
      <c r="D138" s="371"/>
    </row>
    <row r="139" spans="3:4" s="101" customFormat="1" ht="21" customHeight="1">
      <c r="C139" s="492"/>
      <c r="D139" s="371"/>
    </row>
    <row r="140" spans="3:4" s="101" customFormat="1" ht="21" customHeight="1">
      <c r="C140" s="492"/>
      <c r="D140" s="371"/>
    </row>
  </sheetData>
  <mergeCells count="12">
    <mergeCell ref="D1:D2"/>
    <mergeCell ref="D4:D5"/>
    <mergeCell ref="D23:D24"/>
    <mergeCell ref="D25:D31"/>
    <mergeCell ref="D16:D18"/>
    <mergeCell ref="D10:D11"/>
    <mergeCell ref="G100:J100"/>
    <mergeCell ref="G62:G64"/>
    <mergeCell ref="G69:G71"/>
    <mergeCell ref="G74:G77"/>
    <mergeCell ref="G79:G84"/>
    <mergeCell ref="G98:J98"/>
  </mergeCells>
  <printOptions gridLines="1"/>
  <pageMargins left="0.26" right="0.17" top="0.19" bottom="0.38" header="0.17" footer="0.16"/>
  <pageSetup orientation="portrait" r:id="rId1"/>
  <headerFooter>
    <oddFooter>&amp;LPage@  &amp;P  &amp;D   &amp;T&amp;C&amp;A&amp;R&amp;F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C4B2C-AD01-46F8-9DC5-2B34BFB32745}">
  <sheetPr codeName="Sheet9"/>
  <dimension ref="A1:Z229"/>
  <sheetViews>
    <sheetView tabSelected="1" topLeftCell="A47" zoomScaleNormal="100" zoomScaleSheetLayoutView="76" workbookViewId="0">
      <selection activeCell="K51" sqref="K51"/>
    </sheetView>
  </sheetViews>
  <sheetFormatPr defaultColWidth="8.69921875" defaultRowHeight="22.2" customHeight="1"/>
  <cols>
    <col min="1" max="1" width="6.5" style="240" customWidth="1"/>
    <col min="2" max="2" width="16.69921875" style="347" customWidth="1"/>
    <col min="3" max="3" width="25.3984375" customWidth="1"/>
    <col min="4" max="4" width="12" style="196" customWidth="1"/>
    <col min="5" max="5" width="11.69921875" style="196" customWidth="1"/>
    <col min="6" max="6" width="7.3984375" style="196" customWidth="1"/>
    <col min="7" max="7" width="7.8984375" style="196" customWidth="1"/>
    <col min="8" max="8" width="7.69921875" style="196" customWidth="1"/>
    <col min="9" max="9" width="11.09765625" style="196" customWidth="1"/>
    <col min="10" max="10" width="9.3984375" style="196" customWidth="1"/>
    <col min="11" max="14" width="8" style="196" customWidth="1"/>
    <col min="15" max="15" width="20.3984375" style="25" customWidth="1"/>
    <col min="16" max="16" width="32.5" style="2" customWidth="1"/>
    <col min="17" max="17" width="21" style="2" customWidth="1"/>
    <col min="18" max="18" width="13.09765625" style="2" customWidth="1"/>
    <col min="19" max="19" width="36.69921875" customWidth="1"/>
    <col min="20" max="20" width="38.09765625" bestFit="1" customWidth="1"/>
    <col min="21" max="21" width="31.69921875" bestFit="1" customWidth="1"/>
    <col min="22" max="22" width="34.09765625" customWidth="1"/>
    <col min="23" max="23" width="31" customWidth="1"/>
  </cols>
  <sheetData>
    <row r="1" spans="1:22" ht="22.2" customHeight="1" thickTop="1">
      <c r="A1" s="874" t="s">
        <v>152</v>
      </c>
      <c r="B1" s="432" t="s">
        <v>153</v>
      </c>
      <c r="C1" s="756" t="s">
        <v>154</v>
      </c>
      <c r="D1" s="231"/>
      <c r="E1" s="200"/>
      <c r="F1" s="231"/>
      <c r="G1" s="231"/>
      <c r="H1" s="231"/>
      <c r="I1" s="231"/>
      <c r="J1" s="231"/>
      <c r="K1" s="231"/>
      <c r="L1" s="231"/>
      <c r="M1" s="231"/>
      <c r="N1" s="231"/>
      <c r="O1" s="24" t="s">
        <v>155</v>
      </c>
      <c r="P1" s="153"/>
      <c r="S1" t="s">
        <v>156</v>
      </c>
    </row>
    <row r="2" spans="1:22" ht="22.2" customHeight="1">
      <c r="A2" s="875"/>
      <c r="B2" s="433" t="s">
        <v>157</v>
      </c>
      <c r="C2" s="562" t="s">
        <v>158</v>
      </c>
      <c r="D2" s="200"/>
      <c r="E2" s="231"/>
      <c r="F2" s="200"/>
      <c r="G2" s="200"/>
      <c r="H2" s="200"/>
      <c r="I2" s="200"/>
      <c r="J2" s="200"/>
      <c r="K2" s="200"/>
      <c r="L2" s="200"/>
      <c r="M2" s="200"/>
      <c r="N2" s="200"/>
      <c r="O2" s="876" t="s">
        <v>159</v>
      </c>
      <c r="P2" s="1" t="s">
        <v>160</v>
      </c>
      <c r="S2" s="13" t="s">
        <v>161</v>
      </c>
    </row>
    <row r="3" spans="1:22" ht="22.2" customHeight="1">
      <c r="A3" s="875"/>
      <c r="B3" s="434" t="s">
        <v>162</v>
      </c>
      <c r="C3" s="562" t="s">
        <v>163</v>
      </c>
      <c r="D3" s="231"/>
      <c r="E3" s="200"/>
      <c r="F3" s="231"/>
      <c r="G3" s="231"/>
      <c r="H3" s="231"/>
      <c r="I3" s="231"/>
      <c r="J3" s="231"/>
      <c r="K3" s="231"/>
      <c r="L3" s="231"/>
      <c r="M3" s="231"/>
      <c r="N3" s="231"/>
      <c r="O3" s="876"/>
      <c r="P3" s="1"/>
      <c r="S3" t="s">
        <v>164</v>
      </c>
    </row>
    <row r="4" spans="1:22" ht="22.2" customHeight="1">
      <c r="A4" s="875"/>
      <c r="B4" s="433" t="s">
        <v>165</v>
      </c>
      <c r="C4" s="562" t="s">
        <v>166</v>
      </c>
      <c r="D4" s="200"/>
      <c r="E4" s="231"/>
      <c r="F4" s="200"/>
      <c r="G4" s="200"/>
      <c r="H4" s="200"/>
      <c r="I4" s="200"/>
      <c r="J4" s="200"/>
      <c r="K4" s="200"/>
      <c r="L4" s="200"/>
      <c r="M4" s="200"/>
      <c r="N4" s="200"/>
      <c r="O4" s="876"/>
      <c r="P4" s="1"/>
      <c r="S4" t="s">
        <v>167</v>
      </c>
      <c r="T4" s="877"/>
      <c r="U4" s="878"/>
      <c r="V4" s="867"/>
    </row>
    <row r="5" spans="1:22" ht="22.2" customHeight="1">
      <c r="A5" s="875"/>
      <c r="B5" s="435" t="s">
        <v>168</v>
      </c>
      <c r="C5" s="757">
        <v>2163241337</v>
      </c>
      <c r="D5" s="231"/>
      <c r="E5" s="200"/>
      <c r="F5" s="231"/>
      <c r="G5" s="231"/>
      <c r="H5" s="231"/>
      <c r="I5" s="231"/>
      <c r="J5" s="231"/>
      <c r="K5" s="231"/>
      <c r="L5" s="231"/>
      <c r="M5" s="231"/>
      <c r="N5" s="231"/>
      <c r="O5" s="876"/>
      <c r="P5" s="1"/>
      <c r="T5" s="877"/>
      <c r="U5" s="878"/>
      <c r="V5" s="867"/>
    </row>
    <row r="6" spans="1:22" ht="22.2" customHeight="1">
      <c r="A6" s="875"/>
      <c r="B6" s="436" t="s">
        <v>169</v>
      </c>
      <c r="C6" s="138" t="s">
        <v>38</v>
      </c>
      <c r="D6" s="200"/>
      <c r="E6" s="231"/>
      <c r="F6" s="200"/>
      <c r="G6" s="200"/>
      <c r="H6" s="200"/>
      <c r="I6" s="200"/>
      <c r="J6" s="200"/>
      <c r="K6" s="200"/>
      <c r="L6" s="200"/>
      <c r="M6" s="200"/>
      <c r="N6" s="200"/>
      <c r="O6" s="876"/>
      <c r="P6" s="1"/>
      <c r="S6" s="18"/>
      <c r="V6" s="867"/>
    </row>
    <row r="7" spans="1:22" ht="22.2" customHeight="1">
      <c r="A7" s="875"/>
      <c r="B7" s="437" t="s">
        <v>170</v>
      </c>
      <c r="C7" s="138" t="s">
        <v>38</v>
      </c>
      <c r="D7" s="200"/>
      <c r="E7" s="231"/>
      <c r="F7" s="200"/>
      <c r="G7" s="200"/>
      <c r="H7" s="200"/>
      <c r="I7" s="200"/>
      <c r="J7" s="200"/>
      <c r="K7" s="200"/>
      <c r="L7" s="200"/>
      <c r="M7" s="200"/>
      <c r="N7" s="200"/>
      <c r="O7" s="876"/>
      <c r="P7" s="1"/>
      <c r="S7" s="16" t="s">
        <v>171</v>
      </c>
      <c r="V7" s="867"/>
    </row>
    <row r="8" spans="1:22" ht="22.2" customHeight="1">
      <c r="A8" s="875"/>
      <c r="B8" s="438" t="s">
        <v>172</v>
      </c>
      <c r="C8" s="138" t="s">
        <v>38</v>
      </c>
      <c r="D8" s="231"/>
      <c r="E8" s="200"/>
      <c r="F8" s="231"/>
      <c r="G8" s="231"/>
      <c r="H8" s="231"/>
      <c r="I8" s="231"/>
      <c r="J8" s="231"/>
      <c r="K8" s="231"/>
      <c r="L8" s="231"/>
      <c r="M8" s="231"/>
      <c r="N8" s="231"/>
      <c r="O8" s="876"/>
      <c r="P8" s="1"/>
      <c r="S8" s="17" t="s">
        <v>173</v>
      </c>
    </row>
    <row r="9" spans="1:22" ht="22.2" customHeight="1">
      <c r="A9" s="875"/>
      <c r="B9" s="439" t="s">
        <v>174</v>
      </c>
      <c r="C9" s="138" t="s">
        <v>38</v>
      </c>
      <c r="D9" s="200"/>
      <c r="E9" s="231"/>
      <c r="F9" s="200"/>
      <c r="G9" s="200"/>
      <c r="H9" s="200"/>
      <c r="I9" s="200"/>
      <c r="J9" s="200"/>
      <c r="K9" s="200"/>
      <c r="L9" s="200"/>
      <c r="M9" s="200"/>
      <c r="N9" s="200"/>
      <c r="O9" s="876"/>
      <c r="P9" s="15"/>
    </row>
    <row r="10" spans="1:22" ht="22.2" customHeight="1">
      <c r="A10" s="875"/>
      <c r="B10" s="438" t="s">
        <v>175</v>
      </c>
      <c r="C10" s="138" t="s">
        <v>38</v>
      </c>
      <c r="D10" s="231"/>
      <c r="E10" s="200"/>
      <c r="F10" s="231"/>
      <c r="G10" s="231"/>
      <c r="H10" s="231"/>
      <c r="I10" s="231"/>
      <c r="J10" s="231"/>
      <c r="K10" s="231"/>
      <c r="L10" s="231"/>
      <c r="M10" s="231"/>
      <c r="N10" s="231"/>
      <c r="O10" s="876"/>
      <c r="P10" s="15"/>
    </row>
    <row r="11" spans="1:22" ht="22.2" customHeight="1">
      <c r="A11" s="868" t="s">
        <v>176</v>
      </c>
      <c r="B11" s="440" t="s">
        <v>177</v>
      </c>
      <c r="C11" s="20" t="s">
        <v>178</v>
      </c>
      <c r="D11" s="25"/>
      <c r="E11" s="25"/>
      <c r="F11" s="25"/>
      <c r="G11" s="25"/>
      <c r="H11" s="25"/>
      <c r="I11" s="25"/>
      <c r="J11" s="25"/>
      <c r="K11" s="25"/>
      <c r="L11" s="25"/>
      <c r="M11" s="25"/>
      <c r="N11" s="25"/>
      <c r="O11" s="25" t="s">
        <v>179</v>
      </c>
      <c r="P11" s="20" t="s">
        <v>180</v>
      </c>
      <c r="Q11" s="23" t="s">
        <v>181</v>
      </c>
      <c r="R11" s="20" t="s">
        <v>182</v>
      </c>
      <c r="S11" s="20" t="s">
        <v>183</v>
      </c>
    </row>
    <row r="12" spans="1:22" ht="22.2" customHeight="1">
      <c r="A12" s="868"/>
      <c r="B12" s="441" t="s">
        <v>184</v>
      </c>
      <c r="C12" s="758">
        <v>45986</v>
      </c>
      <c r="D12" s="231"/>
      <c r="E12" s="200"/>
      <c r="F12" s="231"/>
      <c r="G12" s="231"/>
      <c r="H12" s="231"/>
      <c r="I12" s="231"/>
      <c r="J12" s="231"/>
      <c r="K12" s="231"/>
      <c r="L12" s="231"/>
      <c r="M12" s="231"/>
      <c r="N12" s="231"/>
      <c r="O12" s="26" t="s">
        <v>185</v>
      </c>
    </row>
    <row r="13" spans="1:22" ht="22.2" customHeight="1">
      <c r="A13" s="868"/>
      <c r="B13" s="442" t="s">
        <v>186</v>
      </c>
      <c r="C13" s="43" t="s">
        <v>187</v>
      </c>
      <c r="D13" s="200"/>
      <c r="E13" s="231"/>
      <c r="F13" s="200"/>
      <c r="G13" s="200"/>
      <c r="H13" s="200"/>
      <c r="I13" s="200"/>
      <c r="J13" s="200"/>
      <c r="K13" s="200"/>
      <c r="L13" s="200"/>
      <c r="M13" s="200"/>
      <c r="N13" s="200"/>
      <c r="O13" s="21" t="s">
        <v>188</v>
      </c>
      <c r="P13" s="7"/>
      <c r="Q13" s="21" t="s">
        <v>189</v>
      </c>
    </row>
    <row r="14" spans="1:22" ht="22.2" customHeight="1">
      <c r="A14" s="868"/>
      <c r="B14" s="441" t="s">
        <v>190</v>
      </c>
      <c r="C14" s="43" t="s">
        <v>191</v>
      </c>
      <c r="D14" s="231"/>
      <c r="E14" s="200"/>
      <c r="F14" s="231"/>
      <c r="G14" s="231"/>
      <c r="H14" s="231"/>
      <c r="I14" s="231"/>
      <c r="J14" s="231"/>
      <c r="K14" s="231"/>
      <c r="L14" s="231"/>
      <c r="M14" s="231"/>
      <c r="N14" s="231"/>
      <c r="O14" s="42" t="s">
        <v>192</v>
      </c>
      <c r="P14" s="7"/>
      <c r="Q14" s="21" t="s">
        <v>193</v>
      </c>
    </row>
    <row r="15" spans="1:22" ht="22.2" customHeight="1">
      <c r="A15" s="868"/>
      <c r="B15" s="442" t="s">
        <v>194</v>
      </c>
      <c r="C15" s="43"/>
      <c r="D15" s="231"/>
      <c r="E15" s="200"/>
      <c r="F15" s="231"/>
      <c r="G15" s="231"/>
      <c r="H15" s="231"/>
      <c r="I15" s="231"/>
      <c r="J15" s="231"/>
      <c r="K15" s="231"/>
      <c r="L15" s="231"/>
      <c r="M15" s="231"/>
      <c r="N15" s="231"/>
      <c r="O15" s="42" t="s">
        <v>195</v>
      </c>
      <c r="P15" s="7"/>
      <c r="Q15" s="21" t="s">
        <v>196</v>
      </c>
    </row>
    <row r="16" spans="1:22" ht="22.2" customHeight="1">
      <c r="A16" s="868"/>
      <c r="B16" s="443" t="s">
        <v>197</v>
      </c>
      <c r="C16" s="138" t="s">
        <v>13</v>
      </c>
      <c r="D16" s="200"/>
      <c r="E16" s="231"/>
      <c r="F16" s="200"/>
      <c r="G16" s="200"/>
      <c r="H16" s="200"/>
      <c r="I16" s="200"/>
      <c r="J16" s="200"/>
      <c r="K16" s="200"/>
      <c r="L16" s="200"/>
      <c r="M16" s="200"/>
      <c r="N16" s="200"/>
      <c r="O16" s="25" t="s">
        <v>13</v>
      </c>
    </row>
    <row r="17" spans="1:19" ht="22.2" customHeight="1">
      <c r="A17" s="868"/>
      <c r="B17" s="444" t="s">
        <v>198</v>
      </c>
      <c r="C17" s="138" t="s">
        <v>13</v>
      </c>
      <c r="D17" s="231"/>
      <c r="E17" s="200"/>
      <c r="F17" s="231"/>
      <c r="G17" s="231"/>
      <c r="H17" s="231"/>
      <c r="I17" s="231"/>
      <c r="J17" s="231"/>
      <c r="K17" s="231"/>
      <c r="L17" s="231"/>
      <c r="M17" s="231"/>
      <c r="N17" s="231"/>
      <c r="O17" s="25" t="s">
        <v>13</v>
      </c>
      <c r="S17" s="2"/>
    </row>
    <row r="18" spans="1:19" ht="22.2" customHeight="1">
      <c r="A18" s="868"/>
      <c r="B18" s="445" t="s">
        <v>199</v>
      </c>
      <c r="C18" s="138" t="s">
        <v>38</v>
      </c>
      <c r="D18" s="200"/>
      <c r="E18" s="231"/>
      <c r="F18" s="200"/>
      <c r="G18" s="200"/>
      <c r="H18" s="200"/>
      <c r="I18" s="200"/>
      <c r="J18" s="200"/>
      <c r="K18" s="200"/>
      <c r="L18" s="200"/>
      <c r="M18" s="200"/>
      <c r="N18" s="200"/>
      <c r="O18" s="25" t="s">
        <v>13</v>
      </c>
      <c r="S18" s="2"/>
    </row>
    <row r="19" spans="1:19" ht="22.2" customHeight="1">
      <c r="A19" s="880" t="s">
        <v>200</v>
      </c>
      <c r="B19" s="446" t="s">
        <v>201</v>
      </c>
      <c r="C19" s="138" t="s">
        <v>13</v>
      </c>
      <c r="D19" s="231"/>
      <c r="E19" s="200"/>
      <c r="F19" s="231"/>
      <c r="G19" s="231"/>
      <c r="H19" s="231"/>
      <c r="I19" s="231"/>
      <c r="J19" s="231"/>
      <c r="K19" s="231"/>
      <c r="L19" s="231"/>
      <c r="M19" s="231"/>
      <c r="N19" s="231"/>
      <c r="O19" s="25" t="s">
        <v>13</v>
      </c>
      <c r="S19" s="2"/>
    </row>
    <row r="20" spans="1:19" ht="22.2" customHeight="1">
      <c r="A20" s="880"/>
      <c r="B20" s="447" t="s">
        <v>202</v>
      </c>
      <c r="C20" s="138" t="s">
        <v>13</v>
      </c>
      <c r="D20" s="200"/>
      <c r="E20" s="200"/>
      <c r="F20" s="200"/>
      <c r="G20" s="200"/>
      <c r="H20" s="200"/>
      <c r="I20" s="200"/>
      <c r="J20" s="200"/>
      <c r="K20" s="200"/>
      <c r="L20" s="200"/>
      <c r="M20" s="200"/>
      <c r="N20" s="200"/>
      <c r="O20" s="25" t="s">
        <v>13</v>
      </c>
      <c r="S20" s="2"/>
    </row>
    <row r="21" spans="1:19" ht="22.2" customHeight="1">
      <c r="A21" s="880"/>
      <c r="B21" s="448" t="s">
        <v>203</v>
      </c>
      <c r="C21" s="138">
        <v>1956</v>
      </c>
      <c r="D21" s="2"/>
      <c r="E21" s="2"/>
      <c r="F21" s="2"/>
      <c r="G21" s="2"/>
      <c r="H21" s="2"/>
      <c r="I21" s="2"/>
      <c r="J21" s="2"/>
      <c r="K21" s="2"/>
      <c r="L21" s="2"/>
      <c r="M21" s="2"/>
      <c r="N21" s="2"/>
      <c r="O21" s="25" t="s">
        <v>204</v>
      </c>
      <c r="S21" s="2"/>
    </row>
    <row r="22" spans="1:19" ht="22.2" customHeight="1">
      <c r="A22" s="880"/>
      <c r="B22" s="449" t="s">
        <v>205</v>
      </c>
      <c r="C22" s="556">
        <f>C12+1</f>
        <v>45987</v>
      </c>
      <c r="D22" s="231"/>
      <c r="E22" s="200"/>
      <c r="F22" s="231"/>
      <c r="G22" s="231"/>
      <c r="H22" s="231"/>
      <c r="I22" s="231"/>
      <c r="J22" s="231"/>
      <c r="K22" s="231"/>
      <c r="L22" s="231"/>
      <c r="M22" s="231"/>
      <c r="N22" s="231"/>
      <c r="O22" s="25" t="s">
        <v>204</v>
      </c>
      <c r="P22" s="2" t="s">
        <v>206</v>
      </c>
      <c r="Q22" s="2" t="s">
        <v>207</v>
      </c>
      <c r="S22" s="2"/>
    </row>
    <row r="23" spans="1:19" ht="22.2" customHeight="1">
      <c r="A23" s="237"/>
      <c r="B23" s="438" t="s">
        <v>208</v>
      </c>
      <c r="C23" s="138" t="s">
        <v>13</v>
      </c>
      <c r="D23" s="200"/>
      <c r="E23" s="231"/>
      <c r="F23" s="200"/>
      <c r="G23" s="200"/>
      <c r="H23" s="200"/>
      <c r="I23" s="200"/>
      <c r="J23" s="200"/>
      <c r="K23" s="200"/>
      <c r="L23" s="200"/>
      <c r="M23" s="200"/>
      <c r="N23" s="200"/>
      <c r="O23" s="27" t="s">
        <v>209</v>
      </c>
      <c r="S23" s="2"/>
    </row>
    <row r="24" spans="1:19" ht="22.2" customHeight="1">
      <c r="A24" s="237"/>
      <c r="B24" s="448" t="s">
        <v>210</v>
      </c>
      <c r="C24" s="138" t="s">
        <v>204</v>
      </c>
      <c r="D24" s="231"/>
      <c r="E24" s="200"/>
      <c r="F24" s="231"/>
      <c r="G24" s="231"/>
      <c r="H24" s="231"/>
      <c r="I24" s="231"/>
      <c r="J24" s="231"/>
      <c r="K24" s="231"/>
      <c r="L24" s="231"/>
      <c r="M24" s="231"/>
      <c r="N24" s="231"/>
      <c r="O24" s="25" t="s">
        <v>211</v>
      </c>
      <c r="S24" s="2"/>
    </row>
    <row r="25" spans="1:19" ht="22.2" customHeight="1">
      <c r="A25" s="237"/>
      <c r="B25" s="448" t="s">
        <v>212</v>
      </c>
      <c r="C25" s="138" t="s">
        <v>204</v>
      </c>
      <c r="D25" s="200"/>
      <c r="E25" s="231"/>
      <c r="F25" s="200"/>
      <c r="G25" s="200"/>
      <c r="H25" s="200"/>
      <c r="I25" s="200"/>
      <c r="J25" s="200"/>
      <c r="K25" s="200"/>
      <c r="L25" s="200"/>
      <c r="M25" s="200"/>
      <c r="N25" s="200"/>
      <c r="O25" s="25" t="s">
        <v>213</v>
      </c>
      <c r="S25" s="2"/>
    </row>
    <row r="26" spans="1:19" ht="22.2" customHeight="1">
      <c r="A26" s="238"/>
      <c r="B26" s="450" t="s">
        <v>214</v>
      </c>
      <c r="C26" s="138" t="s">
        <v>215</v>
      </c>
      <c r="D26" s="231"/>
      <c r="E26" s="200"/>
      <c r="F26" s="231"/>
      <c r="G26" s="231"/>
      <c r="H26" s="231"/>
      <c r="I26" s="231"/>
      <c r="J26" s="231"/>
      <c r="K26" s="231"/>
      <c r="L26" s="231"/>
      <c r="M26" s="231"/>
      <c r="N26" s="231"/>
      <c r="O26" s="881" t="s">
        <v>216</v>
      </c>
      <c r="P26" s="2" t="s">
        <v>217</v>
      </c>
      <c r="R26" s="2" t="s">
        <v>218</v>
      </c>
      <c r="S26" s="2"/>
    </row>
    <row r="27" spans="1:19" ht="22.2" customHeight="1">
      <c r="A27" s="882" t="s">
        <v>219</v>
      </c>
      <c r="B27" s="451" t="s">
        <v>220</v>
      </c>
      <c r="C27" s="759" t="s">
        <v>221</v>
      </c>
      <c r="D27" s="231"/>
      <c r="E27" s="200"/>
      <c r="F27" s="231"/>
      <c r="G27" s="231"/>
      <c r="H27" s="231"/>
      <c r="I27" s="231"/>
      <c r="J27" s="231"/>
      <c r="K27" s="231"/>
      <c r="L27" s="231"/>
      <c r="M27" s="231"/>
      <c r="N27" s="231"/>
      <c r="O27" s="881"/>
      <c r="P27" s="7" t="s">
        <v>222</v>
      </c>
      <c r="S27" s="2"/>
    </row>
    <row r="28" spans="1:19" ht="22.2" customHeight="1">
      <c r="A28" s="882"/>
      <c r="B28" s="452" t="s">
        <v>223</v>
      </c>
      <c r="C28" s="138" t="s">
        <v>224</v>
      </c>
      <c r="D28" s="200"/>
      <c r="E28" s="231"/>
      <c r="F28" s="200"/>
      <c r="G28" s="200"/>
      <c r="H28" s="200"/>
      <c r="I28" s="200"/>
      <c r="J28" s="200"/>
      <c r="K28" s="200"/>
      <c r="L28" s="200"/>
      <c r="M28" s="200"/>
      <c r="N28" s="200"/>
      <c r="O28" s="881"/>
      <c r="P28" s="2" t="s">
        <v>217</v>
      </c>
      <c r="Q28" s="2" t="s">
        <v>225</v>
      </c>
      <c r="S28" s="2"/>
    </row>
    <row r="29" spans="1:19" ht="22.2" customHeight="1">
      <c r="A29" s="882"/>
      <c r="B29" s="453" t="s">
        <v>226</v>
      </c>
      <c r="C29" s="562" t="s">
        <v>227</v>
      </c>
      <c r="D29" s="231"/>
      <c r="E29" s="200"/>
      <c r="F29" s="231"/>
      <c r="G29" s="231"/>
      <c r="H29" s="231"/>
      <c r="I29" s="231"/>
      <c r="J29" s="231"/>
      <c r="K29" s="231"/>
      <c r="L29" s="231"/>
      <c r="M29" s="231"/>
      <c r="N29" s="231"/>
      <c r="O29" s="881"/>
      <c r="P29" s="2" t="s">
        <v>217</v>
      </c>
      <c r="S29" s="2"/>
    </row>
    <row r="30" spans="1:19" ht="22.2" customHeight="1">
      <c r="A30" s="882"/>
      <c r="B30" s="454" t="s">
        <v>228</v>
      </c>
      <c r="C30" s="760"/>
      <c r="D30" s="200"/>
      <c r="E30" s="231"/>
      <c r="F30" s="200"/>
      <c r="G30" s="200"/>
      <c r="H30" s="200"/>
      <c r="I30" s="200"/>
      <c r="J30" s="200"/>
      <c r="K30" s="200"/>
      <c r="L30" s="200"/>
      <c r="M30" s="200"/>
      <c r="N30" s="200"/>
      <c r="O30" s="881"/>
      <c r="P30" s="2" t="s">
        <v>222</v>
      </c>
      <c r="S30" s="19"/>
    </row>
    <row r="31" spans="1:19" ht="22.2" customHeight="1">
      <c r="A31" s="882"/>
      <c r="B31" s="454" t="s">
        <v>229</v>
      </c>
      <c r="C31" s="761"/>
      <c r="D31" s="231"/>
      <c r="E31" s="200"/>
      <c r="F31" s="231"/>
      <c r="G31" s="231"/>
      <c r="H31" s="231"/>
      <c r="I31" s="231"/>
      <c r="J31" s="231"/>
      <c r="K31" s="231"/>
      <c r="L31" s="231"/>
      <c r="M31" s="231"/>
      <c r="N31" s="231"/>
      <c r="O31" s="881"/>
      <c r="P31" s="30" t="s">
        <v>230</v>
      </c>
      <c r="S31" s="19"/>
    </row>
    <row r="32" spans="1:19" ht="22.2" customHeight="1">
      <c r="A32" s="882"/>
      <c r="B32" s="455" t="s">
        <v>231</v>
      </c>
      <c r="C32" s="761"/>
      <c r="D32" s="231"/>
      <c r="E32" s="200"/>
      <c r="F32" s="231"/>
      <c r="G32" s="231"/>
      <c r="H32" s="231"/>
      <c r="I32" s="231"/>
      <c r="J32" s="231"/>
      <c r="K32" s="231"/>
      <c r="L32" s="231"/>
      <c r="M32" s="231"/>
      <c r="N32" s="231"/>
      <c r="O32" s="881"/>
      <c r="P32" s="2" t="s">
        <v>232</v>
      </c>
      <c r="S32" s="2"/>
    </row>
    <row r="33" spans="1:19" ht="22.2" customHeight="1">
      <c r="A33" s="882"/>
      <c r="B33" s="455" t="s">
        <v>233</v>
      </c>
      <c r="C33" s="762"/>
      <c r="D33" s="200"/>
      <c r="E33" s="231"/>
      <c r="F33" s="200"/>
      <c r="G33" s="200"/>
      <c r="H33" s="200"/>
      <c r="I33" s="200"/>
      <c r="J33" s="200"/>
      <c r="K33" s="200"/>
      <c r="L33" s="200"/>
      <c r="M33" s="200"/>
      <c r="N33" s="200"/>
      <c r="O33" s="881"/>
      <c r="P33" s="31">
        <v>43789</v>
      </c>
      <c r="S33" s="2"/>
    </row>
    <row r="34" spans="1:19" ht="22.2" customHeight="1">
      <c r="A34" s="882"/>
      <c r="B34" s="433" t="s">
        <v>234</v>
      </c>
      <c r="C34" s="760"/>
      <c r="D34" s="231"/>
      <c r="E34" s="200"/>
      <c r="F34" s="231"/>
      <c r="G34" s="231"/>
      <c r="H34" s="231"/>
      <c r="I34" s="231"/>
      <c r="J34" s="231"/>
      <c r="K34" s="231"/>
      <c r="L34" s="231"/>
      <c r="M34" s="231"/>
      <c r="N34" s="231"/>
      <c r="O34" s="881"/>
      <c r="P34" s="31" t="s">
        <v>235</v>
      </c>
      <c r="S34" s="2"/>
    </row>
    <row r="35" spans="1:19" ht="22.2" customHeight="1">
      <c r="A35" s="882"/>
      <c r="B35" s="453" t="s">
        <v>236</v>
      </c>
      <c r="C35" s="505"/>
      <c r="D35" s="200"/>
      <c r="E35" s="231"/>
      <c r="F35" s="200"/>
      <c r="G35" s="200"/>
      <c r="H35" s="200"/>
      <c r="I35" s="200"/>
      <c r="J35" s="200"/>
      <c r="K35" s="200"/>
      <c r="L35" s="200"/>
      <c r="M35" s="200"/>
      <c r="N35" s="200"/>
      <c r="O35" s="881"/>
      <c r="S35" s="2"/>
    </row>
    <row r="36" spans="1:19" ht="22.2" customHeight="1">
      <c r="A36" s="882"/>
      <c r="B36" s="453" t="s">
        <v>237</v>
      </c>
      <c r="D36" s="231"/>
      <c r="E36" s="200"/>
      <c r="F36" s="231"/>
      <c r="G36" s="231"/>
      <c r="H36" s="231"/>
      <c r="I36" s="231"/>
      <c r="J36" s="231"/>
      <c r="K36" s="231"/>
      <c r="L36" s="231"/>
      <c r="M36" s="231"/>
      <c r="N36" s="231"/>
      <c r="O36" s="881"/>
      <c r="S36" s="2"/>
    </row>
    <row r="37" spans="1:19" ht="22.2" customHeight="1">
      <c r="A37" s="882"/>
      <c r="B37" s="455" t="s">
        <v>238</v>
      </c>
      <c r="C37" s="138"/>
      <c r="D37" s="231"/>
      <c r="E37" s="200"/>
      <c r="F37" s="231"/>
      <c r="G37" s="231"/>
      <c r="H37" s="231"/>
      <c r="I37" s="231"/>
      <c r="J37" s="231"/>
      <c r="K37" s="231"/>
      <c r="L37" s="231"/>
      <c r="M37" s="231"/>
      <c r="N37" s="231"/>
      <c r="O37" s="881"/>
      <c r="P37" s="14" t="s">
        <v>222</v>
      </c>
      <c r="S37" s="2"/>
    </row>
    <row r="38" spans="1:19" ht="22.2" customHeight="1">
      <c r="A38" s="882"/>
      <c r="B38" s="455" t="s">
        <v>239</v>
      </c>
      <c r="C38" s="138"/>
      <c r="D38" s="200"/>
      <c r="E38" s="231"/>
      <c r="F38" s="200"/>
      <c r="G38" s="200"/>
      <c r="H38" s="200"/>
      <c r="I38" s="200"/>
      <c r="J38" s="200"/>
      <c r="K38" s="200"/>
      <c r="L38" s="200"/>
      <c r="M38" s="200"/>
      <c r="N38" s="200"/>
      <c r="O38" s="881"/>
      <c r="S38" s="2"/>
    </row>
    <row r="39" spans="1:19" ht="22.2" customHeight="1">
      <c r="A39" s="882"/>
      <c r="B39" s="455" t="s">
        <v>240</v>
      </c>
      <c r="C39" s="562"/>
      <c r="D39" s="231"/>
      <c r="E39" s="200"/>
      <c r="F39" s="231"/>
      <c r="G39" s="231"/>
      <c r="H39" s="231"/>
      <c r="I39" s="231"/>
      <c r="J39" s="231"/>
      <c r="K39" s="231"/>
      <c r="L39" s="231"/>
      <c r="M39" s="231"/>
      <c r="N39" s="231"/>
      <c r="O39" s="881"/>
      <c r="S39" s="2"/>
    </row>
    <row r="40" spans="1:19" ht="22.2" customHeight="1">
      <c r="A40" s="882"/>
      <c r="B40" s="453" t="s">
        <v>241</v>
      </c>
      <c r="C40" s="138"/>
      <c r="D40" s="200"/>
      <c r="E40" s="231"/>
      <c r="F40" s="200"/>
      <c r="G40" s="200"/>
      <c r="H40" s="200"/>
      <c r="I40" s="200"/>
      <c r="J40" s="200"/>
      <c r="K40" s="200"/>
      <c r="L40" s="200"/>
      <c r="M40" s="200"/>
      <c r="N40" s="200"/>
      <c r="O40" s="881"/>
      <c r="P40" s="14" t="s">
        <v>222</v>
      </c>
      <c r="S40" s="2"/>
    </row>
    <row r="41" spans="1:19" ht="22.2" customHeight="1">
      <c r="A41" s="882"/>
      <c r="B41" s="453" t="s">
        <v>242</v>
      </c>
      <c r="C41" s="138"/>
      <c r="D41" s="231"/>
      <c r="E41" s="200"/>
      <c r="F41" s="231"/>
      <c r="G41" s="231"/>
      <c r="H41" s="231"/>
      <c r="I41" s="231"/>
      <c r="J41" s="231"/>
      <c r="K41" s="231"/>
      <c r="L41" s="231"/>
      <c r="M41" s="231"/>
      <c r="N41" s="231"/>
      <c r="O41" s="881"/>
      <c r="S41" s="2"/>
    </row>
    <row r="42" spans="1:19" ht="22.2" customHeight="1">
      <c r="A42" s="882"/>
      <c r="B42" s="453" t="s">
        <v>243</v>
      </c>
      <c r="C42" s="138"/>
      <c r="D42" s="231"/>
      <c r="E42" s="200"/>
      <c r="F42" s="231"/>
      <c r="G42" s="231"/>
      <c r="H42" s="231"/>
      <c r="I42" s="231"/>
      <c r="J42" s="231"/>
      <c r="K42" s="231"/>
      <c r="L42" s="231"/>
      <c r="M42" s="231"/>
      <c r="N42" s="231"/>
      <c r="O42" s="881"/>
      <c r="S42" s="2"/>
    </row>
    <row r="43" spans="1:19" ht="22.2" customHeight="1">
      <c r="A43" s="882"/>
      <c r="B43" s="455" t="s">
        <v>244</v>
      </c>
      <c r="C43" s="763"/>
      <c r="D43" s="200"/>
      <c r="E43" s="231"/>
      <c r="F43" s="200"/>
      <c r="G43" s="200"/>
      <c r="H43" s="200"/>
      <c r="I43" s="200"/>
      <c r="J43" s="200"/>
      <c r="K43" s="200"/>
      <c r="L43" s="200"/>
      <c r="M43" s="200"/>
      <c r="N43" s="200"/>
      <c r="O43" s="881"/>
      <c r="P43" s="2" t="str">
        <f>+P26</f>
        <v>Per declaration pages</v>
      </c>
      <c r="S43" s="2"/>
    </row>
    <row r="44" spans="1:19" ht="22.2" customHeight="1">
      <c r="A44" s="882"/>
      <c r="B44" s="455" t="s">
        <v>245</v>
      </c>
      <c r="C44" s="138"/>
      <c r="D44" s="231"/>
      <c r="E44" s="200"/>
      <c r="F44" s="231"/>
      <c r="G44" s="231"/>
      <c r="H44" s="231"/>
      <c r="I44" s="231"/>
      <c r="J44" s="231"/>
      <c r="K44" s="231"/>
      <c r="L44" s="231"/>
      <c r="M44" s="231"/>
      <c r="N44" s="231"/>
      <c r="O44" s="881"/>
      <c r="S44" s="2"/>
    </row>
    <row r="45" spans="1:19" ht="22.2" customHeight="1">
      <c r="A45" s="882"/>
      <c r="B45" s="455" t="s">
        <v>246</v>
      </c>
      <c r="C45" s="138"/>
      <c r="D45" s="200"/>
      <c r="E45" s="231"/>
      <c r="F45" s="200"/>
      <c r="G45" s="200"/>
      <c r="H45" s="200"/>
      <c r="I45" s="200"/>
      <c r="J45" s="200"/>
      <c r="K45" s="200"/>
      <c r="L45" s="200"/>
      <c r="M45" s="200"/>
      <c r="N45" s="200"/>
      <c r="O45" s="881"/>
      <c r="S45" s="2"/>
    </row>
    <row r="46" spans="1:19" ht="22.2" customHeight="1">
      <c r="A46" s="882"/>
      <c r="B46" s="454" t="s">
        <v>247</v>
      </c>
      <c r="C46" s="505"/>
      <c r="D46" s="231"/>
      <c r="E46" s="200"/>
      <c r="F46" s="231"/>
      <c r="G46" s="231"/>
      <c r="H46" s="231"/>
      <c r="I46" s="231"/>
      <c r="J46" s="231"/>
      <c r="K46" s="231"/>
      <c r="L46" s="231"/>
      <c r="M46" s="231"/>
      <c r="N46" s="231"/>
      <c r="O46" s="881"/>
      <c r="S46" s="2"/>
    </row>
    <row r="47" spans="1:19" ht="22.2" customHeight="1">
      <c r="A47" s="882"/>
      <c r="B47" s="455" t="s">
        <v>248</v>
      </c>
      <c r="C47" s="138"/>
      <c r="D47" s="231"/>
      <c r="E47" s="200"/>
      <c r="F47" s="231"/>
      <c r="G47" s="231"/>
      <c r="H47" s="231"/>
      <c r="I47" s="231"/>
      <c r="J47" s="231"/>
      <c r="K47" s="231"/>
      <c r="L47" s="231"/>
      <c r="M47" s="231"/>
      <c r="N47" s="231"/>
      <c r="O47" s="881"/>
      <c r="S47" s="2"/>
    </row>
    <row r="48" spans="1:19" ht="22.2" customHeight="1">
      <c r="A48" s="882"/>
      <c r="B48" s="455" t="s">
        <v>249</v>
      </c>
      <c r="C48" s="138"/>
      <c r="D48" s="200"/>
      <c r="E48" s="231"/>
      <c r="F48" s="200"/>
      <c r="G48" s="200"/>
      <c r="H48" s="200"/>
      <c r="I48" s="200"/>
      <c r="J48" s="200"/>
      <c r="K48" s="200"/>
      <c r="L48" s="200"/>
      <c r="M48" s="200"/>
      <c r="N48" s="200"/>
      <c r="O48" s="881"/>
      <c r="S48" s="2"/>
    </row>
    <row r="49" spans="1:22" ht="22.2" customHeight="1">
      <c r="A49" s="882"/>
      <c r="B49" s="455" t="s">
        <v>250</v>
      </c>
      <c r="C49" s="138"/>
      <c r="D49" s="231"/>
      <c r="E49" s="200"/>
      <c r="F49" s="231"/>
      <c r="G49" s="231"/>
      <c r="H49" s="231"/>
      <c r="I49" s="231"/>
      <c r="J49" s="231"/>
      <c r="K49" s="231"/>
      <c r="L49" s="231"/>
      <c r="M49" s="231"/>
      <c r="N49" s="231"/>
      <c r="O49" s="881"/>
      <c r="P49" s="221" t="s">
        <v>251</v>
      </c>
      <c r="Q49" s="221"/>
      <c r="R49" s="221"/>
      <c r="S49" s="221"/>
    </row>
    <row r="50" spans="1:22" ht="22.2" customHeight="1">
      <c r="A50" s="239"/>
      <c r="B50" s="455" t="s">
        <v>252</v>
      </c>
      <c r="C50" s="138"/>
      <c r="D50" s="200"/>
      <c r="E50" s="231"/>
      <c r="F50" s="200"/>
      <c r="G50" s="200"/>
      <c r="H50" s="200"/>
      <c r="I50" s="200"/>
      <c r="J50" s="200"/>
      <c r="K50" s="200"/>
      <c r="L50" s="200"/>
      <c r="M50" s="200"/>
      <c r="N50" s="200"/>
      <c r="O50" s="881"/>
      <c r="S50" s="2"/>
    </row>
    <row r="51" spans="1:22" ht="33" customHeight="1">
      <c r="A51" s="236"/>
      <c r="B51" s="456" t="s">
        <v>253</v>
      </c>
      <c r="C51" s="756" t="s">
        <v>254</v>
      </c>
      <c r="D51" s="809">
        <f>'ROOMS-out'!H115</f>
        <v>100</v>
      </c>
      <c r="E51" s="810">
        <f>'ROOMS-out'!J115</f>
        <v>200</v>
      </c>
      <c r="F51" s="809">
        <f>'ROOMS-out'!L115</f>
        <v>300</v>
      </c>
      <c r="G51" s="810">
        <f>'ROOMS-out'!N115</f>
        <v>400</v>
      </c>
      <c r="H51" s="809">
        <f>'ROOMS-out'!P115</f>
        <v>500</v>
      </c>
      <c r="I51" s="810">
        <f>'ROOMS-out'!R115</f>
        <v>600</v>
      </c>
      <c r="J51" s="809">
        <f>'ROOMS-out'!T115</f>
        <v>700</v>
      </c>
      <c r="K51" s="809">
        <f>'ROOMS-out'!X115</f>
        <v>9100</v>
      </c>
      <c r="L51" s="283"/>
      <c r="M51" s="503"/>
      <c r="N51" s="503"/>
    </row>
    <row r="52" spans="1:22" ht="33" customHeight="1">
      <c r="A52" s="236"/>
      <c r="B52" s="457" t="s">
        <v>255</v>
      </c>
      <c r="C52" s="14" t="str">
        <f>C1</f>
        <v>BROWNLEE, KEN</v>
      </c>
      <c r="D52" s="811" t="str">
        <f>'ROOMS-out'!H113</f>
        <v xml:space="preserve"> OVERVIEW PICS ..</v>
      </c>
      <c r="E52" s="810" t="str">
        <f>'ROOMS-out'!J113</f>
        <v>SOURCE of LOSS</v>
      </c>
      <c r="F52" s="809" t="str">
        <f>'ROOMS-out'!L113</f>
        <v>CPS</v>
      </c>
      <c r="G52" s="810" t="str">
        <f>'ROOMS-out'!N113</f>
        <v>PPR</v>
      </c>
      <c r="H52" s="809" t="str">
        <f>'ROOMS-out'!P113</f>
        <v>DEMO</v>
      </c>
      <c r="I52" s="810" t="str">
        <f>'ROOMS-out'!R113</f>
        <v>WTR MIT  EQUIP.</v>
      </c>
      <c r="J52" s="809" t="str">
        <f>'ROOMS-out'!T113</f>
        <v>HMR</v>
      </c>
      <c r="K52" s="809">
        <f>'ROOMS-out'!U113</f>
        <v>0</v>
      </c>
      <c r="L52" s="283"/>
      <c r="M52" s="200" t="s">
        <v>256</v>
      </c>
      <c r="N52" s="219" t="s">
        <v>257</v>
      </c>
      <c r="O52" s="28" t="s">
        <v>258</v>
      </c>
      <c r="P52" s="10" t="s">
        <v>259</v>
      </c>
      <c r="Q52" s="22" t="s">
        <v>260</v>
      </c>
      <c r="R52" s="869" t="s">
        <v>261</v>
      </c>
      <c r="S52" s="869"/>
      <c r="T52" s="869"/>
    </row>
    <row r="53" spans="1:22" ht="33" customHeight="1" thickBot="1">
      <c r="A53" s="484">
        <v>1</v>
      </c>
      <c r="B53" s="500" t="s">
        <v>262</v>
      </c>
      <c r="C53" s="764" t="s">
        <v>263</v>
      </c>
      <c r="D53" s="842">
        <f>D51+1</f>
        <v>101</v>
      </c>
      <c r="E53" s="284">
        <f t="shared" ref="E53:J53" si="0">E51+1</f>
        <v>201</v>
      </c>
      <c r="F53" s="842">
        <f t="shared" si="0"/>
        <v>301</v>
      </c>
      <c r="G53" s="284">
        <f t="shared" si="0"/>
        <v>401</v>
      </c>
      <c r="H53" s="842">
        <f t="shared" si="0"/>
        <v>501</v>
      </c>
      <c r="I53" s="284">
        <f t="shared" si="0"/>
        <v>601</v>
      </c>
      <c r="J53" s="842">
        <f t="shared" si="0"/>
        <v>701</v>
      </c>
      <c r="K53" s="842">
        <f t="shared" ref="K53" si="1">K51+1</f>
        <v>9101</v>
      </c>
      <c r="L53" s="283"/>
      <c r="M53" s="35"/>
      <c r="N53" s="220"/>
      <c r="O53" s="35" t="s">
        <v>264</v>
      </c>
      <c r="P53" s="32" t="s">
        <v>265</v>
      </c>
      <c r="Q53" s="33" t="s">
        <v>266</v>
      </c>
      <c r="R53" s="208" t="s">
        <v>267</v>
      </c>
      <c r="S53" s="870" t="s">
        <v>268</v>
      </c>
      <c r="T53" s="871"/>
      <c r="U53" s="871"/>
    </row>
    <row r="54" spans="1:22" ht="33" customHeight="1" thickTop="1" thickBot="1">
      <c r="A54" s="484">
        <v>2</v>
      </c>
      <c r="B54" s="501" t="s">
        <v>269</v>
      </c>
      <c r="C54" s="764" t="s">
        <v>270</v>
      </c>
      <c r="D54" s="808">
        <f>D53+1</f>
        <v>102</v>
      </c>
      <c r="E54" s="565">
        <f>E53+1</f>
        <v>202</v>
      </c>
      <c r="F54" s="808">
        <f t="shared" ref="F54:G69" si="2">F53+1</f>
        <v>302</v>
      </c>
      <c r="G54" s="565">
        <f t="shared" si="2"/>
        <v>402</v>
      </c>
      <c r="H54" s="808">
        <f>H53+1</f>
        <v>502</v>
      </c>
      <c r="I54" s="565">
        <f t="shared" ref="I54:J54" si="3">I53+1</f>
        <v>602</v>
      </c>
      <c r="J54" s="808">
        <f t="shared" si="3"/>
        <v>702</v>
      </c>
      <c r="K54" s="808">
        <f t="shared" ref="K54" si="4">K53+1</f>
        <v>9102</v>
      </c>
      <c r="L54" s="283"/>
      <c r="M54" s="220"/>
      <c r="N54" s="35"/>
      <c r="O54" s="38" t="s">
        <v>271</v>
      </c>
      <c r="P54" s="34" t="s">
        <v>272</v>
      </c>
      <c r="Q54" s="33" t="s">
        <v>273</v>
      </c>
      <c r="R54" s="209" t="s">
        <v>274</v>
      </c>
      <c r="S54" s="207" t="s">
        <v>275</v>
      </c>
      <c r="T54" s="210" t="s">
        <v>276</v>
      </c>
      <c r="U54" s="211"/>
    </row>
    <row r="55" spans="1:22" ht="33" customHeight="1" thickTop="1" thickBot="1">
      <c r="A55" s="484">
        <v>3</v>
      </c>
      <c r="B55" s="502" t="s">
        <v>277</v>
      </c>
      <c r="C55" s="764" t="s">
        <v>278</v>
      </c>
      <c r="D55" s="808">
        <f t="shared" ref="D55:H77" si="5">D54+1</f>
        <v>103</v>
      </c>
      <c r="E55" s="565">
        <f t="shared" si="5"/>
        <v>203</v>
      </c>
      <c r="F55" s="808">
        <f t="shared" si="2"/>
        <v>303</v>
      </c>
      <c r="G55" s="565">
        <f t="shared" si="2"/>
        <v>403</v>
      </c>
      <c r="H55" s="808">
        <f t="shared" si="5"/>
        <v>503</v>
      </c>
      <c r="I55" s="565">
        <f t="shared" ref="I55:I99" si="6">I54+1</f>
        <v>603</v>
      </c>
      <c r="J55" s="808">
        <f t="shared" ref="J55:K99" si="7">J54+1</f>
        <v>703</v>
      </c>
      <c r="K55" s="808">
        <f t="shared" si="7"/>
        <v>9103</v>
      </c>
      <c r="L55" s="283"/>
      <c r="M55" s="35"/>
      <c r="N55" s="220"/>
      <c r="O55" s="32" t="s">
        <v>279</v>
      </c>
      <c r="P55" s="35" t="s">
        <v>280</v>
      </c>
      <c r="Q55" s="32" t="s">
        <v>281</v>
      </c>
      <c r="R55" s="138"/>
      <c r="S55" s="138"/>
      <c r="T55" s="212" t="s">
        <v>282</v>
      </c>
      <c r="U55" s="213" t="s">
        <v>283</v>
      </c>
      <c r="V55" s="7" t="s">
        <v>284</v>
      </c>
    </row>
    <row r="56" spans="1:22" ht="33" customHeight="1" thickTop="1" thickBot="1">
      <c r="A56" s="484">
        <v>4</v>
      </c>
      <c r="B56" s="501" t="s">
        <v>285</v>
      </c>
      <c r="C56" t="s">
        <v>286</v>
      </c>
      <c r="D56" s="808">
        <f t="shared" si="5"/>
        <v>104</v>
      </c>
      <c r="E56" s="565">
        <f t="shared" si="5"/>
        <v>204</v>
      </c>
      <c r="F56" s="808">
        <f t="shared" si="2"/>
        <v>304</v>
      </c>
      <c r="G56" s="565">
        <f t="shared" si="2"/>
        <v>404</v>
      </c>
      <c r="H56" s="808">
        <f t="shared" si="5"/>
        <v>504</v>
      </c>
      <c r="I56" s="565">
        <f t="shared" si="6"/>
        <v>604</v>
      </c>
      <c r="J56" s="808">
        <f t="shared" si="7"/>
        <v>704</v>
      </c>
      <c r="K56" s="283"/>
      <c r="L56" s="283"/>
      <c r="M56" s="220"/>
      <c r="N56" s="35"/>
      <c r="O56" s="38" t="s">
        <v>287</v>
      </c>
      <c r="P56" s="8" t="s">
        <v>288</v>
      </c>
      <c r="Q56" s="35" t="s">
        <v>289</v>
      </c>
      <c r="R56" s="214" t="s">
        <v>290</v>
      </c>
      <c r="S56" s="872" t="s">
        <v>291</v>
      </c>
      <c r="T56" s="873"/>
      <c r="U56" s="215" t="s">
        <v>292</v>
      </c>
    </row>
    <row r="57" spans="1:22" ht="33" customHeight="1" thickTop="1" thickBot="1">
      <c r="A57" s="484">
        <v>5</v>
      </c>
      <c r="B57" s="502" t="s">
        <v>293</v>
      </c>
      <c r="C57" s="764" t="s">
        <v>294</v>
      </c>
      <c r="D57" s="808">
        <f t="shared" si="5"/>
        <v>105</v>
      </c>
      <c r="E57" s="565">
        <f t="shared" si="5"/>
        <v>205</v>
      </c>
      <c r="F57" s="808">
        <f t="shared" si="2"/>
        <v>305</v>
      </c>
      <c r="G57" s="565">
        <f t="shared" si="2"/>
        <v>405</v>
      </c>
      <c r="H57" s="808">
        <f t="shared" si="5"/>
        <v>505</v>
      </c>
      <c r="I57" s="565">
        <f t="shared" si="6"/>
        <v>605</v>
      </c>
      <c r="J57" s="808">
        <f t="shared" si="7"/>
        <v>705</v>
      </c>
      <c r="K57" s="283"/>
      <c r="L57" s="283"/>
      <c r="M57" s="35"/>
      <c r="N57" s="220"/>
      <c r="O57" s="38" t="s">
        <v>295</v>
      </c>
      <c r="P57" s="33" t="s">
        <v>296</v>
      </c>
      <c r="Q57" s="32" t="s">
        <v>297</v>
      </c>
      <c r="R57" s="216" t="s">
        <v>298</v>
      </c>
      <c r="S57" s="217"/>
      <c r="T57" s="218"/>
      <c r="U57" s="215"/>
    </row>
    <row r="58" spans="1:22" ht="33" customHeight="1" thickTop="1" thickBot="1">
      <c r="A58" s="484">
        <v>6</v>
      </c>
      <c r="B58" s="501" t="s">
        <v>299</v>
      </c>
      <c r="C58" s="764" t="s">
        <v>300</v>
      </c>
      <c r="D58" s="808">
        <f t="shared" si="5"/>
        <v>106</v>
      </c>
      <c r="E58" s="565">
        <f t="shared" si="5"/>
        <v>206</v>
      </c>
      <c r="F58" s="808">
        <f t="shared" si="2"/>
        <v>306</v>
      </c>
      <c r="G58" s="565">
        <f t="shared" si="2"/>
        <v>406</v>
      </c>
      <c r="H58" s="808">
        <f t="shared" si="5"/>
        <v>506</v>
      </c>
      <c r="I58" s="565">
        <f t="shared" si="6"/>
        <v>606</v>
      </c>
      <c r="J58" s="808">
        <f t="shared" si="7"/>
        <v>706</v>
      </c>
      <c r="K58" s="283"/>
      <c r="L58" s="283"/>
      <c r="M58" s="220"/>
      <c r="N58" s="35"/>
      <c r="O58" s="35" t="s">
        <v>301</v>
      </c>
      <c r="P58" s="36" t="s">
        <v>302</v>
      </c>
      <c r="Q58" s="8" t="s">
        <v>303</v>
      </c>
    </row>
    <row r="59" spans="1:22" ht="33" customHeight="1" thickTop="1" thickBot="1">
      <c r="A59" s="484">
        <v>7</v>
      </c>
      <c r="B59" s="502" t="s">
        <v>304</v>
      </c>
      <c r="C59" s="764" t="s">
        <v>305</v>
      </c>
      <c r="D59" s="808">
        <f t="shared" si="5"/>
        <v>107</v>
      </c>
      <c r="E59" s="565">
        <f t="shared" si="5"/>
        <v>207</v>
      </c>
      <c r="F59" s="808">
        <f t="shared" si="2"/>
        <v>307</v>
      </c>
      <c r="G59" s="565">
        <f t="shared" si="2"/>
        <v>407</v>
      </c>
      <c r="H59" s="808">
        <f t="shared" si="5"/>
        <v>507</v>
      </c>
      <c r="I59" s="565">
        <f t="shared" si="6"/>
        <v>607</v>
      </c>
      <c r="J59" s="808">
        <f t="shared" si="7"/>
        <v>707</v>
      </c>
      <c r="K59" s="283"/>
      <c r="L59" s="283"/>
      <c r="M59" s="35"/>
      <c r="N59" s="220"/>
      <c r="O59" s="38" t="s">
        <v>286</v>
      </c>
      <c r="P59" s="37" t="s">
        <v>306</v>
      </c>
      <c r="Q59" s="8" t="s">
        <v>307</v>
      </c>
      <c r="S59" s="350"/>
    </row>
    <row r="60" spans="1:22" ht="33" customHeight="1" thickTop="1" thickBot="1">
      <c r="A60" s="484">
        <v>8</v>
      </c>
      <c r="B60" s="501" t="s">
        <v>308</v>
      </c>
      <c r="C60" s="764" t="s">
        <v>309</v>
      </c>
      <c r="D60" s="808">
        <f t="shared" si="5"/>
        <v>108</v>
      </c>
      <c r="E60" s="565">
        <f t="shared" si="5"/>
        <v>208</v>
      </c>
      <c r="F60" s="808">
        <f t="shared" si="2"/>
        <v>308</v>
      </c>
      <c r="G60" s="565">
        <f t="shared" si="2"/>
        <v>408</v>
      </c>
      <c r="H60" s="808">
        <f t="shared" si="5"/>
        <v>508</v>
      </c>
      <c r="I60" s="565">
        <f t="shared" si="6"/>
        <v>608</v>
      </c>
      <c r="J60" s="808">
        <f t="shared" si="7"/>
        <v>708</v>
      </c>
      <c r="K60" s="283"/>
      <c r="L60" s="283"/>
      <c r="M60" s="220"/>
      <c r="N60" s="35"/>
      <c r="O60" s="35" t="s">
        <v>310</v>
      </c>
      <c r="P60" s="36" t="s">
        <v>311</v>
      </c>
      <c r="Q60" s="8" t="s">
        <v>312</v>
      </c>
      <c r="S60" s="351"/>
    </row>
    <row r="61" spans="1:22" ht="33" customHeight="1" thickTop="1" thickBot="1">
      <c r="A61" s="484">
        <v>9</v>
      </c>
      <c r="B61" s="502" t="s">
        <v>313</v>
      </c>
      <c r="C61" s="764" t="s">
        <v>314</v>
      </c>
      <c r="D61" s="808">
        <f t="shared" si="5"/>
        <v>109</v>
      </c>
      <c r="E61" s="565">
        <f t="shared" si="5"/>
        <v>209</v>
      </c>
      <c r="F61" s="808">
        <f t="shared" si="2"/>
        <v>309</v>
      </c>
      <c r="G61" s="565">
        <f t="shared" si="2"/>
        <v>409</v>
      </c>
      <c r="H61" s="808">
        <f t="shared" si="5"/>
        <v>509</v>
      </c>
      <c r="I61" s="565">
        <f t="shared" si="6"/>
        <v>609</v>
      </c>
      <c r="J61" s="808">
        <f t="shared" si="7"/>
        <v>709</v>
      </c>
      <c r="K61" s="283"/>
      <c r="L61" s="283"/>
      <c r="M61" s="35"/>
      <c r="N61" s="220"/>
      <c r="O61" s="38" t="s">
        <v>315</v>
      </c>
      <c r="P61" s="34" t="s">
        <v>316</v>
      </c>
      <c r="Q61" s="39" t="s">
        <v>317</v>
      </c>
      <c r="S61" s="360" t="s">
        <v>318</v>
      </c>
    </row>
    <row r="62" spans="1:22" ht="33" customHeight="1" thickTop="1" thickBot="1">
      <c r="A62" s="484">
        <v>10</v>
      </c>
      <c r="B62" s="501" t="s">
        <v>319</v>
      </c>
      <c r="C62" s="764" t="s">
        <v>1451</v>
      </c>
      <c r="D62" s="808">
        <f t="shared" si="5"/>
        <v>110</v>
      </c>
      <c r="E62" s="565">
        <f t="shared" si="5"/>
        <v>210</v>
      </c>
      <c r="F62" s="808">
        <f t="shared" si="2"/>
        <v>310</v>
      </c>
      <c r="G62" s="565">
        <f t="shared" si="2"/>
        <v>410</v>
      </c>
      <c r="H62" s="808">
        <f t="shared" si="5"/>
        <v>510</v>
      </c>
      <c r="I62" s="565">
        <f t="shared" si="6"/>
        <v>610</v>
      </c>
      <c r="J62" s="808">
        <f t="shared" si="7"/>
        <v>710</v>
      </c>
      <c r="K62" s="283"/>
      <c r="L62" s="283"/>
      <c r="M62" s="220"/>
      <c r="N62" s="35"/>
      <c r="O62" s="35" t="s">
        <v>320</v>
      </c>
      <c r="P62" s="35" t="s">
        <v>321</v>
      </c>
      <c r="Q62" s="202" t="s">
        <v>322</v>
      </c>
      <c r="S62" s="360" t="s">
        <v>323</v>
      </c>
    </row>
    <row r="63" spans="1:22" ht="33" customHeight="1" thickTop="1" thickBot="1">
      <c r="A63" s="484">
        <v>11</v>
      </c>
      <c r="B63" s="502" t="s">
        <v>324</v>
      </c>
      <c r="C63" s="764" t="s">
        <v>1452</v>
      </c>
      <c r="D63" s="808">
        <f t="shared" si="5"/>
        <v>111</v>
      </c>
      <c r="E63" s="565">
        <f t="shared" si="5"/>
        <v>211</v>
      </c>
      <c r="F63" s="808">
        <f t="shared" si="2"/>
        <v>311</v>
      </c>
      <c r="G63" s="565">
        <f t="shared" si="2"/>
        <v>411</v>
      </c>
      <c r="H63" s="808">
        <f t="shared" si="5"/>
        <v>511</v>
      </c>
      <c r="I63" s="565">
        <f t="shared" si="6"/>
        <v>611</v>
      </c>
      <c r="J63" s="808">
        <f t="shared" si="7"/>
        <v>711</v>
      </c>
      <c r="K63" s="283"/>
      <c r="L63" s="283"/>
      <c r="M63" s="35"/>
      <c r="N63" s="220"/>
      <c r="O63" s="35" t="s">
        <v>325</v>
      </c>
      <c r="P63" s="36" t="s">
        <v>326</v>
      </c>
      <c r="Q63" s="203" t="s">
        <v>327</v>
      </c>
      <c r="S63" s="360" t="s">
        <v>328</v>
      </c>
    </row>
    <row r="64" spans="1:22" ht="33" customHeight="1" thickTop="1" thickBot="1">
      <c r="A64" s="484">
        <v>12</v>
      </c>
      <c r="B64" s="501" t="s">
        <v>329</v>
      </c>
      <c r="C64" s="764" t="s">
        <v>1453</v>
      </c>
      <c r="D64" s="808">
        <f t="shared" si="5"/>
        <v>112</v>
      </c>
      <c r="E64" s="565">
        <f t="shared" si="5"/>
        <v>212</v>
      </c>
      <c r="F64" s="808">
        <f t="shared" si="2"/>
        <v>312</v>
      </c>
      <c r="G64" s="565">
        <f t="shared" si="2"/>
        <v>412</v>
      </c>
      <c r="H64" s="808">
        <f t="shared" si="5"/>
        <v>512</v>
      </c>
      <c r="I64" s="565">
        <f t="shared" si="6"/>
        <v>612</v>
      </c>
      <c r="J64" s="808">
        <f t="shared" si="7"/>
        <v>712</v>
      </c>
      <c r="K64" s="283"/>
      <c r="L64" s="283"/>
      <c r="M64" s="220"/>
      <c r="N64" s="35"/>
      <c r="O64" s="35" t="s">
        <v>330</v>
      </c>
      <c r="P64" s="33" t="s">
        <v>331</v>
      </c>
      <c r="Q64" s="204" t="s">
        <v>189</v>
      </c>
      <c r="S64" s="350"/>
    </row>
    <row r="65" spans="1:19" ht="33" customHeight="1" thickTop="1" thickBot="1">
      <c r="A65" s="484">
        <v>13</v>
      </c>
      <c r="B65" s="502" t="s">
        <v>332</v>
      </c>
      <c r="C65" s="764"/>
      <c r="D65" s="808">
        <f t="shared" si="5"/>
        <v>113</v>
      </c>
      <c r="E65" s="565">
        <f t="shared" si="5"/>
        <v>213</v>
      </c>
      <c r="F65" s="808">
        <f t="shared" si="2"/>
        <v>313</v>
      </c>
      <c r="G65" s="565">
        <f t="shared" si="2"/>
        <v>413</v>
      </c>
      <c r="H65" s="808">
        <f t="shared" si="5"/>
        <v>513</v>
      </c>
      <c r="I65" s="565">
        <f t="shared" si="6"/>
        <v>613</v>
      </c>
      <c r="J65" s="808">
        <f t="shared" si="7"/>
        <v>713</v>
      </c>
      <c r="K65" s="283"/>
      <c r="L65" s="283"/>
      <c r="M65" s="35"/>
      <c r="N65" s="220"/>
      <c r="O65" s="35" t="s">
        <v>333</v>
      </c>
      <c r="P65" s="35" t="s">
        <v>334</v>
      </c>
      <c r="Q65" s="204" t="s">
        <v>193</v>
      </c>
      <c r="S65" s="350"/>
    </row>
    <row r="66" spans="1:19" ht="33" customHeight="1" thickTop="1" thickBot="1">
      <c r="A66" s="484">
        <v>14</v>
      </c>
      <c r="B66" s="501" t="s">
        <v>335</v>
      </c>
      <c r="D66" s="808">
        <f t="shared" si="5"/>
        <v>114</v>
      </c>
      <c r="E66" s="565">
        <f t="shared" si="5"/>
        <v>214</v>
      </c>
      <c r="F66" s="808">
        <f t="shared" si="2"/>
        <v>314</v>
      </c>
      <c r="G66" s="565">
        <f t="shared" si="2"/>
        <v>414</v>
      </c>
      <c r="H66" s="808">
        <f t="shared" si="5"/>
        <v>514</v>
      </c>
      <c r="I66" s="565">
        <f t="shared" si="6"/>
        <v>614</v>
      </c>
      <c r="J66" s="808">
        <f t="shared" si="7"/>
        <v>714</v>
      </c>
      <c r="K66" s="283"/>
      <c r="L66" s="283"/>
      <c r="M66" s="220"/>
      <c r="N66" s="35"/>
      <c r="O66" s="32" t="s">
        <v>336</v>
      </c>
      <c r="P66" s="8"/>
      <c r="Q66" s="205" t="s">
        <v>195</v>
      </c>
      <c r="S66" s="350"/>
    </row>
    <row r="67" spans="1:19" ht="33" customHeight="1" thickTop="1" thickBot="1">
      <c r="A67" s="484">
        <v>15</v>
      </c>
      <c r="B67" s="502" t="s">
        <v>337</v>
      </c>
      <c r="C67" s="765"/>
      <c r="D67" s="808">
        <f t="shared" si="5"/>
        <v>115</v>
      </c>
      <c r="E67" s="565">
        <f t="shared" si="5"/>
        <v>215</v>
      </c>
      <c r="F67" s="808">
        <f t="shared" si="2"/>
        <v>315</v>
      </c>
      <c r="G67" s="565">
        <f t="shared" si="2"/>
        <v>415</v>
      </c>
      <c r="H67" s="808">
        <f t="shared" si="5"/>
        <v>515</v>
      </c>
      <c r="I67" s="565">
        <f t="shared" si="6"/>
        <v>615</v>
      </c>
      <c r="J67" s="808">
        <f t="shared" si="7"/>
        <v>715</v>
      </c>
      <c r="K67" s="283"/>
      <c r="L67" s="283"/>
      <c r="M67" s="35"/>
      <c r="N67" s="220"/>
      <c r="O67" s="40" t="s">
        <v>338</v>
      </c>
      <c r="P67" s="8"/>
      <c r="Q67" s="204" t="s">
        <v>339</v>
      </c>
      <c r="S67" s="350"/>
    </row>
    <row r="68" spans="1:19" ht="33" customHeight="1" thickTop="1" thickBot="1">
      <c r="A68" s="484">
        <v>16</v>
      </c>
      <c r="B68" s="501" t="s">
        <v>340</v>
      </c>
      <c r="C68" s="764"/>
      <c r="D68" s="808">
        <f t="shared" si="5"/>
        <v>116</v>
      </c>
      <c r="E68" s="565">
        <f t="shared" si="5"/>
        <v>216</v>
      </c>
      <c r="F68" s="808">
        <f t="shared" si="2"/>
        <v>316</v>
      </c>
      <c r="G68" s="565">
        <f t="shared" si="2"/>
        <v>416</v>
      </c>
      <c r="H68" s="808">
        <f t="shared" si="5"/>
        <v>516</v>
      </c>
      <c r="I68" s="565">
        <f t="shared" si="6"/>
        <v>616</v>
      </c>
      <c r="J68" s="808">
        <f t="shared" si="7"/>
        <v>716</v>
      </c>
      <c r="K68" s="283"/>
      <c r="L68" s="283"/>
      <c r="M68" s="220"/>
      <c r="N68" s="35"/>
      <c r="O68" s="35" t="s">
        <v>281</v>
      </c>
      <c r="P68" s="32"/>
      <c r="Q68" s="206" t="s">
        <v>341</v>
      </c>
      <c r="S68" s="350"/>
    </row>
    <row r="69" spans="1:19" ht="33" customHeight="1" thickTop="1" thickBot="1">
      <c r="A69" s="484">
        <v>17</v>
      </c>
      <c r="B69" s="502" t="s">
        <v>342</v>
      </c>
      <c r="C69" s="764"/>
      <c r="D69" s="808">
        <f t="shared" si="5"/>
        <v>117</v>
      </c>
      <c r="E69" s="565">
        <f t="shared" si="5"/>
        <v>217</v>
      </c>
      <c r="F69" s="808">
        <f t="shared" si="2"/>
        <v>317</v>
      </c>
      <c r="G69" s="565">
        <f t="shared" si="2"/>
        <v>417</v>
      </c>
      <c r="H69" s="808">
        <f t="shared" si="5"/>
        <v>517</v>
      </c>
      <c r="I69" s="565">
        <f t="shared" si="6"/>
        <v>617</v>
      </c>
      <c r="J69" s="808">
        <f t="shared" si="7"/>
        <v>717</v>
      </c>
      <c r="K69" s="283"/>
      <c r="L69" s="283"/>
      <c r="M69" s="35"/>
      <c r="N69" s="220"/>
      <c r="O69" s="38" t="s">
        <v>343</v>
      </c>
      <c r="P69" s="32"/>
      <c r="Q69" s="204" t="s">
        <v>344</v>
      </c>
      <c r="S69" s="350"/>
    </row>
    <row r="70" spans="1:19" ht="33" customHeight="1" thickTop="1" thickBot="1">
      <c r="A70" s="484">
        <v>18</v>
      </c>
      <c r="B70" s="501" t="s">
        <v>345</v>
      </c>
      <c r="C70" s="764"/>
      <c r="D70" s="808">
        <f t="shared" si="5"/>
        <v>118</v>
      </c>
      <c r="E70" s="565">
        <f t="shared" si="5"/>
        <v>218</v>
      </c>
      <c r="F70" s="808">
        <f t="shared" ref="F70:F99" si="8">F69+1</f>
        <v>318</v>
      </c>
      <c r="G70" s="565">
        <f t="shared" ref="G70:G99" si="9">G69+1</f>
        <v>418</v>
      </c>
      <c r="H70" s="808">
        <f t="shared" si="5"/>
        <v>518</v>
      </c>
      <c r="I70" s="565">
        <f t="shared" si="6"/>
        <v>618</v>
      </c>
      <c r="J70" s="808">
        <f t="shared" si="7"/>
        <v>718</v>
      </c>
      <c r="K70" s="283"/>
      <c r="L70" s="283"/>
      <c r="M70" s="220"/>
      <c r="N70" s="35"/>
      <c r="O70" s="8"/>
      <c r="P70" s="8"/>
      <c r="Q70" s="204" t="s">
        <v>346</v>
      </c>
      <c r="S70" s="350"/>
    </row>
    <row r="71" spans="1:19" ht="33" customHeight="1" thickTop="1" thickBot="1">
      <c r="A71" s="484">
        <v>19</v>
      </c>
      <c r="B71" s="502" t="s">
        <v>347</v>
      </c>
      <c r="C71" s="764"/>
      <c r="D71" s="808">
        <f t="shared" si="5"/>
        <v>119</v>
      </c>
      <c r="E71" s="565">
        <f t="shared" si="5"/>
        <v>219</v>
      </c>
      <c r="F71" s="808">
        <f t="shared" si="8"/>
        <v>319</v>
      </c>
      <c r="G71" s="565">
        <f t="shared" si="9"/>
        <v>419</v>
      </c>
      <c r="H71" s="808">
        <f t="shared" si="5"/>
        <v>519</v>
      </c>
      <c r="I71" s="565">
        <f t="shared" si="6"/>
        <v>619</v>
      </c>
      <c r="J71" s="808">
        <f t="shared" si="7"/>
        <v>719</v>
      </c>
      <c r="K71" s="283"/>
      <c r="L71" s="283"/>
      <c r="M71" s="35"/>
      <c r="N71" s="220"/>
      <c r="O71" s="8"/>
      <c r="P71" s="8"/>
      <c r="Q71" s="2" t="s">
        <v>348</v>
      </c>
      <c r="S71" s="352"/>
    </row>
    <row r="72" spans="1:19" ht="33" customHeight="1" thickTop="1" thickBot="1">
      <c r="A72" s="484">
        <v>20</v>
      </c>
      <c r="B72" s="501" t="s">
        <v>349</v>
      </c>
      <c r="C72" s="764"/>
      <c r="D72" s="808">
        <f t="shared" si="5"/>
        <v>120</v>
      </c>
      <c r="E72" s="565">
        <f t="shared" si="5"/>
        <v>220</v>
      </c>
      <c r="F72" s="808">
        <f t="shared" si="8"/>
        <v>320</v>
      </c>
      <c r="G72" s="565">
        <f t="shared" si="9"/>
        <v>420</v>
      </c>
      <c r="H72" s="808">
        <f t="shared" si="5"/>
        <v>520</v>
      </c>
      <c r="I72" s="565">
        <f t="shared" si="6"/>
        <v>620</v>
      </c>
      <c r="J72" s="808">
        <f t="shared" si="7"/>
        <v>720</v>
      </c>
      <c r="K72" s="283"/>
      <c r="L72" s="283"/>
      <c r="M72" s="220"/>
      <c r="N72" s="35"/>
      <c r="O72" s="41"/>
      <c r="P72" s="283"/>
      <c r="S72" s="353"/>
    </row>
    <row r="73" spans="1:19" ht="33" customHeight="1" thickTop="1" thickBot="1">
      <c r="A73" s="484">
        <v>21</v>
      </c>
      <c r="B73" s="501" t="s">
        <v>350</v>
      </c>
      <c r="C73" s="764"/>
      <c r="D73" s="808">
        <f t="shared" si="5"/>
        <v>121</v>
      </c>
      <c r="E73" s="565">
        <f t="shared" si="5"/>
        <v>221</v>
      </c>
      <c r="F73" s="808">
        <f t="shared" si="8"/>
        <v>321</v>
      </c>
      <c r="G73" s="565">
        <f t="shared" si="9"/>
        <v>421</v>
      </c>
      <c r="H73" s="808">
        <f t="shared" si="5"/>
        <v>521</v>
      </c>
      <c r="I73" s="565">
        <f t="shared" si="6"/>
        <v>621</v>
      </c>
      <c r="J73" s="808">
        <f t="shared" si="7"/>
        <v>721</v>
      </c>
      <c r="K73" s="283"/>
      <c r="L73" s="283"/>
      <c r="M73" s="232"/>
      <c r="N73" s="8"/>
      <c r="O73" s="235"/>
      <c r="P73" s="283"/>
      <c r="S73" s="354"/>
    </row>
    <row r="74" spans="1:19" ht="33" customHeight="1" thickTop="1" thickBot="1">
      <c r="A74" s="484">
        <v>22</v>
      </c>
      <c r="B74" s="501" t="s">
        <v>351</v>
      </c>
      <c r="C74" s="764"/>
      <c r="D74" s="808">
        <f t="shared" si="5"/>
        <v>122</v>
      </c>
      <c r="E74" s="565">
        <f t="shared" si="5"/>
        <v>222</v>
      </c>
      <c r="F74" s="808">
        <f t="shared" si="8"/>
        <v>322</v>
      </c>
      <c r="G74" s="565">
        <f t="shared" si="9"/>
        <v>422</v>
      </c>
      <c r="H74" s="808">
        <f t="shared" si="5"/>
        <v>522</v>
      </c>
      <c r="I74" s="565">
        <f t="shared" si="6"/>
        <v>622</v>
      </c>
      <c r="J74" s="808">
        <f t="shared" si="7"/>
        <v>722</v>
      </c>
      <c r="K74" s="283"/>
      <c r="L74" s="283"/>
      <c r="M74" s="232"/>
      <c r="N74" s="8"/>
      <c r="O74" s="235"/>
      <c r="P74" s="283"/>
      <c r="S74" s="355"/>
    </row>
    <row r="75" spans="1:19" ht="33" customHeight="1" thickTop="1" thickBot="1">
      <c r="A75" s="484">
        <v>23</v>
      </c>
      <c r="B75" s="501" t="s">
        <v>352</v>
      </c>
      <c r="C75" s="764"/>
      <c r="D75" s="808">
        <f t="shared" si="5"/>
        <v>123</v>
      </c>
      <c r="E75" s="565">
        <f t="shared" si="5"/>
        <v>223</v>
      </c>
      <c r="F75" s="808">
        <f t="shared" si="8"/>
        <v>323</v>
      </c>
      <c r="G75" s="565">
        <f t="shared" si="9"/>
        <v>423</v>
      </c>
      <c r="H75" s="808">
        <f t="shared" si="5"/>
        <v>523</v>
      </c>
      <c r="I75" s="565">
        <f t="shared" si="6"/>
        <v>623</v>
      </c>
      <c r="J75" s="808">
        <f t="shared" si="7"/>
        <v>723</v>
      </c>
      <c r="K75" s="283"/>
      <c r="L75" s="283"/>
      <c r="M75" s="232"/>
      <c r="N75" s="8"/>
      <c r="O75" s="235"/>
      <c r="P75" s="283"/>
      <c r="S75" s="354"/>
    </row>
    <row r="76" spans="1:19" ht="33" customHeight="1" thickTop="1" thickBot="1">
      <c r="A76" s="484">
        <v>24</v>
      </c>
      <c r="B76" s="501" t="s">
        <v>353</v>
      </c>
      <c r="C76" s="764"/>
      <c r="D76" s="808">
        <f t="shared" si="5"/>
        <v>124</v>
      </c>
      <c r="E76" s="565">
        <f t="shared" si="5"/>
        <v>224</v>
      </c>
      <c r="F76" s="808">
        <f t="shared" si="8"/>
        <v>324</v>
      </c>
      <c r="G76" s="565">
        <f t="shared" si="9"/>
        <v>424</v>
      </c>
      <c r="H76" s="808">
        <f t="shared" si="5"/>
        <v>524</v>
      </c>
      <c r="I76" s="565">
        <f t="shared" si="6"/>
        <v>624</v>
      </c>
      <c r="J76" s="808">
        <f t="shared" si="7"/>
        <v>724</v>
      </c>
      <c r="K76" s="283"/>
      <c r="L76" s="283"/>
      <c r="M76" s="232"/>
      <c r="N76" s="8"/>
      <c r="O76" s="235"/>
      <c r="P76" s="283"/>
      <c r="S76" s="354"/>
    </row>
    <row r="77" spans="1:19" ht="33" customHeight="1" thickTop="1" thickBot="1">
      <c r="A77" s="484">
        <v>25</v>
      </c>
      <c r="B77" s="501" t="s">
        <v>354</v>
      </c>
      <c r="C77" s="764"/>
      <c r="D77" s="808">
        <f t="shared" si="5"/>
        <v>125</v>
      </c>
      <c r="E77" s="565">
        <f t="shared" si="5"/>
        <v>225</v>
      </c>
      <c r="F77" s="808">
        <f t="shared" si="8"/>
        <v>325</v>
      </c>
      <c r="G77" s="565">
        <f t="shared" si="9"/>
        <v>425</v>
      </c>
      <c r="H77" s="808">
        <f t="shared" si="5"/>
        <v>525</v>
      </c>
      <c r="I77" s="565">
        <f t="shared" si="6"/>
        <v>625</v>
      </c>
      <c r="J77" s="808">
        <f t="shared" si="7"/>
        <v>725</v>
      </c>
      <c r="K77" s="283"/>
      <c r="L77" s="283"/>
      <c r="M77" s="232"/>
      <c r="N77" s="8"/>
      <c r="O77" s="235"/>
      <c r="P77" s="283"/>
      <c r="S77" s="352"/>
    </row>
    <row r="78" spans="1:19" ht="33" customHeight="1" thickTop="1" thickBot="1">
      <c r="A78" s="484">
        <v>26</v>
      </c>
      <c r="B78" s="458" t="s">
        <v>355</v>
      </c>
      <c r="C78" s="763"/>
      <c r="D78" s="808">
        <f t="shared" ref="D78:D99" si="10">D77+1</f>
        <v>126</v>
      </c>
      <c r="E78" s="565">
        <f t="shared" ref="E78:E99" si="11">E77+1</f>
        <v>226</v>
      </c>
      <c r="F78" s="808">
        <f t="shared" si="8"/>
        <v>326</v>
      </c>
      <c r="G78" s="565">
        <f t="shared" si="9"/>
        <v>426</v>
      </c>
      <c r="H78" s="808">
        <f t="shared" ref="H78:H99" si="12">H77+1</f>
        <v>526</v>
      </c>
      <c r="I78" s="565">
        <f t="shared" si="6"/>
        <v>626</v>
      </c>
      <c r="J78" s="808">
        <f t="shared" si="7"/>
        <v>726</v>
      </c>
      <c r="K78" s="283"/>
      <c r="L78" s="283"/>
      <c r="M78" s="231"/>
      <c r="N78" s="200"/>
      <c r="O78" s="879" t="s">
        <v>356</v>
      </c>
      <c r="P78" s="427" t="s">
        <v>357</v>
      </c>
      <c r="S78" s="353"/>
    </row>
    <row r="79" spans="1:19" ht="33" customHeight="1" thickTop="1" thickBot="1">
      <c r="A79" s="484">
        <v>27</v>
      </c>
      <c r="B79" s="459" t="s">
        <v>358</v>
      </c>
      <c r="C79" s="138"/>
      <c r="D79" s="808">
        <f t="shared" si="10"/>
        <v>127</v>
      </c>
      <c r="E79" s="565">
        <f t="shared" si="11"/>
        <v>227</v>
      </c>
      <c r="F79" s="808">
        <f t="shared" si="8"/>
        <v>327</v>
      </c>
      <c r="G79" s="565">
        <f t="shared" si="9"/>
        <v>427</v>
      </c>
      <c r="H79" s="808">
        <f t="shared" si="12"/>
        <v>527</v>
      </c>
      <c r="I79" s="565">
        <f t="shared" si="6"/>
        <v>627</v>
      </c>
      <c r="J79" s="808">
        <f t="shared" si="7"/>
        <v>727</v>
      </c>
      <c r="K79" s="283"/>
      <c r="L79" s="283"/>
      <c r="M79" s="200"/>
      <c r="N79" s="231"/>
      <c r="O79" s="879"/>
      <c r="S79" s="356"/>
    </row>
    <row r="80" spans="1:19" ht="33" customHeight="1" thickTop="1" thickBot="1">
      <c r="A80" s="484">
        <v>28</v>
      </c>
      <c r="B80" s="460" t="s">
        <v>359</v>
      </c>
      <c r="C80" s="138"/>
      <c r="D80" s="808">
        <f t="shared" si="10"/>
        <v>128</v>
      </c>
      <c r="E80" s="565">
        <f t="shared" si="11"/>
        <v>228</v>
      </c>
      <c r="F80" s="808">
        <f t="shared" si="8"/>
        <v>328</v>
      </c>
      <c r="G80" s="565">
        <f t="shared" si="9"/>
        <v>428</v>
      </c>
      <c r="H80" s="808">
        <f t="shared" si="12"/>
        <v>528</v>
      </c>
      <c r="I80" s="565">
        <f t="shared" si="6"/>
        <v>628</v>
      </c>
      <c r="J80" s="808">
        <f t="shared" si="7"/>
        <v>728</v>
      </c>
      <c r="K80" s="283"/>
      <c r="L80" s="283"/>
      <c r="M80" s="231"/>
      <c r="N80" s="200"/>
      <c r="O80" s="879"/>
      <c r="P80" s="428" t="s">
        <v>360</v>
      </c>
      <c r="S80" s="357"/>
    </row>
    <row r="81" spans="1:19" ht="33" customHeight="1" thickTop="1" thickBot="1">
      <c r="A81" s="484">
        <v>29</v>
      </c>
      <c r="B81" s="443" t="s">
        <v>361</v>
      </c>
      <c r="C81" s="138"/>
      <c r="D81" s="808">
        <f t="shared" si="10"/>
        <v>129</v>
      </c>
      <c r="E81" s="565">
        <f t="shared" si="11"/>
        <v>229</v>
      </c>
      <c r="F81" s="808">
        <f t="shared" si="8"/>
        <v>329</v>
      </c>
      <c r="G81" s="565">
        <f t="shared" si="9"/>
        <v>429</v>
      </c>
      <c r="H81" s="808">
        <f t="shared" si="12"/>
        <v>529</v>
      </c>
      <c r="I81" s="565">
        <f t="shared" si="6"/>
        <v>629</v>
      </c>
      <c r="J81" s="808">
        <f t="shared" si="7"/>
        <v>729</v>
      </c>
      <c r="K81" s="283"/>
      <c r="L81" s="283"/>
      <c r="M81" s="200"/>
      <c r="N81" s="231"/>
      <c r="O81" s="879"/>
      <c r="P81" s="21"/>
      <c r="S81" s="358"/>
    </row>
    <row r="82" spans="1:19" ht="33" customHeight="1" thickTop="1" thickBot="1">
      <c r="A82" s="484">
        <v>30</v>
      </c>
      <c r="B82" s="444" t="s">
        <v>362</v>
      </c>
      <c r="C82" s="138"/>
      <c r="D82" s="808">
        <f t="shared" si="10"/>
        <v>130</v>
      </c>
      <c r="E82" s="565">
        <f t="shared" si="11"/>
        <v>230</v>
      </c>
      <c r="F82" s="808">
        <f t="shared" si="8"/>
        <v>330</v>
      </c>
      <c r="G82" s="565">
        <f t="shared" si="9"/>
        <v>430</v>
      </c>
      <c r="H82" s="808">
        <f t="shared" si="12"/>
        <v>530</v>
      </c>
      <c r="I82" s="565">
        <f t="shared" si="6"/>
        <v>630</v>
      </c>
      <c r="J82" s="808">
        <f t="shared" si="7"/>
        <v>730</v>
      </c>
      <c r="K82" s="283"/>
      <c r="L82" s="283"/>
      <c r="M82" s="231"/>
      <c r="N82" s="200"/>
      <c r="O82" s="879"/>
      <c r="P82" s="21"/>
      <c r="S82" s="359"/>
    </row>
    <row r="83" spans="1:19" ht="33" customHeight="1" thickTop="1" thickBot="1">
      <c r="A83" s="484">
        <v>31</v>
      </c>
      <c r="B83" s="453" t="s">
        <v>363</v>
      </c>
      <c r="C83" s="138"/>
      <c r="D83" s="808">
        <f t="shared" si="10"/>
        <v>131</v>
      </c>
      <c r="E83" s="565">
        <f t="shared" si="11"/>
        <v>231</v>
      </c>
      <c r="F83" s="808">
        <f t="shared" si="8"/>
        <v>331</v>
      </c>
      <c r="G83" s="565">
        <f t="shared" si="9"/>
        <v>431</v>
      </c>
      <c r="H83" s="808">
        <f t="shared" si="12"/>
        <v>531</v>
      </c>
      <c r="I83" s="565">
        <f t="shared" si="6"/>
        <v>631</v>
      </c>
      <c r="J83" s="808">
        <f t="shared" si="7"/>
        <v>731</v>
      </c>
      <c r="K83" s="283"/>
      <c r="L83" s="283"/>
      <c r="M83" s="201"/>
      <c r="N83" s="201"/>
      <c r="O83" s="879"/>
      <c r="P83" s="21"/>
    </row>
    <row r="84" spans="1:19" ht="33" customHeight="1" thickTop="1" thickBot="1">
      <c r="A84" s="864" t="s">
        <v>364</v>
      </c>
      <c r="B84" s="444"/>
      <c r="C84" s="138"/>
      <c r="D84" s="808">
        <f t="shared" si="10"/>
        <v>132</v>
      </c>
      <c r="E84" s="565">
        <f t="shared" si="11"/>
        <v>232</v>
      </c>
      <c r="F84" s="808">
        <f t="shared" si="8"/>
        <v>332</v>
      </c>
      <c r="G84" s="565">
        <f t="shared" si="9"/>
        <v>432</v>
      </c>
      <c r="H84" s="808">
        <f t="shared" si="12"/>
        <v>532</v>
      </c>
      <c r="I84" s="565">
        <f t="shared" si="6"/>
        <v>632</v>
      </c>
      <c r="J84" s="808">
        <f t="shared" si="7"/>
        <v>732</v>
      </c>
      <c r="K84" s="283"/>
      <c r="L84" s="283"/>
      <c r="M84" s="231"/>
      <c r="N84" s="200"/>
      <c r="O84" s="879"/>
    </row>
    <row r="85" spans="1:19" ht="33" customHeight="1" thickTop="1" thickBot="1">
      <c r="A85" s="864"/>
      <c r="B85" s="461" t="s">
        <v>365</v>
      </c>
      <c r="C85" s="138"/>
      <c r="D85" s="808">
        <f t="shared" si="10"/>
        <v>133</v>
      </c>
      <c r="E85" s="565">
        <f t="shared" si="11"/>
        <v>233</v>
      </c>
      <c r="F85" s="808">
        <f t="shared" si="8"/>
        <v>333</v>
      </c>
      <c r="G85" s="565">
        <f t="shared" si="9"/>
        <v>433</v>
      </c>
      <c r="H85" s="808">
        <f t="shared" si="12"/>
        <v>533</v>
      </c>
      <c r="I85" s="565">
        <f t="shared" si="6"/>
        <v>633</v>
      </c>
      <c r="J85" s="808">
        <f t="shared" si="7"/>
        <v>733</v>
      </c>
      <c r="K85" s="283"/>
      <c r="L85" s="283"/>
      <c r="M85" s="200"/>
      <c r="N85" s="231"/>
      <c r="O85" s="879"/>
    </row>
    <row r="86" spans="1:19" ht="33" customHeight="1" thickTop="1" thickBot="1">
      <c r="A86" s="864"/>
      <c r="B86" s="444" t="s">
        <v>366</v>
      </c>
      <c r="C86" s="138"/>
      <c r="D86" s="808">
        <f t="shared" si="10"/>
        <v>134</v>
      </c>
      <c r="E86" s="565">
        <f t="shared" si="11"/>
        <v>234</v>
      </c>
      <c r="F86" s="808">
        <f t="shared" si="8"/>
        <v>334</v>
      </c>
      <c r="G86" s="565">
        <f t="shared" si="9"/>
        <v>434</v>
      </c>
      <c r="H86" s="808">
        <f t="shared" si="12"/>
        <v>534</v>
      </c>
      <c r="I86" s="565">
        <f t="shared" si="6"/>
        <v>634</v>
      </c>
      <c r="J86" s="808">
        <f t="shared" si="7"/>
        <v>734</v>
      </c>
      <c r="K86" s="283"/>
      <c r="L86" s="283"/>
      <c r="M86" s="231"/>
      <c r="N86" s="200"/>
      <c r="O86" s="879"/>
    </row>
    <row r="87" spans="1:19" ht="33" customHeight="1" thickTop="1" thickBot="1">
      <c r="A87" s="864"/>
      <c r="B87" s="443" t="s">
        <v>367</v>
      </c>
      <c r="C87" s="138"/>
      <c r="D87" s="808">
        <f t="shared" si="10"/>
        <v>135</v>
      </c>
      <c r="E87" s="565">
        <f t="shared" si="11"/>
        <v>235</v>
      </c>
      <c r="F87" s="808">
        <f t="shared" si="8"/>
        <v>335</v>
      </c>
      <c r="G87" s="565">
        <f t="shared" si="9"/>
        <v>435</v>
      </c>
      <c r="H87" s="808">
        <f t="shared" si="12"/>
        <v>535</v>
      </c>
      <c r="I87" s="565">
        <f t="shared" si="6"/>
        <v>635</v>
      </c>
      <c r="J87" s="808">
        <f t="shared" si="7"/>
        <v>735</v>
      </c>
      <c r="K87" s="283"/>
      <c r="L87" s="283"/>
      <c r="M87" s="200"/>
      <c r="N87" s="231"/>
      <c r="O87" s="879"/>
    </row>
    <row r="88" spans="1:19" ht="33" customHeight="1" thickTop="1" thickBot="1">
      <c r="A88" s="864"/>
      <c r="B88" s="443" t="s">
        <v>368</v>
      </c>
      <c r="C88" s="138"/>
      <c r="D88" s="808">
        <f t="shared" si="10"/>
        <v>136</v>
      </c>
      <c r="E88" s="565">
        <f t="shared" si="11"/>
        <v>236</v>
      </c>
      <c r="F88" s="808">
        <f t="shared" si="8"/>
        <v>336</v>
      </c>
      <c r="G88" s="565">
        <f t="shared" si="9"/>
        <v>436</v>
      </c>
      <c r="H88" s="808">
        <f t="shared" si="12"/>
        <v>536</v>
      </c>
      <c r="I88" s="565">
        <f t="shared" si="6"/>
        <v>636</v>
      </c>
      <c r="J88" s="808">
        <f t="shared" si="7"/>
        <v>736</v>
      </c>
      <c r="K88" s="283"/>
      <c r="L88" s="283"/>
      <c r="M88" s="231"/>
      <c r="N88" s="200"/>
      <c r="O88" s="879"/>
    </row>
    <row r="89" spans="1:19" ht="33" customHeight="1" thickTop="1" thickBot="1">
      <c r="A89" s="864"/>
      <c r="B89" s="444" t="s">
        <v>369</v>
      </c>
      <c r="C89" s="138"/>
      <c r="D89" s="808">
        <f t="shared" si="10"/>
        <v>137</v>
      </c>
      <c r="E89" s="565">
        <f t="shared" si="11"/>
        <v>237</v>
      </c>
      <c r="F89" s="808">
        <f t="shared" si="8"/>
        <v>337</v>
      </c>
      <c r="G89" s="565">
        <f t="shared" si="9"/>
        <v>437</v>
      </c>
      <c r="H89" s="808">
        <f t="shared" si="12"/>
        <v>537</v>
      </c>
      <c r="I89" s="565">
        <f t="shared" si="6"/>
        <v>637</v>
      </c>
      <c r="J89" s="808">
        <f t="shared" si="7"/>
        <v>737</v>
      </c>
      <c r="K89" s="283"/>
      <c r="L89" s="283"/>
      <c r="M89" s="201"/>
      <c r="N89" s="201"/>
      <c r="O89" s="879"/>
    </row>
    <row r="90" spans="1:19" ht="33" customHeight="1" thickTop="1" thickBot="1">
      <c r="A90" s="864"/>
      <c r="B90" s="444" t="s">
        <v>370</v>
      </c>
      <c r="C90" s="138"/>
      <c r="D90" s="808">
        <f t="shared" si="10"/>
        <v>138</v>
      </c>
      <c r="E90" s="565">
        <f t="shared" si="11"/>
        <v>238</v>
      </c>
      <c r="F90" s="808">
        <f t="shared" si="8"/>
        <v>338</v>
      </c>
      <c r="G90" s="565">
        <f t="shared" si="9"/>
        <v>438</v>
      </c>
      <c r="H90" s="808">
        <f t="shared" si="12"/>
        <v>538</v>
      </c>
      <c r="I90" s="565">
        <f t="shared" si="6"/>
        <v>638</v>
      </c>
      <c r="J90" s="808">
        <f t="shared" si="7"/>
        <v>738</v>
      </c>
      <c r="K90" s="283"/>
      <c r="L90" s="283"/>
      <c r="M90" s="231"/>
      <c r="N90" s="200"/>
      <c r="O90" s="879"/>
    </row>
    <row r="91" spans="1:19" ht="33" customHeight="1" thickTop="1" thickBot="1">
      <c r="A91" s="864"/>
      <c r="B91" s="443" t="s">
        <v>371</v>
      </c>
      <c r="C91" s="138"/>
      <c r="D91" s="808">
        <f t="shared" si="10"/>
        <v>139</v>
      </c>
      <c r="E91" s="565">
        <f t="shared" si="11"/>
        <v>239</v>
      </c>
      <c r="F91" s="808">
        <f t="shared" si="8"/>
        <v>339</v>
      </c>
      <c r="G91" s="565">
        <f t="shared" si="9"/>
        <v>439</v>
      </c>
      <c r="H91" s="808">
        <f t="shared" si="12"/>
        <v>539</v>
      </c>
      <c r="I91" s="565">
        <f t="shared" si="6"/>
        <v>639</v>
      </c>
      <c r="J91" s="808">
        <f t="shared" si="7"/>
        <v>739</v>
      </c>
      <c r="K91" s="283"/>
      <c r="L91" s="283"/>
      <c r="M91" s="200"/>
      <c r="N91" s="231"/>
      <c r="O91" s="879"/>
    </row>
    <row r="92" spans="1:19" ht="33" customHeight="1" thickTop="1" thickBot="1">
      <c r="A92" s="864"/>
      <c r="B92" s="438" t="s">
        <v>372</v>
      </c>
      <c r="C92" s="138"/>
      <c r="D92" s="808">
        <f t="shared" si="10"/>
        <v>140</v>
      </c>
      <c r="E92" s="565">
        <f t="shared" si="11"/>
        <v>240</v>
      </c>
      <c r="F92" s="808">
        <f t="shared" si="8"/>
        <v>340</v>
      </c>
      <c r="G92" s="565">
        <f t="shared" si="9"/>
        <v>440</v>
      </c>
      <c r="H92" s="808">
        <f t="shared" si="12"/>
        <v>540</v>
      </c>
      <c r="I92" s="565">
        <f t="shared" si="6"/>
        <v>640</v>
      </c>
      <c r="J92" s="808">
        <f t="shared" si="7"/>
        <v>740</v>
      </c>
      <c r="K92" s="283"/>
      <c r="L92" s="283"/>
      <c r="M92" s="231"/>
      <c r="N92" s="200"/>
      <c r="O92" s="879"/>
    </row>
    <row r="93" spans="1:19" ht="33" customHeight="1" thickTop="1" thickBot="1">
      <c r="A93" s="865"/>
      <c r="B93" s="438" t="s">
        <v>373</v>
      </c>
      <c r="C93" s="138"/>
      <c r="D93" s="808">
        <f t="shared" si="10"/>
        <v>141</v>
      </c>
      <c r="E93" s="565">
        <f t="shared" si="11"/>
        <v>241</v>
      </c>
      <c r="F93" s="808">
        <f t="shared" si="8"/>
        <v>341</v>
      </c>
      <c r="G93" s="565">
        <f t="shared" si="9"/>
        <v>441</v>
      </c>
      <c r="H93" s="808">
        <f t="shared" si="12"/>
        <v>541</v>
      </c>
      <c r="I93" s="565">
        <f t="shared" si="6"/>
        <v>641</v>
      </c>
      <c r="J93" s="808">
        <f t="shared" si="7"/>
        <v>741</v>
      </c>
      <c r="K93" s="283"/>
      <c r="L93" s="283"/>
      <c r="M93" s="200"/>
      <c r="N93" s="231"/>
      <c r="O93" s="879"/>
    </row>
    <row r="94" spans="1:19" ht="33" customHeight="1" thickTop="1" thickBot="1">
      <c r="B94" s="456"/>
      <c r="C94" s="138"/>
      <c r="D94" s="808">
        <f t="shared" si="10"/>
        <v>142</v>
      </c>
      <c r="E94" s="565">
        <f t="shared" si="11"/>
        <v>242</v>
      </c>
      <c r="F94" s="808">
        <f t="shared" si="8"/>
        <v>342</v>
      </c>
      <c r="G94" s="565">
        <f t="shared" si="9"/>
        <v>442</v>
      </c>
      <c r="H94" s="808">
        <f t="shared" si="12"/>
        <v>542</v>
      </c>
      <c r="I94" s="565">
        <f t="shared" si="6"/>
        <v>642</v>
      </c>
      <c r="J94" s="808">
        <f t="shared" si="7"/>
        <v>742</v>
      </c>
      <c r="K94" s="283"/>
      <c r="L94" s="283"/>
      <c r="M94" s="231"/>
      <c r="N94" s="200"/>
      <c r="O94" s="21"/>
    </row>
    <row r="95" spans="1:19" ht="33" customHeight="1" thickTop="1" thickBot="1">
      <c r="B95" s="462" t="s">
        <v>374</v>
      </c>
      <c r="C95" s="138"/>
      <c r="D95" s="808">
        <f t="shared" si="10"/>
        <v>143</v>
      </c>
      <c r="E95" s="565">
        <f t="shared" si="11"/>
        <v>243</v>
      </c>
      <c r="F95" s="808">
        <f t="shared" si="8"/>
        <v>343</v>
      </c>
      <c r="G95" s="565">
        <f t="shared" si="9"/>
        <v>443</v>
      </c>
      <c r="H95" s="808">
        <f t="shared" si="12"/>
        <v>543</v>
      </c>
      <c r="I95" s="565">
        <f t="shared" si="6"/>
        <v>643</v>
      </c>
      <c r="J95" s="808">
        <f t="shared" si="7"/>
        <v>743</v>
      </c>
      <c r="K95" s="283"/>
      <c r="L95" s="283"/>
      <c r="M95" s="231"/>
      <c r="N95" s="200"/>
    </row>
    <row r="96" spans="1:19" ht="33" customHeight="1" thickTop="1" thickBot="1">
      <c r="B96" s="462" t="s">
        <v>375</v>
      </c>
      <c r="C96" s="138"/>
      <c r="D96" s="808">
        <f t="shared" si="10"/>
        <v>144</v>
      </c>
      <c r="E96" s="565">
        <f t="shared" si="11"/>
        <v>244</v>
      </c>
      <c r="F96" s="808">
        <f t="shared" si="8"/>
        <v>344</v>
      </c>
      <c r="G96" s="565">
        <f t="shared" si="9"/>
        <v>444</v>
      </c>
      <c r="H96" s="808">
        <f t="shared" si="12"/>
        <v>544</v>
      </c>
      <c r="I96" s="565">
        <f t="shared" si="6"/>
        <v>644</v>
      </c>
      <c r="J96" s="808">
        <f t="shared" si="7"/>
        <v>744</v>
      </c>
      <c r="K96" s="283"/>
      <c r="L96" s="283"/>
      <c r="M96" s="200"/>
      <c r="N96" s="231"/>
    </row>
    <row r="97" spans="1:26" ht="33" customHeight="1" thickTop="1" thickBot="1">
      <c r="B97" s="456" t="s">
        <v>376</v>
      </c>
      <c r="C97" s="138"/>
      <c r="D97" s="808">
        <f t="shared" si="10"/>
        <v>145</v>
      </c>
      <c r="E97" s="565">
        <f t="shared" si="11"/>
        <v>245</v>
      </c>
      <c r="F97" s="808">
        <f t="shared" si="8"/>
        <v>345</v>
      </c>
      <c r="G97" s="565">
        <f t="shared" si="9"/>
        <v>445</v>
      </c>
      <c r="H97" s="808">
        <f t="shared" si="12"/>
        <v>545</v>
      </c>
      <c r="I97" s="565">
        <f t="shared" si="6"/>
        <v>645</v>
      </c>
      <c r="J97" s="808">
        <f t="shared" si="7"/>
        <v>745</v>
      </c>
      <c r="K97" s="283"/>
      <c r="L97" s="283"/>
      <c r="M97" s="231"/>
      <c r="N97" s="200"/>
    </row>
    <row r="98" spans="1:26" ht="33" customHeight="1" thickTop="1" thickBot="1">
      <c r="B98" s="456"/>
      <c r="C98" s="138"/>
      <c r="D98" s="808">
        <f t="shared" si="10"/>
        <v>146</v>
      </c>
      <c r="E98" s="565">
        <f t="shared" si="11"/>
        <v>246</v>
      </c>
      <c r="F98" s="808">
        <f t="shared" si="8"/>
        <v>346</v>
      </c>
      <c r="G98" s="565">
        <f t="shared" si="9"/>
        <v>446</v>
      </c>
      <c r="H98" s="808">
        <f t="shared" si="12"/>
        <v>546</v>
      </c>
      <c r="I98" s="565">
        <f t="shared" si="6"/>
        <v>646</v>
      </c>
      <c r="J98" s="808">
        <f t="shared" si="7"/>
        <v>746</v>
      </c>
      <c r="K98" s="283"/>
      <c r="L98" s="283"/>
      <c r="M98" s="200"/>
      <c r="N98" s="231"/>
    </row>
    <row r="99" spans="1:26" ht="33" customHeight="1" thickTop="1" thickBot="1">
      <c r="B99" s="456"/>
      <c r="C99" s="138"/>
      <c r="D99" s="808">
        <f t="shared" si="10"/>
        <v>147</v>
      </c>
      <c r="E99" s="565">
        <f t="shared" si="11"/>
        <v>247</v>
      </c>
      <c r="F99" s="808">
        <f t="shared" si="8"/>
        <v>347</v>
      </c>
      <c r="G99" s="565">
        <f t="shared" si="9"/>
        <v>447</v>
      </c>
      <c r="H99" s="808">
        <f t="shared" si="12"/>
        <v>547</v>
      </c>
      <c r="I99" s="565">
        <f t="shared" si="6"/>
        <v>647</v>
      </c>
      <c r="J99" s="808">
        <f t="shared" si="7"/>
        <v>747</v>
      </c>
      <c r="K99" s="283"/>
      <c r="L99" s="283"/>
      <c r="M99" s="231"/>
      <c r="N99" s="200"/>
    </row>
    <row r="100" spans="1:26" ht="28.2" customHeight="1" thickTop="1">
      <c r="B100" s="463" t="s">
        <v>377</v>
      </c>
      <c r="C100" s="509" t="s">
        <v>378</v>
      </c>
      <c r="D100" s="231"/>
      <c r="E100" s="200"/>
      <c r="F100" s="231"/>
      <c r="G100" s="231"/>
      <c r="H100" s="231"/>
      <c r="I100" s="231"/>
      <c r="J100" s="231"/>
      <c r="K100" s="231"/>
      <c r="L100" s="231"/>
      <c r="M100" s="231"/>
      <c r="N100" s="231"/>
      <c r="O100" s="140"/>
      <c r="P100" s="140"/>
      <c r="Q100" s="140"/>
      <c r="R100" s="381" t="s">
        <v>379</v>
      </c>
      <c r="S100" s="231" t="s">
        <v>380</v>
      </c>
      <c r="T100" s="233" t="s">
        <v>381</v>
      </c>
      <c r="U100" s="14" t="s">
        <v>382</v>
      </c>
      <c r="V100" s="2" t="s">
        <v>383</v>
      </c>
      <c r="W100" t="s">
        <v>384</v>
      </c>
      <c r="X100" t="s">
        <v>384</v>
      </c>
      <c r="Y100" t="s">
        <v>385</v>
      </c>
      <c r="Z100" t="s">
        <v>386</v>
      </c>
    </row>
    <row r="101" spans="1:26" ht="28.2" customHeight="1">
      <c r="B101" s="464" t="s">
        <v>387</v>
      </c>
      <c r="C101" s="557" t="s">
        <v>388</v>
      </c>
      <c r="D101" s="200"/>
      <c r="E101" s="231"/>
      <c r="F101" s="200"/>
      <c r="G101" s="200"/>
      <c r="H101" s="200"/>
      <c r="I101" s="200"/>
      <c r="J101" s="200"/>
      <c r="K101" s="200"/>
      <c r="L101" s="200"/>
      <c r="M101" s="200"/>
      <c r="N101" s="200"/>
      <c r="P101" s="195" t="s">
        <v>389</v>
      </c>
      <c r="R101" s="382" t="s">
        <v>390</v>
      </c>
      <c r="S101" s="231"/>
      <c r="T101" s="14" t="s">
        <v>391</v>
      </c>
      <c r="U101" s="14"/>
      <c r="V101" s="2" t="s">
        <v>392</v>
      </c>
      <c r="W101" t="s">
        <v>393</v>
      </c>
      <c r="X101" t="s">
        <v>393</v>
      </c>
      <c r="Y101" t="s">
        <v>394</v>
      </c>
      <c r="Z101" t="s">
        <v>394</v>
      </c>
    </row>
    <row r="102" spans="1:26" ht="28.2" customHeight="1">
      <c r="B102" s="465" t="s">
        <v>395</v>
      </c>
      <c r="C102" s="609" t="s">
        <v>396</v>
      </c>
      <c r="D102" s="231"/>
      <c r="E102" s="200"/>
      <c r="F102" s="231"/>
      <c r="G102" s="231"/>
      <c r="H102" s="231"/>
      <c r="I102" s="231"/>
      <c r="J102" s="231"/>
      <c r="K102" s="231"/>
      <c r="L102" s="231"/>
      <c r="M102" s="231"/>
      <c r="N102" s="231"/>
      <c r="O102" s="141"/>
      <c r="P102" s="141"/>
      <c r="R102" s="383" t="s">
        <v>397</v>
      </c>
      <c r="S102" s="231" t="s">
        <v>398</v>
      </c>
      <c r="T102" s="14" t="s">
        <v>399</v>
      </c>
      <c r="U102" s="14" t="s">
        <v>400</v>
      </c>
      <c r="V102" s="2" t="s">
        <v>396</v>
      </c>
      <c r="W102" t="s">
        <v>401</v>
      </c>
      <c r="X102" t="s">
        <v>401</v>
      </c>
      <c r="Y102" t="s">
        <v>401</v>
      </c>
      <c r="Z102" t="s">
        <v>401</v>
      </c>
    </row>
    <row r="103" spans="1:26" ht="28.2" customHeight="1">
      <c r="B103" s="465" t="s">
        <v>402</v>
      </c>
      <c r="C103" s="558" t="s">
        <v>403</v>
      </c>
      <c r="D103" s="200"/>
      <c r="E103" s="231"/>
      <c r="F103" s="200"/>
      <c r="G103" s="200"/>
      <c r="H103" s="200"/>
      <c r="I103" s="200"/>
      <c r="J103" s="200"/>
      <c r="K103" s="200"/>
      <c r="L103" s="200"/>
      <c r="M103" s="200"/>
      <c r="N103" s="200"/>
      <c r="O103" s="143"/>
      <c r="R103" s="378" t="s">
        <v>404</v>
      </c>
      <c r="S103" s="379" t="s">
        <v>405</v>
      </c>
      <c r="T103" s="14" t="s">
        <v>406</v>
      </c>
      <c r="U103" s="14" t="s">
        <v>407</v>
      </c>
      <c r="V103" s="2" t="s">
        <v>408</v>
      </c>
      <c r="W103" t="s">
        <v>409</v>
      </c>
      <c r="X103" t="s">
        <v>410</v>
      </c>
      <c r="Y103" t="s">
        <v>411</v>
      </c>
      <c r="Z103" t="s">
        <v>412</v>
      </c>
    </row>
    <row r="104" spans="1:26" ht="28.2" customHeight="1">
      <c r="B104" s="465" t="s">
        <v>413</v>
      </c>
      <c r="C104" s="559" t="s">
        <v>414</v>
      </c>
      <c r="D104" s="231"/>
      <c r="E104" s="200"/>
      <c r="F104" s="231"/>
      <c r="G104" s="231"/>
      <c r="H104" s="231"/>
      <c r="I104" s="231"/>
      <c r="J104" s="231"/>
      <c r="K104" s="231"/>
      <c r="L104" s="231"/>
      <c r="M104" s="231"/>
      <c r="N104" s="231"/>
      <c r="O104" s="143"/>
      <c r="R104" s="380" t="s">
        <v>415</v>
      </c>
      <c r="S104" s="379" t="s">
        <v>416</v>
      </c>
      <c r="T104" s="14" t="s">
        <v>417</v>
      </c>
      <c r="U104" s="14" t="s">
        <v>418</v>
      </c>
      <c r="V104" s="2" t="s">
        <v>414</v>
      </c>
      <c r="W104" t="s">
        <v>419</v>
      </c>
      <c r="X104" t="s">
        <v>420</v>
      </c>
      <c r="Y104" t="s">
        <v>421</v>
      </c>
      <c r="Z104" t="s">
        <v>422</v>
      </c>
    </row>
    <row r="105" spans="1:26" ht="28.2" customHeight="1">
      <c r="B105" s="464" t="s">
        <v>423</v>
      </c>
      <c r="C105" s="209" t="s">
        <v>424</v>
      </c>
      <c r="D105" s="231"/>
      <c r="E105" s="200"/>
      <c r="F105" s="231"/>
      <c r="G105" s="231"/>
      <c r="H105" s="231"/>
      <c r="I105" s="231"/>
      <c r="J105" s="231"/>
      <c r="K105" s="231"/>
      <c r="L105" s="231"/>
      <c r="M105" s="231"/>
      <c r="N105" s="231"/>
      <c r="O105" s="143"/>
      <c r="P105" s="9"/>
      <c r="R105" s="143"/>
      <c r="S105" s="379"/>
      <c r="T105" s="14"/>
      <c r="U105" s="138"/>
      <c r="V105" s="2" t="s">
        <v>410</v>
      </c>
      <c r="W105" t="s">
        <v>424</v>
      </c>
      <c r="X105" t="s">
        <v>424</v>
      </c>
      <c r="Y105" t="s">
        <v>425</v>
      </c>
      <c r="Z105" t="s">
        <v>426</v>
      </c>
    </row>
    <row r="106" spans="1:26" ht="28.2" customHeight="1">
      <c r="A106" s="480"/>
      <c r="B106" s="465" t="s">
        <v>427</v>
      </c>
      <c r="C106" s="506" t="s">
        <v>428</v>
      </c>
      <c r="D106" s="200"/>
      <c r="E106" s="231"/>
      <c r="F106" s="200"/>
      <c r="G106" s="200"/>
      <c r="H106" s="200"/>
      <c r="I106" s="200"/>
      <c r="J106" s="200"/>
      <c r="K106" s="200"/>
      <c r="L106" s="200"/>
      <c r="M106" s="200"/>
      <c r="N106" s="200"/>
      <c r="O106" s="143"/>
      <c r="P106" s="9"/>
      <c r="R106" s="143"/>
      <c r="S106" s="379"/>
      <c r="T106" s="14"/>
      <c r="U106" s="14"/>
      <c r="V106" s="2" t="s">
        <v>420</v>
      </c>
      <c r="W106" t="s">
        <v>428</v>
      </c>
      <c r="X106" t="s">
        <v>428</v>
      </c>
      <c r="Y106" t="s">
        <v>425</v>
      </c>
    </row>
    <row r="107" spans="1:26" ht="28.2" customHeight="1">
      <c r="A107" s="480"/>
      <c r="B107" s="465" t="s">
        <v>429</v>
      </c>
      <c r="C107" s="138" t="s">
        <v>430</v>
      </c>
      <c r="D107" s="231"/>
      <c r="E107" s="200"/>
      <c r="F107" s="231"/>
      <c r="G107" s="231"/>
      <c r="H107" s="231"/>
      <c r="I107" s="231"/>
      <c r="J107" s="231"/>
      <c r="K107" s="231"/>
      <c r="L107" s="231"/>
      <c r="M107" s="231"/>
      <c r="N107" s="231"/>
      <c r="O107" s="143"/>
      <c r="P107" s="9"/>
      <c r="R107" s="143"/>
      <c r="S107" s="379"/>
      <c r="T107" s="14"/>
      <c r="U107" s="14"/>
      <c r="V107" s="2" t="s">
        <v>424</v>
      </c>
      <c r="W107" t="s">
        <v>403</v>
      </c>
      <c r="X107" t="s">
        <v>403</v>
      </c>
    </row>
    <row r="108" spans="1:26" ht="28.2" customHeight="1">
      <c r="A108" s="480"/>
      <c r="B108" s="465" t="s">
        <v>431</v>
      </c>
      <c r="C108" s="138" t="s">
        <v>432</v>
      </c>
      <c r="D108" s="200"/>
      <c r="E108" s="231"/>
      <c r="F108" s="200"/>
      <c r="G108" s="200"/>
      <c r="H108" s="200"/>
      <c r="I108" s="200"/>
      <c r="J108" s="200"/>
      <c r="K108" s="200"/>
      <c r="L108" s="200"/>
      <c r="M108" s="200"/>
      <c r="N108" s="200"/>
      <c r="O108" s="143"/>
      <c r="P108" s="9"/>
      <c r="R108" s="143"/>
      <c r="S108" s="379"/>
      <c r="T108" s="14"/>
      <c r="U108" s="14"/>
      <c r="V108" s="2" t="s">
        <v>428</v>
      </c>
      <c r="W108" t="s">
        <v>414</v>
      </c>
      <c r="X108" t="s">
        <v>414</v>
      </c>
    </row>
    <row r="109" spans="1:26" ht="28.2" customHeight="1">
      <c r="A109" s="480"/>
      <c r="B109" s="466" t="s">
        <v>433</v>
      </c>
      <c r="C109" s="509" t="s">
        <v>434</v>
      </c>
      <c r="D109" s="231"/>
      <c r="E109" s="200"/>
      <c r="F109" s="231"/>
      <c r="G109" s="231"/>
      <c r="H109" s="231"/>
      <c r="I109" s="231"/>
      <c r="J109" s="231"/>
      <c r="K109" s="231"/>
      <c r="L109" s="231"/>
      <c r="M109" s="231"/>
      <c r="N109" s="231"/>
      <c r="O109" s="144"/>
      <c r="P109" s="144"/>
      <c r="Q109" s="144"/>
      <c r="R109" s="378" t="s">
        <v>435</v>
      </c>
      <c r="S109" s="231" t="s">
        <v>436</v>
      </c>
      <c r="T109" s="144" t="s">
        <v>437</v>
      </c>
      <c r="U109" s="14"/>
      <c r="V109" s="2" t="s">
        <v>438</v>
      </c>
      <c r="W109" t="s">
        <v>439</v>
      </c>
      <c r="X109" t="s">
        <v>439</v>
      </c>
    </row>
    <row r="110" spans="1:26" ht="28.2" customHeight="1">
      <c r="A110" s="480"/>
      <c r="B110" s="466" t="s">
        <v>440</v>
      </c>
      <c r="C110" s="510" t="s">
        <v>439</v>
      </c>
      <c r="D110" s="200"/>
      <c r="E110" s="200"/>
      <c r="F110" s="200"/>
      <c r="G110" s="200"/>
      <c r="H110" s="200"/>
      <c r="I110" s="200"/>
      <c r="J110" s="200"/>
      <c r="K110" s="200"/>
      <c r="L110" s="200"/>
      <c r="M110" s="200"/>
      <c r="N110" s="200"/>
      <c r="R110" s="5" t="s">
        <v>441</v>
      </c>
      <c r="S110" s="231" t="s">
        <v>442</v>
      </c>
      <c r="T110" s="14"/>
      <c r="U110" s="14"/>
      <c r="V110" s="2" t="s">
        <v>439</v>
      </c>
      <c r="W110" t="s">
        <v>443</v>
      </c>
      <c r="X110" t="s">
        <v>443</v>
      </c>
    </row>
    <row r="111" spans="1:26" ht="28.2" customHeight="1">
      <c r="A111" s="480"/>
      <c r="B111" s="467" t="s">
        <v>444</v>
      </c>
      <c r="C111" s="509" t="s">
        <v>443</v>
      </c>
      <c r="D111" s="231"/>
      <c r="E111" s="200"/>
      <c r="F111" s="231"/>
      <c r="G111" s="231"/>
      <c r="H111" s="231"/>
      <c r="I111" s="231"/>
      <c r="J111" s="231"/>
      <c r="K111" s="231"/>
      <c r="L111" s="231"/>
      <c r="M111" s="231"/>
      <c r="N111" s="231"/>
      <c r="O111" s="145"/>
      <c r="P111" s="142"/>
      <c r="R111" s="384" t="s">
        <v>445</v>
      </c>
      <c r="S111" s="231" t="s">
        <v>446</v>
      </c>
      <c r="T111" s="14"/>
      <c r="U111" s="14"/>
      <c r="V111" s="2" t="s">
        <v>443</v>
      </c>
      <c r="W111" t="s">
        <v>434</v>
      </c>
      <c r="X111" t="s">
        <v>434</v>
      </c>
    </row>
    <row r="112" spans="1:26" ht="28.2" customHeight="1">
      <c r="A112" s="480"/>
      <c r="B112" s="468" t="s">
        <v>447</v>
      </c>
      <c r="C112" s="511" t="s">
        <v>448</v>
      </c>
      <c r="D112" s="200"/>
      <c r="E112" s="231"/>
      <c r="F112" s="200"/>
      <c r="G112" s="200"/>
      <c r="H112" s="200"/>
      <c r="I112" s="200"/>
      <c r="J112" s="200"/>
      <c r="K112" s="200"/>
      <c r="L112" s="200"/>
      <c r="M112" s="200"/>
      <c r="N112" s="200"/>
      <c r="O112" s="142"/>
      <c r="P112" s="142"/>
      <c r="R112" s="378" t="s">
        <v>449</v>
      </c>
      <c r="S112" s="231" t="s">
        <v>450</v>
      </c>
      <c r="T112" s="14" t="s">
        <v>451</v>
      </c>
      <c r="U112" s="14" t="s">
        <v>452</v>
      </c>
      <c r="V112" s="2" t="s">
        <v>448</v>
      </c>
      <c r="W112" t="s">
        <v>453</v>
      </c>
      <c r="X112" t="s">
        <v>454</v>
      </c>
    </row>
    <row r="113" spans="1:26" ht="28.2" customHeight="1">
      <c r="A113" s="480"/>
      <c r="B113" s="464" t="s">
        <v>455</v>
      </c>
      <c r="C113" s="516" t="s">
        <v>456</v>
      </c>
      <c r="D113" s="231"/>
      <c r="E113" s="200"/>
      <c r="F113" s="231"/>
      <c r="G113" s="231"/>
      <c r="H113" s="231"/>
      <c r="I113" s="231"/>
      <c r="J113" s="231"/>
      <c r="K113" s="231"/>
      <c r="L113" s="231"/>
      <c r="M113" s="231"/>
      <c r="N113" s="231"/>
      <c r="O113" s="142"/>
      <c r="P113" s="142"/>
      <c r="R113" s="381" t="s">
        <v>457</v>
      </c>
      <c r="S113" s="231" t="s">
        <v>398</v>
      </c>
      <c r="T113" s="14" t="s">
        <v>399</v>
      </c>
      <c r="U113" s="138" t="s">
        <v>400</v>
      </c>
      <c r="V113" s="2" t="s">
        <v>456</v>
      </c>
      <c r="W113" t="s">
        <v>458</v>
      </c>
      <c r="X113" t="s">
        <v>456</v>
      </c>
      <c r="Y113" t="s">
        <v>459</v>
      </c>
      <c r="Z113" t="s">
        <v>422</v>
      </c>
    </row>
    <row r="114" spans="1:26" ht="28.2" customHeight="1">
      <c r="A114" s="480"/>
      <c r="B114" s="464" t="s">
        <v>460</v>
      </c>
      <c r="C114" s="506" t="s">
        <v>461</v>
      </c>
      <c r="D114" s="200"/>
      <c r="E114" s="231"/>
      <c r="F114" s="200"/>
      <c r="G114" s="200"/>
      <c r="H114" s="200"/>
      <c r="I114" s="200"/>
      <c r="J114" s="200"/>
      <c r="K114" s="200"/>
      <c r="L114" s="200"/>
      <c r="M114" s="200"/>
      <c r="N114" s="200"/>
      <c r="O114" s="142"/>
      <c r="P114" s="142"/>
      <c r="R114" s="43" t="s">
        <v>454</v>
      </c>
      <c r="S114" s="231"/>
      <c r="T114" s="14" t="s">
        <v>448</v>
      </c>
      <c r="U114" s="14"/>
      <c r="V114" s="2" t="s">
        <v>453</v>
      </c>
      <c r="W114" t="s">
        <v>454</v>
      </c>
      <c r="X114" t="s">
        <v>453</v>
      </c>
      <c r="Y114" t="s">
        <v>411</v>
      </c>
      <c r="Z114" t="s">
        <v>412</v>
      </c>
    </row>
    <row r="115" spans="1:26" ht="28.2" customHeight="1">
      <c r="A115" s="480"/>
      <c r="B115" s="465" t="s">
        <v>462</v>
      </c>
      <c r="C115" s="506" t="s">
        <v>396</v>
      </c>
      <c r="D115" s="231"/>
      <c r="E115" s="200"/>
      <c r="F115" s="231"/>
      <c r="G115" s="231"/>
      <c r="H115" s="231"/>
      <c r="I115" s="231"/>
      <c r="J115" s="231"/>
      <c r="K115" s="231"/>
      <c r="L115" s="231"/>
      <c r="M115" s="231"/>
      <c r="N115" s="231"/>
      <c r="O115" s="141"/>
      <c r="R115" s="243" t="s">
        <v>456</v>
      </c>
      <c r="S115" s="231"/>
      <c r="T115" s="14" t="s">
        <v>456</v>
      </c>
      <c r="U115" s="14"/>
      <c r="V115" s="2" t="s">
        <v>463</v>
      </c>
      <c r="W115" t="s">
        <v>456</v>
      </c>
      <c r="X115" t="s">
        <v>458</v>
      </c>
      <c r="Y115" t="s">
        <v>453</v>
      </c>
      <c r="Z115" t="s">
        <v>464</v>
      </c>
    </row>
    <row r="116" spans="1:26" ht="28.2" customHeight="1">
      <c r="A116" s="480"/>
      <c r="B116" s="469" t="s">
        <v>465</v>
      </c>
      <c r="C116" s="766" t="s">
        <v>466</v>
      </c>
      <c r="D116" s="200"/>
      <c r="E116" s="200"/>
      <c r="F116" s="200"/>
      <c r="G116" s="200"/>
      <c r="H116" s="200"/>
      <c r="I116" s="200"/>
      <c r="J116" s="200"/>
      <c r="K116" s="200"/>
      <c r="L116" s="200"/>
      <c r="M116" s="200"/>
      <c r="N116" s="200"/>
      <c r="O116" s="141"/>
      <c r="P116" s="141"/>
      <c r="R116" s="385" t="s">
        <v>467</v>
      </c>
      <c r="S116" s="231" t="s">
        <v>468</v>
      </c>
      <c r="T116" s="14" t="s">
        <v>469</v>
      </c>
      <c r="U116" s="14" t="s">
        <v>470</v>
      </c>
      <c r="V116" s="2" t="s">
        <v>471</v>
      </c>
      <c r="W116" t="s">
        <v>472</v>
      </c>
      <c r="X116" t="s">
        <v>472</v>
      </c>
      <c r="Y116" t="s">
        <v>463</v>
      </c>
      <c r="Z116" t="s">
        <v>412</v>
      </c>
    </row>
    <row r="117" spans="1:26" ht="28.2" customHeight="1">
      <c r="A117" s="480"/>
      <c r="B117" s="462" t="s">
        <v>473</v>
      </c>
      <c r="C117" s="509" t="s">
        <v>474</v>
      </c>
      <c r="D117" s="231"/>
      <c r="E117" s="200"/>
      <c r="F117" s="231"/>
      <c r="G117" s="231"/>
      <c r="H117" s="231"/>
      <c r="I117" s="231"/>
      <c r="J117" s="231"/>
      <c r="K117" s="231"/>
      <c r="L117" s="231"/>
      <c r="M117" s="231"/>
      <c r="N117" s="231"/>
      <c r="R117" s="242"/>
      <c r="S117" s="231" t="s">
        <v>475</v>
      </c>
      <c r="T117" s="14"/>
      <c r="U117" s="138" t="s">
        <v>474</v>
      </c>
      <c r="V117" s="2" t="s">
        <v>475</v>
      </c>
      <c r="W117" t="s">
        <v>474</v>
      </c>
      <c r="X117" t="s">
        <v>474</v>
      </c>
    </row>
    <row r="118" spans="1:26" ht="28.2" customHeight="1">
      <c r="A118" s="480"/>
      <c r="B118" s="470" t="s">
        <v>476</v>
      </c>
      <c r="C118" s="348"/>
      <c r="D118" s="200"/>
      <c r="E118" s="231"/>
      <c r="F118" s="200"/>
      <c r="G118" s="200"/>
      <c r="H118" s="200"/>
      <c r="I118" s="200"/>
      <c r="J118" s="200"/>
      <c r="K118" s="200"/>
      <c r="L118" s="200"/>
      <c r="M118" s="200"/>
      <c r="N118" s="200"/>
      <c r="O118" s="12" t="s">
        <v>477</v>
      </c>
      <c r="R118" s="234" t="s">
        <v>477</v>
      </c>
      <c r="S118" s="12"/>
      <c r="T118" s="14"/>
      <c r="U118" s="348"/>
      <c r="V118" s="347"/>
    </row>
    <row r="119" spans="1:26" ht="28.2" customHeight="1">
      <c r="B119" s="471" t="s">
        <v>478</v>
      </c>
      <c r="C119" s="349"/>
      <c r="D119" s="231"/>
      <c r="E119" s="200"/>
      <c r="F119" s="231"/>
      <c r="G119" s="231"/>
      <c r="H119" s="231"/>
      <c r="I119" s="231"/>
      <c r="J119" s="231"/>
      <c r="K119" s="231"/>
      <c r="L119" s="231"/>
      <c r="M119" s="231"/>
      <c r="N119" s="231"/>
      <c r="O119" s="12"/>
      <c r="R119" s="347"/>
    </row>
    <row r="120" spans="1:26" ht="28.2" customHeight="1">
      <c r="B120" s="470" t="s">
        <v>479</v>
      </c>
      <c r="C120" s="8"/>
      <c r="D120" s="200"/>
      <c r="E120" s="231"/>
      <c r="F120" s="200"/>
      <c r="G120" s="200"/>
      <c r="H120" s="200"/>
      <c r="I120" s="200"/>
      <c r="J120" s="200"/>
      <c r="K120" s="200"/>
      <c r="L120" s="200"/>
      <c r="M120" s="200"/>
      <c r="N120" s="200"/>
      <c r="O120" s="12"/>
      <c r="R120" s="347"/>
    </row>
    <row r="121" spans="1:26" ht="28.2" customHeight="1">
      <c r="B121" s="470" t="s">
        <v>480</v>
      </c>
      <c r="C121" s="508"/>
      <c r="D121" s="231"/>
      <c r="E121" s="200"/>
      <c r="F121" s="231"/>
      <c r="G121" s="231"/>
      <c r="H121" s="231"/>
      <c r="I121" s="231"/>
      <c r="J121" s="231"/>
      <c r="K121" s="231"/>
      <c r="L121" s="231"/>
      <c r="M121" s="231"/>
      <c r="N121" s="231"/>
      <c r="O121" s="12"/>
      <c r="R121" s="347"/>
      <c r="S121" s="364"/>
    </row>
    <row r="122" spans="1:26" ht="28.2" customHeight="1">
      <c r="B122" s="470" t="s">
        <v>481</v>
      </c>
      <c r="C122" s="138"/>
      <c r="D122" s="12"/>
      <c r="E122" s="200"/>
      <c r="F122" s="200"/>
      <c r="G122" s="200"/>
      <c r="H122" s="200"/>
      <c r="I122" s="200"/>
      <c r="J122" s="200"/>
      <c r="K122" s="200"/>
      <c r="L122" s="200"/>
      <c r="M122" s="200"/>
      <c r="N122" s="200"/>
      <c r="O122" s="12"/>
      <c r="S122" s="364"/>
    </row>
    <row r="123" spans="1:26" ht="28.2" customHeight="1">
      <c r="B123" s="470" t="s">
        <v>482</v>
      </c>
      <c r="C123" s="610"/>
      <c r="D123" s="231"/>
      <c r="E123" s="200"/>
      <c r="F123" s="231"/>
      <c r="G123" s="231"/>
      <c r="H123" s="231"/>
      <c r="I123" s="231"/>
      <c r="J123" s="231"/>
      <c r="K123" s="231"/>
      <c r="L123" s="231"/>
      <c r="M123" s="231"/>
      <c r="N123" s="231"/>
      <c r="O123" s="12"/>
    </row>
    <row r="124" spans="1:26" ht="28.2" customHeight="1">
      <c r="B124" s="470" t="s">
        <v>483</v>
      </c>
      <c r="C124" s="610"/>
      <c r="D124" s="200"/>
      <c r="E124" s="231"/>
      <c r="F124" s="200"/>
      <c r="G124" s="200"/>
      <c r="H124" s="200"/>
      <c r="I124" s="200"/>
      <c r="J124" s="200"/>
      <c r="K124" s="200"/>
      <c r="L124" s="200"/>
      <c r="M124" s="200"/>
      <c r="N124" s="200"/>
      <c r="O124" s="12"/>
    </row>
    <row r="125" spans="1:26" ht="28.2" customHeight="1">
      <c r="B125" s="470"/>
      <c r="C125" s="611"/>
      <c r="D125" s="231"/>
      <c r="E125" s="200"/>
      <c r="F125" s="231"/>
      <c r="G125" s="231"/>
      <c r="H125" s="231"/>
      <c r="I125" s="231"/>
      <c r="J125" s="231"/>
      <c r="K125" s="231"/>
      <c r="L125" s="231"/>
      <c r="M125" s="231"/>
      <c r="N125" s="231"/>
      <c r="O125" s="12"/>
      <c r="S125" s="354" t="s">
        <v>484</v>
      </c>
    </row>
    <row r="126" spans="1:26" ht="22.2" customHeight="1">
      <c r="A126" s="866" t="s">
        <v>208</v>
      </c>
      <c r="B126" s="348" t="s">
        <v>208</v>
      </c>
      <c r="C126" s="612" t="s">
        <v>485</v>
      </c>
      <c r="D126" s="231"/>
      <c r="E126" s="200"/>
      <c r="F126" s="231"/>
      <c r="G126" s="231"/>
      <c r="H126" s="231"/>
      <c r="I126" s="231"/>
      <c r="J126" s="231"/>
      <c r="K126" s="231"/>
      <c r="L126" s="231"/>
      <c r="M126" s="231"/>
      <c r="N126" s="231"/>
      <c r="S126" s="363"/>
    </row>
    <row r="127" spans="1:26" ht="22.2" customHeight="1">
      <c r="A127" s="866"/>
      <c r="B127" s="733" t="s">
        <v>486</v>
      </c>
      <c r="C127" s="25" t="str">
        <f>C1</f>
        <v>BROWNLEE, KEN</v>
      </c>
      <c r="D127" s="25"/>
      <c r="E127" s="283"/>
      <c r="F127" s="283"/>
      <c r="G127" s="283"/>
      <c r="H127" s="283"/>
      <c r="I127" s="283"/>
      <c r="J127" s="283"/>
      <c r="K127" s="283"/>
      <c r="L127" s="283"/>
      <c r="M127" s="283"/>
      <c r="N127" s="283"/>
      <c r="S127" s="363"/>
    </row>
    <row r="128" spans="1:26" ht="22.2" customHeight="1">
      <c r="A128" s="866"/>
      <c r="B128" s="43" t="s">
        <v>157</v>
      </c>
      <c r="C128" s="231" t="str">
        <f>C2</f>
        <v>3922 E 189 STR</v>
      </c>
      <c r="D128" s="25"/>
      <c r="E128" s="283"/>
      <c r="F128" s="283"/>
      <c r="G128" s="283"/>
      <c r="H128" s="283"/>
      <c r="I128" s="283"/>
      <c r="J128" s="283"/>
      <c r="K128" s="283"/>
      <c r="L128" s="283"/>
      <c r="M128" s="283"/>
      <c r="N128" s="283"/>
      <c r="S128" s="363"/>
    </row>
    <row r="129" spans="1:19" ht="22.2" customHeight="1">
      <c r="A129" s="866"/>
      <c r="B129" s="43" t="s">
        <v>162</v>
      </c>
      <c r="C129" s="231" t="str">
        <f>C3</f>
        <v>CLEVELAND, OH 44128</v>
      </c>
      <c r="D129" s="25"/>
      <c r="E129" s="283"/>
      <c r="F129" s="283"/>
      <c r="G129" s="283"/>
      <c r="H129" s="283"/>
      <c r="I129" s="283"/>
      <c r="J129" s="283"/>
      <c r="K129" s="283"/>
      <c r="L129" s="283"/>
      <c r="M129" s="283"/>
      <c r="N129" s="283"/>
      <c r="S129" s="363"/>
    </row>
    <row r="130" spans="1:19" ht="22.2" customHeight="1">
      <c r="A130" s="866"/>
      <c r="B130" s="43" t="s">
        <v>165</v>
      </c>
      <c r="C130" s="231" t="str">
        <f t="shared" ref="C130:C131" si="13">C4</f>
        <v>KHAIAKEN@SBCGLOBAL.NET</v>
      </c>
      <c r="D130" s="25"/>
      <c r="E130" s="283"/>
      <c r="F130" s="283"/>
      <c r="G130" s="283"/>
      <c r="H130" s="283"/>
      <c r="I130" s="283"/>
      <c r="J130" s="283"/>
      <c r="K130" s="283"/>
      <c r="L130" s="283"/>
      <c r="M130" s="283"/>
      <c r="N130" s="283"/>
      <c r="S130" s="363"/>
    </row>
    <row r="131" spans="1:19" ht="22.2" customHeight="1">
      <c r="A131" s="866"/>
      <c r="B131" s="43" t="s">
        <v>168</v>
      </c>
      <c r="C131" s="615">
        <f t="shared" si="13"/>
        <v>2163241337</v>
      </c>
      <c r="D131" s="25"/>
      <c r="E131" s="283"/>
      <c r="F131" s="283"/>
      <c r="G131" s="283"/>
      <c r="H131" s="283"/>
      <c r="I131" s="283"/>
      <c r="J131" s="283"/>
      <c r="K131" s="283"/>
      <c r="L131" s="283"/>
      <c r="M131" s="283"/>
      <c r="N131" s="283"/>
      <c r="S131" s="363"/>
    </row>
    <row r="132" spans="1:19" ht="22.2" customHeight="1">
      <c r="A132" s="866"/>
      <c r="B132" s="43" t="s">
        <v>177</v>
      </c>
      <c r="C132" s="231" t="str">
        <f>C11</f>
        <v>WATER</v>
      </c>
      <c r="D132" s="25"/>
      <c r="E132" s="283"/>
      <c r="F132" s="283"/>
      <c r="G132" s="283"/>
      <c r="H132" s="283"/>
      <c r="I132" s="283"/>
      <c r="J132" s="283"/>
      <c r="K132" s="283"/>
      <c r="L132" s="283"/>
      <c r="M132" s="283"/>
      <c r="N132" s="283"/>
    </row>
    <row r="133" spans="1:19" ht="22.2" customHeight="1">
      <c r="A133" s="866"/>
      <c r="B133" s="43" t="s">
        <v>184</v>
      </c>
      <c r="C133" s="613">
        <f>C12</f>
        <v>45986</v>
      </c>
      <c r="D133" s="25"/>
      <c r="E133" s="283"/>
      <c r="F133" s="283"/>
      <c r="G133" s="283"/>
      <c r="H133" s="283"/>
      <c r="I133" s="283"/>
      <c r="J133" s="283"/>
      <c r="K133" s="283"/>
      <c r="L133" s="283"/>
      <c r="M133" s="283"/>
      <c r="N133" s="283"/>
    </row>
    <row r="134" spans="1:19" ht="22.2" customHeight="1">
      <c r="A134" s="866"/>
      <c r="B134" s="43" t="s">
        <v>205</v>
      </c>
      <c r="C134" s="231" t="str">
        <f t="shared" ref="C134:C135" si="14">C11</f>
        <v>WATER</v>
      </c>
      <c r="D134" s="283"/>
      <c r="E134" s="283"/>
      <c r="F134" s="283"/>
      <c r="G134" s="283"/>
      <c r="H134" s="283"/>
      <c r="I134" s="283"/>
      <c r="J134" s="283"/>
      <c r="K134" s="283"/>
      <c r="L134" s="283"/>
      <c r="M134" s="283"/>
      <c r="N134" s="283"/>
      <c r="S134" s="362"/>
    </row>
    <row r="135" spans="1:19" ht="22.2" customHeight="1">
      <c r="A135" s="866"/>
      <c r="B135" s="43" t="s">
        <v>214</v>
      </c>
      <c r="C135" s="613">
        <f t="shared" si="14"/>
        <v>45986</v>
      </c>
      <c r="D135" s="283"/>
      <c r="E135" s="283"/>
      <c r="F135" s="283"/>
      <c r="G135" s="283"/>
      <c r="H135" s="283"/>
      <c r="I135" s="283"/>
      <c r="J135" s="283"/>
      <c r="K135" s="283"/>
      <c r="L135" s="283"/>
      <c r="M135" s="283"/>
      <c r="N135" s="283"/>
      <c r="S135" s="361"/>
    </row>
    <row r="136" spans="1:19" ht="22.2" customHeight="1">
      <c r="A136" s="866"/>
      <c r="B136" s="43" t="s">
        <v>220</v>
      </c>
      <c r="C136" s="613" t="s">
        <v>487</v>
      </c>
      <c r="D136" s="283"/>
      <c r="E136" s="283"/>
      <c r="F136" s="283"/>
      <c r="G136" s="283"/>
      <c r="H136" s="283"/>
      <c r="I136" s="283"/>
      <c r="J136" s="283"/>
      <c r="K136" s="283"/>
      <c r="L136" s="283"/>
      <c r="M136" s="283"/>
      <c r="N136" s="283"/>
      <c r="S136" s="16"/>
    </row>
    <row r="137" spans="1:19" ht="22.2" customHeight="1">
      <c r="A137" s="866"/>
      <c r="B137" s="43" t="s">
        <v>223</v>
      </c>
      <c r="C137" s="614"/>
      <c r="D137" s="283"/>
      <c r="E137" s="283"/>
      <c r="F137" s="283"/>
      <c r="G137" s="283"/>
      <c r="H137" s="283"/>
      <c r="I137" s="283"/>
      <c r="J137" s="283"/>
      <c r="K137" s="283"/>
      <c r="L137" s="283"/>
      <c r="M137" s="283"/>
      <c r="N137" s="283"/>
      <c r="S137" s="362"/>
    </row>
    <row r="138" spans="1:19" ht="22.2" customHeight="1">
      <c r="A138" s="866"/>
      <c r="B138" s="43" t="s">
        <v>226</v>
      </c>
      <c r="C138" s="614" t="str">
        <f t="shared" ref="C138:C143" si="15">C26</f>
        <v>ALLSTATE INS CO.</v>
      </c>
      <c r="D138" s="283"/>
      <c r="E138" s="283"/>
      <c r="F138" s="283"/>
      <c r="G138" s="283"/>
      <c r="H138" s="283"/>
      <c r="I138" s="283"/>
      <c r="J138" s="283"/>
      <c r="K138" s="283"/>
      <c r="L138" s="283"/>
      <c r="M138" s="283"/>
      <c r="N138" s="283"/>
      <c r="S138" s="362"/>
    </row>
    <row r="139" spans="1:19" ht="22.2" customHeight="1">
      <c r="A139" s="866"/>
      <c r="B139" s="43" t="s">
        <v>228</v>
      </c>
      <c r="C139" s="614" t="str">
        <f t="shared" si="15"/>
        <v>CLM</v>
      </c>
      <c r="D139" s="283"/>
      <c r="E139" s="283"/>
      <c r="F139" s="283"/>
      <c r="G139" s="283"/>
      <c r="H139" s="283"/>
      <c r="I139" s="283"/>
      <c r="J139" s="283"/>
      <c r="K139" s="283"/>
      <c r="L139" s="283"/>
      <c r="M139" s="283"/>
      <c r="N139" s="283"/>
      <c r="S139" s="361"/>
    </row>
    <row r="140" spans="1:19" ht="22.2" customHeight="1">
      <c r="A140" s="866"/>
      <c r="B140" s="43" t="s">
        <v>229</v>
      </c>
      <c r="C140" s="614" t="str">
        <f t="shared" si="15"/>
        <v>PL3\</v>
      </c>
      <c r="D140" s="283"/>
      <c r="E140" s="283"/>
      <c r="F140" s="283"/>
      <c r="G140" s="283"/>
      <c r="H140" s="283"/>
      <c r="I140" s="283"/>
      <c r="J140" s="283"/>
      <c r="K140" s="283"/>
      <c r="L140" s="283"/>
      <c r="M140" s="283"/>
      <c r="N140" s="283"/>
      <c r="S140" s="16"/>
    </row>
    <row r="141" spans="1:19" ht="22.2" customHeight="1">
      <c r="A141" s="866"/>
      <c r="B141" s="43" t="s">
        <v>231</v>
      </c>
      <c r="C141" s="614" t="str">
        <f t="shared" si="15"/>
        <v>claims@claims.allstate.com</v>
      </c>
      <c r="D141" s="283"/>
      <c r="E141" s="283"/>
      <c r="F141" s="283"/>
      <c r="G141" s="283"/>
      <c r="H141" s="283"/>
      <c r="I141" s="283"/>
      <c r="J141" s="283"/>
      <c r="K141" s="283"/>
      <c r="L141" s="283"/>
      <c r="M141" s="283"/>
      <c r="N141" s="283"/>
      <c r="S141" s="362"/>
    </row>
    <row r="142" spans="1:19" ht="22.2" customHeight="1">
      <c r="A142" s="866"/>
      <c r="B142" s="43" t="s">
        <v>233</v>
      </c>
      <c r="C142" s="614">
        <f t="shared" si="15"/>
        <v>0</v>
      </c>
      <c r="D142" s="283"/>
      <c r="E142" s="283"/>
      <c r="F142" s="283"/>
      <c r="G142" s="283"/>
      <c r="H142" s="283"/>
      <c r="I142" s="283"/>
      <c r="J142" s="283"/>
      <c r="K142" s="283"/>
      <c r="L142" s="283"/>
      <c r="M142" s="283"/>
      <c r="N142" s="283"/>
      <c r="S142" s="362"/>
    </row>
    <row r="143" spans="1:19" ht="22.2" customHeight="1">
      <c r="A143" s="866"/>
      <c r="B143" s="43"/>
      <c r="C143" s="614">
        <f t="shared" si="15"/>
        <v>0</v>
      </c>
      <c r="D143" s="283"/>
      <c r="E143" s="283"/>
      <c r="F143" s="283"/>
      <c r="G143" s="283"/>
      <c r="H143" s="283"/>
      <c r="I143" s="283"/>
      <c r="J143" s="283"/>
      <c r="K143" s="283"/>
      <c r="L143" s="283"/>
      <c r="M143" s="283"/>
      <c r="N143" s="283"/>
      <c r="S143" s="361"/>
    </row>
    <row r="144" spans="1:19" ht="22.2" customHeight="1">
      <c r="A144" s="866"/>
      <c r="B144" s="733"/>
      <c r="C144" s="614">
        <f>C33</f>
        <v>0</v>
      </c>
      <c r="D144" s="283"/>
      <c r="E144" s="283"/>
      <c r="F144" s="283"/>
      <c r="G144" s="283"/>
      <c r="H144" s="283"/>
      <c r="I144" s="283"/>
      <c r="J144" s="283"/>
      <c r="K144" s="283"/>
      <c r="L144" s="283"/>
      <c r="M144" s="283"/>
      <c r="N144" s="283"/>
      <c r="S144" s="16"/>
    </row>
    <row r="145" spans="1:19" ht="22.2" customHeight="1">
      <c r="A145" s="866"/>
      <c r="B145" s="43" t="s">
        <v>488</v>
      </c>
      <c r="C145" s="614" t="e">
        <f>#REF!</f>
        <v>#REF!</v>
      </c>
      <c r="D145" s="283"/>
      <c r="E145" s="283"/>
      <c r="F145" s="283"/>
      <c r="G145" s="283"/>
      <c r="H145" s="283"/>
      <c r="I145" s="283"/>
      <c r="J145" s="283"/>
      <c r="K145" s="283"/>
      <c r="L145" s="283"/>
      <c r="M145" s="283"/>
      <c r="N145" s="283"/>
      <c r="S145" s="362"/>
    </row>
    <row r="146" spans="1:19" ht="22.2" customHeight="1">
      <c r="A146" s="866"/>
      <c r="B146" s="43" t="s">
        <v>489</v>
      </c>
      <c r="C146" s="614" t="str">
        <f>C51</f>
        <v>OH25 BROWNLEE @E189</v>
      </c>
      <c r="D146" s="283"/>
      <c r="E146" s="283"/>
      <c r="F146" s="283"/>
      <c r="G146" s="283"/>
      <c r="H146" s="283"/>
      <c r="I146" s="283"/>
      <c r="J146" s="283"/>
      <c r="K146" s="283"/>
      <c r="L146" s="283"/>
      <c r="M146" s="283"/>
      <c r="N146" s="283"/>
      <c r="S146" s="362"/>
    </row>
    <row r="147" spans="1:19" ht="22.2" customHeight="1">
      <c r="A147" s="866"/>
      <c r="B147" s="231"/>
      <c r="C147" s="767" t="s">
        <v>490</v>
      </c>
      <c r="D147" s="283"/>
      <c r="E147" s="283"/>
      <c r="F147" s="283"/>
      <c r="G147" s="283"/>
      <c r="H147" s="283"/>
      <c r="I147" s="283"/>
      <c r="J147" s="283"/>
      <c r="K147" s="283"/>
      <c r="L147" s="283"/>
      <c r="M147" s="283"/>
      <c r="N147" s="283"/>
      <c r="S147" s="361"/>
    </row>
    <row r="148" spans="1:19" ht="22.2" customHeight="1">
      <c r="A148" s="866"/>
      <c r="B148" s="733" t="s">
        <v>491</v>
      </c>
      <c r="C148" s="614" t="s">
        <v>492</v>
      </c>
      <c r="D148" s="283"/>
      <c r="E148" s="283"/>
      <c r="F148" s="283"/>
      <c r="G148" s="283"/>
      <c r="H148" s="283"/>
      <c r="I148" s="283"/>
      <c r="J148" s="283"/>
      <c r="K148" s="283"/>
      <c r="L148" s="283"/>
      <c r="M148" s="283"/>
      <c r="N148" s="283"/>
      <c r="S148" s="16"/>
    </row>
    <row r="149" spans="1:19" ht="22.2" customHeight="1">
      <c r="A149" s="866"/>
      <c r="B149" s="43" t="s">
        <v>157</v>
      </c>
      <c r="C149" s="614" t="s">
        <v>493</v>
      </c>
      <c r="D149" s="283"/>
      <c r="E149" s="283"/>
      <c r="F149" s="283"/>
      <c r="G149" s="283"/>
      <c r="H149" s="283"/>
      <c r="I149" s="283"/>
      <c r="J149" s="283"/>
      <c r="K149" s="283"/>
      <c r="L149" s="283"/>
      <c r="M149" s="283"/>
      <c r="N149" s="283"/>
      <c r="S149" s="362"/>
    </row>
    <row r="150" spans="1:19" ht="22.2" customHeight="1">
      <c r="A150" s="866"/>
      <c r="B150" s="43" t="s">
        <v>162</v>
      </c>
      <c r="C150" s="231" t="s">
        <v>494</v>
      </c>
      <c r="D150" s="283"/>
      <c r="E150" s="283"/>
      <c r="F150" s="283"/>
      <c r="G150" s="283"/>
      <c r="H150" s="283"/>
      <c r="I150" s="283"/>
      <c r="J150" s="283"/>
      <c r="K150" s="283"/>
      <c r="L150" s="283"/>
      <c r="M150" s="283"/>
      <c r="N150" s="283"/>
      <c r="S150" s="362"/>
    </row>
    <row r="151" spans="1:19" ht="22.2" customHeight="1">
      <c r="A151" s="866"/>
      <c r="B151" s="43" t="s">
        <v>165</v>
      </c>
      <c r="C151" s="231" t="s">
        <v>487</v>
      </c>
      <c r="D151" s="283"/>
      <c r="E151" s="283"/>
      <c r="F151" s="283"/>
      <c r="G151" s="283"/>
      <c r="H151" s="283"/>
      <c r="I151" s="283"/>
      <c r="J151" s="283"/>
      <c r="K151" s="283"/>
      <c r="L151" s="283"/>
      <c r="M151" s="283"/>
      <c r="N151" s="283"/>
      <c r="S151" s="361"/>
    </row>
    <row r="152" spans="1:19" ht="22.2" customHeight="1">
      <c r="A152" s="866"/>
      <c r="B152" s="43" t="s">
        <v>168</v>
      </c>
      <c r="C152" s="231" t="s">
        <v>495</v>
      </c>
      <c r="D152" s="283"/>
      <c r="E152" s="283"/>
      <c r="F152" s="283"/>
      <c r="G152" s="283"/>
      <c r="H152" s="283"/>
      <c r="I152" s="283"/>
      <c r="J152" s="283"/>
      <c r="K152" s="283"/>
      <c r="L152" s="283"/>
      <c r="M152" s="283"/>
      <c r="N152" s="283"/>
      <c r="S152" s="16"/>
    </row>
    <row r="153" spans="1:19" ht="25.2" customHeight="1">
      <c r="A153" s="866"/>
      <c r="B153" s="43" t="s">
        <v>496</v>
      </c>
      <c r="C153" s="231"/>
      <c r="D153"/>
      <c r="E153" s="283"/>
      <c r="F153" s="283"/>
      <c r="G153" s="283"/>
      <c r="H153" s="283"/>
      <c r="I153" s="283"/>
      <c r="J153" s="283"/>
      <c r="K153" s="283"/>
      <c r="L153" s="283"/>
      <c r="M153" s="283"/>
      <c r="N153" s="283"/>
      <c r="S153" s="362"/>
    </row>
    <row r="154" spans="1:19" ht="25.2" customHeight="1">
      <c r="A154" s="866"/>
      <c r="B154" s="43" t="s">
        <v>497</v>
      </c>
      <c r="C154" s="768" t="s">
        <v>498</v>
      </c>
      <c r="D154"/>
      <c r="E154" s="283"/>
      <c r="F154" s="283"/>
      <c r="G154" s="283"/>
      <c r="H154" s="283"/>
      <c r="I154" s="283"/>
      <c r="J154" s="283"/>
      <c r="K154" s="283"/>
      <c r="L154" s="283"/>
      <c r="M154" s="283"/>
      <c r="N154" s="283"/>
      <c r="S154" s="362"/>
    </row>
    <row r="155" spans="1:19" ht="25.2" customHeight="1">
      <c r="A155" s="866"/>
      <c r="B155" s="43" t="s">
        <v>489</v>
      </c>
      <c r="C155" s="515" t="s">
        <v>499</v>
      </c>
      <c r="D155"/>
      <c r="E155" s="283"/>
      <c r="F155" s="283"/>
      <c r="G155" s="283"/>
      <c r="H155" s="283"/>
      <c r="I155" s="283"/>
      <c r="J155" s="283"/>
      <c r="K155" s="283"/>
      <c r="L155" s="283"/>
      <c r="M155" s="283"/>
      <c r="N155" s="283"/>
      <c r="S155" s="361"/>
    </row>
    <row r="156" spans="1:19" ht="22.2" customHeight="1">
      <c r="B156" s="244"/>
      <c r="C156" s="515" t="s">
        <v>500</v>
      </c>
      <c r="D156"/>
      <c r="E156" s="283"/>
      <c r="F156" s="283"/>
      <c r="G156" s="283"/>
      <c r="H156" s="283"/>
      <c r="I156" s="283"/>
      <c r="J156" s="283"/>
      <c r="K156" s="283"/>
      <c r="L156" s="283"/>
      <c r="M156" s="283"/>
      <c r="N156" s="283"/>
      <c r="S156" s="16"/>
    </row>
    <row r="157" spans="1:19" ht="22.2" customHeight="1">
      <c r="B157" s="29"/>
      <c r="C157" s="616" t="s">
        <v>501</v>
      </c>
      <c r="D157" s="283"/>
      <c r="E157" s="283"/>
      <c r="F157" s="283"/>
      <c r="G157" s="283"/>
      <c r="H157" s="283"/>
      <c r="I157" s="283"/>
      <c r="J157" s="283"/>
      <c r="K157" s="283"/>
      <c r="L157" s="283"/>
      <c r="M157" s="283"/>
      <c r="N157" s="283"/>
      <c r="S157" s="362"/>
    </row>
    <row r="158" spans="1:19" ht="22.2" customHeight="1">
      <c r="B158" s="29"/>
      <c r="C158" s="515" t="s">
        <v>502</v>
      </c>
      <c r="D158" s="283"/>
      <c r="E158" s="283"/>
      <c r="F158" s="283"/>
      <c r="G158" s="283"/>
      <c r="H158" s="283"/>
      <c r="I158" s="283"/>
      <c r="J158" s="283"/>
      <c r="K158" s="283"/>
      <c r="L158" s="283"/>
      <c r="M158" s="283"/>
      <c r="N158" s="283"/>
      <c r="S158" s="362"/>
    </row>
    <row r="159" spans="1:19" ht="22.2" customHeight="1">
      <c r="C159" s="515" t="s">
        <v>503</v>
      </c>
      <c r="D159" s="283"/>
      <c r="E159" s="283"/>
      <c r="F159" s="283"/>
      <c r="G159" s="283"/>
      <c r="H159" s="283"/>
      <c r="I159" s="283"/>
      <c r="J159" s="283"/>
      <c r="K159" s="283"/>
      <c r="L159" s="283"/>
      <c r="M159" s="283"/>
      <c r="N159" s="283"/>
    </row>
    <row r="160" spans="1:19" ht="22.2" customHeight="1">
      <c r="C160" s="617" t="s">
        <v>504</v>
      </c>
      <c r="D160" s="283"/>
      <c r="E160" s="283"/>
      <c r="F160" s="283"/>
      <c r="G160" s="283"/>
      <c r="H160" s="283"/>
      <c r="I160" s="283"/>
      <c r="J160" s="283"/>
      <c r="K160" s="283"/>
      <c r="L160" s="283"/>
      <c r="M160" s="283"/>
      <c r="N160" s="283"/>
    </row>
    <row r="161" spans="3:3" ht="22.2" customHeight="1">
      <c r="C161" s="231" t="s">
        <v>505</v>
      </c>
    </row>
    <row r="162" spans="3:3" ht="22.2" customHeight="1">
      <c r="C162" s="616" t="s">
        <v>501</v>
      </c>
    </row>
    <row r="163" spans="3:3" ht="22.2" customHeight="1">
      <c r="C163" s="569"/>
    </row>
    <row r="164" spans="3:3" ht="22.2" customHeight="1">
      <c r="C164" s="283"/>
    </row>
    <row r="165" spans="3:3" ht="22.2" customHeight="1">
      <c r="C165" s="283"/>
    </row>
    <row r="166" spans="3:3" ht="22.2" customHeight="1">
      <c r="C166" s="283"/>
    </row>
    <row r="167" spans="3:3" ht="22.2" customHeight="1">
      <c r="C167" s="283"/>
    </row>
    <row r="168" spans="3:3" ht="22.2" customHeight="1">
      <c r="C168" s="283"/>
    </row>
    <row r="169" spans="3:3" ht="22.2" customHeight="1">
      <c r="C169" s="283"/>
    </row>
    <row r="170" spans="3:3" ht="22.2" customHeight="1">
      <c r="C170" s="283"/>
    </row>
    <row r="171" spans="3:3" ht="22.2" customHeight="1">
      <c r="C171" s="2"/>
    </row>
    <row r="172" spans="3:3" ht="22.2" customHeight="1">
      <c r="C172" s="2"/>
    </row>
    <row r="173" spans="3:3" ht="22.2" customHeight="1">
      <c r="C173" s="2"/>
    </row>
    <row r="174" spans="3:3" ht="22.2" customHeight="1">
      <c r="C174" s="2"/>
    </row>
    <row r="175" spans="3:3" ht="22.2" customHeight="1">
      <c r="C175" s="138"/>
    </row>
    <row r="176" spans="3:3" ht="22.2" customHeight="1">
      <c r="C176" s="138"/>
    </row>
    <row r="177" spans="3:3" ht="22.2" customHeight="1">
      <c r="C177" s="138"/>
    </row>
    <row r="178" spans="3:3" ht="22.2" customHeight="1">
      <c r="C178" s="138"/>
    </row>
    <row r="179" spans="3:3" ht="22.2" customHeight="1">
      <c r="C179" s="138"/>
    </row>
    <row r="180" spans="3:3" ht="22.2" customHeight="1">
      <c r="C180" s="138"/>
    </row>
    <row r="181" spans="3:3" ht="22.2" customHeight="1">
      <c r="C181" s="138"/>
    </row>
    <row r="182" spans="3:3" ht="22.2" customHeight="1">
      <c r="C182" s="138"/>
    </row>
    <row r="183" spans="3:3" ht="22.2" customHeight="1">
      <c r="C183" s="138"/>
    </row>
    <row r="184" spans="3:3" ht="22.2" customHeight="1">
      <c r="C184" s="138"/>
    </row>
    <row r="185" spans="3:3" ht="22.2" customHeight="1">
      <c r="C185" s="138"/>
    </row>
    <row r="186" spans="3:3" ht="22.2" customHeight="1">
      <c r="C186" s="138"/>
    </row>
    <row r="187" spans="3:3" ht="22.2" customHeight="1">
      <c r="C187" s="138"/>
    </row>
    <row r="188" spans="3:3" ht="22.2" customHeight="1">
      <c r="C188" s="138"/>
    </row>
    <row r="189" spans="3:3" ht="22.2" customHeight="1">
      <c r="C189" s="138"/>
    </row>
    <row r="190" spans="3:3" ht="22.2" customHeight="1">
      <c r="C190" s="138"/>
    </row>
    <row r="191" spans="3:3" ht="22.2" customHeight="1">
      <c r="C191" s="138"/>
    </row>
    <row r="192" spans="3:3" ht="22.2" customHeight="1">
      <c r="C192" s="138"/>
    </row>
    <row r="193" spans="3:3" ht="22.2" customHeight="1">
      <c r="C193" s="138"/>
    </row>
    <row r="194" spans="3:3" ht="22.2" customHeight="1">
      <c r="C194" s="138"/>
    </row>
    <row r="195" spans="3:3" ht="22.2" customHeight="1">
      <c r="C195" s="138"/>
    </row>
    <row r="196" spans="3:3" ht="22.2" customHeight="1">
      <c r="C196" s="138"/>
    </row>
    <row r="197" spans="3:3" ht="22.2" customHeight="1">
      <c r="C197" s="138"/>
    </row>
    <row r="198" spans="3:3" ht="22.2" customHeight="1">
      <c r="C198" s="138"/>
    </row>
    <row r="199" spans="3:3" ht="22.2" customHeight="1">
      <c r="C199" s="138"/>
    </row>
    <row r="200" spans="3:3" ht="22.2" customHeight="1">
      <c r="C200" s="138"/>
    </row>
    <row r="201" spans="3:3" ht="22.2" customHeight="1">
      <c r="C201" s="138"/>
    </row>
    <row r="202" spans="3:3" ht="22.2" customHeight="1">
      <c r="C202" s="138"/>
    </row>
    <row r="203" spans="3:3" ht="22.2" customHeight="1">
      <c r="C203" s="138"/>
    </row>
    <row r="204" spans="3:3" ht="22.2" customHeight="1">
      <c r="C204" s="138"/>
    </row>
    <row r="205" spans="3:3" ht="22.2" customHeight="1">
      <c r="C205" s="138"/>
    </row>
    <row r="206" spans="3:3" ht="22.2" customHeight="1">
      <c r="C206" s="138"/>
    </row>
    <row r="207" spans="3:3" ht="22.2" customHeight="1">
      <c r="C207" s="138"/>
    </row>
    <row r="208" spans="3:3" ht="22.2" customHeight="1">
      <c r="C208" s="138"/>
    </row>
    <row r="209" spans="3:3" ht="22.2" customHeight="1">
      <c r="C209" s="138"/>
    </row>
    <row r="210" spans="3:3" ht="22.2" customHeight="1">
      <c r="C210" s="138"/>
    </row>
    <row r="211" spans="3:3" ht="22.2" customHeight="1">
      <c r="C211" s="138"/>
    </row>
    <row r="212" spans="3:3" ht="22.2" customHeight="1">
      <c r="C212" s="138"/>
    </row>
    <row r="213" spans="3:3" ht="22.2" customHeight="1">
      <c r="C213" s="138"/>
    </row>
    <row r="214" spans="3:3" ht="22.2" customHeight="1">
      <c r="C214" s="138"/>
    </row>
    <row r="215" spans="3:3" ht="22.2" customHeight="1">
      <c r="C215" s="138"/>
    </row>
    <row r="216" spans="3:3" ht="22.2" customHeight="1">
      <c r="C216" s="138"/>
    </row>
    <row r="217" spans="3:3" ht="22.2" customHeight="1">
      <c r="C217" s="138"/>
    </row>
    <row r="218" spans="3:3" ht="22.2" customHeight="1">
      <c r="C218" s="138"/>
    </row>
    <row r="219" spans="3:3" ht="22.2" customHeight="1">
      <c r="C219" s="138"/>
    </row>
    <row r="220" spans="3:3" ht="22.2" customHeight="1">
      <c r="C220" s="138"/>
    </row>
    <row r="221" spans="3:3" ht="22.2" customHeight="1">
      <c r="C221" s="138"/>
    </row>
    <row r="222" spans="3:3" ht="22.2" customHeight="1">
      <c r="C222" s="138"/>
    </row>
    <row r="223" spans="3:3" ht="22.2" customHeight="1">
      <c r="C223" s="138"/>
    </row>
    <row r="224" spans="3:3" ht="22.2" customHeight="1">
      <c r="C224" s="138"/>
    </row>
    <row r="225" spans="3:3" ht="22.2" customHeight="1">
      <c r="C225" s="138"/>
    </row>
    <row r="226" spans="3:3" ht="22.2" customHeight="1">
      <c r="C226" s="138"/>
    </row>
    <row r="227" spans="3:3" ht="22.2" customHeight="1">
      <c r="C227" s="138"/>
    </row>
    <row r="228" spans="3:3" ht="22.2" customHeight="1">
      <c r="C228" s="138"/>
    </row>
    <row r="229" spans="3:3" ht="22.2" customHeight="1">
      <c r="C229" s="138"/>
    </row>
  </sheetData>
  <mergeCells count="15">
    <mergeCell ref="A84:A93"/>
    <mergeCell ref="A126:A155"/>
    <mergeCell ref="V4:V7"/>
    <mergeCell ref="A11:A18"/>
    <mergeCell ref="R52:T52"/>
    <mergeCell ref="S53:U53"/>
    <mergeCell ref="S56:T56"/>
    <mergeCell ref="A1:A10"/>
    <mergeCell ref="O2:O10"/>
    <mergeCell ref="T4:T5"/>
    <mergeCell ref="U4:U5"/>
    <mergeCell ref="O78:O93"/>
    <mergeCell ref="A19:A22"/>
    <mergeCell ref="O26:O50"/>
    <mergeCell ref="A27:A49"/>
  </mergeCells>
  <hyperlinks>
    <hyperlink ref="R101" r:id="rId1" display="http://www.akbuilds.com/" xr:uid="{B16C0517-5AA3-48D6-98B3-CAA1C22763EB}"/>
    <hyperlink ref="R115" r:id="rId2" display="mailto:wsbjoe9@gmail.com" xr:uid="{94DE0ABB-873E-4F68-988F-EC5DF74EF0B3}"/>
    <hyperlink ref="C29" r:id="rId3" display="mailto:claims@claims.allstate.com" xr:uid="{70534C1C-77DF-475C-BDD4-B39AA3B12925}"/>
    <hyperlink ref="C4" r:id="rId4" xr:uid="{5A5DD0DE-98E1-49CE-B186-35705B4A6E05}"/>
  </hyperlinks>
  <printOptions gridLines="1"/>
  <pageMargins left="0.34" right="0.23" top="0.25" bottom="0.12" header="0.2" footer="0.21"/>
  <pageSetup orientation="portrait" r:id="rId5"/>
  <headerFooter>
    <oddFooter>&amp;L&amp;P&amp;C&amp;F&amp;R&amp;A</oddFooter>
  </headerFooter>
  <rowBreaks count="4" manualBreakCount="4">
    <brk id="25" max="5" man="1"/>
    <brk id="50" max="5" man="1"/>
    <brk id="72" min="2" max="9" man="1"/>
    <brk id="125"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343EE-509A-45C6-8EFF-31BEEE8798B8}">
  <sheetPr codeName="Sheet33"/>
  <dimension ref="A1:DH46"/>
  <sheetViews>
    <sheetView topLeftCell="AX1" zoomScaleNormal="100" zoomScaleSheetLayoutView="94" workbookViewId="0">
      <selection activeCell="AX3" sqref="AX3"/>
    </sheetView>
  </sheetViews>
  <sheetFormatPr defaultColWidth="8" defaultRowHeight="26.7" customHeight="1"/>
  <cols>
    <col min="1" max="1" width="8.69921875" style="240" customWidth="1"/>
    <col min="2" max="2" width="3.8984375" style="2" bestFit="1" customWidth="1"/>
    <col min="3" max="3" width="27.8984375" customWidth="1"/>
    <col min="4" max="4" width="0.8984375" customWidth="1"/>
    <col min="5" max="5" width="8.09765625" style="283" customWidth="1"/>
    <col min="6" max="6" width="0.69921875" style="283" customWidth="1"/>
    <col min="7" max="7" width="7.5" customWidth="1"/>
    <col min="8" max="8" width="3.8984375" bestFit="1" customWidth="1"/>
    <col min="9" max="9" width="14.69921875" customWidth="1"/>
    <col min="10" max="10" width="36.3984375" customWidth="1"/>
    <col min="11" max="11" width="7.8984375" style="618" customWidth="1"/>
    <col min="12" max="12" width="1" style="618" customWidth="1"/>
    <col min="13" max="13" width="7.19921875" style="244" customWidth="1"/>
    <col min="14" max="14" width="3.8984375" bestFit="1" customWidth="1"/>
    <col min="15" max="15" width="25" bestFit="1" customWidth="1"/>
    <col min="16" max="16" width="24.5" bestFit="1" customWidth="1"/>
    <col min="17" max="17" width="7.69921875" customWidth="1"/>
    <col min="18" max="18" width="1.19921875" customWidth="1"/>
    <col min="19" max="19" width="7.19921875" bestFit="1" customWidth="1"/>
    <col min="20" max="20" width="3.8984375" bestFit="1" customWidth="1"/>
    <col min="21" max="21" width="23.5" customWidth="1"/>
    <col min="22" max="22" width="15.59765625" customWidth="1"/>
    <col min="23" max="23" width="7.69921875" customWidth="1"/>
    <col min="24" max="24" width="1.19921875" customWidth="1"/>
    <col min="25" max="25" width="7.19921875" customWidth="1"/>
    <col min="26" max="26" width="3.8984375" bestFit="1" customWidth="1"/>
    <col min="27" max="27" width="21.69921875" customWidth="1"/>
    <col min="28" max="28" width="26.69921875" customWidth="1"/>
    <col min="29" max="29" width="7.69921875" style="431" customWidth="1"/>
    <col min="30" max="30" width="1" style="752" customWidth="1"/>
    <col min="31" max="31" width="7.59765625" style="431" customWidth="1"/>
    <col min="32" max="32" width="3.8984375" style="431" customWidth="1"/>
    <col min="33" max="33" width="21.69921875" style="431" customWidth="1"/>
    <col min="34" max="34" width="26.69921875" style="431" customWidth="1"/>
    <col min="35" max="35" width="7.69921875" style="431" customWidth="1"/>
    <col min="36" max="36" width="1" style="752" customWidth="1"/>
    <col min="37" max="37" width="7.19921875" bestFit="1" customWidth="1"/>
    <col min="38" max="38" width="0.8984375" customWidth="1"/>
    <col min="39" max="39" width="29.59765625" customWidth="1"/>
    <col min="40" max="40" width="36.5" bestFit="1" customWidth="1"/>
    <col min="41" max="41" width="7.69921875" customWidth="1"/>
    <col min="42" max="42" width="0.8984375" customWidth="1"/>
    <col min="43" max="43" width="7.69921875" customWidth="1"/>
    <col min="44" max="44" width="1.8984375" customWidth="1"/>
    <col min="45" max="45" width="17.69921875" customWidth="1"/>
    <col min="46" max="46" width="36.69921875" customWidth="1"/>
    <col min="47" max="47" width="7.69921875" customWidth="1"/>
    <col min="48" max="48" width="1.59765625" customWidth="1"/>
    <col min="49" max="49" width="12.69921875" customWidth="1"/>
    <col min="50" max="50" width="1.19921875" customWidth="1"/>
    <col min="51" max="54" width="12.69921875" customWidth="1"/>
    <col min="55" max="55" width="1.59765625" customWidth="1"/>
    <col min="56" max="56" width="6.69921875" style="244" customWidth="1"/>
    <col min="57" max="57" width="0.8984375" style="244" customWidth="1"/>
    <col min="58" max="58" width="24.69921875" customWidth="1"/>
    <col min="59" max="59" width="12.19921875" customWidth="1"/>
    <col min="60" max="60" width="18.59765625" bestFit="1" customWidth="1"/>
    <col min="61" max="61" width="7.59765625" customWidth="1"/>
    <col min="62" max="62" width="1.59765625" customWidth="1"/>
    <col min="63" max="63" width="6.8984375" customWidth="1"/>
    <col min="64" max="64" width="0.8984375" style="244" customWidth="1"/>
    <col min="65" max="65" width="25" bestFit="1" customWidth="1"/>
    <col min="66" max="66" width="25.3984375" bestFit="1" customWidth="1"/>
    <col min="67" max="67" width="8" customWidth="1"/>
    <col min="68" max="68" width="1.59765625" customWidth="1"/>
    <col min="69" max="69" width="6.8984375" customWidth="1"/>
    <col min="70" max="70" width="0.8984375" customWidth="1"/>
    <col min="71" max="71" width="24.69921875" style="244" customWidth="1"/>
    <col min="72" max="72" width="25.3984375" bestFit="1" customWidth="1"/>
    <col min="73" max="73" width="7.69921875" customWidth="1"/>
    <col min="74" max="74" width="1.3984375" customWidth="1"/>
    <col min="75" max="75" width="8.59765625" customWidth="1"/>
    <col min="76" max="76" width="0.8984375" customWidth="1"/>
    <col min="77" max="77" width="24.69921875" customWidth="1"/>
    <col min="78" max="78" width="28.19921875" customWidth="1"/>
    <col min="79" max="79" width="7.69921875" customWidth="1"/>
    <col min="80" max="80" width="1.69921875" customWidth="1"/>
    <col min="81" max="81" width="8.69921875" customWidth="1"/>
    <col min="82" max="82" width="40.69921875" customWidth="1"/>
    <col min="83" max="83" width="24.69921875" customWidth="1"/>
    <col min="84" max="84" width="12" customWidth="1"/>
    <col min="85" max="85" width="7.3984375" customWidth="1"/>
    <col min="86" max="86" width="12" customWidth="1"/>
    <col min="87" max="87" width="20.5" hidden="1" customWidth="1"/>
    <col min="88" max="88" width="9.09765625" customWidth="1"/>
    <col min="89" max="89" width="3" customWidth="1"/>
    <col min="90" max="90" width="29.19921875" customWidth="1"/>
    <col min="91" max="91" width="35.69921875" customWidth="1"/>
    <col min="92" max="92" width="0.8984375" customWidth="1"/>
    <col min="93" max="93" width="15.59765625" customWidth="1"/>
    <col min="94" max="94" width="8.19921875" style="7" customWidth="1"/>
    <col min="95" max="95" width="0.8984375" style="7" customWidth="1"/>
    <col min="96" max="96" width="17.5" customWidth="1"/>
    <col min="97" max="97" width="0.8984375" customWidth="1"/>
    <col min="98" max="98" width="11.59765625" customWidth="1"/>
    <col min="99" max="99" width="0.8984375" customWidth="1"/>
    <col min="100" max="100" width="37.19921875" customWidth="1"/>
    <col min="101" max="101" width="10.09765625" customWidth="1"/>
    <col min="102" max="102" width="16.69921875" customWidth="1"/>
    <col min="103" max="103" width="12" customWidth="1"/>
    <col min="106" max="106" width="24.09765625" bestFit="1" customWidth="1"/>
    <col min="107" max="107" width="35.09765625" bestFit="1" customWidth="1"/>
  </cols>
  <sheetData>
    <row r="1" spans="1:112" ht="26.7" customHeight="1">
      <c r="A1" s="626" t="s">
        <v>506</v>
      </c>
      <c r="C1" s="620" t="s">
        <v>507</v>
      </c>
      <c r="D1" s="620"/>
      <c r="E1" s="883" t="s">
        <v>508</v>
      </c>
      <c r="F1" s="753"/>
      <c r="G1" s="671" t="s">
        <v>509</v>
      </c>
      <c r="H1" s="672"/>
      <c r="I1" s="672" t="s">
        <v>510</v>
      </c>
      <c r="J1" s="672"/>
      <c r="K1" s="883" t="s">
        <v>508</v>
      </c>
      <c r="L1" s="753"/>
      <c r="M1" s="886" t="s">
        <v>511</v>
      </c>
      <c r="N1" s="886"/>
      <c r="O1" s="886"/>
      <c r="P1" s="886"/>
      <c r="Q1" s="883" t="s">
        <v>508</v>
      </c>
      <c r="R1" s="753"/>
      <c r="S1" s="886" t="s">
        <v>511</v>
      </c>
      <c r="T1" s="886"/>
      <c r="U1" s="886"/>
      <c r="V1" s="886"/>
      <c r="W1" s="883" t="s">
        <v>508</v>
      </c>
      <c r="X1" s="753"/>
      <c r="Y1" s="886" t="s">
        <v>511</v>
      </c>
      <c r="Z1" s="886"/>
      <c r="AA1" s="886"/>
      <c r="AB1" s="886"/>
      <c r="AC1" s="883" t="s">
        <v>508</v>
      </c>
      <c r="AD1" s="749"/>
      <c r="AE1" s="887" t="s">
        <v>512</v>
      </c>
      <c r="AF1" s="887"/>
      <c r="AG1" s="887"/>
      <c r="AH1" s="887"/>
      <c r="AI1" s="830" t="s">
        <v>508</v>
      </c>
      <c r="AJ1" s="749"/>
      <c r="AK1" s="885" t="s">
        <v>513</v>
      </c>
      <c r="AL1" s="885"/>
      <c r="AM1" s="885"/>
      <c r="AN1" s="885"/>
      <c r="AO1" s="883" t="s">
        <v>508</v>
      </c>
      <c r="AP1" s="753"/>
      <c r="AQ1" s="885" t="s">
        <v>514</v>
      </c>
      <c r="AR1" s="885"/>
      <c r="AS1" s="885"/>
      <c r="AT1" s="885"/>
      <c r="AU1" s="883" t="s">
        <v>508</v>
      </c>
      <c r="AV1" s="753"/>
      <c r="AW1" s="603" t="s">
        <v>515</v>
      </c>
      <c r="AX1" s="603"/>
      <c r="BA1" s="830"/>
      <c r="BB1" s="830"/>
      <c r="BC1" s="753"/>
      <c r="BD1" s="560" t="s">
        <v>516</v>
      </c>
      <c r="BE1" s="602"/>
      <c r="BF1" s="602"/>
      <c r="BG1" s="602"/>
      <c r="BH1" s="602"/>
      <c r="BI1" s="883" t="s">
        <v>508</v>
      </c>
      <c r="BJ1" s="753"/>
      <c r="BK1" s="560" t="s">
        <v>517</v>
      </c>
      <c r="BL1" s="560"/>
      <c r="BM1" s="601"/>
      <c r="BN1" s="601"/>
      <c r="BO1" s="883" t="s">
        <v>508</v>
      </c>
      <c r="BP1" s="753"/>
      <c r="BQ1" s="560" t="s">
        <v>518</v>
      </c>
      <c r="BR1" s="560"/>
      <c r="BS1" s="601"/>
      <c r="BT1" s="601"/>
      <c r="BU1" s="883" t="s">
        <v>508</v>
      </c>
      <c r="BV1" s="753"/>
      <c r="BW1" s="560" t="s">
        <v>519</v>
      </c>
      <c r="BX1" s="560"/>
      <c r="BY1" s="601"/>
      <c r="BZ1" s="601"/>
      <c r="CA1" s="883" t="s">
        <v>508</v>
      </c>
      <c r="CB1" s="753"/>
      <c r="CC1" s="602" t="s">
        <v>520</v>
      </c>
      <c r="CD1" s="602"/>
      <c r="CE1" s="602"/>
      <c r="CF1" s="602"/>
      <c r="CJ1" t="s">
        <v>521</v>
      </c>
      <c r="CL1" t="s">
        <v>522</v>
      </c>
      <c r="CM1" t="s">
        <v>523</v>
      </c>
      <c r="CN1" s="628"/>
      <c r="CO1" s="628"/>
      <c r="CW1" s="138"/>
      <c r="CX1" t="s">
        <v>524</v>
      </c>
      <c r="CY1" s="602"/>
      <c r="CZ1" s="602"/>
      <c r="DA1" s="602"/>
      <c r="DB1" s="602"/>
      <c r="DC1" s="602"/>
      <c r="DH1" s="560"/>
    </row>
    <row r="2" spans="1:112" ht="25.95" customHeight="1">
      <c r="A2" s="560" t="s">
        <v>525</v>
      </c>
      <c r="B2" s="733"/>
      <c r="E2" s="883"/>
      <c r="F2" s="753"/>
      <c r="G2" s="635" t="str">
        <f>A2</f>
        <v xml:space="preserve"> = … JOB/ROOMS OVERVIEW PICS ..</v>
      </c>
      <c r="H2" s="635"/>
      <c r="I2" s="560"/>
      <c r="J2" s="560"/>
      <c r="K2" s="883"/>
      <c r="L2" s="753"/>
      <c r="M2" s="636" t="s">
        <v>526</v>
      </c>
      <c r="N2" s="570"/>
      <c r="O2" s="571"/>
      <c r="P2" s="560"/>
      <c r="Q2" s="883"/>
      <c r="R2" s="753"/>
      <c r="S2" s="884" t="s">
        <v>527</v>
      </c>
      <c r="T2" s="884"/>
      <c r="U2" s="884"/>
      <c r="V2" s="884"/>
      <c r="W2" s="883"/>
      <c r="X2" s="753"/>
      <c r="Y2" s="573" t="s">
        <v>528</v>
      </c>
      <c r="Z2" s="573"/>
      <c r="AA2" s="573"/>
      <c r="AB2" s="574">
        <f>'ROOMS-out'!I1</f>
        <v>0</v>
      </c>
      <c r="AC2" s="883"/>
      <c r="AD2" s="749"/>
      <c r="AE2" s="431" t="s">
        <v>512</v>
      </c>
      <c r="AF2" s="674"/>
      <c r="AG2" s="667"/>
      <c r="AH2" s="830"/>
      <c r="AI2" s="830"/>
      <c r="AJ2" s="749"/>
      <c r="AK2" s="570">
        <f>'ROOMS-out'!K1</f>
        <v>0</v>
      </c>
      <c r="AL2" s="570"/>
      <c r="AM2" s="228"/>
      <c r="AN2" s="228"/>
      <c r="AO2" s="883"/>
      <c r="AP2" s="753"/>
      <c r="AQ2" s="570">
        <f>'ROOMS-out'!Q1</f>
        <v>0</v>
      </c>
      <c r="AR2" s="570"/>
      <c r="AS2" s="228"/>
      <c r="AT2" s="228"/>
      <c r="AU2" s="883"/>
      <c r="AV2" s="753"/>
      <c r="AW2" s="603" t="str">
        <f>AW1</f>
        <v>… DAY # 0  … MC READINGS STABILIZATION</v>
      </c>
      <c r="AX2" s="665"/>
      <c r="AZ2" s="665"/>
      <c r="BA2" s="830"/>
      <c r="BB2" s="830"/>
      <c r="BC2" s="753"/>
      <c r="BD2" s="603" t="s">
        <v>529</v>
      </c>
      <c r="BE2" s="603"/>
      <c r="BF2" s="832"/>
      <c r="BG2" s="832"/>
      <c r="BH2" s="832"/>
      <c r="BI2" s="883"/>
      <c r="BJ2" s="753"/>
      <c r="BK2" s="603" t="s">
        <v>530</v>
      </c>
      <c r="BL2" s="603"/>
      <c r="BM2" s="832"/>
      <c r="BN2" s="832"/>
      <c r="BO2" s="883"/>
      <c r="BP2" s="753"/>
      <c r="BQ2" s="603" t="s">
        <v>531</v>
      </c>
      <c r="BR2" s="603"/>
      <c r="BS2" s="832"/>
      <c r="BT2" s="832"/>
      <c r="BU2" s="883"/>
      <c r="BV2" s="753"/>
      <c r="BW2" s="603" t="s">
        <v>532</v>
      </c>
      <c r="BX2" s="603"/>
      <c r="BY2" s="832"/>
      <c r="BZ2" s="832"/>
      <c r="CA2" s="883"/>
      <c r="CB2" s="753"/>
      <c r="CC2" s="603" t="s">
        <v>533</v>
      </c>
      <c r="CD2" s="832"/>
      <c r="CE2" s="603"/>
      <c r="CF2" s="832"/>
      <c r="CJ2" s="138" t="s">
        <v>534</v>
      </c>
      <c r="CK2" s="138"/>
      <c r="CM2" s="629" t="s">
        <v>535</v>
      </c>
      <c r="CN2" s="628"/>
      <c r="CO2" s="628"/>
      <c r="CX2" t="s">
        <v>524</v>
      </c>
      <c r="CY2" s="832"/>
      <c r="CZ2" s="832"/>
      <c r="DA2" s="832"/>
      <c r="DB2" s="832"/>
      <c r="DC2" s="832"/>
      <c r="DH2" s="560"/>
    </row>
    <row r="3" spans="1:112" ht="26.7" customHeight="1">
      <c r="A3" s="484">
        <f>A4-1</f>
        <v>100</v>
      </c>
      <c r="B3" s="200" t="s">
        <v>536</v>
      </c>
      <c r="C3" s="631" t="str">
        <f>A2</f>
        <v xml:space="preserve"> = … JOB/ROOMS OVERVIEW PICS ..</v>
      </c>
      <c r="D3" s="668" t="s">
        <v>537</v>
      </c>
      <c r="E3" s="564" t="s">
        <v>538</v>
      </c>
      <c r="F3" s="754"/>
      <c r="G3" s="484">
        <f>A3</f>
        <v>100</v>
      </c>
      <c r="H3" s="200" t="str">
        <f>B3</f>
        <v>….</v>
      </c>
      <c r="I3" s="637" t="str">
        <f>G2</f>
        <v xml:space="preserve"> = … JOB/ROOMS OVERVIEW PICS ..</v>
      </c>
      <c r="J3" s="564"/>
      <c r="K3" s="564" t="s">
        <v>539</v>
      </c>
      <c r="L3" s="754"/>
      <c r="M3" s="484">
        <v>200</v>
      </c>
      <c r="N3" s="200" t="str">
        <f>H3</f>
        <v>….</v>
      </c>
      <c r="O3" s="637" t="str">
        <f>M2</f>
        <v>….. SOURCE of  LOSS PICS …..</v>
      </c>
      <c r="P3" s="564" t="s">
        <v>540</v>
      </c>
      <c r="Q3" s="564" t="s">
        <v>539</v>
      </c>
      <c r="R3" s="754"/>
      <c r="S3" s="484">
        <v>300</v>
      </c>
      <c r="T3" s="200" t="str">
        <f>N3</f>
        <v>….</v>
      </c>
      <c r="U3" s="638" t="str">
        <f>S2</f>
        <v>…..  C.P.S.  …...</v>
      </c>
      <c r="V3" s="564" t="s">
        <v>541</v>
      </c>
      <c r="W3" s="564" t="s">
        <v>539</v>
      </c>
      <c r="X3" s="754"/>
      <c r="Y3" s="484">
        <v>400</v>
      </c>
      <c r="Z3" s="200" t="str">
        <f t="shared" ref="Z3:Z28" si="0">T3</f>
        <v>….</v>
      </c>
      <c r="AA3" t="str">
        <f>Y2</f>
        <v>NON SALVAGEABLE ITEMS</v>
      </c>
      <c r="AB3" s="564" t="s">
        <v>542</v>
      </c>
      <c r="AD3" s="750"/>
      <c r="AE3" s="484">
        <v>500</v>
      </c>
      <c r="AF3" s="200" t="s">
        <v>536</v>
      </c>
      <c r="AG3" t="str">
        <f>AE2</f>
        <v>,,,,,, DMO = DEMOLITION …....</v>
      </c>
      <c r="AH3" s="564" t="s">
        <v>542</v>
      </c>
      <c r="AI3" s="138" t="s">
        <v>542</v>
      </c>
      <c r="AJ3" s="750"/>
      <c r="AK3" s="484">
        <v>600</v>
      </c>
      <c r="AL3" s="200" t="s">
        <v>543</v>
      </c>
      <c r="AM3" s="576" t="s">
        <v>544</v>
      </c>
      <c r="AO3" s="138" t="s">
        <v>542</v>
      </c>
      <c r="AP3" s="754"/>
      <c r="AQ3" s="484">
        <v>700</v>
      </c>
      <c r="AR3" s="200" t="s">
        <v>543</v>
      </c>
      <c r="AS3" s="576" t="str">
        <f>AQ1</f>
        <v>… HMR MITIGATION  EQUIPMENT &amp; W.I.P . ...</v>
      </c>
      <c r="AU3" s="138" t="s">
        <v>542</v>
      </c>
      <c r="AV3" s="754"/>
      <c r="AW3" s="7">
        <v>8000</v>
      </c>
      <c r="AX3" t="s">
        <v>545</v>
      </c>
      <c r="AY3" s="670" t="s">
        <v>546</v>
      </c>
      <c r="BA3" s="138"/>
      <c r="BB3" s="138"/>
      <c r="BC3" s="754"/>
      <c r="BD3" s="739">
        <v>8100</v>
      </c>
      <c r="BE3" s="200" t="s">
        <v>543</v>
      </c>
      <c r="BF3" t="str">
        <f>BD1</f>
        <v xml:space="preserve">  ...  DAY1    MC READINGS ..</v>
      </c>
      <c r="BG3" s="564" t="s">
        <v>547</v>
      </c>
      <c r="BH3" s="564" t="s">
        <v>548</v>
      </c>
      <c r="BI3" s="681" t="s">
        <v>549</v>
      </c>
      <c r="BJ3" s="754"/>
      <c r="BK3" s="604">
        <f>BD3+100</f>
        <v>8200</v>
      </c>
      <c r="BL3" s="200" t="s">
        <v>543</v>
      </c>
      <c r="BM3" t="str">
        <f>BK1</f>
        <v xml:space="preserve">  ...  DAY2    MC READINGS ..</v>
      </c>
      <c r="BN3" s="564" t="s">
        <v>548</v>
      </c>
      <c r="BO3" s="681" t="s">
        <v>539</v>
      </c>
      <c r="BP3" s="754"/>
      <c r="BQ3" s="604">
        <f>BK3+100</f>
        <v>8300</v>
      </c>
      <c r="BR3" s="200" t="s">
        <v>543</v>
      </c>
      <c r="BS3" t="str">
        <f>BQ2</f>
        <v xml:space="preserve">….. DAY 3 ….. </v>
      </c>
      <c r="BT3" s="564" t="s">
        <v>550</v>
      </c>
      <c r="BU3" s="681" t="s">
        <v>539</v>
      </c>
      <c r="BV3" s="754"/>
      <c r="BW3" s="604">
        <f>BQ3+100</f>
        <v>8400</v>
      </c>
      <c r="BX3" s="200" t="s">
        <v>543</v>
      </c>
      <c r="BY3" t="str">
        <f>BW2</f>
        <v xml:space="preserve">….. DAY 4 ….. </v>
      </c>
      <c r="BZ3" s="564" t="s">
        <v>548</v>
      </c>
      <c r="CA3" s="619" t="str">
        <f>$E$3</f>
        <v>=======</v>
      </c>
      <c r="CB3" s="754"/>
      <c r="CC3" s="632">
        <f>CC5-0.1</f>
        <v>9099.9</v>
      </c>
      <c r="CD3" s="2" t="str">
        <f>CC1</f>
        <v>RH &amp;T &amp; GPP  DRY CHAMBERS [DC] .READ INGS</v>
      </c>
      <c r="CE3" s="608"/>
      <c r="CF3" s="608" t="s">
        <v>551</v>
      </c>
      <c r="CJ3" s="651">
        <v>0</v>
      </c>
      <c r="CK3" t="s">
        <v>545</v>
      </c>
      <c r="CL3" t="s">
        <v>552</v>
      </c>
      <c r="CX3" t="str">
        <f t="shared" ref="CX3:CX28" si="1">C3</f>
        <v xml:space="preserve"> = … JOB/ROOMS OVERVIEW PICS ..</v>
      </c>
      <c r="CY3" s="564" t="s">
        <v>547</v>
      </c>
      <c r="DH3" s="563"/>
    </row>
    <row r="4" spans="1:112" ht="26.7" customHeight="1" thickBot="1">
      <c r="A4" s="484">
        <v>101</v>
      </c>
      <c r="B4" s="200" t="s">
        <v>536</v>
      </c>
      <c r="C4" s="138" t="str">
        <f>'jobinfo(2)'!C53</f>
        <v xml:space="preserve">Living Room, </v>
      </c>
      <c r="D4" s="668" t="s">
        <v>537</v>
      </c>
      <c r="E4" s="650" t="s">
        <v>553</v>
      </c>
      <c r="F4" s="755"/>
      <c r="G4" s="484">
        <f t="shared" ref="G4:G28" si="2">A4</f>
        <v>101</v>
      </c>
      <c r="H4" s="200" t="str">
        <f t="shared" ref="H4:H28" si="3">B4</f>
        <v>….</v>
      </c>
      <c r="I4" s="575" t="str">
        <f t="shared" ref="I4:I26" si="4">C4</f>
        <v xml:space="preserve">Living Room, </v>
      </c>
      <c r="J4" s="637" t="str">
        <f t="shared" ref="J4:J28" si="5">$G$2</f>
        <v xml:space="preserve"> = … JOB/ROOMS OVERVIEW PICS ..</v>
      </c>
      <c r="K4" s="619" t="str">
        <f>$E$4</f>
        <v>….........</v>
      </c>
      <c r="L4" s="755"/>
      <c r="M4" s="484">
        <f>M3+1</f>
        <v>201</v>
      </c>
      <c r="N4" s="200" t="str">
        <f t="shared" ref="N4:N28" si="6">H4</f>
        <v>….</v>
      </c>
      <c r="O4" s="530" t="str">
        <f t="shared" ref="O4:O28" si="7">I4</f>
        <v xml:space="preserve">Living Room, </v>
      </c>
      <c r="P4" s="637" t="str">
        <f t="shared" ref="P4:P28" si="8">$M$2</f>
        <v>….. SOURCE of  LOSS PICS …..</v>
      </c>
      <c r="Q4" s="619" t="str">
        <f>$E$4</f>
        <v>….........</v>
      </c>
      <c r="R4" s="755"/>
      <c r="S4" s="484">
        <f>S3+1</f>
        <v>301</v>
      </c>
      <c r="T4" s="200" t="str">
        <f t="shared" ref="T4:T28" si="9">N4</f>
        <v>….</v>
      </c>
      <c r="U4" s="530" t="str">
        <f>O4</f>
        <v xml:space="preserve">Living Room, </v>
      </c>
      <c r="V4" s="530" t="str">
        <f t="shared" ref="V4:V28" si="10">$S$2</f>
        <v>…..  C.P.S.  …...</v>
      </c>
      <c r="W4" s="619" t="str">
        <f>$E$4</f>
        <v>….........</v>
      </c>
      <c r="X4" s="755"/>
      <c r="Y4" s="484">
        <f>Y3+1</f>
        <v>401</v>
      </c>
      <c r="Z4" s="200" t="str">
        <f t="shared" si="0"/>
        <v>….</v>
      </c>
      <c r="AA4" s="530" t="str">
        <f t="shared" ref="AA4:AA28" si="11">U4</f>
        <v xml:space="preserve">Living Room, </v>
      </c>
      <c r="AB4" s="530" t="str">
        <f t="shared" ref="AB4:AB28" si="12">$Y$2</f>
        <v>NON SALVAGEABLE ITEMS</v>
      </c>
      <c r="AC4" s="619" t="str">
        <f>$E$4</f>
        <v>….........</v>
      </c>
      <c r="AD4" s="751"/>
      <c r="AE4" s="484">
        <f>AE3+1</f>
        <v>501</v>
      </c>
      <c r="AF4" s="200" t="s">
        <v>536</v>
      </c>
      <c r="AG4" s="530" t="str">
        <f t="shared" ref="AG4:AG28" si="13">AA4</f>
        <v xml:space="preserve">Living Room, </v>
      </c>
      <c r="AH4" s="530" t="str">
        <f>AG3</f>
        <v>,,,,,, DMO = DEMOLITION …....</v>
      </c>
      <c r="AI4" s="619" t="str">
        <f t="shared" ref="AI4:AI28" si="14">E4</f>
        <v>….........</v>
      </c>
      <c r="AJ4" s="751"/>
      <c r="AK4" s="484">
        <f>AK3+1</f>
        <v>601</v>
      </c>
      <c r="AL4" s="200" t="s">
        <v>543</v>
      </c>
      <c r="AM4" s="530" t="str">
        <f t="shared" ref="AM4:AM28" si="15">AA4</f>
        <v xml:space="preserve">Living Room, </v>
      </c>
      <c r="AN4" s="575" t="str">
        <f>AK1</f>
        <v>… WTR MITIGATION  EQUIPMENT &amp; W.I.P . ...</v>
      </c>
      <c r="AO4" s="619" t="str">
        <f>$E$4</f>
        <v>….........</v>
      </c>
      <c r="AP4" s="755"/>
      <c r="AQ4" s="484">
        <f>AQ3+1</f>
        <v>701</v>
      </c>
      <c r="AR4" s="200" t="s">
        <v>543</v>
      </c>
      <c r="AS4" s="530" t="str">
        <f t="shared" ref="AS4:AS28" si="16">AG4</f>
        <v xml:space="preserve">Living Room, </v>
      </c>
      <c r="AT4" s="575" t="str">
        <f>AQ1</f>
        <v>… HMR MITIGATION  EQUIPMENT &amp; W.I.P . ...</v>
      </c>
      <c r="AU4" s="619" t="str">
        <f>$E$4</f>
        <v>….........</v>
      </c>
      <c r="AV4" s="755"/>
      <c r="AW4" s="770">
        <f t="shared" ref="AW4:AW28" si="17">AW3+1</f>
        <v>8001</v>
      </c>
      <c r="AX4" s="200" t="s">
        <v>543</v>
      </c>
      <c r="AY4" s="663" t="str">
        <f t="shared" ref="AY4:AY28" si="18">C4</f>
        <v xml:space="preserve">Living Room, </v>
      </c>
      <c r="AZ4" s="662" t="str">
        <f>AW1</f>
        <v>… DAY # 0  … MC READINGS STABILIZATION</v>
      </c>
      <c r="BA4" s="769"/>
      <c r="BB4" s="769"/>
      <c r="BC4" s="755"/>
      <c r="BD4" s="381">
        <v>8101.1</v>
      </c>
      <c r="BE4" s="200" t="s">
        <v>543</v>
      </c>
      <c r="BF4" s="530" t="str">
        <f t="shared" ref="BF4:BF28" si="19">AM4</f>
        <v xml:space="preserve">Living Room, </v>
      </c>
      <c r="BG4" s="530" t="str">
        <f>BD1</f>
        <v xml:space="preserve">  ...  DAY1    MC READINGS ..</v>
      </c>
      <c r="BI4" s="619" t="str">
        <f>$E$4</f>
        <v>….........</v>
      </c>
      <c r="BJ4" s="755"/>
      <c r="BK4" s="739">
        <f>BK3+1.2</f>
        <v>8201.2000000000007</v>
      </c>
      <c r="BL4" s="200" t="s">
        <v>543</v>
      </c>
      <c r="BM4" s="530" t="str">
        <f>BF4</f>
        <v xml:space="preserve">Living Room, </v>
      </c>
      <c r="BN4" t="str">
        <f>BK1</f>
        <v xml:space="preserve">  ...  DAY2    MC READINGS ..</v>
      </c>
      <c r="BO4" s="619" t="str">
        <f>$E$4</f>
        <v>….........</v>
      </c>
      <c r="BP4" s="755"/>
      <c r="BQ4" s="739">
        <f>BQ3+1.3</f>
        <v>8301.2999999999993</v>
      </c>
      <c r="BR4" s="200" t="s">
        <v>543</v>
      </c>
      <c r="BS4" s="530" t="str">
        <f>BM4</f>
        <v xml:space="preserve">Living Room, </v>
      </c>
      <c r="BT4" t="str">
        <f>BQ1</f>
        <v xml:space="preserve">  ...  DAY3    MC READINGS ..</v>
      </c>
      <c r="BU4" s="619" t="str">
        <f>$E$4</f>
        <v>….........</v>
      </c>
      <c r="BV4" s="755"/>
      <c r="BW4" s="739">
        <f>BW3+1.4</f>
        <v>8401.4</v>
      </c>
      <c r="BX4" s="200" t="s">
        <v>543</v>
      </c>
      <c r="BY4" s="530" t="str">
        <f>BS4</f>
        <v xml:space="preserve">Living Room, </v>
      </c>
      <c r="BZ4" t="str">
        <f>BW1</f>
        <v xml:space="preserve">  ...  DAY4    MC READINGS </v>
      </c>
      <c r="CA4" s="619" t="str">
        <f>$E$4</f>
        <v>….........</v>
      </c>
      <c r="CB4" s="755"/>
      <c r="CC4" s="605">
        <v>9100</v>
      </c>
      <c r="CD4" s="602" t="s">
        <v>554</v>
      </c>
      <c r="CE4" s="605" t="str">
        <f>CC2</f>
        <v xml:space="preserve">….. DAY 1 ….. </v>
      </c>
      <c r="CF4" s="606"/>
      <c r="CJ4" s="651">
        <v>1E-4</v>
      </c>
      <c r="CK4" t="s">
        <v>545</v>
      </c>
      <c r="CL4" s="606" t="s">
        <v>555</v>
      </c>
      <c r="CW4" s="606"/>
      <c r="CX4" t="str">
        <f t="shared" si="1"/>
        <v xml:space="preserve">Living Room, </v>
      </c>
      <c r="CY4" t="str">
        <f t="shared" ref="CY4:CY28" si="20">E4</f>
        <v>….........</v>
      </c>
      <c r="DH4" s="565"/>
    </row>
    <row r="5" spans="1:112" ht="26.7" customHeight="1" thickTop="1" thickBot="1">
      <c r="A5" s="484">
        <v>102</v>
      </c>
      <c r="B5" s="200" t="s">
        <v>536</v>
      </c>
      <c r="C5" s="138" t="str">
        <f>'jobinfo(2)'!C54</f>
        <v>HALLWAY</v>
      </c>
      <c r="D5" s="668" t="s">
        <v>537</v>
      </c>
      <c r="E5" s="664" t="s">
        <v>556</v>
      </c>
      <c r="F5" s="755"/>
      <c r="G5" s="484">
        <f t="shared" si="2"/>
        <v>102</v>
      </c>
      <c r="H5" s="200" t="str">
        <f t="shared" si="3"/>
        <v>….</v>
      </c>
      <c r="I5" s="530" t="str">
        <f t="shared" si="4"/>
        <v>HALLWAY</v>
      </c>
      <c r="J5" s="530" t="str">
        <f t="shared" si="5"/>
        <v xml:space="preserve"> = … JOB/ROOMS OVERVIEW PICS ..</v>
      </c>
      <c r="K5" s="619" t="str">
        <f>$E$5</f>
        <v>…..........</v>
      </c>
      <c r="L5" s="755"/>
      <c r="M5" s="484">
        <f t="shared" ref="M5:M28" si="21">M4+1</f>
        <v>202</v>
      </c>
      <c r="N5" s="200" t="str">
        <f t="shared" si="6"/>
        <v>….</v>
      </c>
      <c r="O5" s="530" t="str">
        <f t="shared" si="7"/>
        <v>HALLWAY</v>
      </c>
      <c r="P5" s="530" t="str">
        <f t="shared" si="8"/>
        <v>….. SOURCE of  LOSS PICS …..</v>
      </c>
      <c r="Q5" s="619" t="str">
        <f>$E$5</f>
        <v>…..........</v>
      </c>
      <c r="R5" s="755"/>
      <c r="S5" s="484">
        <f t="shared" ref="S5:S28" si="22">S4+1</f>
        <v>302</v>
      </c>
      <c r="T5" s="200" t="str">
        <f t="shared" si="9"/>
        <v>….</v>
      </c>
      <c r="U5" s="530" t="str">
        <f t="shared" ref="U5:U28" si="23">O5</f>
        <v>HALLWAY</v>
      </c>
      <c r="V5" s="530" t="str">
        <f t="shared" si="10"/>
        <v>…..  C.P.S.  …...</v>
      </c>
      <c r="W5" s="619" t="str">
        <f>$E$5</f>
        <v>…..........</v>
      </c>
      <c r="X5" s="755"/>
      <c r="Y5" s="484">
        <f t="shared" ref="Y5:Y28" si="24">Y4+1</f>
        <v>402</v>
      </c>
      <c r="Z5" s="200" t="str">
        <f t="shared" si="0"/>
        <v>….</v>
      </c>
      <c r="AA5" s="530" t="str">
        <f t="shared" si="11"/>
        <v>HALLWAY</v>
      </c>
      <c r="AB5" s="530" t="str">
        <f t="shared" si="12"/>
        <v>NON SALVAGEABLE ITEMS</v>
      </c>
      <c r="AC5" s="619" t="str">
        <f>$E$5</f>
        <v>…..........</v>
      </c>
      <c r="AD5" s="751"/>
      <c r="AE5" s="484">
        <f t="shared" ref="AE5:AE28" si="25">AE4+1</f>
        <v>502</v>
      </c>
      <c r="AF5" s="200" t="s">
        <v>536</v>
      </c>
      <c r="AG5" s="530" t="str">
        <f t="shared" si="13"/>
        <v>HALLWAY</v>
      </c>
      <c r="AH5" s="619" t="str">
        <f>AH4</f>
        <v>,,,,,, DMO = DEMOLITION …....</v>
      </c>
      <c r="AI5" s="619" t="str">
        <f t="shared" si="14"/>
        <v>…..........</v>
      </c>
      <c r="AJ5" s="751"/>
      <c r="AK5" s="484">
        <f t="shared" ref="AK5:AK28" si="26">AK4+1</f>
        <v>602</v>
      </c>
      <c r="AL5" s="200" t="s">
        <v>543</v>
      </c>
      <c r="AM5" s="530" t="str">
        <f t="shared" si="15"/>
        <v>HALLWAY</v>
      </c>
      <c r="AN5" s="575" t="str">
        <f t="shared" ref="AN5:AN28" si="27">AN4</f>
        <v>… WTR MITIGATION  EQUIPMENT &amp; W.I.P . ...</v>
      </c>
      <c r="AO5" s="619" t="str">
        <f>$E$5</f>
        <v>…..........</v>
      </c>
      <c r="AP5" s="755"/>
      <c r="AQ5" s="484">
        <f t="shared" ref="AQ5:AQ28" si="28">AQ4+1</f>
        <v>702</v>
      </c>
      <c r="AR5" s="200" t="s">
        <v>543</v>
      </c>
      <c r="AS5" s="530" t="str">
        <f t="shared" si="16"/>
        <v>HALLWAY</v>
      </c>
      <c r="AT5" s="575" t="str">
        <f t="shared" ref="AT5:AT28" si="29">AT4</f>
        <v>… HMR MITIGATION  EQUIPMENT &amp; W.I.P . ...</v>
      </c>
      <c r="AU5" s="619" t="str">
        <f>$E$5</f>
        <v>…..........</v>
      </c>
      <c r="AV5" s="755"/>
      <c r="AW5" s="771">
        <f t="shared" si="17"/>
        <v>8002</v>
      </c>
      <c r="AX5" s="200" t="s">
        <v>543</v>
      </c>
      <c r="AY5" s="666" t="str">
        <f t="shared" si="18"/>
        <v>HALLWAY</v>
      </c>
      <c r="AZ5" s="662" t="str">
        <f t="shared" ref="AZ5:AZ28" si="30">AZ4</f>
        <v>… DAY # 0  … MC READINGS STABILIZATION</v>
      </c>
      <c r="BA5" s="769"/>
      <c r="BB5" s="769"/>
      <c r="BC5" s="755"/>
      <c r="BD5" s="381">
        <f>BD4+1</f>
        <v>8102.1</v>
      </c>
      <c r="BE5" s="200" t="s">
        <v>543</v>
      </c>
      <c r="BF5" s="530" t="str">
        <f t="shared" si="19"/>
        <v>HALLWAY</v>
      </c>
      <c r="BG5" s="530" t="str">
        <f>BG4</f>
        <v xml:space="preserve">  ...  DAY1    MC READINGS ..</v>
      </c>
      <c r="BI5" s="619" t="str">
        <f>$E$5</f>
        <v>…..........</v>
      </c>
      <c r="BJ5" s="755"/>
      <c r="BK5" s="739">
        <f>BK4+1</f>
        <v>8202.2000000000007</v>
      </c>
      <c r="BL5" s="200" t="s">
        <v>543</v>
      </c>
      <c r="BM5" s="530" t="str">
        <f t="shared" ref="BM5:BM28" si="31">BF5</f>
        <v>HALLWAY</v>
      </c>
      <c r="BN5" t="str">
        <f>BN4</f>
        <v xml:space="preserve">  ...  DAY2    MC READINGS ..</v>
      </c>
      <c r="BO5" s="619" t="str">
        <f>$E$5</f>
        <v>…..........</v>
      </c>
      <c r="BP5" s="755"/>
      <c r="BQ5" s="739">
        <f>BQ4+1</f>
        <v>8302.2999999999993</v>
      </c>
      <c r="BR5" s="200" t="s">
        <v>543</v>
      </c>
      <c r="BS5" s="530" t="str">
        <f t="shared" ref="BS5:BS28" si="32">BM5</f>
        <v>HALLWAY</v>
      </c>
      <c r="BT5" t="str">
        <f>BT4</f>
        <v xml:space="preserve">  ...  DAY3    MC READINGS ..</v>
      </c>
      <c r="BU5" s="619" t="str">
        <f>$E$5</f>
        <v>…..........</v>
      </c>
      <c r="BV5" s="755"/>
      <c r="BW5" s="244">
        <f>BW4+1</f>
        <v>8402.4</v>
      </c>
      <c r="BX5" s="200" t="s">
        <v>543</v>
      </c>
      <c r="BY5" s="530" t="str">
        <f t="shared" ref="BY5:BY28" si="33">BS5</f>
        <v>HALLWAY</v>
      </c>
      <c r="BZ5" t="str">
        <f>BZ4</f>
        <v xml:space="preserve">  ...  DAY4    MC READINGS </v>
      </c>
      <c r="CA5" s="619" t="str">
        <f>$E$5</f>
        <v>…..........</v>
      </c>
      <c r="CB5" s="755"/>
      <c r="CC5" s="605">
        <f>CC4</f>
        <v>9100</v>
      </c>
      <c r="CD5" s="606" t="s">
        <v>557</v>
      </c>
      <c r="CE5" s="735" t="str">
        <f>CC2</f>
        <v xml:space="preserve">….. DAY 1 ….. </v>
      </c>
      <c r="CF5" s="602" t="s">
        <v>558</v>
      </c>
      <c r="CJ5" s="651">
        <v>2.0000000000000001E-4</v>
      </c>
      <c r="CK5" s="200" t="s">
        <v>543</v>
      </c>
      <c r="CL5" t="s">
        <v>559</v>
      </c>
      <c r="CN5" t="s">
        <v>537</v>
      </c>
      <c r="CO5" s="138" t="s">
        <v>539</v>
      </c>
      <c r="CW5" s="606"/>
      <c r="CX5" t="str">
        <f t="shared" si="1"/>
        <v>HALLWAY</v>
      </c>
      <c r="CY5" t="str">
        <f t="shared" si="20"/>
        <v>…..........</v>
      </c>
      <c r="DH5" s="567"/>
    </row>
    <row r="6" spans="1:112" ht="26.7" customHeight="1" thickTop="1" thickBot="1">
      <c r="A6" s="484">
        <v>103</v>
      </c>
      <c r="B6" s="200" t="s">
        <v>536</v>
      </c>
      <c r="C6" s="138" t="str">
        <f>'jobinfo(2)'!C55</f>
        <v xml:space="preserve">Kitchen, </v>
      </c>
      <c r="D6" s="668" t="s">
        <v>537</v>
      </c>
      <c r="E6" s="650" t="s">
        <v>553</v>
      </c>
      <c r="F6" s="755"/>
      <c r="G6" s="484">
        <f t="shared" si="2"/>
        <v>103</v>
      </c>
      <c r="H6" s="200" t="str">
        <f t="shared" si="3"/>
        <v>….</v>
      </c>
      <c r="I6" s="530" t="str">
        <f t="shared" si="4"/>
        <v xml:space="preserve">Kitchen, </v>
      </c>
      <c r="J6" s="530" t="str">
        <f t="shared" si="5"/>
        <v xml:space="preserve"> = … JOB/ROOMS OVERVIEW PICS ..</v>
      </c>
      <c r="K6" s="619" t="str">
        <f>$E$6</f>
        <v>….........</v>
      </c>
      <c r="L6" s="755"/>
      <c r="M6" s="484">
        <f t="shared" si="21"/>
        <v>203</v>
      </c>
      <c r="N6" s="200" t="str">
        <f t="shared" si="6"/>
        <v>….</v>
      </c>
      <c r="O6" s="530" t="str">
        <f t="shared" si="7"/>
        <v xml:space="preserve">Kitchen, </v>
      </c>
      <c r="P6" s="530" t="str">
        <f t="shared" si="8"/>
        <v>….. SOURCE of  LOSS PICS …..</v>
      </c>
      <c r="Q6" s="619" t="str">
        <f>$E$6</f>
        <v>….........</v>
      </c>
      <c r="R6" s="755"/>
      <c r="S6" s="484">
        <f t="shared" si="22"/>
        <v>303</v>
      </c>
      <c r="T6" s="200" t="str">
        <f t="shared" si="9"/>
        <v>….</v>
      </c>
      <c r="U6" s="530" t="str">
        <f t="shared" si="23"/>
        <v xml:space="preserve">Kitchen, </v>
      </c>
      <c r="V6" s="530" t="str">
        <f t="shared" si="10"/>
        <v>…..  C.P.S.  …...</v>
      </c>
      <c r="W6" s="619" t="str">
        <f>$E$6</f>
        <v>….........</v>
      </c>
      <c r="X6" s="755"/>
      <c r="Y6" s="484">
        <f t="shared" si="24"/>
        <v>403</v>
      </c>
      <c r="Z6" s="200" t="str">
        <f t="shared" si="0"/>
        <v>….</v>
      </c>
      <c r="AA6" s="530" t="str">
        <f t="shared" si="11"/>
        <v xml:space="preserve">Kitchen, </v>
      </c>
      <c r="AB6" s="530" t="str">
        <f t="shared" si="12"/>
        <v>NON SALVAGEABLE ITEMS</v>
      </c>
      <c r="AC6" s="619" t="str">
        <f>$E$6</f>
        <v>….........</v>
      </c>
      <c r="AD6" s="751"/>
      <c r="AE6" s="484">
        <f t="shared" si="25"/>
        <v>503</v>
      </c>
      <c r="AF6" s="200" t="s">
        <v>536</v>
      </c>
      <c r="AG6" s="530" t="str">
        <f t="shared" si="13"/>
        <v xml:space="preserve">Kitchen, </v>
      </c>
      <c r="AH6" s="619" t="str">
        <f t="shared" ref="AH6:AH28" si="34">AH5</f>
        <v>,,,,,, DMO = DEMOLITION …....</v>
      </c>
      <c r="AI6" s="619" t="str">
        <f t="shared" si="14"/>
        <v>….........</v>
      </c>
      <c r="AJ6" s="751"/>
      <c r="AK6" s="484">
        <f t="shared" si="26"/>
        <v>603</v>
      </c>
      <c r="AL6" s="200" t="s">
        <v>543</v>
      </c>
      <c r="AM6" s="530" t="str">
        <f t="shared" si="15"/>
        <v xml:space="preserve">Kitchen, </v>
      </c>
      <c r="AN6" s="575" t="str">
        <f t="shared" si="27"/>
        <v>… WTR MITIGATION  EQUIPMENT &amp; W.I.P . ...</v>
      </c>
      <c r="AO6" s="619" t="str">
        <f>$E$6</f>
        <v>….........</v>
      </c>
      <c r="AP6" s="755"/>
      <c r="AQ6" s="484">
        <f t="shared" si="28"/>
        <v>703</v>
      </c>
      <c r="AR6" s="200" t="s">
        <v>543</v>
      </c>
      <c r="AS6" s="530" t="str">
        <f t="shared" si="16"/>
        <v xml:space="preserve">Kitchen, </v>
      </c>
      <c r="AT6" s="575" t="str">
        <f t="shared" si="29"/>
        <v>… HMR MITIGATION  EQUIPMENT &amp; W.I.P . ...</v>
      </c>
      <c r="AU6" s="619" t="str">
        <f>$E$6</f>
        <v>….........</v>
      </c>
      <c r="AV6" s="755"/>
      <c r="AW6" s="771">
        <f t="shared" si="17"/>
        <v>8003</v>
      </c>
      <c r="AX6" s="200" t="s">
        <v>543</v>
      </c>
      <c r="AY6" s="666" t="str">
        <f t="shared" si="18"/>
        <v xml:space="preserve">Kitchen, </v>
      </c>
      <c r="AZ6" s="662" t="str">
        <f t="shared" si="30"/>
        <v>… DAY # 0  … MC READINGS STABILIZATION</v>
      </c>
      <c r="BA6" s="769"/>
      <c r="BB6" s="769"/>
      <c r="BC6" s="755"/>
      <c r="BD6" s="381">
        <f t="shared" ref="BD6:BD28" si="35">BD5+1</f>
        <v>8103.1</v>
      </c>
      <c r="BE6" s="200" t="s">
        <v>543</v>
      </c>
      <c r="BF6" s="530" t="str">
        <f t="shared" si="19"/>
        <v xml:space="preserve">Kitchen, </v>
      </c>
      <c r="BG6" s="530" t="str">
        <f t="shared" ref="BG6:BG28" si="36">BG5</f>
        <v xml:space="preserve">  ...  DAY1    MC READINGS ..</v>
      </c>
      <c r="BI6" s="619" t="str">
        <f>$E$6</f>
        <v>….........</v>
      </c>
      <c r="BJ6" s="755"/>
      <c r="BK6" s="739">
        <f t="shared" ref="BK6:BK28" si="37">BK5+1</f>
        <v>8203.2000000000007</v>
      </c>
      <c r="BL6" s="200" t="s">
        <v>543</v>
      </c>
      <c r="BM6" s="530" t="str">
        <f t="shared" si="31"/>
        <v xml:space="preserve">Kitchen, </v>
      </c>
      <c r="BN6" t="str">
        <f t="shared" ref="BN6:BN24" si="38">BN5</f>
        <v xml:space="preserve">  ...  DAY2    MC READINGS ..</v>
      </c>
      <c r="BO6" s="619" t="str">
        <f>$E$6</f>
        <v>….........</v>
      </c>
      <c r="BP6" s="755"/>
      <c r="BQ6" s="739">
        <f t="shared" ref="BQ6:BQ28" si="39">BQ5+1</f>
        <v>8303.2999999999993</v>
      </c>
      <c r="BR6" s="200" t="s">
        <v>543</v>
      </c>
      <c r="BS6" s="530" t="str">
        <f t="shared" si="32"/>
        <v xml:space="preserve">Kitchen, </v>
      </c>
      <c r="BT6" t="str">
        <f t="shared" ref="BT6:BT28" si="40">BT5</f>
        <v xml:space="preserve">  ...  DAY3    MC READINGS ..</v>
      </c>
      <c r="BU6" s="619" t="str">
        <f>$E$6</f>
        <v>….........</v>
      </c>
      <c r="BV6" s="755"/>
      <c r="BW6" s="244">
        <f t="shared" ref="BW6:BW28" si="41">BW5+1</f>
        <v>8403.4</v>
      </c>
      <c r="BX6" s="200" t="s">
        <v>543</v>
      </c>
      <c r="BY6" s="530" t="str">
        <f t="shared" si="33"/>
        <v xml:space="preserve">Kitchen, </v>
      </c>
      <c r="BZ6" t="str">
        <f t="shared" ref="BZ6:BZ28" si="42">BZ5</f>
        <v xml:space="preserve">  ...  DAY4    MC READINGS </v>
      </c>
      <c r="CA6" s="619" t="str">
        <f>$E$6</f>
        <v>….........</v>
      </c>
      <c r="CB6" s="755"/>
      <c r="CC6" s="624">
        <f>CC5+1.1</f>
        <v>9101.1</v>
      </c>
      <c r="CD6" s="607" t="s">
        <v>560</v>
      </c>
      <c r="CE6" s="8" t="str">
        <f>CE5</f>
        <v xml:space="preserve">….. DAY 1 ….. </v>
      </c>
      <c r="CF6" s="602" t="s">
        <v>558</v>
      </c>
      <c r="CJ6" s="651">
        <v>2.9999999999999997E-4</v>
      </c>
      <c r="CK6" s="200" t="s">
        <v>543</v>
      </c>
      <c r="CL6" t="s">
        <v>561</v>
      </c>
      <c r="CM6" s="138"/>
      <c r="CN6" t="s">
        <v>537</v>
      </c>
      <c r="CO6" s="138" t="s">
        <v>539</v>
      </c>
      <c r="CW6" s="606"/>
      <c r="CX6" t="str">
        <f t="shared" si="1"/>
        <v xml:space="preserve">Kitchen, </v>
      </c>
      <c r="CY6" t="str">
        <f t="shared" si="20"/>
        <v>….........</v>
      </c>
      <c r="DH6" s="565"/>
    </row>
    <row r="7" spans="1:112" ht="26.7" customHeight="1" thickTop="1" thickBot="1">
      <c r="A7" s="484">
        <v>104</v>
      </c>
      <c r="B7" s="200" t="s">
        <v>536</v>
      </c>
      <c r="C7" s="138" t="str">
        <f>'jobinfo(2)'!C56</f>
        <v>DEN</v>
      </c>
      <c r="D7" s="668" t="s">
        <v>537</v>
      </c>
      <c r="E7" s="650" t="s">
        <v>553</v>
      </c>
      <c r="F7" s="755"/>
      <c r="G7" s="484">
        <f t="shared" si="2"/>
        <v>104</v>
      </c>
      <c r="H7" s="200" t="str">
        <f t="shared" si="3"/>
        <v>….</v>
      </c>
      <c r="I7" s="530" t="str">
        <f t="shared" si="4"/>
        <v>DEN</v>
      </c>
      <c r="J7" s="530" t="str">
        <f t="shared" si="5"/>
        <v xml:space="preserve"> = … JOB/ROOMS OVERVIEW PICS ..</v>
      </c>
      <c r="K7" s="619" t="str">
        <f>$E$7</f>
        <v>….........</v>
      </c>
      <c r="L7" s="755"/>
      <c r="M7" s="484">
        <f t="shared" si="21"/>
        <v>204</v>
      </c>
      <c r="N7" s="200" t="str">
        <f t="shared" si="6"/>
        <v>….</v>
      </c>
      <c r="O7" s="530" t="str">
        <f t="shared" si="7"/>
        <v>DEN</v>
      </c>
      <c r="P7" s="530" t="str">
        <f t="shared" si="8"/>
        <v>….. SOURCE of  LOSS PICS …..</v>
      </c>
      <c r="Q7" s="619" t="str">
        <f>$E$7</f>
        <v>….........</v>
      </c>
      <c r="R7" s="755"/>
      <c r="S7" s="484">
        <f t="shared" si="22"/>
        <v>304</v>
      </c>
      <c r="T7" s="200" t="str">
        <f t="shared" si="9"/>
        <v>….</v>
      </c>
      <c r="U7" s="530" t="str">
        <f t="shared" si="23"/>
        <v>DEN</v>
      </c>
      <c r="V7" s="530" t="str">
        <f t="shared" si="10"/>
        <v>…..  C.P.S.  …...</v>
      </c>
      <c r="W7" s="619" t="str">
        <f>$E$7</f>
        <v>….........</v>
      </c>
      <c r="X7" s="755"/>
      <c r="Y7" s="484">
        <f t="shared" si="24"/>
        <v>404</v>
      </c>
      <c r="Z7" s="200" t="str">
        <f t="shared" si="0"/>
        <v>….</v>
      </c>
      <c r="AA7" s="530" t="str">
        <f t="shared" si="11"/>
        <v>DEN</v>
      </c>
      <c r="AB7" s="530" t="str">
        <f t="shared" si="12"/>
        <v>NON SALVAGEABLE ITEMS</v>
      </c>
      <c r="AC7" s="619" t="str">
        <f>$E$7</f>
        <v>….........</v>
      </c>
      <c r="AD7" s="751"/>
      <c r="AE7" s="484">
        <f t="shared" si="25"/>
        <v>504</v>
      </c>
      <c r="AF7" s="200" t="s">
        <v>536</v>
      </c>
      <c r="AG7" s="530" t="str">
        <f t="shared" si="13"/>
        <v>DEN</v>
      </c>
      <c r="AH7" s="619" t="str">
        <f t="shared" si="34"/>
        <v>,,,,,, DMO = DEMOLITION …....</v>
      </c>
      <c r="AI7" s="619" t="str">
        <f t="shared" si="14"/>
        <v>….........</v>
      </c>
      <c r="AJ7" s="751"/>
      <c r="AK7" s="484">
        <f t="shared" si="26"/>
        <v>604</v>
      </c>
      <c r="AL7" s="200" t="s">
        <v>543</v>
      </c>
      <c r="AM7" s="530" t="str">
        <f t="shared" si="15"/>
        <v>DEN</v>
      </c>
      <c r="AN7" s="575" t="str">
        <f t="shared" si="27"/>
        <v>… WTR MITIGATION  EQUIPMENT &amp; W.I.P . ...</v>
      </c>
      <c r="AO7" s="619" t="str">
        <f>$E$7</f>
        <v>….........</v>
      </c>
      <c r="AP7" s="755"/>
      <c r="AQ7" s="484">
        <f t="shared" si="28"/>
        <v>704</v>
      </c>
      <c r="AR7" s="200" t="s">
        <v>543</v>
      </c>
      <c r="AS7" s="530" t="str">
        <f t="shared" si="16"/>
        <v>DEN</v>
      </c>
      <c r="AT7" s="575" t="str">
        <f t="shared" si="29"/>
        <v>… HMR MITIGATION  EQUIPMENT &amp; W.I.P . ...</v>
      </c>
      <c r="AU7" s="619" t="str">
        <f>$E$7</f>
        <v>….........</v>
      </c>
      <c r="AV7" s="755"/>
      <c r="AW7" s="771">
        <f t="shared" si="17"/>
        <v>8004</v>
      </c>
      <c r="AX7" s="200" t="s">
        <v>543</v>
      </c>
      <c r="AY7" s="666" t="str">
        <f t="shared" si="18"/>
        <v>DEN</v>
      </c>
      <c r="AZ7" s="662" t="str">
        <f t="shared" si="30"/>
        <v>… DAY # 0  … MC READINGS STABILIZATION</v>
      </c>
      <c r="BA7" s="769"/>
      <c r="BB7" s="769"/>
      <c r="BC7" s="755"/>
      <c r="BD7" s="381">
        <f t="shared" si="35"/>
        <v>8104.1</v>
      </c>
      <c r="BE7" s="200" t="s">
        <v>543</v>
      </c>
      <c r="BF7" s="530" t="str">
        <f t="shared" si="19"/>
        <v>DEN</v>
      </c>
      <c r="BG7" s="530" t="str">
        <f t="shared" si="36"/>
        <v xml:space="preserve">  ...  DAY1    MC READINGS ..</v>
      </c>
      <c r="BI7" s="619" t="str">
        <f>$E$7</f>
        <v>….........</v>
      </c>
      <c r="BJ7" s="755"/>
      <c r="BK7" s="739">
        <f t="shared" si="37"/>
        <v>8204.2000000000007</v>
      </c>
      <c r="BL7" s="200" t="s">
        <v>543</v>
      </c>
      <c r="BM7" s="530" t="str">
        <f t="shared" si="31"/>
        <v>DEN</v>
      </c>
      <c r="BN7" t="str">
        <f t="shared" si="38"/>
        <v xml:space="preserve">  ...  DAY2    MC READINGS ..</v>
      </c>
      <c r="BO7" s="619" t="str">
        <f>$E$7</f>
        <v>….........</v>
      </c>
      <c r="BP7" s="755"/>
      <c r="BQ7" s="739">
        <f t="shared" si="39"/>
        <v>8304.2999999999993</v>
      </c>
      <c r="BR7" s="200" t="s">
        <v>543</v>
      </c>
      <c r="BS7" s="530" t="str">
        <f t="shared" si="32"/>
        <v>DEN</v>
      </c>
      <c r="BT7" t="str">
        <f t="shared" si="40"/>
        <v xml:space="preserve">  ...  DAY3    MC READINGS ..</v>
      </c>
      <c r="BU7" s="619" t="str">
        <f>$E$7</f>
        <v>….........</v>
      </c>
      <c r="BV7" s="755"/>
      <c r="BW7" s="244">
        <f t="shared" si="41"/>
        <v>8404.4</v>
      </c>
      <c r="BX7" s="200" t="s">
        <v>543</v>
      </c>
      <c r="BY7" s="530" t="str">
        <f t="shared" si="33"/>
        <v>DEN</v>
      </c>
      <c r="BZ7" t="str">
        <f t="shared" si="42"/>
        <v xml:space="preserve">  ...  DAY4    MC READINGS </v>
      </c>
      <c r="CA7" s="619" t="str">
        <f>$E$7</f>
        <v>….........</v>
      </c>
      <c r="CB7" s="755"/>
      <c r="CC7" s="625">
        <f>CC6+1</f>
        <v>9102.1</v>
      </c>
      <c r="CD7" s="607" t="s">
        <v>562</v>
      </c>
      <c r="CE7" s="32" t="str">
        <f>CE6</f>
        <v xml:space="preserve">….. DAY 1 ….. </v>
      </c>
      <c r="CF7" s="602" t="s">
        <v>558</v>
      </c>
      <c r="CJ7" s="652">
        <v>4.0000000000000002E-4</v>
      </c>
      <c r="CK7" s="200" t="s">
        <v>543</v>
      </c>
      <c r="CL7" s="138" t="s">
        <v>563</v>
      </c>
      <c r="CM7" s="138" t="s">
        <v>564</v>
      </c>
      <c r="CN7" t="s">
        <v>537</v>
      </c>
      <c r="CO7" s="138" t="s">
        <v>539</v>
      </c>
      <c r="CW7" s="606"/>
      <c r="CX7" t="str">
        <f t="shared" si="1"/>
        <v>DEN</v>
      </c>
      <c r="CY7" t="str">
        <f t="shared" si="20"/>
        <v>….........</v>
      </c>
      <c r="DH7" s="567"/>
    </row>
    <row r="8" spans="1:112" ht="26.7" customHeight="1" thickTop="1" thickBot="1">
      <c r="A8" s="484">
        <v>105</v>
      </c>
      <c r="B8" s="200" t="s">
        <v>536</v>
      </c>
      <c r="C8" s="138" t="str">
        <f>'jobinfo(2)'!C57</f>
        <v>STAIRS UP</v>
      </c>
      <c r="D8" s="668" t="s">
        <v>537</v>
      </c>
      <c r="E8" s="650" t="s">
        <v>553</v>
      </c>
      <c r="F8" s="755"/>
      <c r="G8" s="484">
        <f t="shared" si="2"/>
        <v>105</v>
      </c>
      <c r="H8" s="200" t="str">
        <f t="shared" si="3"/>
        <v>….</v>
      </c>
      <c r="I8" s="530" t="str">
        <f t="shared" si="4"/>
        <v>STAIRS UP</v>
      </c>
      <c r="J8" s="530" t="str">
        <f t="shared" si="5"/>
        <v xml:space="preserve"> = … JOB/ROOMS OVERVIEW PICS ..</v>
      </c>
      <c r="K8" s="619" t="str">
        <f>$E$8</f>
        <v>….........</v>
      </c>
      <c r="L8" s="755"/>
      <c r="M8" s="484">
        <f t="shared" si="21"/>
        <v>205</v>
      </c>
      <c r="N8" s="200" t="str">
        <f t="shared" si="6"/>
        <v>….</v>
      </c>
      <c r="O8" s="530" t="str">
        <f t="shared" si="7"/>
        <v>STAIRS UP</v>
      </c>
      <c r="P8" s="530" t="str">
        <f t="shared" si="8"/>
        <v>….. SOURCE of  LOSS PICS …..</v>
      </c>
      <c r="Q8" s="619" t="str">
        <f>$E$8</f>
        <v>….........</v>
      </c>
      <c r="R8" s="755"/>
      <c r="S8" s="484">
        <f t="shared" si="22"/>
        <v>305</v>
      </c>
      <c r="T8" s="200" t="str">
        <f t="shared" si="9"/>
        <v>….</v>
      </c>
      <c r="U8" s="530" t="str">
        <f t="shared" si="23"/>
        <v>STAIRS UP</v>
      </c>
      <c r="V8" s="530" t="str">
        <f t="shared" si="10"/>
        <v>…..  C.P.S.  …...</v>
      </c>
      <c r="W8" s="619" t="str">
        <f>$E$8</f>
        <v>….........</v>
      </c>
      <c r="X8" s="755"/>
      <c r="Y8" s="484">
        <f t="shared" si="24"/>
        <v>405</v>
      </c>
      <c r="Z8" s="200" t="str">
        <f t="shared" si="0"/>
        <v>….</v>
      </c>
      <c r="AA8" s="530" t="str">
        <f t="shared" si="11"/>
        <v>STAIRS UP</v>
      </c>
      <c r="AB8" s="530" t="str">
        <f t="shared" si="12"/>
        <v>NON SALVAGEABLE ITEMS</v>
      </c>
      <c r="AC8" s="619" t="str">
        <f>$E$8</f>
        <v>….........</v>
      </c>
      <c r="AD8" s="751"/>
      <c r="AE8" s="484">
        <f t="shared" si="25"/>
        <v>505</v>
      </c>
      <c r="AF8" s="200" t="s">
        <v>536</v>
      </c>
      <c r="AG8" s="530" t="str">
        <f t="shared" si="13"/>
        <v>STAIRS UP</v>
      </c>
      <c r="AH8" s="619" t="str">
        <f t="shared" si="34"/>
        <v>,,,,,, DMO = DEMOLITION …....</v>
      </c>
      <c r="AI8" s="619" t="str">
        <f t="shared" si="14"/>
        <v>….........</v>
      </c>
      <c r="AJ8" s="751"/>
      <c r="AK8" s="484">
        <f t="shared" si="26"/>
        <v>605</v>
      </c>
      <c r="AL8" s="200" t="s">
        <v>543</v>
      </c>
      <c r="AM8" s="530" t="str">
        <f t="shared" si="15"/>
        <v>STAIRS UP</v>
      </c>
      <c r="AN8" s="575" t="str">
        <f t="shared" si="27"/>
        <v>… WTR MITIGATION  EQUIPMENT &amp; W.I.P . ...</v>
      </c>
      <c r="AO8" s="619" t="str">
        <f>$E$8</f>
        <v>….........</v>
      </c>
      <c r="AP8" s="755"/>
      <c r="AQ8" s="484">
        <f t="shared" si="28"/>
        <v>705</v>
      </c>
      <c r="AR8" s="200" t="s">
        <v>543</v>
      </c>
      <c r="AS8" s="530" t="str">
        <f t="shared" si="16"/>
        <v>STAIRS UP</v>
      </c>
      <c r="AT8" s="575" t="str">
        <f t="shared" si="29"/>
        <v>… HMR MITIGATION  EQUIPMENT &amp; W.I.P . ...</v>
      </c>
      <c r="AU8" s="619" t="str">
        <f>$E$8</f>
        <v>….........</v>
      </c>
      <c r="AV8" s="755"/>
      <c r="AW8" s="771">
        <f t="shared" si="17"/>
        <v>8005</v>
      </c>
      <c r="AX8" s="200" t="s">
        <v>543</v>
      </c>
      <c r="AY8" s="666" t="str">
        <f t="shared" si="18"/>
        <v>STAIRS UP</v>
      </c>
      <c r="AZ8" s="662" t="str">
        <f t="shared" si="30"/>
        <v>… DAY # 0  … MC READINGS STABILIZATION</v>
      </c>
      <c r="BA8" s="769"/>
      <c r="BB8" s="769"/>
      <c r="BC8" s="755"/>
      <c r="BD8" s="381">
        <f t="shared" si="35"/>
        <v>8105.1</v>
      </c>
      <c r="BE8" s="200" t="s">
        <v>543</v>
      </c>
      <c r="BF8" s="530" t="str">
        <f t="shared" si="19"/>
        <v>STAIRS UP</v>
      </c>
      <c r="BG8" s="530" t="str">
        <f t="shared" si="36"/>
        <v xml:space="preserve">  ...  DAY1    MC READINGS ..</v>
      </c>
      <c r="BI8" s="619" t="str">
        <f>$E$8</f>
        <v>….........</v>
      </c>
      <c r="BJ8" s="755"/>
      <c r="BK8" s="739">
        <f t="shared" si="37"/>
        <v>8205.2000000000007</v>
      </c>
      <c r="BL8" s="200" t="s">
        <v>543</v>
      </c>
      <c r="BM8" s="530" t="str">
        <f t="shared" si="31"/>
        <v>STAIRS UP</v>
      </c>
      <c r="BN8" t="str">
        <f t="shared" si="38"/>
        <v xml:space="preserve">  ...  DAY2    MC READINGS ..</v>
      </c>
      <c r="BO8" s="619" t="str">
        <f>$E$8</f>
        <v>….........</v>
      </c>
      <c r="BP8" s="755"/>
      <c r="BQ8" s="739">
        <f t="shared" si="39"/>
        <v>8305.2999999999993</v>
      </c>
      <c r="BR8" s="200" t="s">
        <v>543</v>
      </c>
      <c r="BS8" s="530" t="str">
        <f t="shared" si="32"/>
        <v>STAIRS UP</v>
      </c>
      <c r="BT8" t="str">
        <f t="shared" si="40"/>
        <v xml:space="preserve">  ...  DAY3    MC READINGS ..</v>
      </c>
      <c r="BU8" s="619" t="str">
        <f>$E$8</f>
        <v>….........</v>
      </c>
      <c r="BV8" s="755"/>
      <c r="BW8" s="244">
        <f t="shared" si="41"/>
        <v>8405.4</v>
      </c>
      <c r="BX8" s="200" t="s">
        <v>543</v>
      </c>
      <c r="BY8" s="530" t="str">
        <f t="shared" si="33"/>
        <v>STAIRS UP</v>
      </c>
      <c r="BZ8" t="str">
        <f t="shared" si="42"/>
        <v xml:space="preserve">  ...  DAY4    MC READINGS </v>
      </c>
      <c r="CA8" s="619" t="str">
        <f>$E$8</f>
        <v>….........</v>
      </c>
      <c r="CB8" s="755"/>
      <c r="CC8" s="624">
        <f>CC7+1</f>
        <v>9103.1</v>
      </c>
      <c r="CD8" s="607" t="s">
        <v>565</v>
      </c>
      <c r="CE8" s="32" t="str">
        <f>CE7</f>
        <v xml:space="preserve">….. DAY 1 ….. </v>
      </c>
      <c r="CF8" s="602" t="s">
        <v>558</v>
      </c>
      <c r="CJ8" s="177">
        <v>1997</v>
      </c>
      <c r="CK8" s="200" t="s">
        <v>543</v>
      </c>
      <c r="CL8" s="376" t="s">
        <v>566</v>
      </c>
      <c r="CM8" s="138" t="s">
        <v>567</v>
      </c>
      <c r="CN8" t="s">
        <v>537</v>
      </c>
      <c r="CO8" s="138" t="s">
        <v>539</v>
      </c>
      <c r="CW8" s="606"/>
      <c r="CX8" t="str">
        <f t="shared" si="1"/>
        <v>STAIRS UP</v>
      </c>
      <c r="CY8" t="str">
        <f t="shared" si="20"/>
        <v>….........</v>
      </c>
      <c r="DH8" s="565"/>
    </row>
    <row r="9" spans="1:112" ht="26.7" customHeight="1" thickTop="1" thickBot="1">
      <c r="A9" s="484">
        <v>106</v>
      </c>
      <c r="B9" s="200" t="s">
        <v>536</v>
      </c>
      <c r="C9" s="138" t="str">
        <f>'jobinfo(2)'!C58</f>
        <v>HALL UP</v>
      </c>
      <c r="D9" s="668" t="s">
        <v>537</v>
      </c>
      <c r="E9" s="664" t="s">
        <v>508</v>
      </c>
      <c r="F9" s="755"/>
      <c r="G9" s="484">
        <f t="shared" si="2"/>
        <v>106</v>
      </c>
      <c r="H9" s="200" t="str">
        <f t="shared" si="3"/>
        <v>….</v>
      </c>
      <c r="I9" s="530" t="str">
        <f t="shared" si="4"/>
        <v>HALL UP</v>
      </c>
      <c r="J9" s="530" t="str">
        <f t="shared" si="5"/>
        <v xml:space="preserve"> = … JOB/ROOMS OVERVIEW PICS ..</v>
      </c>
      <c r="K9" s="619" t="str">
        <f>$E$9</f>
        <v>LOS / TRAVEL</v>
      </c>
      <c r="L9" s="755"/>
      <c r="M9" s="484">
        <f t="shared" si="21"/>
        <v>206</v>
      </c>
      <c r="N9" s="200" t="str">
        <f t="shared" si="6"/>
        <v>….</v>
      </c>
      <c r="O9" s="530" t="str">
        <f t="shared" si="7"/>
        <v>HALL UP</v>
      </c>
      <c r="P9" s="530" t="str">
        <f t="shared" si="8"/>
        <v>….. SOURCE of  LOSS PICS …..</v>
      </c>
      <c r="Q9" s="619" t="str">
        <f>$E$9</f>
        <v>LOS / TRAVEL</v>
      </c>
      <c r="R9" s="755"/>
      <c r="S9" s="484">
        <f t="shared" si="22"/>
        <v>306</v>
      </c>
      <c r="T9" s="200" t="str">
        <f t="shared" si="9"/>
        <v>….</v>
      </c>
      <c r="U9" s="530" t="str">
        <f t="shared" si="23"/>
        <v>HALL UP</v>
      </c>
      <c r="V9" s="530" t="str">
        <f t="shared" si="10"/>
        <v>…..  C.P.S.  …...</v>
      </c>
      <c r="W9" s="619" t="str">
        <f>$E$9</f>
        <v>LOS / TRAVEL</v>
      </c>
      <c r="X9" s="755"/>
      <c r="Y9" s="484">
        <f t="shared" si="24"/>
        <v>406</v>
      </c>
      <c r="Z9" s="200" t="str">
        <f t="shared" si="0"/>
        <v>….</v>
      </c>
      <c r="AA9" s="530" t="str">
        <f t="shared" si="11"/>
        <v>HALL UP</v>
      </c>
      <c r="AB9" s="530" t="str">
        <f t="shared" si="12"/>
        <v>NON SALVAGEABLE ITEMS</v>
      </c>
      <c r="AC9" s="619" t="str">
        <f>$E$9</f>
        <v>LOS / TRAVEL</v>
      </c>
      <c r="AD9" s="751"/>
      <c r="AE9" s="484">
        <f t="shared" si="25"/>
        <v>506</v>
      </c>
      <c r="AF9" s="200" t="s">
        <v>536</v>
      </c>
      <c r="AG9" s="530" t="str">
        <f t="shared" si="13"/>
        <v>HALL UP</v>
      </c>
      <c r="AH9" s="619" t="str">
        <f t="shared" si="34"/>
        <v>,,,,,, DMO = DEMOLITION …....</v>
      </c>
      <c r="AI9" s="619" t="str">
        <f t="shared" si="14"/>
        <v>LOS / TRAVEL</v>
      </c>
      <c r="AJ9" s="751"/>
      <c r="AK9" s="484">
        <f t="shared" si="26"/>
        <v>606</v>
      </c>
      <c r="AL9" s="200" t="s">
        <v>543</v>
      </c>
      <c r="AM9" s="530" t="str">
        <f t="shared" si="15"/>
        <v>HALL UP</v>
      </c>
      <c r="AN9" s="575" t="str">
        <f t="shared" si="27"/>
        <v>… WTR MITIGATION  EQUIPMENT &amp; W.I.P . ...</v>
      </c>
      <c r="AO9" s="619" t="str">
        <f>$E$9</f>
        <v>LOS / TRAVEL</v>
      </c>
      <c r="AP9" s="755"/>
      <c r="AQ9" s="484">
        <f t="shared" si="28"/>
        <v>706</v>
      </c>
      <c r="AR9" s="200" t="s">
        <v>543</v>
      </c>
      <c r="AS9" s="530" t="str">
        <f t="shared" si="16"/>
        <v>HALL UP</v>
      </c>
      <c r="AT9" s="575" t="str">
        <f t="shared" si="29"/>
        <v>… HMR MITIGATION  EQUIPMENT &amp; W.I.P . ...</v>
      </c>
      <c r="AU9" s="619" t="str">
        <f>$E$9</f>
        <v>LOS / TRAVEL</v>
      </c>
      <c r="AV9" s="755"/>
      <c r="AW9" s="771">
        <f t="shared" si="17"/>
        <v>8006</v>
      </c>
      <c r="AX9" s="200" t="s">
        <v>543</v>
      </c>
      <c r="AY9" s="666" t="str">
        <f t="shared" si="18"/>
        <v>HALL UP</v>
      </c>
      <c r="AZ9" s="662" t="str">
        <f t="shared" si="30"/>
        <v>… DAY # 0  … MC READINGS STABILIZATION</v>
      </c>
      <c r="BA9" s="769"/>
      <c r="BB9" s="769"/>
      <c r="BC9" s="755"/>
      <c r="BD9" s="381">
        <f t="shared" si="35"/>
        <v>8106.1</v>
      </c>
      <c r="BE9" s="200" t="s">
        <v>543</v>
      </c>
      <c r="BF9" s="530" t="str">
        <f t="shared" si="19"/>
        <v>HALL UP</v>
      </c>
      <c r="BG9" s="530" t="str">
        <f t="shared" si="36"/>
        <v xml:space="preserve">  ...  DAY1    MC READINGS ..</v>
      </c>
      <c r="BI9" s="619" t="str">
        <f>$E$9</f>
        <v>LOS / TRAVEL</v>
      </c>
      <c r="BJ9" s="755"/>
      <c r="BK9" s="739">
        <f t="shared" si="37"/>
        <v>8206.2000000000007</v>
      </c>
      <c r="BL9" s="200" t="s">
        <v>543</v>
      </c>
      <c r="BM9" s="530" t="str">
        <f t="shared" si="31"/>
        <v>HALL UP</v>
      </c>
      <c r="BN9" t="str">
        <f t="shared" si="38"/>
        <v xml:space="preserve">  ...  DAY2    MC READINGS ..</v>
      </c>
      <c r="BO9" s="619" t="str">
        <f>$E$9</f>
        <v>LOS / TRAVEL</v>
      </c>
      <c r="BP9" s="755"/>
      <c r="BQ9" s="739">
        <f t="shared" si="39"/>
        <v>8306.2999999999993</v>
      </c>
      <c r="BR9" s="200" t="s">
        <v>543</v>
      </c>
      <c r="BS9" s="530" t="str">
        <f t="shared" si="32"/>
        <v>HALL UP</v>
      </c>
      <c r="BT9" t="str">
        <f t="shared" si="40"/>
        <v xml:space="preserve">  ...  DAY3    MC READINGS ..</v>
      </c>
      <c r="BU9" s="619" t="str">
        <f>$E$9</f>
        <v>LOS / TRAVEL</v>
      </c>
      <c r="BV9" s="755"/>
      <c r="BW9" s="244">
        <f t="shared" si="41"/>
        <v>8406.4</v>
      </c>
      <c r="BX9" s="200" t="s">
        <v>543</v>
      </c>
      <c r="BY9" s="530" t="str">
        <f t="shared" si="33"/>
        <v>HALL UP</v>
      </c>
      <c r="BZ9" t="str">
        <f t="shared" si="42"/>
        <v xml:space="preserve">  ...  DAY4    MC READINGS </v>
      </c>
      <c r="CA9" s="619" t="str">
        <f>$E$9</f>
        <v>LOS / TRAVEL</v>
      </c>
      <c r="CB9" s="755"/>
      <c r="CC9" s="625">
        <f>CC8+1</f>
        <v>9104.1</v>
      </c>
      <c r="CD9" s="607" t="s">
        <v>568</v>
      </c>
      <c r="CE9" s="32" t="str">
        <f>CE8</f>
        <v xml:space="preserve">….. DAY 1 ….. </v>
      </c>
      <c r="CF9" s="602" t="s">
        <v>558</v>
      </c>
      <c r="CJ9" s="177">
        <v>1998</v>
      </c>
      <c r="CK9" s="200" t="s">
        <v>543</v>
      </c>
      <c r="CL9" s="138" t="s">
        <v>534</v>
      </c>
      <c r="CM9" s="138" t="s">
        <v>569</v>
      </c>
      <c r="CN9" t="s">
        <v>537</v>
      </c>
      <c r="CO9" s="138" t="s">
        <v>539</v>
      </c>
      <c r="CW9" s="606"/>
      <c r="CX9" t="str">
        <f t="shared" si="1"/>
        <v>HALL UP</v>
      </c>
      <c r="CY9" t="str">
        <f t="shared" si="20"/>
        <v>LOS / TRAVEL</v>
      </c>
      <c r="DH9" s="567"/>
    </row>
    <row r="10" spans="1:112" ht="26.7" customHeight="1" thickTop="1" thickBot="1">
      <c r="A10" s="484">
        <v>107</v>
      </c>
      <c r="B10" s="200" t="s">
        <v>536</v>
      </c>
      <c r="C10" s="138" t="str">
        <f>'jobinfo(2)'!C59</f>
        <v>PBR UP</v>
      </c>
      <c r="D10" s="668" t="s">
        <v>537</v>
      </c>
      <c r="E10" s="650" t="s">
        <v>553</v>
      </c>
      <c r="F10" s="755"/>
      <c r="G10" s="484">
        <f t="shared" si="2"/>
        <v>107</v>
      </c>
      <c r="H10" s="200" t="str">
        <f t="shared" si="3"/>
        <v>….</v>
      </c>
      <c r="I10" s="575" t="str">
        <f t="shared" si="4"/>
        <v>PBR UP</v>
      </c>
      <c r="J10" s="530" t="str">
        <f t="shared" si="5"/>
        <v xml:space="preserve"> = … JOB/ROOMS OVERVIEW PICS ..</v>
      </c>
      <c r="K10" s="619" t="str">
        <f>$E$10</f>
        <v>….........</v>
      </c>
      <c r="L10" s="755"/>
      <c r="M10" s="484">
        <f t="shared" si="21"/>
        <v>207</v>
      </c>
      <c r="N10" s="200" t="str">
        <f t="shared" si="6"/>
        <v>….</v>
      </c>
      <c r="O10" s="530" t="str">
        <f t="shared" si="7"/>
        <v>PBR UP</v>
      </c>
      <c r="P10" s="530" t="str">
        <f t="shared" si="8"/>
        <v>….. SOURCE of  LOSS PICS …..</v>
      </c>
      <c r="Q10" s="619" t="str">
        <f>$E$10</f>
        <v>….........</v>
      </c>
      <c r="R10" s="755"/>
      <c r="S10" s="484">
        <f t="shared" si="22"/>
        <v>307</v>
      </c>
      <c r="T10" s="200" t="str">
        <f t="shared" si="9"/>
        <v>….</v>
      </c>
      <c r="U10" s="530" t="str">
        <f t="shared" si="23"/>
        <v>PBR UP</v>
      </c>
      <c r="V10" s="530" t="str">
        <f t="shared" si="10"/>
        <v>…..  C.P.S.  …...</v>
      </c>
      <c r="W10" s="619" t="str">
        <f>$E$10</f>
        <v>….........</v>
      </c>
      <c r="X10" s="755"/>
      <c r="Y10" s="484">
        <f t="shared" si="24"/>
        <v>407</v>
      </c>
      <c r="Z10" s="200" t="str">
        <f t="shared" si="0"/>
        <v>….</v>
      </c>
      <c r="AA10" s="530" t="str">
        <f t="shared" si="11"/>
        <v>PBR UP</v>
      </c>
      <c r="AB10" s="530" t="str">
        <f t="shared" si="12"/>
        <v>NON SALVAGEABLE ITEMS</v>
      </c>
      <c r="AC10" s="619" t="str">
        <f>$E$10</f>
        <v>….........</v>
      </c>
      <c r="AD10" s="751"/>
      <c r="AE10" s="484">
        <f t="shared" si="25"/>
        <v>507</v>
      </c>
      <c r="AF10" s="200" t="s">
        <v>536</v>
      </c>
      <c r="AG10" s="530" t="str">
        <f t="shared" si="13"/>
        <v>PBR UP</v>
      </c>
      <c r="AH10" s="619" t="str">
        <f t="shared" si="34"/>
        <v>,,,,,, DMO = DEMOLITION …....</v>
      </c>
      <c r="AI10" s="619" t="str">
        <f t="shared" si="14"/>
        <v>….........</v>
      </c>
      <c r="AJ10" s="751"/>
      <c r="AK10" s="484">
        <f t="shared" si="26"/>
        <v>607</v>
      </c>
      <c r="AL10" s="200" t="s">
        <v>543</v>
      </c>
      <c r="AM10" s="530" t="str">
        <f t="shared" si="15"/>
        <v>PBR UP</v>
      </c>
      <c r="AN10" s="575" t="str">
        <f t="shared" si="27"/>
        <v>… WTR MITIGATION  EQUIPMENT &amp; W.I.P . ...</v>
      </c>
      <c r="AO10" s="619" t="str">
        <f>$E$10</f>
        <v>….........</v>
      </c>
      <c r="AP10" s="755"/>
      <c r="AQ10" s="484">
        <f t="shared" si="28"/>
        <v>707</v>
      </c>
      <c r="AR10" s="200" t="s">
        <v>543</v>
      </c>
      <c r="AS10" s="530" t="str">
        <f t="shared" si="16"/>
        <v>PBR UP</v>
      </c>
      <c r="AT10" s="575" t="str">
        <f t="shared" si="29"/>
        <v>… HMR MITIGATION  EQUIPMENT &amp; W.I.P . ...</v>
      </c>
      <c r="AU10" s="619" t="str">
        <f>$E$10</f>
        <v>….........</v>
      </c>
      <c r="AV10" s="755"/>
      <c r="AW10" s="771">
        <f t="shared" si="17"/>
        <v>8007</v>
      </c>
      <c r="AX10" s="200" t="s">
        <v>543</v>
      </c>
      <c r="AY10" s="666" t="str">
        <f t="shared" si="18"/>
        <v>PBR UP</v>
      </c>
      <c r="AZ10" s="662" t="str">
        <f t="shared" si="30"/>
        <v>… DAY # 0  … MC READINGS STABILIZATION</v>
      </c>
      <c r="BA10" s="769"/>
      <c r="BB10" s="769"/>
      <c r="BC10" s="755"/>
      <c r="BD10" s="381">
        <f t="shared" si="35"/>
        <v>8107.1</v>
      </c>
      <c r="BE10" s="200" t="s">
        <v>543</v>
      </c>
      <c r="BF10" s="530" t="str">
        <f t="shared" si="19"/>
        <v>PBR UP</v>
      </c>
      <c r="BG10" s="530" t="str">
        <f t="shared" si="36"/>
        <v xml:space="preserve">  ...  DAY1    MC READINGS ..</v>
      </c>
      <c r="BI10" s="619" t="str">
        <f>$E$10</f>
        <v>….........</v>
      </c>
      <c r="BJ10" s="755"/>
      <c r="BK10" s="739">
        <f t="shared" si="37"/>
        <v>8207.2000000000007</v>
      </c>
      <c r="BL10" s="200" t="s">
        <v>543</v>
      </c>
      <c r="BM10" s="530" t="str">
        <f t="shared" si="31"/>
        <v>PBR UP</v>
      </c>
      <c r="BN10" t="str">
        <f t="shared" si="38"/>
        <v xml:space="preserve">  ...  DAY2    MC READINGS ..</v>
      </c>
      <c r="BO10" s="619" t="str">
        <f>$E$10</f>
        <v>….........</v>
      </c>
      <c r="BP10" s="755"/>
      <c r="BQ10" s="739">
        <f t="shared" si="39"/>
        <v>8307.2999999999993</v>
      </c>
      <c r="BR10" s="200" t="s">
        <v>543</v>
      </c>
      <c r="BS10" s="530" t="str">
        <f t="shared" si="32"/>
        <v>PBR UP</v>
      </c>
      <c r="BT10" t="str">
        <f t="shared" si="40"/>
        <v xml:space="preserve">  ...  DAY3    MC READINGS ..</v>
      </c>
      <c r="BU10" s="619" t="str">
        <f>$E$10</f>
        <v>….........</v>
      </c>
      <c r="BV10" s="755"/>
      <c r="BW10" s="244">
        <f t="shared" si="41"/>
        <v>8407.4</v>
      </c>
      <c r="BX10" s="200" t="s">
        <v>543</v>
      </c>
      <c r="BY10" s="530" t="str">
        <f t="shared" si="33"/>
        <v>PBR UP</v>
      </c>
      <c r="BZ10" t="str">
        <f t="shared" si="42"/>
        <v xml:space="preserve">  ...  DAY4    MC READINGS </v>
      </c>
      <c r="CA10" s="619" t="str">
        <f>$E$10</f>
        <v>….........</v>
      </c>
      <c r="CB10" s="755"/>
      <c r="CC10" s="624">
        <f>CC5+100.2</f>
        <v>9200.2000000000007</v>
      </c>
      <c r="CD10" s="602" t="str">
        <f>CD4</f>
        <v>RH &amp;T &amp; GPP  DRY CHAMBERS [DC] .READ INGS  ===========</v>
      </c>
      <c r="CE10" s="623" t="s">
        <v>530</v>
      </c>
      <c r="CF10" s="602" t="s">
        <v>558</v>
      </c>
      <c r="CJ10" s="177">
        <v>1999</v>
      </c>
      <c r="CK10" s="200" t="s">
        <v>543</v>
      </c>
      <c r="CL10" s="138" t="s">
        <v>570</v>
      </c>
      <c r="CM10" s="138" t="s">
        <v>571</v>
      </c>
      <c r="CN10" t="s">
        <v>537</v>
      </c>
      <c r="CO10" s="138" t="s">
        <v>539</v>
      </c>
      <c r="CW10" s="606"/>
      <c r="CX10" t="str">
        <f t="shared" si="1"/>
        <v>PBR UP</v>
      </c>
      <c r="CY10" t="str">
        <f t="shared" si="20"/>
        <v>….........</v>
      </c>
      <c r="DH10" s="565"/>
    </row>
    <row r="11" spans="1:112" ht="26.7" customHeight="1" thickTop="1" thickBot="1">
      <c r="A11" s="484">
        <v>108</v>
      </c>
      <c r="B11" s="200" t="s">
        <v>536</v>
      </c>
      <c r="C11" s="138" t="str">
        <f>'jobinfo(2)'!C60</f>
        <v>BATH UP</v>
      </c>
      <c r="D11" s="668" t="s">
        <v>537</v>
      </c>
      <c r="E11" s="650" t="s">
        <v>553</v>
      </c>
      <c r="F11" s="755"/>
      <c r="G11" s="484">
        <f t="shared" si="2"/>
        <v>108</v>
      </c>
      <c r="H11" s="200" t="str">
        <f t="shared" si="3"/>
        <v>….</v>
      </c>
      <c r="I11" s="530" t="str">
        <f t="shared" si="4"/>
        <v>BATH UP</v>
      </c>
      <c r="J11" s="530" t="str">
        <f t="shared" si="5"/>
        <v xml:space="preserve"> = … JOB/ROOMS OVERVIEW PICS ..</v>
      </c>
      <c r="K11" s="619" t="str">
        <f>$E$11</f>
        <v>….........</v>
      </c>
      <c r="L11" s="755"/>
      <c r="M11" s="484">
        <f t="shared" si="21"/>
        <v>208</v>
      </c>
      <c r="N11" s="200" t="str">
        <f t="shared" si="6"/>
        <v>….</v>
      </c>
      <c r="O11" s="530" t="str">
        <f t="shared" si="7"/>
        <v>BATH UP</v>
      </c>
      <c r="P11" s="530" t="str">
        <f t="shared" si="8"/>
        <v>….. SOURCE of  LOSS PICS …..</v>
      </c>
      <c r="Q11" s="619" t="str">
        <f>$E$11</f>
        <v>….........</v>
      </c>
      <c r="R11" s="755"/>
      <c r="S11" s="484">
        <f t="shared" si="22"/>
        <v>308</v>
      </c>
      <c r="T11" s="200" t="str">
        <f t="shared" si="9"/>
        <v>….</v>
      </c>
      <c r="U11" s="530" t="str">
        <f t="shared" si="23"/>
        <v>BATH UP</v>
      </c>
      <c r="V11" s="530" t="str">
        <f t="shared" si="10"/>
        <v>…..  C.P.S.  …...</v>
      </c>
      <c r="W11" s="619" t="str">
        <f>$E$11</f>
        <v>….........</v>
      </c>
      <c r="X11" s="755"/>
      <c r="Y11" s="484">
        <f t="shared" si="24"/>
        <v>408</v>
      </c>
      <c r="Z11" s="200" t="str">
        <f t="shared" si="0"/>
        <v>….</v>
      </c>
      <c r="AA11" s="530" t="str">
        <f t="shared" si="11"/>
        <v>BATH UP</v>
      </c>
      <c r="AB11" s="530" t="str">
        <f t="shared" si="12"/>
        <v>NON SALVAGEABLE ITEMS</v>
      </c>
      <c r="AC11" s="619" t="str">
        <f>$E$11</f>
        <v>….........</v>
      </c>
      <c r="AD11" s="751"/>
      <c r="AE11" s="484">
        <f t="shared" si="25"/>
        <v>508</v>
      </c>
      <c r="AF11" s="200" t="s">
        <v>536</v>
      </c>
      <c r="AG11" s="530" t="str">
        <f t="shared" si="13"/>
        <v>BATH UP</v>
      </c>
      <c r="AH11" s="619" t="str">
        <f t="shared" si="34"/>
        <v>,,,,,, DMO = DEMOLITION …....</v>
      </c>
      <c r="AI11" s="619" t="str">
        <f t="shared" si="14"/>
        <v>….........</v>
      </c>
      <c r="AJ11" s="751"/>
      <c r="AK11" s="484">
        <f t="shared" si="26"/>
        <v>608</v>
      </c>
      <c r="AL11" s="200" t="s">
        <v>543</v>
      </c>
      <c r="AM11" s="530" t="str">
        <f t="shared" si="15"/>
        <v>BATH UP</v>
      </c>
      <c r="AN11" s="575" t="str">
        <f t="shared" si="27"/>
        <v>… WTR MITIGATION  EQUIPMENT &amp; W.I.P . ...</v>
      </c>
      <c r="AO11" s="619" t="str">
        <f>$E$11</f>
        <v>….........</v>
      </c>
      <c r="AP11" s="755"/>
      <c r="AQ11" s="484">
        <f t="shared" si="28"/>
        <v>708</v>
      </c>
      <c r="AR11" s="200" t="s">
        <v>543</v>
      </c>
      <c r="AS11" s="530" t="str">
        <f t="shared" si="16"/>
        <v>BATH UP</v>
      </c>
      <c r="AT11" s="575" t="str">
        <f t="shared" si="29"/>
        <v>… HMR MITIGATION  EQUIPMENT &amp; W.I.P . ...</v>
      </c>
      <c r="AU11" s="619" t="str">
        <f>$E$11</f>
        <v>….........</v>
      </c>
      <c r="AV11" s="755"/>
      <c r="AW11" s="771">
        <f t="shared" si="17"/>
        <v>8008</v>
      </c>
      <c r="AX11" s="200" t="s">
        <v>543</v>
      </c>
      <c r="AY11" s="666" t="str">
        <f t="shared" si="18"/>
        <v>BATH UP</v>
      </c>
      <c r="AZ11" s="662" t="str">
        <f t="shared" si="30"/>
        <v>… DAY # 0  … MC READINGS STABILIZATION</v>
      </c>
      <c r="BA11" s="769"/>
      <c r="BB11" s="769"/>
      <c r="BC11" s="755"/>
      <c r="BD11" s="381">
        <f t="shared" si="35"/>
        <v>8108.1</v>
      </c>
      <c r="BE11" s="200" t="s">
        <v>543</v>
      </c>
      <c r="BF11" s="530" t="str">
        <f t="shared" si="19"/>
        <v>BATH UP</v>
      </c>
      <c r="BG11" s="530" t="str">
        <f t="shared" si="36"/>
        <v xml:space="preserve">  ...  DAY1    MC READINGS ..</v>
      </c>
      <c r="BI11" s="619" t="str">
        <f>$E$11</f>
        <v>….........</v>
      </c>
      <c r="BJ11" s="755"/>
      <c r="BK11" s="739">
        <f t="shared" si="37"/>
        <v>8208.2000000000007</v>
      </c>
      <c r="BL11" s="200" t="s">
        <v>543</v>
      </c>
      <c r="BM11" s="530" t="str">
        <f t="shared" si="31"/>
        <v>BATH UP</v>
      </c>
      <c r="BN11" t="str">
        <f t="shared" si="38"/>
        <v xml:space="preserve">  ...  DAY2    MC READINGS ..</v>
      </c>
      <c r="BO11" s="619" t="str">
        <f>$E$11</f>
        <v>….........</v>
      </c>
      <c r="BP11" s="755"/>
      <c r="BQ11" s="739">
        <f t="shared" si="39"/>
        <v>8308.2999999999993</v>
      </c>
      <c r="BR11" s="200" t="s">
        <v>543</v>
      </c>
      <c r="BS11" s="530" t="str">
        <f t="shared" si="32"/>
        <v>BATH UP</v>
      </c>
      <c r="BT11" t="str">
        <f t="shared" si="40"/>
        <v xml:space="preserve">  ...  DAY3    MC READINGS ..</v>
      </c>
      <c r="BU11" s="619" t="str">
        <f>$E$11</f>
        <v>….........</v>
      </c>
      <c r="BV11" s="755"/>
      <c r="BW11" s="244">
        <f t="shared" si="41"/>
        <v>8408.4</v>
      </c>
      <c r="BX11" s="200" t="s">
        <v>543</v>
      </c>
      <c r="BY11" s="530" t="str">
        <f t="shared" si="33"/>
        <v>BATH UP</v>
      </c>
      <c r="BZ11" t="str">
        <f t="shared" si="42"/>
        <v xml:space="preserve">  ...  DAY4    MC READINGS </v>
      </c>
      <c r="CA11" s="619" t="str">
        <f>$E$11</f>
        <v>….........</v>
      </c>
      <c r="CB11" s="755"/>
      <c r="CC11" s="624">
        <f>CC10</f>
        <v>9200.2000000000007</v>
      </c>
      <c r="CD11" s="606" t="s">
        <v>557</v>
      </c>
      <c r="CE11" s="622" t="str">
        <f>CE10</f>
        <v xml:space="preserve">….. DAY 2 ….. </v>
      </c>
      <c r="CF11" s="602" t="s">
        <v>558</v>
      </c>
      <c r="CJ11" s="183">
        <v>3222</v>
      </c>
      <c r="CK11" s="200" t="s">
        <v>543</v>
      </c>
      <c r="CL11" s="381" t="s">
        <v>572</v>
      </c>
      <c r="CM11" s="138" t="s">
        <v>573</v>
      </c>
      <c r="CN11" t="s">
        <v>537</v>
      </c>
      <c r="CO11" s="564" t="s">
        <v>539</v>
      </c>
      <c r="CW11" s="606"/>
      <c r="CX11" t="str">
        <f t="shared" si="1"/>
        <v>BATH UP</v>
      </c>
      <c r="CY11" t="str">
        <f t="shared" si="20"/>
        <v>….........</v>
      </c>
      <c r="DH11" s="567"/>
    </row>
    <row r="12" spans="1:112" ht="26.7" customHeight="1" thickTop="1" thickBot="1">
      <c r="A12" s="484">
        <v>109</v>
      </c>
      <c r="B12" s="200" t="s">
        <v>536</v>
      </c>
      <c r="C12" s="138" t="str">
        <f>'jobinfo(2)'!C61</f>
        <v>BR-2 UP</v>
      </c>
      <c r="D12" s="668" t="s">
        <v>537</v>
      </c>
      <c r="E12" s="650" t="s">
        <v>553</v>
      </c>
      <c r="F12" s="755"/>
      <c r="G12" s="484">
        <f t="shared" si="2"/>
        <v>109</v>
      </c>
      <c r="H12" s="200" t="str">
        <f t="shared" si="3"/>
        <v>….</v>
      </c>
      <c r="I12" s="530" t="str">
        <f t="shared" si="4"/>
        <v>BR-2 UP</v>
      </c>
      <c r="J12" s="530" t="str">
        <f t="shared" si="5"/>
        <v xml:space="preserve"> = … JOB/ROOMS OVERVIEW PICS ..</v>
      </c>
      <c r="K12" s="619" t="str">
        <f>$E$12</f>
        <v>….........</v>
      </c>
      <c r="L12" s="755"/>
      <c r="M12" s="484">
        <f t="shared" si="21"/>
        <v>209</v>
      </c>
      <c r="N12" s="200" t="str">
        <f t="shared" si="6"/>
        <v>….</v>
      </c>
      <c r="O12" s="530" t="str">
        <f t="shared" si="7"/>
        <v>BR-2 UP</v>
      </c>
      <c r="P12" s="530" t="str">
        <f t="shared" si="8"/>
        <v>….. SOURCE of  LOSS PICS …..</v>
      </c>
      <c r="Q12" s="619" t="str">
        <f>$E$12</f>
        <v>….........</v>
      </c>
      <c r="R12" s="755"/>
      <c r="S12" s="484">
        <f t="shared" si="22"/>
        <v>309</v>
      </c>
      <c r="T12" s="200" t="str">
        <f t="shared" si="9"/>
        <v>….</v>
      </c>
      <c r="U12" s="530" t="str">
        <f t="shared" si="23"/>
        <v>BR-2 UP</v>
      </c>
      <c r="V12" s="530" t="str">
        <f t="shared" si="10"/>
        <v>…..  C.P.S.  …...</v>
      </c>
      <c r="W12" s="619" t="str">
        <f>$E$12</f>
        <v>….........</v>
      </c>
      <c r="X12" s="755"/>
      <c r="Y12" s="484">
        <f t="shared" si="24"/>
        <v>409</v>
      </c>
      <c r="Z12" s="200" t="str">
        <f t="shared" si="0"/>
        <v>….</v>
      </c>
      <c r="AA12" s="530" t="str">
        <f t="shared" si="11"/>
        <v>BR-2 UP</v>
      </c>
      <c r="AB12" s="530" t="str">
        <f t="shared" si="12"/>
        <v>NON SALVAGEABLE ITEMS</v>
      </c>
      <c r="AC12" s="619" t="str">
        <f>$E$12</f>
        <v>….........</v>
      </c>
      <c r="AD12" s="751"/>
      <c r="AE12" s="484">
        <f t="shared" si="25"/>
        <v>509</v>
      </c>
      <c r="AF12" s="200" t="s">
        <v>536</v>
      </c>
      <c r="AG12" s="530" t="str">
        <f t="shared" si="13"/>
        <v>BR-2 UP</v>
      </c>
      <c r="AH12" s="619" t="str">
        <f t="shared" si="34"/>
        <v>,,,,,, DMO = DEMOLITION …....</v>
      </c>
      <c r="AI12" s="619" t="str">
        <f t="shared" si="14"/>
        <v>….........</v>
      </c>
      <c r="AJ12" s="751"/>
      <c r="AK12" s="484">
        <f t="shared" si="26"/>
        <v>609</v>
      </c>
      <c r="AL12" s="200" t="s">
        <v>543</v>
      </c>
      <c r="AM12" s="530" t="str">
        <f t="shared" si="15"/>
        <v>BR-2 UP</v>
      </c>
      <c r="AN12" s="575" t="str">
        <f t="shared" si="27"/>
        <v>… WTR MITIGATION  EQUIPMENT &amp; W.I.P . ...</v>
      </c>
      <c r="AO12" s="619" t="str">
        <f>$E$12</f>
        <v>….........</v>
      </c>
      <c r="AP12" s="755"/>
      <c r="AQ12" s="484">
        <f t="shared" si="28"/>
        <v>709</v>
      </c>
      <c r="AR12" s="200" t="s">
        <v>543</v>
      </c>
      <c r="AS12" s="530" t="str">
        <f t="shared" si="16"/>
        <v>BR-2 UP</v>
      </c>
      <c r="AT12" s="575" t="str">
        <f t="shared" si="29"/>
        <v>… HMR MITIGATION  EQUIPMENT &amp; W.I.P . ...</v>
      </c>
      <c r="AU12" s="619" t="str">
        <f>$E$12</f>
        <v>….........</v>
      </c>
      <c r="AV12" s="755"/>
      <c r="AW12" s="771">
        <f t="shared" si="17"/>
        <v>8009</v>
      </c>
      <c r="AX12" s="200" t="s">
        <v>543</v>
      </c>
      <c r="AY12" s="666" t="str">
        <f t="shared" si="18"/>
        <v>BR-2 UP</v>
      </c>
      <c r="AZ12" s="662" t="str">
        <f t="shared" si="30"/>
        <v>… DAY # 0  … MC READINGS STABILIZATION</v>
      </c>
      <c r="BA12" s="769"/>
      <c r="BB12" s="769"/>
      <c r="BC12" s="755"/>
      <c r="BD12" s="381">
        <f t="shared" si="35"/>
        <v>8109.1</v>
      </c>
      <c r="BE12" s="200" t="s">
        <v>543</v>
      </c>
      <c r="BF12" s="530" t="str">
        <f t="shared" si="19"/>
        <v>BR-2 UP</v>
      </c>
      <c r="BG12" s="530" t="str">
        <f t="shared" si="36"/>
        <v xml:space="preserve">  ...  DAY1    MC READINGS ..</v>
      </c>
      <c r="BI12" s="619" t="str">
        <f>$E$12</f>
        <v>….........</v>
      </c>
      <c r="BJ12" s="755"/>
      <c r="BK12" s="739">
        <f t="shared" si="37"/>
        <v>8209.2000000000007</v>
      </c>
      <c r="BL12" s="200" t="s">
        <v>543</v>
      </c>
      <c r="BM12" s="530" t="str">
        <f t="shared" si="31"/>
        <v>BR-2 UP</v>
      </c>
      <c r="BN12" t="str">
        <f t="shared" si="38"/>
        <v xml:space="preserve">  ...  DAY2    MC READINGS ..</v>
      </c>
      <c r="BO12" s="619" t="str">
        <f>$E$12</f>
        <v>….........</v>
      </c>
      <c r="BP12" s="755"/>
      <c r="BQ12" s="739">
        <f t="shared" si="39"/>
        <v>8309.2999999999993</v>
      </c>
      <c r="BR12" s="200" t="s">
        <v>543</v>
      </c>
      <c r="BS12" s="530" t="str">
        <f t="shared" si="32"/>
        <v>BR-2 UP</v>
      </c>
      <c r="BT12" t="str">
        <f t="shared" si="40"/>
        <v xml:space="preserve">  ...  DAY3    MC READINGS ..</v>
      </c>
      <c r="BU12" s="619" t="str">
        <f>$E$12</f>
        <v>….........</v>
      </c>
      <c r="BV12" s="755"/>
      <c r="BW12" s="244">
        <f t="shared" si="41"/>
        <v>8409.4</v>
      </c>
      <c r="BX12" s="200" t="s">
        <v>543</v>
      </c>
      <c r="BY12" s="530" t="str">
        <f t="shared" si="33"/>
        <v>BR-2 UP</v>
      </c>
      <c r="BZ12" t="str">
        <f t="shared" si="42"/>
        <v xml:space="preserve">  ...  DAY4    MC READINGS </v>
      </c>
      <c r="CA12" s="619" t="str">
        <f>$E$12</f>
        <v>….........</v>
      </c>
      <c r="CB12" s="755"/>
      <c r="CC12" s="625">
        <f>CC11+1</f>
        <v>9201.2000000000007</v>
      </c>
      <c r="CD12" s="607" t="s">
        <v>560</v>
      </c>
      <c r="CE12" s="8" t="str">
        <f>CE11</f>
        <v xml:space="preserve">….. DAY 2 ….. </v>
      </c>
      <c r="CF12" s="602" t="s">
        <v>558</v>
      </c>
      <c r="CJ12" s="183">
        <v>3322</v>
      </c>
      <c r="CK12" s="200" t="s">
        <v>543</v>
      </c>
      <c r="CL12" s="381" t="s">
        <v>574</v>
      </c>
      <c r="CM12" s="138" t="s">
        <v>575</v>
      </c>
      <c r="CN12" t="s">
        <v>537</v>
      </c>
      <c r="CO12" s="564" t="s">
        <v>539</v>
      </c>
      <c r="CW12" s="606"/>
      <c r="CX12" t="str">
        <f t="shared" si="1"/>
        <v>BR-2 UP</v>
      </c>
      <c r="CY12" t="str">
        <f t="shared" si="20"/>
        <v>….........</v>
      </c>
      <c r="DH12" s="565"/>
    </row>
    <row r="13" spans="1:112" ht="26.7" customHeight="1" thickTop="1" thickBot="1">
      <c r="A13" s="484">
        <v>110</v>
      </c>
      <c r="B13" s="200" t="s">
        <v>536</v>
      </c>
      <c r="C13" s="138" t="str">
        <f>'jobinfo(2)'!C62</f>
        <v>GUEST CLOSET</v>
      </c>
      <c r="D13" s="668" t="s">
        <v>537</v>
      </c>
      <c r="E13" s="650" t="s">
        <v>553</v>
      </c>
      <c r="F13" s="755"/>
      <c r="G13" s="484">
        <f t="shared" si="2"/>
        <v>110</v>
      </c>
      <c r="H13" s="200" t="str">
        <f t="shared" si="3"/>
        <v>….</v>
      </c>
      <c r="I13" s="530" t="str">
        <f t="shared" si="4"/>
        <v>GUEST CLOSET</v>
      </c>
      <c r="J13" s="530" t="str">
        <f t="shared" si="5"/>
        <v xml:space="preserve"> = … JOB/ROOMS OVERVIEW PICS ..</v>
      </c>
      <c r="K13" s="619" t="str">
        <f>$E$13</f>
        <v>….........</v>
      </c>
      <c r="L13" s="755"/>
      <c r="M13" s="484">
        <f t="shared" si="21"/>
        <v>210</v>
      </c>
      <c r="N13" s="200" t="str">
        <f t="shared" si="6"/>
        <v>….</v>
      </c>
      <c r="O13" s="530" t="str">
        <f t="shared" si="7"/>
        <v>GUEST CLOSET</v>
      </c>
      <c r="P13" s="530" t="str">
        <f t="shared" si="8"/>
        <v>….. SOURCE of  LOSS PICS …..</v>
      </c>
      <c r="Q13" s="619" t="str">
        <f>$E$13</f>
        <v>….........</v>
      </c>
      <c r="R13" s="755"/>
      <c r="S13" s="484">
        <f t="shared" si="22"/>
        <v>310</v>
      </c>
      <c r="T13" s="200" t="str">
        <f t="shared" si="9"/>
        <v>….</v>
      </c>
      <c r="U13" s="530" t="str">
        <f t="shared" si="23"/>
        <v>GUEST CLOSET</v>
      </c>
      <c r="V13" s="530" t="str">
        <f t="shared" si="10"/>
        <v>…..  C.P.S.  …...</v>
      </c>
      <c r="W13" s="619" t="str">
        <f>$E$13</f>
        <v>….........</v>
      </c>
      <c r="X13" s="755"/>
      <c r="Y13" s="484">
        <f t="shared" si="24"/>
        <v>410</v>
      </c>
      <c r="Z13" s="200" t="str">
        <f t="shared" si="0"/>
        <v>….</v>
      </c>
      <c r="AA13" s="530" t="str">
        <f t="shared" si="11"/>
        <v>GUEST CLOSET</v>
      </c>
      <c r="AB13" s="530" t="str">
        <f t="shared" si="12"/>
        <v>NON SALVAGEABLE ITEMS</v>
      </c>
      <c r="AC13" s="619" t="str">
        <f>$E$13</f>
        <v>….........</v>
      </c>
      <c r="AD13" s="751"/>
      <c r="AE13" s="484">
        <f t="shared" si="25"/>
        <v>510</v>
      </c>
      <c r="AF13" s="200" t="s">
        <v>536</v>
      </c>
      <c r="AG13" s="530" t="str">
        <f t="shared" si="13"/>
        <v>GUEST CLOSET</v>
      </c>
      <c r="AH13" s="619" t="str">
        <f t="shared" si="34"/>
        <v>,,,,,, DMO = DEMOLITION …....</v>
      </c>
      <c r="AI13" s="619" t="str">
        <f t="shared" si="14"/>
        <v>….........</v>
      </c>
      <c r="AJ13" s="751"/>
      <c r="AK13" s="484">
        <f t="shared" si="26"/>
        <v>610</v>
      </c>
      <c r="AL13" s="200" t="s">
        <v>543</v>
      </c>
      <c r="AM13" s="530" t="str">
        <f t="shared" si="15"/>
        <v>GUEST CLOSET</v>
      </c>
      <c r="AN13" s="575" t="str">
        <f t="shared" si="27"/>
        <v>… WTR MITIGATION  EQUIPMENT &amp; W.I.P . ...</v>
      </c>
      <c r="AO13" s="619" t="str">
        <f>$E$13</f>
        <v>….........</v>
      </c>
      <c r="AP13" s="755"/>
      <c r="AQ13" s="484">
        <f t="shared" si="28"/>
        <v>710</v>
      </c>
      <c r="AR13" s="200" t="s">
        <v>543</v>
      </c>
      <c r="AS13" s="530" t="str">
        <f t="shared" si="16"/>
        <v>GUEST CLOSET</v>
      </c>
      <c r="AT13" s="575" t="str">
        <f t="shared" si="29"/>
        <v>… HMR MITIGATION  EQUIPMENT &amp; W.I.P . ...</v>
      </c>
      <c r="AU13" s="619" t="str">
        <f>$E$13</f>
        <v>….........</v>
      </c>
      <c r="AV13" s="755"/>
      <c r="AW13" s="771">
        <f t="shared" si="17"/>
        <v>8010</v>
      </c>
      <c r="AX13" s="200" t="s">
        <v>543</v>
      </c>
      <c r="AY13" s="666" t="str">
        <f t="shared" si="18"/>
        <v>GUEST CLOSET</v>
      </c>
      <c r="AZ13" s="662" t="str">
        <f t="shared" si="30"/>
        <v>… DAY # 0  … MC READINGS STABILIZATION</v>
      </c>
      <c r="BA13" s="769"/>
      <c r="BB13" s="769"/>
      <c r="BC13" s="755"/>
      <c r="BD13" s="381">
        <f t="shared" si="35"/>
        <v>8110.1</v>
      </c>
      <c r="BE13" s="200" t="s">
        <v>543</v>
      </c>
      <c r="BF13" s="530" t="str">
        <f t="shared" si="19"/>
        <v>GUEST CLOSET</v>
      </c>
      <c r="BG13" s="530" t="str">
        <f t="shared" si="36"/>
        <v xml:space="preserve">  ...  DAY1    MC READINGS ..</v>
      </c>
      <c r="BI13" s="619" t="str">
        <f>$E$13</f>
        <v>….........</v>
      </c>
      <c r="BJ13" s="755"/>
      <c r="BK13" s="739">
        <f t="shared" si="37"/>
        <v>8210.2000000000007</v>
      </c>
      <c r="BL13" s="200" t="s">
        <v>543</v>
      </c>
      <c r="BM13" s="530" t="str">
        <f t="shared" si="31"/>
        <v>GUEST CLOSET</v>
      </c>
      <c r="BN13" t="str">
        <f t="shared" si="38"/>
        <v xml:space="preserve">  ...  DAY2    MC READINGS ..</v>
      </c>
      <c r="BO13" s="619" t="str">
        <f>$E$13</f>
        <v>….........</v>
      </c>
      <c r="BP13" s="755"/>
      <c r="BQ13" s="739">
        <f t="shared" si="39"/>
        <v>8310.2999999999993</v>
      </c>
      <c r="BR13" s="200" t="s">
        <v>543</v>
      </c>
      <c r="BS13" s="530" t="str">
        <f t="shared" si="32"/>
        <v>GUEST CLOSET</v>
      </c>
      <c r="BT13" t="str">
        <f t="shared" si="40"/>
        <v xml:space="preserve">  ...  DAY3    MC READINGS ..</v>
      </c>
      <c r="BU13" s="619" t="str">
        <f>$E$13</f>
        <v>….........</v>
      </c>
      <c r="BV13" s="755"/>
      <c r="BW13" s="244">
        <f t="shared" si="41"/>
        <v>8410.4</v>
      </c>
      <c r="BX13" s="200" t="s">
        <v>543</v>
      </c>
      <c r="BY13" s="530" t="str">
        <f t="shared" si="33"/>
        <v>GUEST CLOSET</v>
      </c>
      <c r="BZ13" t="str">
        <f t="shared" si="42"/>
        <v xml:space="preserve">  ...  DAY4    MC READINGS </v>
      </c>
      <c r="CA13" s="619" t="str">
        <f>$E$13</f>
        <v>….........</v>
      </c>
      <c r="CB13" s="755"/>
      <c r="CC13" s="624">
        <f>CC12+1</f>
        <v>9202.2000000000007</v>
      </c>
      <c r="CD13" s="607" t="s">
        <v>562</v>
      </c>
      <c r="CE13" s="32" t="str">
        <f>CE12</f>
        <v xml:space="preserve">….. DAY 2 ….. </v>
      </c>
      <c r="CF13" s="602" t="s">
        <v>558</v>
      </c>
      <c r="CJ13" s="183">
        <v>3444</v>
      </c>
      <c r="CK13" s="200" t="s">
        <v>543</v>
      </c>
      <c r="CL13" s="381" t="s">
        <v>576</v>
      </c>
      <c r="CM13" s="138" t="s">
        <v>577</v>
      </c>
      <c r="CN13" t="s">
        <v>537</v>
      </c>
      <c r="CO13" s="564" t="s">
        <v>539</v>
      </c>
      <c r="CW13" s="606"/>
      <c r="CX13" t="str">
        <f t="shared" si="1"/>
        <v>GUEST CLOSET</v>
      </c>
      <c r="CY13" t="str">
        <f t="shared" si="20"/>
        <v>….........</v>
      </c>
      <c r="DH13" s="567"/>
    </row>
    <row r="14" spans="1:112" ht="26.7" customHeight="1" thickTop="1" thickBot="1">
      <c r="A14" s="484">
        <v>111</v>
      </c>
      <c r="B14" s="200" t="s">
        <v>536</v>
      </c>
      <c r="C14" s="138" t="str">
        <f>'jobinfo(2)'!C63</f>
        <v>BATH DN</v>
      </c>
      <c r="D14" s="668" t="s">
        <v>537</v>
      </c>
      <c r="E14" s="650" t="s">
        <v>508</v>
      </c>
      <c r="F14" s="755"/>
      <c r="G14" s="484">
        <f t="shared" si="2"/>
        <v>111</v>
      </c>
      <c r="H14" s="200" t="str">
        <f t="shared" si="3"/>
        <v>….</v>
      </c>
      <c r="I14" s="530" t="str">
        <f t="shared" si="4"/>
        <v>BATH DN</v>
      </c>
      <c r="J14" s="530" t="str">
        <f t="shared" si="5"/>
        <v xml:space="preserve"> = … JOB/ROOMS OVERVIEW PICS ..</v>
      </c>
      <c r="K14" s="619" t="str">
        <f>$E$14</f>
        <v>LOS / TRAVEL</v>
      </c>
      <c r="L14" s="755"/>
      <c r="M14" s="484">
        <f t="shared" si="21"/>
        <v>211</v>
      </c>
      <c r="N14" s="200" t="str">
        <f t="shared" si="6"/>
        <v>….</v>
      </c>
      <c r="O14" s="530" t="str">
        <f t="shared" si="7"/>
        <v>BATH DN</v>
      </c>
      <c r="P14" s="530" t="str">
        <f t="shared" si="8"/>
        <v>….. SOURCE of  LOSS PICS …..</v>
      </c>
      <c r="Q14" s="619" t="str">
        <f>$E$14</f>
        <v>LOS / TRAVEL</v>
      </c>
      <c r="R14" s="755"/>
      <c r="S14" s="484">
        <f t="shared" si="22"/>
        <v>311</v>
      </c>
      <c r="T14" s="200" t="str">
        <f t="shared" si="9"/>
        <v>….</v>
      </c>
      <c r="U14" s="530" t="str">
        <f t="shared" si="23"/>
        <v>BATH DN</v>
      </c>
      <c r="V14" s="530" t="str">
        <f t="shared" si="10"/>
        <v>…..  C.P.S.  …...</v>
      </c>
      <c r="W14" s="619" t="str">
        <f>$E$14</f>
        <v>LOS / TRAVEL</v>
      </c>
      <c r="X14" s="755"/>
      <c r="Y14" s="484">
        <f t="shared" si="24"/>
        <v>411</v>
      </c>
      <c r="Z14" s="200" t="str">
        <f t="shared" si="0"/>
        <v>….</v>
      </c>
      <c r="AA14" s="530" t="str">
        <f t="shared" si="11"/>
        <v>BATH DN</v>
      </c>
      <c r="AB14" s="530" t="str">
        <f t="shared" si="12"/>
        <v>NON SALVAGEABLE ITEMS</v>
      </c>
      <c r="AC14" s="619" t="str">
        <f>$E$14</f>
        <v>LOS / TRAVEL</v>
      </c>
      <c r="AD14" s="751"/>
      <c r="AE14" s="484">
        <f t="shared" si="25"/>
        <v>511</v>
      </c>
      <c r="AF14" s="200" t="s">
        <v>536</v>
      </c>
      <c r="AG14" s="530" t="str">
        <f t="shared" si="13"/>
        <v>BATH DN</v>
      </c>
      <c r="AH14" s="619" t="str">
        <f t="shared" si="34"/>
        <v>,,,,,, DMO = DEMOLITION …....</v>
      </c>
      <c r="AI14" s="619" t="str">
        <f t="shared" si="14"/>
        <v>LOS / TRAVEL</v>
      </c>
      <c r="AJ14" s="751"/>
      <c r="AK14" s="484">
        <f t="shared" si="26"/>
        <v>611</v>
      </c>
      <c r="AL14" s="200" t="s">
        <v>543</v>
      </c>
      <c r="AM14" s="530" t="str">
        <f t="shared" si="15"/>
        <v>BATH DN</v>
      </c>
      <c r="AN14" s="575" t="str">
        <f t="shared" si="27"/>
        <v>… WTR MITIGATION  EQUIPMENT &amp; W.I.P . ...</v>
      </c>
      <c r="AO14" s="619" t="str">
        <f>$E$14</f>
        <v>LOS / TRAVEL</v>
      </c>
      <c r="AP14" s="755"/>
      <c r="AQ14" s="484">
        <f t="shared" si="28"/>
        <v>711</v>
      </c>
      <c r="AR14" s="200" t="s">
        <v>543</v>
      </c>
      <c r="AS14" s="530" t="str">
        <f t="shared" si="16"/>
        <v>BATH DN</v>
      </c>
      <c r="AT14" s="575" t="str">
        <f t="shared" si="29"/>
        <v>… HMR MITIGATION  EQUIPMENT &amp; W.I.P . ...</v>
      </c>
      <c r="AU14" s="619" t="str">
        <f>$E$14</f>
        <v>LOS / TRAVEL</v>
      </c>
      <c r="AV14" s="755"/>
      <c r="AW14" s="771">
        <f t="shared" si="17"/>
        <v>8011</v>
      </c>
      <c r="AX14" s="200" t="s">
        <v>543</v>
      </c>
      <c r="AY14" s="666" t="str">
        <f t="shared" si="18"/>
        <v>BATH DN</v>
      </c>
      <c r="AZ14" s="662" t="str">
        <f t="shared" si="30"/>
        <v>… DAY # 0  … MC READINGS STABILIZATION</v>
      </c>
      <c r="BA14" s="769"/>
      <c r="BB14" s="769"/>
      <c r="BC14" s="755"/>
      <c r="BD14" s="381">
        <f t="shared" si="35"/>
        <v>8111.1</v>
      </c>
      <c r="BE14" s="200" t="s">
        <v>543</v>
      </c>
      <c r="BF14" s="530" t="str">
        <f t="shared" si="19"/>
        <v>BATH DN</v>
      </c>
      <c r="BG14" s="530" t="str">
        <f t="shared" si="36"/>
        <v xml:space="preserve">  ...  DAY1    MC READINGS ..</v>
      </c>
      <c r="BI14" s="619" t="str">
        <f>$E$14</f>
        <v>LOS / TRAVEL</v>
      </c>
      <c r="BJ14" s="755"/>
      <c r="BK14" s="739">
        <f t="shared" si="37"/>
        <v>8211.2000000000007</v>
      </c>
      <c r="BL14" s="200" t="s">
        <v>543</v>
      </c>
      <c r="BM14" s="530" t="str">
        <f t="shared" si="31"/>
        <v>BATH DN</v>
      </c>
      <c r="BN14" t="str">
        <f t="shared" si="38"/>
        <v xml:space="preserve">  ...  DAY2    MC READINGS ..</v>
      </c>
      <c r="BO14" s="619" t="str">
        <f>$E$14</f>
        <v>LOS / TRAVEL</v>
      </c>
      <c r="BP14" s="755"/>
      <c r="BQ14" s="739">
        <f t="shared" si="39"/>
        <v>8311.2999999999993</v>
      </c>
      <c r="BR14" s="200" t="s">
        <v>543</v>
      </c>
      <c r="BS14" s="530" t="str">
        <f t="shared" si="32"/>
        <v>BATH DN</v>
      </c>
      <c r="BT14" t="str">
        <f t="shared" si="40"/>
        <v xml:space="preserve">  ...  DAY3    MC READINGS ..</v>
      </c>
      <c r="BU14" s="619" t="str">
        <f>$E$14</f>
        <v>LOS / TRAVEL</v>
      </c>
      <c r="BV14" s="755"/>
      <c r="BW14" s="244">
        <f t="shared" si="41"/>
        <v>8411.4</v>
      </c>
      <c r="BX14" s="200" t="s">
        <v>543</v>
      </c>
      <c r="BY14" s="530" t="str">
        <f t="shared" si="33"/>
        <v>BATH DN</v>
      </c>
      <c r="BZ14" t="str">
        <f t="shared" si="42"/>
        <v xml:space="preserve">  ...  DAY4    MC READINGS </v>
      </c>
      <c r="CA14" s="619" t="str">
        <f>$E$14</f>
        <v>LOS / TRAVEL</v>
      </c>
      <c r="CB14" s="755"/>
      <c r="CC14" s="625">
        <f>CC13+1</f>
        <v>9203.2000000000007</v>
      </c>
      <c r="CD14" s="607" t="s">
        <v>565</v>
      </c>
      <c r="CE14" s="32" t="str">
        <f t="shared" ref="CE14:CE15" si="43">CE12</f>
        <v xml:space="preserve">….. DAY 2 ….. </v>
      </c>
      <c r="CF14" s="602" t="s">
        <v>558</v>
      </c>
      <c r="CJ14" s="646">
        <v>4111.1000000000004</v>
      </c>
      <c r="CK14" s="200" t="s">
        <v>543</v>
      </c>
      <c r="CL14" s="647" t="s">
        <v>578</v>
      </c>
      <c r="CN14" t="s">
        <v>537</v>
      </c>
      <c r="CO14" s="564" t="s">
        <v>539</v>
      </c>
      <c r="CW14" s="606"/>
      <c r="CX14" t="str">
        <f t="shared" si="1"/>
        <v>BATH DN</v>
      </c>
      <c r="CY14" t="str">
        <f t="shared" si="20"/>
        <v>LOS / TRAVEL</v>
      </c>
      <c r="DH14" s="565"/>
    </row>
    <row r="15" spans="1:112" ht="26.7" customHeight="1" thickTop="1" thickBot="1">
      <c r="A15" s="484">
        <v>112</v>
      </c>
      <c r="B15" s="200" t="s">
        <v>536</v>
      </c>
      <c r="C15" s="138" t="str">
        <f>'jobinfo(2)'!C64</f>
        <v>SHOWER</v>
      </c>
      <c r="D15" s="668" t="s">
        <v>537</v>
      </c>
      <c r="E15" s="650" t="s">
        <v>553</v>
      </c>
      <c r="F15" s="755"/>
      <c r="G15" s="484">
        <f t="shared" si="2"/>
        <v>112</v>
      </c>
      <c r="H15" s="200" t="str">
        <f t="shared" si="3"/>
        <v>….</v>
      </c>
      <c r="I15" s="530" t="str">
        <f t="shared" si="4"/>
        <v>SHOWER</v>
      </c>
      <c r="J15" s="530" t="str">
        <f t="shared" si="5"/>
        <v xml:space="preserve"> = … JOB/ROOMS OVERVIEW PICS ..</v>
      </c>
      <c r="K15" s="619" t="str">
        <f>$E$15</f>
        <v>….........</v>
      </c>
      <c r="L15" s="755"/>
      <c r="M15" s="484">
        <f t="shared" si="21"/>
        <v>212</v>
      </c>
      <c r="N15" s="200" t="str">
        <f t="shared" si="6"/>
        <v>….</v>
      </c>
      <c r="O15" s="530" t="str">
        <f t="shared" si="7"/>
        <v>SHOWER</v>
      </c>
      <c r="P15" s="530" t="str">
        <f t="shared" si="8"/>
        <v>….. SOURCE of  LOSS PICS …..</v>
      </c>
      <c r="Q15" s="619" t="str">
        <f>$E$15</f>
        <v>….........</v>
      </c>
      <c r="R15" s="755"/>
      <c r="S15" s="484">
        <f t="shared" si="22"/>
        <v>312</v>
      </c>
      <c r="T15" s="200" t="str">
        <f t="shared" si="9"/>
        <v>….</v>
      </c>
      <c r="U15" s="530" t="str">
        <f t="shared" si="23"/>
        <v>SHOWER</v>
      </c>
      <c r="V15" s="530" t="str">
        <f t="shared" si="10"/>
        <v>…..  C.P.S.  …...</v>
      </c>
      <c r="W15" s="619" t="str">
        <f>$E$15</f>
        <v>….........</v>
      </c>
      <c r="X15" s="755"/>
      <c r="Y15" s="484">
        <f t="shared" si="24"/>
        <v>412</v>
      </c>
      <c r="Z15" s="200" t="str">
        <f t="shared" si="0"/>
        <v>….</v>
      </c>
      <c r="AA15" s="530" t="str">
        <f t="shared" si="11"/>
        <v>SHOWER</v>
      </c>
      <c r="AB15" s="530" t="str">
        <f t="shared" si="12"/>
        <v>NON SALVAGEABLE ITEMS</v>
      </c>
      <c r="AC15" s="619" t="str">
        <f>$E$15</f>
        <v>….........</v>
      </c>
      <c r="AD15" s="751"/>
      <c r="AE15" s="484">
        <f t="shared" si="25"/>
        <v>512</v>
      </c>
      <c r="AF15" s="200" t="s">
        <v>536</v>
      </c>
      <c r="AG15" s="530" t="str">
        <f t="shared" si="13"/>
        <v>SHOWER</v>
      </c>
      <c r="AH15" s="619" t="str">
        <f t="shared" si="34"/>
        <v>,,,,,, DMO = DEMOLITION …....</v>
      </c>
      <c r="AI15" s="619" t="str">
        <f t="shared" si="14"/>
        <v>….........</v>
      </c>
      <c r="AJ15" s="751"/>
      <c r="AK15" s="484">
        <f t="shared" si="26"/>
        <v>612</v>
      </c>
      <c r="AL15" s="200" t="s">
        <v>543</v>
      </c>
      <c r="AM15" s="530" t="str">
        <f t="shared" si="15"/>
        <v>SHOWER</v>
      </c>
      <c r="AN15" s="575" t="str">
        <f t="shared" si="27"/>
        <v>… WTR MITIGATION  EQUIPMENT &amp; W.I.P . ...</v>
      </c>
      <c r="AO15" s="619" t="str">
        <f>$E$15</f>
        <v>….........</v>
      </c>
      <c r="AP15" s="755"/>
      <c r="AQ15" s="484">
        <f t="shared" si="28"/>
        <v>712</v>
      </c>
      <c r="AR15" s="200" t="s">
        <v>543</v>
      </c>
      <c r="AS15" s="530" t="str">
        <f t="shared" si="16"/>
        <v>SHOWER</v>
      </c>
      <c r="AT15" s="575" t="str">
        <f t="shared" si="29"/>
        <v>… HMR MITIGATION  EQUIPMENT &amp; W.I.P . ...</v>
      </c>
      <c r="AU15" s="619" t="str">
        <f>$E$15</f>
        <v>….........</v>
      </c>
      <c r="AV15" s="755"/>
      <c r="AW15" s="771">
        <f t="shared" si="17"/>
        <v>8012</v>
      </c>
      <c r="AX15" s="200" t="s">
        <v>543</v>
      </c>
      <c r="AY15" s="666" t="str">
        <f t="shared" si="18"/>
        <v>SHOWER</v>
      </c>
      <c r="AZ15" s="662" t="str">
        <f t="shared" si="30"/>
        <v>… DAY # 0  … MC READINGS STABILIZATION</v>
      </c>
      <c r="BA15" s="769"/>
      <c r="BB15" s="769"/>
      <c r="BC15" s="755"/>
      <c r="BD15" s="381">
        <f t="shared" si="35"/>
        <v>8112.1</v>
      </c>
      <c r="BE15" s="200" t="s">
        <v>543</v>
      </c>
      <c r="BF15" s="530" t="str">
        <f t="shared" si="19"/>
        <v>SHOWER</v>
      </c>
      <c r="BG15" s="530" t="str">
        <f t="shared" si="36"/>
        <v xml:space="preserve">  ...  DAY1    MC READINGS ..</v>
      </c>
      <c r="BI15" s="619" t="str">
        <f>$E$15</f>
        <v>….........</v>
      </c>
      <c r="BJ15" s="755"/>
      <c r="BK15" s="739">
        <f t="shared" si="37"/>
        <v>8212.2000000000007</v>
      </c>
      <c r="BL15" s="200" t="s">
        <v>543</v>
      </c>
      <c r="BM15" s="530" t="str">
        <f t="shared" si="31"/>
        <v>SHOWER</v>
      </c>
      <c r="BN15" t="str">
        <f t="shared" si="38"/>
        <v xml:space="preserve">  ...  DAY2    MC READINGS ..</v>
      </c>
      <c r="BO15" s="619" t="str">
        <f>$E$15</f>
        <v>….........</v>
      </c>
      <c r="BP15" s="755"/>
      <c r="BQ15" s="739">
        <f t="shared" si="39"/>
        <v>8312.2999999999993</v>
      </c>
      <c r="BR15" s="200" t="s">
        <v>543</v>
      </c>
      <c r="BS15" s="530" t="str">
        <f t="shared" si="32"/>
        <v>SHOWER</v>
      </c>
      <c r="BT15" t="str">
        <f t="shared" si="40"/>
        <v xml:space="preserve">  ...  DAY3    MC READINGS ..</v>
      </c>
      <c r="BU15" s="619" t="str">
        <f>$E$15</f>
        <v>….........</v>
      </c>
      <c r="BV15" s="755"/>
      <c r="BW15" s="244">
        <f t="shared" si="41"/>
        <v>8412.4</v>
      </c>
      <c r="BX15" s="200" t="s">
        <v>543</v>
      </c>
      <c r="BY15" s="530" t="str">
        <f t="shared" si="33"/>
        <v>SHOWER</v>
      </c>
      <c r="BZ15" t="str">
        <f t="shared" si="42"/>
        <v xml:space="preserve">  ...  DAY4    MC READINGS </v>
      </c>
      <c r="CA15" s="619" t="str">
        <f>$E$15</f>
        <v>….........</v>
      </c>
      <c r="CB15" s="755"/>
      <c r="CC15" s="625">
        <f>CC14+1</f>
        <v>9204.2000000000007</v>
      </c>
      <c r="CD15" s="607" t="s">
        <v>568</v>
      </c>
      <c r="CE15" s="32" t="str">
        <f t="shared" si="43"/>
        <v xml:space="preserve">….. DAY 2 ….. </v>
      </c>
      <c r="CF15" s="602" t="s">
        <v>558</v>
      </c>
      <c r="CJ15" s="183">
        <v>4222.2</v>
      </c>
      <c r="CK15" s="200" t="s">
        <v>543</v>
      </c>
      <c r="CL15" s="647" t="s">
        <v>579</v>
      </c>
      <c r="CN15" t="s">
        <v>537</v>
      </c>
      <c r="CW15" s="606"/>
      <c r="CX15" t="str">
        <f t="shared" si="1"/>
        <v>SHOWER</v>
      </c>
      <c r="CY15" t="str">
        <f t="shared" si="20"/>
        <v>….........</v>
      </c>
      <c r="DH15" s="567"/>
    </row>
    <row r="16" spans="1:112" ht="26.7" customHeight="1" thickTop="1" thickBot="1">
      <c r="A16" s="484">
        <v>113</v>
      </c>
      <c r="B16" s="200" t="s">
        <v>536</v>
      </c>
      <c r="C16" s="138">
        <f>'jobinfo(2)'!C65</f>
        <v>0</v>
      </c>
      <c r="D16" s="668" t="s">
        <v>537</v>
      </c>
      <c r="E16" s="650" t="s">
        <v>508</v>
      </c>
      <c r="F16" s="755"/>
      <c r="G16" s="484">
        <f t="shared" si="2"/>
        <v>113</v>
      </c>
      <c r="H16" s="200" t="str">
        <f t="shared" si="3"/>
        <v>….</v>
      </c>
      <c r="I16" s="530">
        <f t="shared" si="4"/>
        <v>0</v>
      </c>
      <c r="J16" s="530" t="str">
        <f t="shared" si="5"/>
        <v xml:space="preserve"> = … JOB/ROOMS OVERVIEW PICS ..</v>
      </c>
      <c r="K16" s="619" t="str">
        <f>$E$16</f>
        <v>LOS / TRAVEL</v>
      </c>
      <c r="L16" s="755"/>
      <c r="M16" s="484">
        <f t="shared" si="21"/>
        <v>213</v>
      </c>
      <c r="N16" s="200" t="str">
        <f t="shared" si="6"/>
        <v>….</v>
      </c>
      <c r="O16" s="530">
        <f t="shared" si="7"/>
        <v>0</v>
      </c>
      <c r="P16" s="530" t="str">
        <f t="shared" si="8"/>
        <v>….. SOURCE of  LOSS PICS …..</v>
      </c>
      <c r="Q16" s="619" t="str">
        <f>$E$16</f>
        <v>LOS / TRAVEL</v>
      </c>
      <c r="R16" s="755"/>
      <c r="S16" s="484">
        <f t="shared" si="22"/>
        <v>313</v>
      </c>
      <c r="T16" s="200" t="str">
        <f t="shared" si="9"/>
        <v>….</v>
      </c>
      <c r="U16" s="530">
        <f t="shared" si="23"/>
        <v>0</v>
      </c>
      <c r="V16" s="530" t="str">
        <f t="shared" si="10"/>
        <v>…..  C.P.S.  …...</v>
      </c>
      <c r="W16" s="619" t="str">
        <f>$E$16</f>
        <v>LOS / TRAVEL</v>
      </c>
      <c r="X16" s="755"/>
      <c r="Y16" s="484">
        <f t="shared" si="24"/>
        <v>413</v>
      </c>
      <c r="Z16" s="200" t="str">
        <f t="shared" si="0"/>
        <v>….</v>
      </c>
      <c r="AA16" s="530">
        <f t="shared" si="11"/>
        <v>0</v>
      </c>
      <c r="AB16" s="530" t="str">
        <f t="shared" si="12"/>
        <v>NON SALVAGEABLE ITEMS</v>
      </c>
      <c r="AC16" s="619" t="str">
        <f>$E$16</f>
        <v>LOS / TRAVEL</v>
      </c>
      <c r="AD16" s="751"/>
      <c r="AE16" s="484">
        <f t="shared" si="25"/>
        <v>513</v>
      </c>
      <c r="AF16" s="200" t="s">
        <v>536</v>
      </c>
      <c r="AG16" s="530">
        <f t="shared" si="13"/>
        <v>0</v>
      </c>
      <c r="AH16" s="619" t="str">
        <f t="shared" si="34"/>
        <v>,,,,,, DMO = DEMOLITION …....</v>
      </c>
      <c r="AI16" s="619" t="str">
        <f t="shared" si="14"/>
        <v>LOS / TRAVEL</v>
      </c>
      <c r="AJ16" s="751"/>
      <c r="AK16" s="484">
        <f t="shared" si="26"/>
        <v>613</v>
      </c>
      <c r="AL16" s="200" t="s">
        <v>543</v>
      </c>
      <c r="AM16" s="530">
        <f t="shared" si="15"/>
        <v>0</v>
      </c>
      <c r="AN16" s="575" t="str">
        <f t="shared" si="27"/>
        <v>… WTR MITIGATION  EQUIPMENT &amp; W.I.P . ...</v>
      </c>
      <c r="AO16" s="619" t="str">
        <f>$E$16</f>
        <v>LOS / TRAVEL</v>
      </c>
      <c r="AP16" s="755"/>
      <c r="AQ16" s="484">
        <f t="shared" si="28"/>
        <v>713</v>
      </c>
      <c r="AR16" s="200" t="s">
        <v>543</v>
      </c>
      <c r="AS16" s="530">
        <f t="shared" si="16"/>
        <v>0</v>
      </c>
      <c r="AT16" s="575" t="str">
        <f t="shared" si="29"/>
        <v>… HMR MITIGATION  EQUIPMENT &amp; W.I.P . ...</v>
      </c>
      <c r="AU16" s="619" t="str">
        <f>$E$16</f>
        <v>LOS / TRAVEL</v>
      </c>
      <c r="AV16" s="755"/>
      <c r="AW16" s="771">
        <f t="shared" si="17"/>
        <v>8013</v>
      </c>
      <c r="AX16" s="200" t="s">
        <v>543</v>
      </c>
      <c r="AY16" s="666">
        <f t="shared" si="18"/>
        <v>0</v>
      </c>
      <c r="AZ16" s="662" t="str">
        <f t="shared" si="30"/>
        <v>… DAY # 0  … MC READINGS STABILIZATION</v>
      </c>
      <c r="BA16" s="769"/>
      <c r="BB16" s="769"/>
      <c r="BC16" s="755"/>
      <c r="BD16" s="381">
        <f t="shared" si="35"/>
        <v>8113.1</v>
      </c>
      <c r="BE16" s="200" t="s">
        <v>543</v>
      </c>
      <c r="BF16" s="530">
        <f t="shared" si="19"/>
        <v>0</v>
      </c>
      <c r="BG16" s="530" t="str">
        <f t="shared" si="36"/>
        <v xml:space="preserve">  ...  DAY1    MC READINGS ..</v>
      </c>
      <c r="BI16" s="619" t="str">
        <f>$E$16</f>
        <v>LOS / TRAVEL</v>
      </c>
      <c r="BJ16" s="755"/>
      <c r="BK16" s="739">
        <f t="shared" si="37"/>
        <v>8213.2000000000007</v>
      </c>
      <c r="BL16" s="200" t="s">
        <v>543</v>
      </c>
      <c r="BM16" s="530">
        <f t="shared" si="31"/>
        <v>0</v>
      </c>
      <c r="BN16" t="str">
        <f t="shared" si="38"/>
        <v xml:space="preserve">  ...  DAY2    MC READINGS ..</v>
      </c>
      <c r="BO16" s="619" t="str">
        <f>$E$16</f>
        <v>LOS / TRAVEL</v>
      </c>
      <c r="BP16" s="755"/>
      <c r="BQ16" s="739">
        <f t="shared" si="39"/>
        <v>8313.2999999999993</v>
      </c>
      <c r="BR16" s="200" t="s">
        <v>543</v>
      </c>
      <c r="BS16" s="530">
        <f t="shared" si="32"/>
        <v>0</v>
      </c>
      <c r="BT16" t="str">
        <f t="shared" si="40"/>
        <v xml:space="preserve">  ...  DAY3    MC READINGS ..</v>
      </c>
      <c r="BU16" s="619" t="str">
        <f>$E$16</f>
        <v>LOS / TRAVEL</v>
      </c>
      <c r="BV16" s="755"/>
      <c r="BW16" s="244">
        <f t="shared" si="41"/>
        <v>8413.4</v>
      </c>
      <c r="BX16" s="200" t="s">
        <v>543</v>
      </c>
      <c r="BY16" s="530">
        <f t="shared" si="33"/>
        <v>0</v>
      </c>
      <c r="BZ16" t="str">
        <f t="shared" si="42"/>
        <v xml:space="preserve">  ...  DAY4    MC READINGS </v>
      </c>
      <c r="CA16" s="619" t="str">
        <f>$E$16</f>
        <v>LOS / TRAVEL</v>
      </c>
      <c r="CB16" s="755"/>
      <c r="CC16" s="632">
        <f>CC11+100.1</f>
        <v>9300.3000000000011</v>
      </c>
      <c r="CD16" s="602" t="str">
        <f>CD4</f>
        <v>RH &amp;T &amp; GPP  DRY CHAMBERS [DC] .READ INGS  ===========</v>
      </c>
      <c r="CE16" s="603" t="s">
        <v>531</v>
      </c>
      <c r="CF16" s="602" t="s">
        <v>558</v>
      </c>
      <c r="CJ16" s="183">
        <v>4333.3</v>
      </c>
      <c r="CK16" s="200" t="s">
        <v>543</v>
      </c>
      <c r="CL16" s="647" t="s">
        <v>580</v>
      </c>
      <c r="CN16" t="s">
        <v>537</v>
      </c>
      <c r="CW16" s="606"/>
      <c r="CX16">
        <f t="shared" si="1"/>
        <v>0</v>
      </c>
      <c r="CY16" t="str">
        <f t="shared" si="20"/>
        <v>LOS / TRAVEL</v>
      </c>
      <c r="DH16" s="565"/>
    </row>
    <row r="17" spans="1:112" ht="26.7" customHeight="1" thickTop="1" thickBot="1">
      <c r="A17" s="484">
        <v>114</v>
      </c>
      <c r="B17" s="200" t="s">
        <v>536</v>
      </c>
      <c r="C17" s="138">
        <f>'jobinfo(2)'!C66</f>
        <v>0</v>
      </c>
      <c r="D17" s="668" t="s">
        <v>537</v>
      </c>
      <c r="E17" s="650" t="s">
        <v>553</v>
      </c>
      <c r="F17" s="755"/>
      <c r="G17" s="484">
        <f t="shared" si="2"/>
        <v>114</v>
      </c>
      <c r="H17" s="200" t="str">
        <f t="shared" si="3"/>
        <v>….</v>
      </c>
      <c r="I17" s="530">
        <f t="shared" si="4"/>
        <v>0</v>
      </c>
      <c r="J17" s="530" t="str">
        <f t="shared" si="5"/>
        <v xml:space="preserve"> = … JOB/ROOMS OVERVIEW PICS ..</v>
      </c>
      <c r="K17" s="619" t="str">
        <f>$E$17</f>
        <v>….........</v>
      </c>
      <c r="L17" s="755"/>
      <c r="M17" s="484">
        <f t="shared" si="21"/>
        <v>214</v>
      </c>
      <c r="N17" s="200" t="str">
        <f t="shared" si="6"/>
        <v>….</v>
      </c>
      <c r="O17" s="530">
        <f t="shared" si="7"/>
        <v>0</v>
      </c>
      <c r="P17" s="530" t="str">
        <f t="shared" si="8"/>
        <v>….. SOURCE of  LOSS PICS …..</v>
      </c>
      <c r="Q17" s="619" t="str">
        <f>$E$17</f>
        <v>….........</v>
      </c>
      <c r="R17" s="755"/>
      <c r="S17" s="484">
        <f t="shared" si="22"/>
        <v>314</v>
      </c>
      <c r="T17" s="200" t="str">
        <f t="shared" si="9"/>
        <v>….</v>
      </c>
      <c r="U17" s="530">
        <f t="shared" si="23"/>
        <v>0</v>
      </c>
      <c r="V17" s="530" t="str">
        <f t="shared" si="10"/>
        <v>…..  C.P.S.  …...</v>
      </c>
      <c r="W17" s="619" t="str">
        <f>$E$17</f>
        <v>….........</v>
      </c>
      <c r="X17" s="755"/>
      <c r="Y17" s="484">
        <f t="shared" si="24"/>
        <v>414</v>
      </c>
      <c r="Z17" s="200" t="str">
        <f t="shared" si="0"/>
        <v>….</v>
      </c>
      <c r="AA17" s="530">
        <f t="shared" si="11"/>
        <v>0</v>
      </c>
      <c r="AB17" s="530" t="str">
        <f t="shared" si="12"/>
        <v>NON SALVAGEABLE ITEMS</v>
      </c>
      <c r="AC17" s="619" t="str">
        <f>$E$17</f>
        <v>….........</v>
      </c>
      <c r="AD17" s="751"/>
      <c r="AE17" s="484">
        <f t="shared" si="25"/>
        <v>514</v>
      </c>
      <c r="AF17" s="200" t="s">
        <v>536</v>
      </c>
      <c r="AG17" s="530">
        <f t="shared" si="13"/>
        <v>0</v>
      </c>
      <c r="AH17" s="619" t="str">
        <f t="shared" si="34"/>
        <v>,,,,,, DMO = DEMOLITION …....</v>
      </c>
      <c r="AI17" s="619" t="str">
        <f t="shared" si="14"/>
        <v>….........</v>
      </c>
      <c r="AJ17" s="751"/>
      <c r="AK17" s="484">
        <f t="shared" si="26"/>
        <v>614</v>
      </c>
      <c r="AL17" s="200" t="s">
        <v>543</v>
      </c>
      <c r="AM17" s="530">
        <f t="shared" si="15"/>
        <v>0</v>
      </c>
      <c r="AN17" s="575" t="str">
        <f t="shared" si="27"/>
        <v>… WTR MITIGATION  EQUIPMENT &amp; W.I.P . ...</v>
      </c>
      <c r="AO17" s="619" t="str">
        <f>$E$17</f>
        <v>….........</v>
      </c>
      <c r="AP17" s="755"/>
      <c r="AQ17" s="484">
        <f t="shared" si="28"/>
        <v>714</v>
      </c>
      <c r="AR17" s="200" t="s">
        <v>543</v>
      </c>
      <c r="AS17" s="530">
        <f t="shared" si="16"/>
        <v>0</v>
      </c>
      <c r="AT17" s="575" t="str">
        <f t="shared" si="29"/>
        <v>… HMR MITIGATION  EQUIPMENT &amp; W.I.P . ...</v>
      </c>
      <c r="AU17" s="619" t="str">
        <f>$E$17</f>
        <v>….........</v>
      </c>
      <c r="AV17" s="755"/>
      <c r="AW17" s="771">
        <f t="shared" si="17"/>
        <v>8014</v>
      </c>
      <c r="AX17" s="200" t="s">
        <v>543</v>
      </c>
      <c r="AY17" s="666">
        <f t="shared" si="18"/>
        <v>0</v>
      </c>
      <c r="AZ17" s="662" t="str">
        <f t="shared" si="30"/>
        <v>… DAY # 0  … MC READINGS STABILIZATION</v>
      </c>
      <c r="BA17" s="769"/>
      <c r="BB17" s="769"/>
      <c r="BC17" s="755"/>
      <c r="BD17" s="381">
        <f t="shared" si="35"/>
        <v>8114.1</v>
      </c>
      <c r="BE17" s="200" t="s">
        <v>543</v>
      </c>
      <c r="BF17" s="530">
        <f t="shared" si="19"/>
        <v>0</v>
      </c>
      <c r="BG17" s="530" t="str">
        <f t="shared" si="36"/>
        <v xml:space="preserve">  ...  DAY1    MC READINGS ..</v>
      </c>
      <c r="BI17" s="619" t="str">
        <f>$E$17</f>
        <v>….........</v>
      </c>
      <c r="BJ17" s="755"/>
      <c r="BK17" s="739">
        <f t="shared" si="37"/>
        <v>8214.2000000000007</v>
      </c>
      <c r="BL17" s="200" t="s">
        <v>543</v>
      </c>
      <c r="BM17" s="530">
        <f t="shared" si="31"/>
        <v>0</v>
      </c>
      <c r="BN17" t="str">
        <f t="shared" si="38"/>
        <v xml:space="preserve">  ...  DAY2    MC READINGS ..</v>
      </c>
      <c r="BO17" s="619" t="str">
        <f>$E$17</f>
        <v>….........</v>
      </c>
      <c r="BP17" s="755"/>
      <c r="BQ17" s="739">
        <f t="shared" si="39"/>
        <v>8314.2999999999993</v>
      </c>
      <c r="BR17" s="200" t="s">
        <v>543</v>
      </c>
      <c r="BS17" s="530">
        <f t="shared" si="32"/>
        <v>0</v>
      </c>
      <c r="BT17" t="str">
        <f t="shared" si="40"/>
        <v xml:space="preserve">  ...  DAY3    MC READINGS ..</v>
      </c>
      <c r="BU17" s="619" t="str">
        <f>$E$17</f>
        <v>….........</v>
      </c>
      <c r="BV17" s="755"/>
      <c r="BW17" s="244">
        <f t="shared" si="41"/>
        <v>8414.4</v>
      </c>
      <c r="BX17" s="200" t="s">
        <v>543</v>
      </c>
      <c r="BY17" s="530">
        <f t="shared" si="33"/>
        <v>0</v>
      </c>
      <c r="BZ17" t="str">
        <f t="shared" si="42"/>
        <v xml:space="preserve">  ...  DAY4    MC READINGS </v>
      </c>
      <c r="CA17" s="619" t="str">
        <f>$E$17</f>
        <v>….........</v>
      </c>
      <c r="CB17" s="755"/>
      <c r="CC17" s="624">
        <f>CC16</f>
        <v>9300.3000000000011</v>
      </c>
      <c r="CD17" s="606" t="s">
        <v>557</v>
      </c>
      <c r="CE17" s="605" t="str">
        <f>CE16</f>
        <v xml:space="preserve">….. DAY 3 ….. </v>
      </c>
      <c r="CF17" s="602" t="s">
        <v>558</v>
      </c>
      <c r="CJ17" s="183">
        <v>4444.3999999999996</v>
      </c>
      <c r="CK17" s="200" t="s">
        <v>543</v>
      </c>
      <c r="CL17" s="647" t="s">
        <v>581</v>
      </c>
      <c r="CN17" t="s">
        <v>537</v>
      </c>
      <c r="CO17" s="606"/>
      <c r="CW17" s="606"/>
      <c r="CX17">
        <f t="shared" si="1"/>
        <v>0</v>
      </c>
      <c r="CY17" t="str">
        <f t="shared" si="20"/>
        <v>….........</v>
      </c>
      <c r="DH17" s="567"/>
    </row>
    <row r="18" spans="1:112" ht="26.7" customHeight="1" thickTop="1" thickBot="1">
      <c r="A18" s="484">
        <v>115</v>
      </c>
      <c r="B18" s="200" t="s">
        <v>536</v>
      </c>
      <c r="C18" s="138">
        <f>'jobinfo(2)'!C67</f>
        <v>0</v>
      </c>
      <c r="D18" s="668" t="s">
        <v>537</v>
      </c>
      <c r="E18" s="650" t="s">
        <v>553</v>
      </c>
      <c r="F18" s="755"/>
      <c r="G18" s="484">
        <f t="shared" si="2"/>
        <v>115</v>
      </c>
      <c r="H18" s="200" t="str">
        <f t="shared" si="3"/>
        <v>….</v>
      </c>
      <c r="I18" s="530">
        <f t="shared" si="4"/>
        <v>0</v>
      </c>
      <c r="J18" s="530" t="str">
        <f t="shared" si="5"/>
        <v xml:space="preserve"> = … JOB/ROOMS OVERVIEW PICS ..</v>
      </c>
      <c r="K18" s="619" t="str">
        <f>$E$18</f>
        <v>….........</v>
      </c>
      <c r="L18" s="755"/>
      <c r="M18" s="484">
        <f t="shared" si="21"/>
        <v>215</v>
      </c>
      <c r="N18" s="200" t="str">
        <f t="shared" si="6"/>
        <v>….</v>
      </c>
      <c r="O18" s="530">
        <f t="shared" si="7"/>
        <v>0</v>
      </c>
      <c r="P18" s="530" t="str">
        <f t="shared" si="8"/>
        <v>….. SOURCE of  LOSS PICS …..</v>
      </c>
      <c r="Q18" s="619" t="str">
        <f>$E$18</f>
        <v>….........</v>
      </c>
      <c r="R18" s="755"/>
      <c r="S18" s="484">
        <f t="shared" si="22"/>
        <v>315</v>
      </c>
      <c r="T18" s="200" t="str">
        <f t="shared" si="9"/>
        <v>….</v>
      </c>
      <c r="U18" s="530">
        <f t="shared" si="23"/>
        <v>0</v>
      </c>
      <c r="V18" s="530" t="str">
        <f t="shared" si="10"/>
        <v>…..  C.P.S.  …...</v>
      </c>
      <c r="W18" s="619" t="str">
        <f>$E$18</f>
        <v>….........</v>
      </c>
      <c r="X18" s="755"/>
      <c r="Y18" s="484">
        <f t="shared" si="24"/>
        <v>415</v>
      </c>
      <c r="Z18" s="200" t="str">
        <f t="shared" si="0"/>
        <v>….</v>
      </c>
      <c r="AA18" s="530">
        <f t="shared" si="11"/>
        <v>0</v>
      </c>
      <c r="AB18" s="530" t="str">
        <f t="shared" si="12"/>
        <v>NON SALVAGEABLE ITEMS</v>
      </c>
      <c r="AC18" s="619" t="str">
        <f>$E$18</f>
        <v>….........</v>
      </c>
      <c r="AD18" s="751"/>
      <c r="AE18" s="484">
        <f t="shared" si="25"/>
        <v>515</v>
      </c>
      <c r="AF18" s="200" t="s">
        <v>536</v>
      </c>
      <c r="AG18" s="530">
        <f t="shared" si="13"/>
        <v>0</v>
      </c>
      <c r="AH18" s="619" t="str">
        <f t="shared" si="34"/>
        <v>,,,,,, DMO = DEMOLITION …....</v>
      </c>
      <c r="AI18" s="619" t="str">
        <f t="shared" si="14"/>
        <v>….........</v>
      </c>
      <c r="AJ18" s="751"/>
      <c r="AK18" s="484">
        <f t="shared" si="26"/>
        <v>615</v>
      </c>
      <c r="AL18" s="200" t="s">
        <v>543</v>
      </c>
      <c r="AM18" s="530">
        <f t="shared" si="15"/>
        <v>0</v>
      </c>
      <c r="AN18" s="575" t="str">
        <f t="shared" si="27"/>
        <v>… WTR MITIGATION  EQUIPMENT &amp; W.I.P . ...</v>
      </c>
      <c r="AO18" s="619" t="str">
        <f>$E$18</f>
        <v>….........</v>
      </c>
      <c r="AP18" s="755"/>
      <c r="AQ18" s="484">
        <f t="shared" si="28"/>
        <v>715</v>
      </c>
      <c r="AR18" s="200" t="s">
        <v>543</v>
      </c>
      <c r="AS18" s="530">
        <f t="shared" si="16"/>
        <v>0</v>
      </c>
      <c r="AT18" s="575" t="str">
        <f t="shared" si="29"/>
        <v>… HMR MITIGATION  EQUIPMENT &amp; W.I.P . ...</v>
      </c>
      <c r="AU18" s="619" t="str">
        <f>$E$18</f>
        <v>….........</v>
      </c>
      <c r="AV18" s="755"/>
      <c r="AW18" s="771">
        <f t="shared" si="17"/>
        <v>8015</v>
      </c>
      <c r="AX18" s="200" t="s">
        <v>543</v>
      </c>
      <c r="AY18" s="666">
        <f t="shared" si="18"/>
        <v>0</v>
      </c>
      <c r="AZ18" s="662" t="str">
        <f t="shared" si="30"/>
        <v>… DAY # 0  … MC READINGS STABILIZATION</v>
      </c>
      <c r="BA18" s="769"/>
      <c r="BB18" s="769"/>
      <c r="BC18" s="755"/>
      <c r="BD18" s="381">
        <f t="shared" si="35"/>
        <v>8115.1</v>
      </c>
      <c r="BE18" s="200" t="s">
        <v>543</v>
      </c>
      <c r="BF18" s="530">
        <f t="shared" si="19"/>
        <v>0</v>
      </c>
      <c r="BG18" s="530" t="str">
        <f t="shared" si="36"/>
        <v xml:space="preserve">  ...  DAY1    MC READINGS ..</v>
      </c>
      <c r="BI18" s="619" t="str">
        <f>$E$18</f>
        <v>….........</v>
      </c>
      <c r="BJ18" s="755"/>
      <c r="BK18" s="739">
        <f t="shared" si="37"/>
        <v>8215.2000000000007</v>
      </c>
      <c r="BL18" s="200" t="s">
        <v>543</v>
      </c>
      <c r="BM18" s="530">
        <f t="shared" si="31"/>
        <v>0</v>
      </c>
      <c r="BN18" t="str">
        <f t="shared" si="38"/>
        <v xml:space="preserve">  ...  DAY2    MC READINGS ..</v>
      </c>
      <c r="BO18" s="619" t="str">
        <f>$E$18</f>
        <v>….........</v>
      </c>
      <c r="BP18" s="755"/>
      <c r="BQ18" s="739">
        <f t="shared" si="39"/>
        <v>8315.2999999999993</v>
      </c>
      <c r="BR18" s="200" t="s">
        <v>543</v>
      </c>
      <c r="BS18" s="530">
        <f t="shared" si="32"/>
        <v>0</v>
      </c>
      <c r="BT18" t="str">
        <f t="shared" si="40"/>
        <v xml:space="preserve">  ...  DAY3    MC READINGS ..</v>
      </c>
      <c r="BU18" s="619" t="str">
        <f>$E$18</f>
        <v>….........</v>
      </c>
      <c r="BV18" s="755"/>
      <c r="BW18" s="244">
        <f t="shared" si="41"/>
        <v>8415.4</v>
      </c>
      <c r="BX18" s="200" t="s">
        <v>543</v>
      </c>
      <c r="BY18" s="530">
        <f t="shared" si="33"/>
        <v>0</v>
      </c>
      <c r="BZ18" t="str">
        <f t="shared" si="42"/>
        <v xml:space="preserve">  ...  DAY4    MC READINGS </v>
      </c>
      <c r="CA18" s="619" t="str">
        <f>$E$18</f>
        <v>….........</v>
      </c>
      <c r="CB18" s="755"/>
      <c r="CC18" s="625">
        <f>CC17+1</f>
        <v>9301.3000000000011</v>
      </c>
      <c r="CD18" s="607" t="s">
        <v>560</v>
      </c>
      <c r="CE18" s="622" t="str">
        <f>CE17</f>
        <v xml:space="preserve">….. DAY 3 ….. </v>
      </c>
      <c r="CF18" s="602" t="s">
        <v>558</v>
      </c>
      <c r="CJ18" s="646">
        <v>9998</v>
      </c>
      <c r="CK18" s="200" t="s">
        <v>543</v>
      </c>
      <c r="CL18" s="647" t="s">
        <v>582</v>
      </c>
      <c r="CN18" t="s">
        <v>537</v>
      </c>
      <c r="CO18" s="564" t="s">
        <v>539</v>
      </c>
      <c r="CW18" s="606"/>
      <c r="CX18">
        <f t="shared" si="1"/>
        <v>0</v>
      </c>
      <c r="CY18" t="str">
        <f t="shared" si="20"/>
        <v>….........</v>
      </c>
      <c r="DH18" s="565"/>
    </row>
    <row r="19" spans="1:112" ht="26.7" customHeight="1" thickTop="1" thickBot="1">
      <c r="A19" s="484">
        <v>116</v>
      </c>
      <c r="B19" s="200" t="s">
        <v>536</v>
      </c>
      <c r="C19" s="138">
        <f>'jobinfo(2)'!C68</f>
        <v>0</v>
      </c>
      <c r="D19" s="668" t="s">
        <v>537</v>
      </c>
      <c r="E19" s="650" t="s">
        <v>553</v>
      </c>
      <c r="F19" s="755"/>
      <c r="G19" s="484">
        <f t="shared" si="2"/>
        <v>116</v>
      </c>
      <c r="H19" s="200" t="str">
        <f t="shared" si="3"/>
        <v>….</v>
      </c>
      <c r="I19" s="530">
        <f t="shared" si="4"/>
        <v>0</v>
      </c>
      <c r="J19" s="530" t="str">
        <f t="shared" si="5"/>
        <v xml:space="preserve"> = … JOB/ROOMS OVERVIEW PICS ..</v>
      </c>
      <c r="K19" s="619" t="str">
        <f>$E$19</f>
        <v>….........</v>
      </c>
      <c r="L19" s="755"/>
      <c r="M19" s="484">
        <f t="shared" si="21"/>
        <v>216</v>
      </c>
      <c r="N19" s="200" t="str">
        <f t="shared" si="6"/>
        <v>….</v>
      </c>
      <c r="O19" s="530">
        <f t="shared" si="7"/>
        <v>0</v>
      </c>
      <c r="P19" s="530" t="str">
        <f t="shared" si="8"/>
        <v>….. SOURCE of  LOSS PICS …..</v>
      </c>
      <c r="Q19" s="619" t="str">
        <f>$E$19</f>
        <v>….........</v>
      </c>
      <c r="R19" s="755"/>
      <c r="S19" s="484">
        <f t="shared" si="22"/>
        <v>316</v>
      </c>
      <c r="T19" s="200" t="str">
        <f t="shared" si="9"/>
        <v>….</v>
      </c>
      <c r="U19" s="530">
        <f t="shared" si="23"/>
        <v>0</v>
      </c>
      <c r="V19" s="530" t="str">
        <f t="shared" si="10"/>
        <v>…..  C.P.S.  …...</v>
      </c>
      <c r="W19" s="619" t="str">
        <f>$E$19</f>
        <v>….........</v>
      </c>
      <c r="X19" s="755"/>
      <c r="Y19" s="484">
        <f t="shared" si="24"/>
        <v>416</v>
      </c>
      <c r="Z19" s="200" t="str">
        <f t="shared" si="0"/>
        <v>….</v>
      </c>
      <c r="AA19" s="530">
        <f t="shared" si="11"/>
        <v>0</v>
      </c>
      <c r="AB19" s="530" t="str">
        <f t="shared" si="12"/>
        <v>NON SALVAGEABLE ITEMS</v>
      </c>
      <c r="AC19" s="619" t="str">
        <f>$E$19</f>
        <v>….........</v>
      </c>
      <c r="AD19" s="751"/>
      <c r="AE19" s="484">
        <f t="shared" si="25"/>
        <v>516</v>
      </c>
      <c r="AF19" s="200" t="s">
        <v>536</v>
      </c>
      <c r="AG19" s="530">
        <f t="shared" si="13"/>
        <v>0</v>
      </c>
      <c r="AH19" s="619" t="str">
        <f t="shared" si="34"/>
        <v>,,,,,, DMO = DEMOLITION …....</v>
      </c>
      <c r="AI19" s="619" t="str">
        <f t="shared" si="14"/>
        <v>….........</v>
      </c>
      <c r="AJ19" s="751"/>
      <c r="AK19" s="484">
        <f t="shared" si="26"/>
        <v>616</v>
      </c>
      <c r="AL19" s="200" t="s">
        <v>543</v>
      </c>
      <c r="AM19" s="530">
        <f t="shared" si="15"/>
        <v>0</v>
      </c>
      <c r="AN19" s="575" t="str">
        <f t="shared" si="27"/>
        <v>… WTR MITIGATION  EQUIPMENT &amp; W.I.P . ...</v>
      </c>
      <c r="AO19" s="619" t="str">
        <f>$E$19</f>
        <v>….........</v>
      </c>
      <c r="AP19" s="755"/>
      <c r="AQ19" s="484">
        <f t="shared" si="28"/>
        <v>716</v>
      </c>
      <c r="AR19" s="200" t="s">
        <v>543</v>
      </c>
      <c r="AS19" s="530">
        <f t="shared" si="16"/>
        <v>0</v>
      </c>
      <c r="AT19" s="575" t="str">
        <f t="shared" si="29"/>
        <v>… HMR MITIGATION  EQUIPMENT &amp; W.I.P . ...</v>
      </c>
      <c r="AU19" s="619" t="str">
        <f>$E$19</f>
        <v>….........</v>
      </c>
      <c r="AV19" s="755"/>
      <c r="AW19" s="771">
        <f t="shared" si="17"/>
        <v>8016</v>
      </c>
      <c r="AX19" s="200" t="s">
        <v>543</v>
      </c>
      <c r="AY19" s="666">
        <f t="shared" si="18"/>
        <v>0</v>
      </c>
      <c r="AZ19" s="662" t="str">
        <f t="shared" si="30"/>
        <v>… DAY # 0  … MC READINGS STABILIZATION</v>
      </c>
      <c r="BA19" s="769"/>
      <c r="BB19" s="769"/>
      <c r="BC19" s="755"/>
      <c r="BD19" s="381">
        <f t="shared" si="35"/>
        <v>8116.1</v>
      </c>
      <c r="BE19" s="200" t="s">
        <v>543</v>
      </c>
      <c r="BF19" s="530">
        <f t="shared" si="19"/>
        <v>0</v>
      </c>
      <c r="BG19" s="530" t="str">
        <f t="shared" si="36"/>
        <v xml:space="preserve">  ...  DAY1    MC READINGS ..</v>
      </c>
      <c r="BI19" s="619" t="str">
        <f>$E$19</f>
        <v>….........</v>
      </c>
      <c r="BJ19" s="755"/>
      <c r="BK19" s="739">
        <f t="shared" si="37"/>
        <v>8216.2000000000007</v>
      </c>
      <c r="BL19" s="200" t="s">
        <v>543</v>
      </c>
      <c r="BM19" s="530">
        <f t="shared" si="31"/>
        <v>0</v>
      </c>
      <c r="BN19" t="str">
        <f t="shared" si="38"/>
        <v xml:space="preserve">  ...  DAY2    MC READINGS ..</v>
      </c>
      <c r="BO19" s="619" t="str">
        <f>$E$19</f>
        <v>….........</v>
      </c>
      <c r="BP19" s="755"/>
      <c r="BQ19" s="739">
        <f t="shared" si="39"/>
        <v>8316.2999999999993</v>
      </c>
      <c r="BR19" s="200" t="s">
        <v>543</v>
      </c>
      <c r="BS19" s="530">
        <f t="shared" si="32"/>
        <v>0</v>
      </c>
      <c r="BT19" t="str">
        <f t="shared" si="40"/>
        <v xml:space="preserve">  ...  DAY3    MC READINGS ..</v>
      </c>
      <c r="BU19" s="619" t="str">
        <f>$E$19</f>
        <v>….........</v>
      </c>
      <c r="BV19" s="755"/>
      <c r="BW19" s="244">
        <f t="shared" si="41"/>
        <v>8416.4</v>
      </c>
      <c r="BX19" s="200" t="s">
        <v>543</v>
      </c>
      <c r="BY19" s="530">
        <f t="shared" si="33"/>
        <v>0</v>
      </c>
      <c r="BZ19" t="str">
        <f t="shared" si="42"/>
        <v xml:space="preserve">  ...  DAY4    MC READINGS </v>
      </c>
      <c r="CA19" s="619" t="str">
        <f>$E$19</f>
        <v>….........</v>
      </c>
      <c r="CB19" s="755"/>
      <c r="CC19" s="625">
        <f t="shared" ref="CC19:CC21" si="44">CC18+1</f>
        <v>9302.3000000000011</v>
      </c>
      <c r="CD19" s="607" t="s">
        <v>562</v>
      </c>
      <c r="CE19" s="32" t="str">
        <f>CE18</f>
        <v xml:space="preserve">….. DAY 3 ….. </v>
      </c>
      <c r="CF19" s="602" t="s">
        <v>558</v>
      </c>
      <c r="CJ19" s="646">
        <v>9999</v>
      </c>
      <c r="CK19" s="200" t="s">
        <v>543</v>
      </c>
      <c r="CL19" s="647" t="s">
        <v>583</v>
      </c>
      <c r="CN19" t="s">
        <v>537</v>
      </c>
      <c r="CW19" s="606"/>
      <c r="CX19">
        <f t="shared" si="1"/>
        <v>0</v>
      </c>
      <c r="CY19" t="str">
        <f t="shared" si="20"/>
        <v>….........</v>
      </c>
      <c r="DH19" s="567"/>
    </row>
    <row r="20" spans="1:112" ht="26.7" customHeight="1" thickTop="1" thickBot="1">
      <c r="A20" s="484">
        <v>117</v>
      </c>
      <c r="B20" s="200" t="s">
        <v>536</v>
      </c>
      <c r="C20" s="138">
        <f>'jobinfo(2)'!C69</f>
        <v>0</v>
      </c>
      <c r="D20" s="668" t="s">
        <v>537</v>
      </c>
      <c r="E20" s="650" t="s">
        <v>553</v>
      </c>
      <c r="F20" s="755"/>
      <c r="G20" s="484">
        <f t="shared" si="2"/>
        <v>117</v>
      </c>
      <c r="H20" s="200" t="str">
        <f t="shared" si="3"/>
        <v>….</v>
      </c>
      <c r="I20" s="530">
        <f t="shared" si="4"/>
        <v>0</v>
      </c>
      <c r="J20" s="530" t="str">
        <f t="shared" si="5"/>
        <v xml:space="preserve"> = … JOB/ROOMS OVERVIEW PICS ..</v>
      </c>
      <c r="K20" s="619" t="str">
        <f>$E$20</f>
        <v>….........</v>
      </c>
      <c r="L20" s="755"/>
      <c r="M20" s="484">
        <f t="shared" si="21"/>
        <v>217</v>
      </c>
      <c r="N20" s="200" t="str">
        <f t="shared" si="6"/>
        <v>….</v>
      </c>
      <c r="O20" s="530">
        <f t="shared" si="7"/>
        <v>0</v>
      </c>
      <c r="P20" s="530" t="str">
        <f t="shared" si="8"/>
        <v>….. SOURCE of  LOSS PICS …..</v>
      </c>
      <c r="Q20" s="619" t="str">
        <f>$E$20</f>
        <v>….........</v>
      </c>
      <c r="R20" s="755"/>
      <c r="S20" s="484">
        <f t="shared" si="22"/>
        <v>317</v>
      </c>
      <c r="T20" s="200" t="str">
        <f t="shared" si="9"/>
        <v>….</v>
      </c>
      <c r="U20" s="530">
        <f t="shared" si="23"/>
        <v>0</v>
      </c>
      <c r="V20" s="530" t="str">
        <f t="shared" si="10"/>
        <v>…..  C.P.S.  …...</v>
      </c>
      <c r="W20" s="619" t="str">
        <f>$E$20</f>
        <v>….........</v>
      </c>
      <c r="X20" s="755"/>
      <c r="Y20" s="484">
        <f t="shared" si="24"/>
        <v>417</v>
      </c>
      <c r="Z20" s="200" t="str">
        <f t="shared" si="0"/>
        <v>….</v>
      </c>
      <c r="AA20" s="530">
        <f t="shared" si="11"/>
        <v>0</v>
      </c>
      <c r="AB20" s="530" t="str">
        <f t="shared" si="12"/>
        <v>NON SALVAGEABLE ITEMS</v>
      </c>
      <c r="AC20" s="619" t="str">
        <f>$E$20</f>
        <v>….........</v>
      </c>
      <c r="AD20" s="751"/>
      <c r="AE20" s="484">
        <f t="shared" si="25"/>
        <v>517</v>
      </c>
      <c r="AF20" s="200" t="s">
        <v>536</v>
      </c>
      <c r="AG20" s="530">
        <f t="shared" si="13"/>
        <v>0</v>
      </c>
      <c r="AH20" s="619" t="str">
        <f t="shared" si="34"/>
        <v>,,,,,, DMO = DEMOLITION …....</v>
      </c>
      <c r="AI20" s="619" t="str">
        <f t="shared" si="14"/>
        <v>….........</v>
      </c>
      <c r="AJ20" s="751"/>
      <c r="AK20" s="484">
        <f t="shared" si="26"/>
        <v>617</v>
      </c>
      <c r="AL20" s="200" t="s">
        <v>543</v>
      </c>
      <c r="AM20" s="530">
        <f t="shared" si="15"/>
        <v>0</v>
      </c>
      <c r="AN20" s="575" t="str">
        <f t="shared" si="27"/>
        <v>… WTR MITIGATION  EQUIPMENT &amp; W.I.P . ...</v>
      </c>
      <c r="AO20" s="619" t="str">
        <f>$E$20</f>
        <v>….........</v>
      </c>
      <c r="AP20" s="755"/>
      <c r="AQ20" s="484">
        <f t="shared" si="28"/>
        <v>717</v>
      </c>
      <c r="AR20" s="200" t="s">
        <v>543</v>
      </c>
      <c r="AS20" s="530">
        <f t="shared" si="16"/>
        <v>0</v>
      </c>
      <c r="AT20" s="575" t="str">
        <f t="shared" si="29"/>
        <v>… HMR MITIGATION  EQUIPMENT &amp; W.I.P . ...</v>
      </c>
      <c r="AU20" s="619" t="str">
        <f>$E$20</f>
        <v>….........</v>
      </c>
      <c r="AV20" s="755"/>
      <c r="AW20" s="771">
        <f t="shared" si="17"/>
        <v>8017</v>
      </c>
      <c r="AX20" s="200" t="s">
        <v>543</v>
      </c>
      <c r="AY20" s="772">
        <f t="shared" si="18"/>
        <v>0</v>
      </c>
      <c r="AZ20" s="662" t="str">
        <f t="shared" si="30"/>
        <v>… DAY # 0  … MC READINGS STABILIZATION</v>
      </c>
      <c r="BA20" s="769"/>
      <c r="BB20" s="769"/>
      <c r="BC20" s="755"/>
      <c r="BD20" s="381">
        <f t="shared" si="35"/>
        <v>8117.1</v>
      </c>
      <c r="BE20" s="200" t="s">
        <v>543</v>
      </c>
      <c r="BF20" s="530">
        <f t="shared" si="19"/>
        <v>0</v>
      </c>
      <c r="BG20" s="530" t="str">
        <f t="shared" si="36"/>
        <v xml:space="preserve">  ...  DAY1    MC READINGS ..</v>
      </c>
      <c r="BI20" s="619" t="str">
        <f>$E$20</f>
        <v>….........</v>
      </c>
      <c r="BJ20" s="755"/>
      <c r="BK20" s="739">
        <f t="shared" si="37"/>
        <v>8217.2000000000007</v>
      </c>
      <c r="BL20" s="200" t="s">
        <v>543</v>
      </c>
      <c r="BM20" s="530">
        <f t="shared" si="31"/>
        <v>0</v>
      </c>
      <c r="BN20" t="str">
        <f t="shared" si="38"/>
        <v xml:space="preserve">  ...  DAY2    MC READINGS ..</v>
      </c>
      <c r="BO20" s="619" t="str">
        <f>$E$20</f>
        <v>….........</v>
      </c>
      <c r="BP20" s="755"/>
      <c r="BQ20" s="739">
        <f t="shared" si="39"/>
        <v>8317.2999999999993</v>
      </c>
      <c r="BR20" s="200" t="s">
        <v>543</v>
      </c>
      <c r="BS20" s="530">
        <f t="shared" si="32"/>
        <v>0</v>
      </c>
      <c r="BT20" t="str">
        <f t="shared" si="40"/>
        <v xml:space="preserve">  ...  DAY3    MC READINGS ..</v>
      </c>
      <c r="BU20" s="619" t="str">
        <f>$E$20</f>
        <v>….........</v>
      </c>
      <c r="BV20" s="755"/>
      <c r="BW20" s="244">
        <f t="shared" si="41"/>
        <v>8417.4</v>
      </c>
      <c r="BX20" s="200" t="s">
        <v>543</v>
      </c>
      <c r="BY20" s="530">
        <f t="shared" si="33"/>
        <v>0</v>
      </c>
      <c r="BZ20" t="str">
        <f t="shared" si="42"/>
        <v xml:space="preserve">  ...  DAY4    MC READINGS </v>
      </c>
      <c r="CA20" s="619" t="str">
        <f>$E$20</f>
        <v>….........</v>
      </c>
      <c r="CB20" s="755"/>
      <c r="CC20" s="625">
        <f t="shared" si="44"/>
        <v>9303.3000000000011</v>
      </c>
      <c r="CD20" s="607" t="s">
        <v>565</v>
      </c>
      <c r="CE20" s="32" t="str">
        <f t="shared" ref="CE20:CE21" si="45">CE18</f>
        <v xml:space="preserve">….. DAY 3 ….. </v>
      </c>
      <c r="CF20" s="602" t="s">
        <v>558</v>
      </c>
      <c r="CJ20" s="632"/>
      <c r="CK20" s="572"/>
      <c r="CL20" s="14"/>
      <c r="CM20" s="628"/>
      <c r="CN20" t="s">
        <v>537</v>
      </c>
      <c r="CO20" s="138"/>
      <c r="CW20" s="606"/>
      <c r="CX20">
        <f t="shared" si="1"/>
        <v>0</v>
      </c>
      <c r="CY20" t="str">
        <f t="shared" si="20"/>
        <v>….........</v>
      </c>
      <c r="DH20" s="565"/>
    </row>
    <row r="21" spans="1:112" ht="26.7" customHeight="1" thickTop="1" thickBot="1">
      <c r="A21" s="484">
        <v>118</v>
      </c>
      <c r="B21" s="200" t="s">
        <v>536</v>
      </c>
      <c r="C21" s="138">
        <f>'jobinfo(2)'!C70</f>
        <v>0</v>
      </c>
      <c r="D21" s="668" t="s">
        <v>537</v>
      </c>
      <c r="E21" s="650" t="s">
        <v>553</v>
      </c>
      <c r="F21" s="755"/>
      <c r="G21" s="484">
        <f t="shared" si="2"/>
        <v>118</v>
      </c>
      <c r="H21" s="200" t="str">
        <f t="shared" si="3"/>
        <v>….</v>
      </c>
      <c r="I21" s="530">
        <f t="shared" si="4"/>
        <v>0</v>
      </c>
      <c r="J21" s="530" t="str">
        <f t="shared" si="5"/>
        <v xml:space="preserve"> = … JOB/ROOMS OVERVIEW PICS ..</v>
      </c>
      <c r="K21" s="619" t="str">
        <f>$E$21</f>
        <v>….........</v>
      </c>
      <c r="L21" s="755"/>
      <c r="M21" s="484">
        <f t="shared" si="21"/>
        <v>218</v>
      </c>
      <c r="N21" s="200" t="str">
        <f t="shared" si="6"/>
        <v>….</v>
      </c>
      <c r="O21" s="530">
        <f t="shared" si="7"/>
        <v>0</v>
      </c>
      <c r="P21" s="530" t="str">
        <f t="shared" si="8"/>
        <v>….. SOURCE of  LOSS PICS …..</v>
      </c>
      <c r="Q21" s="619" t="str">
        <f>$E$21</f>
        <v>….........</v>
      </c>
      <c r="R21" s="755"/>
      <c r="S21" s="484">
        <f t="shared" si="22"/>
        <v>318</v>
      </c>
      <c r="T21" s="200" t="str">
        <f t="shared" si="9"/>
        <v>….</v>
      </c>
      <c r="U21" s="530">
        <f t="shared" si="23"/>
        <v>0</v>
      </c>
      <c r="V21" s="530" t="str">
        <f t="shared" si="10"/>
        <v>…..  C.P.S.  …...</v>
      </c>
      <c r="W21" s="619" t="str">
        <f>$E$21</f>
        <v>….........</v>
      </c>
      <c r="X21" s="755"/>
      <c r="Y21" s="484">
        <f t="shared" si="24"/>
        <v>418</v>
      </c>
      <c r="Z21" s="200" t="str">
        <f t="shared" si="0"/>
        <v>….</v>
      </c>
      <c r="AA21" s="530">
        <f t="shared" si="11"/>
        <v>0</v>
      </c>
      <c r="AB21" s="530" t="str">
        <f t="shared" si="12"/>
        <v>NON SALVAGEABLE ITEMS</v>
      </c>
      <c r="AC21" s="619" t="str">
        <f>$E$21</f>
        <v>….........</v>
      </c>
      <c r="AD21" s="751"/>
      <c r="AE21" s="484">
        <f t="shared" si="25"/>
        <v>518</v>
      </c>
      <c r="AF21" s="200" t="s">
        <v>536</v>
      </c>
      <c r="AG21" s="530">
        <f t="shared" si="13"/>
        <v>0</v>
      </c>
      <c r="AH21" s="619" t="str">
        <f t="shared" si="34"/>
        <v>,,,,,, DMO = DEMOLITION …....</v>
      </c>
      <c r="AI21" s="619" t="str">
        <f t="shared" si="14"/>
        <v>….........</v>
      </c>
      <c r="AJ21" s="751"/>
      <c r="AK21" s="484">
        <f t="shared" si="26"/>
        <v>618</v>
      </c>
      <c r="AL21" s="200" t="s">
        <v>543</v>
      </c>
      <c r="AM21" s="530">
        <f t="shared" si="15"/>
        <v>0</v>
      </c>
      <c r="AN21" s="575" t="str">
        <f t="shared" si="27"/>
        <v>… WTR MITIGATION  EQUIPMENT &amp; W.I.P . ...</v>
      </c>
      <c r="AO21" s="619" t="str">
        <f>$E$21</f>
        <v>….........</v>
      </c>
      <c r="AP21" s="755"/>
      <c r="AQ21" s="484">
        <f t="shared" si="28"/>
        <v>718</v>
      </c>
      <c r="AR21" s="200" t="s">
        <v>543</v>
      </c>
      <c r="AS21" s="530">
        <f t="shared" si="16"/>
        <v>0</v>
      </c>
      <c r="AT21" s="575" t="str">
        <f t="shared" si="29"/>
        <v>… HMR MITIGATION  EQUIPMENT &amp; W.I.P . ...</v>
      </c>
      <c r="AU21" s="619" t="str">
        <f>$E$21</f>
        <v>….........</v>
      </c>
      <c r="AV21" s="755"/>
      <c r="AW21" s="771">
        <f t="shared" si="17"/>
        <v>8018</v>
      </c>
      <c r="AX21" s="200" t="s">
        <v>543</v>
      </c>
      <c r="AY21" s="772">
        <f t="shared" si="18"/>
        <v>0</v>
      </c>
      <c r="AZ21" s="662" t="str">
        <f t="shared" si="30"/>
        <v>… DAY # 0  … MC READINGS STABILIZATION</v>
      </c>
      <c r="BA21" s="769"/>
      <c r="BB21" s="769"/>
      <c r="BC21" s="755"/>
      <c r="BD21" s="381">
        <f t="shared" si="35"/>
        <v>8118.1</v>
      </c>
      <c r="BE21" s="200" t="s">
        <v>543</v>
      </c>
      <c r="BF21" s="530">
        <f t="shared" si="19"/>
        <v>0</v>
      </c>
      <c r="BG21" s="530" t="str">
        <f t="shared" si="36"/>
        <v xml:space="preserve">  ...  DAY1    MC READINGS ..</v>
      </c>
      <c r="BI21" s="619" t="str">
        <f>$E$21</f>
        <v>….........</v>
      </c>
      <c r="BJ21" s="755"/>
      <c r="BK21" s="739">
        <f t="shared" si="37"/>
        <v>8218.2000000000007</v>
      </c>
      <c r="BL21" s="200" t="s">
        <v>543</v>
      </c>
      <c r="BM21" s="530">
        <f t="shared" si="31"/>
        <v>0</v>
      </c>
      <c r="BN21" t="str">
        <f t="shared" si="38"/>
        <v xml:space="preserve">  ...  DAY2    MC READINGS ..</v>
      </c>
      <c r="BO21" s="619" t="str">
        <f>$E$21</f>
        <v>….........</v>
      </c>
      <c r="BP21" s="755"/>
      <c r="BQ21" s="739">
        <f t="shared" si="39"/>
        <v>8318.2999999999993</v>
      </c>
      <c r="BR21" s="200" t="s">
        <v>543</v>
      </c>
      <c r="BS21" s="530">
        <f t="shared" si="32"/>
        <v>0</v>
      </c>
      <c r="BT21" t="str">
        <f t="shared" si="40"/>
        <v xml:space="preserve">  ...  DAY3    MC READINGS ..</v>
      </c>
      <c r="BU21" s="619" t="str">
        <f>$E$21</f>
        <v>….........</v>
      </c>
      <c r="BV21" s="755"/>
      <c r="BW21" s="244">
        <f t="shared" si="41"/>
        <v>8418.4</v>
      </c>
      <c r="BX21" s="200" t="s">
        <v>543</v>
      </c>
      <c r="BY21" s="530">
        <f t="shared" si="33"/>
        <v>0</v>
      </c>
      <c r="BZ21" t="str">
        <f t="shared" si="42"/>
        <v xml:space="preserve">  ...  DAY4    MC READINGS </v>
      </c>
      <c r="CA21" s="619" t="str">
        <f>$E$21</f>
        <v>….........</v>
      </c>
      <c r="CB21" s="755"/>
      <c r="CC21" s="625">
        <f t="shared" si="44"/>
        <v>9304.3000000000011</v>
      </c>
      <c r="CD21" s="607" t="s">
        <v>568</v>
      </c>
      <c r="CE21" s="32" t="str">
        <f t="shared" si="45"/>
        <v xml:space="preserve">….. DAY 3 ….. </v>
      </c>
      <c r="CF21" s="602" t="s">
        <v>558</v>
      </c>
      <c r="CJ21" s="632"/>
      <c r="CK21" s="572"/>
      <c r="CL21" s="14"/>
      <c r="CM21" s="602"/>
      <c r="CN21" t="s">
        <v>537</v>
      </c>
      <c r="CO21" s="602"/>
      <c r="CW21" s="606"/>
      <c r="CX21">
        <f t="shared" si="1"/>
        <v>0</v>
      </c>
      <c r="CY21" t="str">
        <f t="shared" si="20"/>
        <v>….........</v>
      </c>
      <c r="DH21" s="567"/>
    </row>
    <row r="22" spans="1:112" ht="26.7" customHeight="1" thickTop="1" thickBot="1">
      <c r="A22" s="484">
        <v>119</v>
      </c>
      <c r="B22" s="200" t="s">
        <v>536</v>
      </c>
      <c r="C22" s="138">
        <f>'jobinfo(2)'!C71</f>
        <v>0</v>
      </c>
      <c r="D22" s="668" t="s">
        <v>537</v>
      </c>
      <c r="E22" s="650" t="s">
        <v>553</v>
      </c>
      <c r="F22" s="755"/>
      <c r="G22" s="484">
        <f t="shared" si="2"/>
        <v>119</v>
      </c>
      <c r="H22" s="200" t="str">
        <f t="shared" si="3"/>
        <v>….</v>
      </c>
      <c r="I22" s="530">
        <f t="shared" si="4"/>
        <v>0</v>
      </c>
      <c r="J22" s="530" t="str">
        <f t="shared" si="5"/>
        <v xml:space="preserve"> = … JOB/ROOMS OVERVIEW PICS ..</v>
      </c>
      <c r="K22" s="619" t="str">
        <f>$E$22</f>
        <v>….........</v>
      </c>
      <c r="L22" s="755"/>
      <c r="M22" s="484">
        <f t="shared" si="21"/>
        <v>219</v>
      </c>
      <c r="N22" s="200" t="str">
        <f t="shared" si="6"/>
        <v>….</v>
      </c>
      <c r="O22" s="530">
        <f t="shared" si="7"/>
        <v>0</v>
      </c>
      <c r="P22" s="530" t="str">
        <f t="shared" si="8"/>
        <v>….. SOURCE of  LOSS PICS …..</v>
      </c>
      <c r="Q22" s="619" t="str">
        <f>$E$22</f>
        <v>….........</v>
      </c>
      <c r="R22" s="755"/>
      <c r="S22" s="484">
        <f t="shared" si="22"/>
        <v>319</v>
      </c>
      <c r="T22" s="200" t="str">
        <f t="shared" si="9"/>
        <v>….</v>
      </c>
      <c r="U22" s="530">
        <f t="shared" si="23"/>
        <v>0</v>
      </c>
      <c r="V22" s="530" t="str">
        <f t="shared" si="10"/>
        <v>…..  C.P.S.  …...</v>
      </c>
      <c r="W22" s="619" t="str">
        <f>$E$22</f>
        <v>….........</v>
      </c>
      <c r="X22" s="755"/>
      <c r="Y22" s="484">
        <f t="shared" si="24"/>
        <v>419</v>
      </c>
      <c r="Z22" s="200" t="str">
        <f t="shared" si="0"/>
        <v>….</v>
      </c>
      <c r="AA22" s="530">
        <f t="shared" si="11"/>
        <v>0</v>
      </c>
      <c r="AB22" s="530" t="str">
        <f t="shared" si="12"/>
        <v>NON SALVAGEABLE ITEMS</v>
      </c>
      <c r="AC22" s="619" t="str">
        <f>$E$22</f>
        <v>….........</v>
      </c>
      <c r="AD22" s="751"/>
      <c r="AE22" s="484">
        <f t="shared" si="25"/>
        <v>519</v>
      </c>
      <c r="AF22" s="200" t="s">
        <v>536</v>
      </c>
      <c r="AG22" s="530">
        <f t="shared" si="13"/>
        <v>0</v>
      </c>
      <c r="AH22" s="619" t="str">
        <f t="shared" si="34"/>
        <v>,,,,,, DMO = DEMOLITION …....</v>
      </c>
      <c r="AI22" s="619" t="str">
        <f t="shared" si="14"/>
        <v>….........</v>
      </c>
      <c r="AJ22" s="751"/>
      <c r="AK22" s="484">
        <f t="shared" si="26"/>
        <v>619</v>
      </c>
      <c r="AL22" s="200" t="s">
        <v>543</v>
      </c>
      <c r="AM22" s="530">
        <f t="shared" si="15"/>
        <v>0</v>
      </c>
      <c r="AN22" s="575" t="str">
        <f t="shared" si="27"/>
        <v>… WTR MITIGATION  EQUIPMENT &amp; W.I.P . ...</v>
      </c>
      <c r="AO22" s="619" t="str">
        <f>$E$22</f>
        <v>….........</v>
      </c>
      <c r="AP22" s="755"/>
      <c r="AQ22" s="484">
        <f t="shared" si="28"/>
        <v>719</v>
      </c>
      <c r="AR22" s="200" t="s">
        <v>543</v>
      </c>
      <c r="AS22" s="530">
        <f t="shared" si="16"/>
        <v>0</v>
      </c>
      <c r="AT22" s="575" t="str">
        <f t="shared" si="29"/>
        <v>… HMR MITIGATION  EQUIPMENT &amp; W.I.P . ...</v>
      </c>
      <c r="AU22" s="619" t="str">
        <f>$E$22</f>
        <v>….........</v>
      </c>
      <c r="AV22" s="755"/>
      <c r="AW22" s="771">
        <f t="shared" si="17"/>
        <v>8019</v>
      </c>
      <c r="AX22" s="200" t="s">
        <v>543</v>
      </c>
      <c r="AY22" s="772">
        <f t="shared" si="18"/>
        <v>0</v>
      </c>
      <c r="AZ22" s="662" t="str">
        <f t="shared" si="30"/>
        <v>… DAY # 0  … MC READINGS STABILIZATION</v>
      </c>
      <c r="BA22" s="769"/>
      <c r="BB22" s="769"/>
      <c r="BC22" s="755"/>
      <c r="BD22" s="381">
        <f t="shared" si="35"/>
        <v>8119.1</v>
      </c>
      <c r="BE22" s="200" t="s">
        <v>543</v>
      </c>
      <c r="BF22" s="530">
        <f t="shared" si="19"/>
        <v>0</v>
      </c>
      <c r="BG22" s="530" t="str">
        <f t="shared" si="36"/>
        <v xml:space="preserve">  ...  DAY1    MC READINGS ..</v>
      </c>
      <c r="BI22" s="619" t="str">
        <f>$E$22</f>
        <v>….........</v>
      </c>
      <c r="BJ22" s="755"/>
      <c r="BK22" s="739">
        <f t="shared" si="37"/>
        <v>8219.2000000000007</v>
      </c>
      <c r="BL22" s="200" t="s">
        <v>543</v>
      </c>
      <c r="BM22" s="530">
        <f t="shared" si="31"/>
        <v>0</v>
      </c>
      <c r="BN22" t="str">
        <f t="shared" si="38"/>
        <v xml:space="preserve">  ...  DAY2    MC READINGS ..</v>
      </c>
      <c r="BO22" s="619" t="str">
        <f>$E$22</f>
        <v>….........</v>
      </c>
      <c r="BP22" s="755"/>
      <c r="BQ22" s="739">
        <f t="shared" si="39"/>
        <v>8319.2999999999993</v>
      </c>
      <c r="BR22" s="200" t="s">
        <v>543</v>
      </c>
      <c r="BS22" s="530">
        <f t="shared" si="32"/>
        <v>0</v>
      </c>
      <c r="BT22" t="str">
        <f t="shared" si="40"/>
        <v xml:space="preserve">  ...  DAY3    MC READINGS ..</v>
      </c>
      <c r="BU22" s="619" t="str">
        <f>$E$22</f>
        <v>….........</v>
      </c>
      <c r="BV22" s="755"/>
      <c r="BW22" s="244">
        <f t="shared" si="41"/>
        <v>8419.4</v>
      </c>
      <c r="BX22" s="200" t="s">
        <v>543</v>
      </c>
      <c r="BY22" s="530">
        <f t="shared" si="33"/>
        <v>0</v>
      </c>
      <c r="BZ22" t="str">
        <f t="shared" si="42"/>
        <v xml:space="preserve">  ...  DAY4    MC READINGS </v>
      </c>
      <c r="CA22" s="619" t="str">
        <f>$E$22</f>
        <v>….........</v>
      </c>
      <c r="CB22" s="755"/>
      <c r="CC22" s="632">
        <f>CC17+100.1</f>
        <v>9400.4000000000015</v>
      </c>
      <c r="CD22" s="602" t="str">
        <f>CD16</f>
        <v>RH &amp;T &amp; GPP  DRY CHAMBERS [DC] .READ INGS  ===========</v>
      </c>
      <c r="CE22" s="621" t="s">
        <v>532</v>
      </c>
      <c r="CF22" s="602" t="s">
        <v>558</v>
      </c>
      <c r="CJ22" s="632"/>
      <c r="CK22" s="572"/>
      <c r="CL22" s="14"/>
      <c r="CM22" s="661"/>
      <c r="CN22" t="s">
        <v>537</v>
      </c>
      <c r="CO22" s="138"/>
      <c r="CW22" s="606"/>
      <c r="CX22">
        <f t="shared" si="1"/>
        <v>0</v>
      </c>
      <c r="CY22" t="str">
        <f t="shared" si="20"/>
        <v>….........</v>
      </c>
      <c r="DH22" s="565"/>
    </row>
    <row r="23" spans="1:112" ht="26.7" customHeight="1" thickTop="1" thickBot="1">
      <c r="A23" s="484">
        <v>120</v>
      </c>
      <c r="B23" s="200" t="s">
        <v>536</v>
      </c>
      <c r="C23" s="138">
        <f>'jobinfo(2)'!C72</f>
        <v>0</v>
      </c>
      <c r="D23" s="668" t="s">
        <v>537</v>
      </c>
      <c r="E23" s="650" t="s">
        <v>553</v>
      </c>
      <c r="F23" s="755"/>
      <c r="G23" s="484">
        <f t="shared" si="2"/>
        <v>120</v>
      </c>
      <c r="H23" s="200" t="str">
        <f t="shared" si="3"/>
        <v>….</v>
      </c>
      <c r="I23" s="530">
        <f t="shared" si="4"/>
        <v>0</v>
      </c>
      <c r="J23" s="530" t="str">
        <f t="shared" si="5"/>
        <v xml:space="preserve"> = … JOB/ROOMS OVERVIEW PICS ..</v>
      </c>
      <c r="K23" s="619" t="str">
        <f>$E$23</f>
        <v>….........</v>
      </c>
      <c r="L23" s="755"/>
      <c r="M23" s="484">
        <f t="shared" si="21"/>
        <v>220</v>
      </c>
      <c r="N23" s="200" t="str">
        <f t="shared" si="6"/>
        <v>….</v>
      </c>
      <c r="O23" s="530">
        <f t="shared" si="7"/>
        <v>0</v>
      </c>
      <c r="P23" s="530" t="str">
        <f t="shared" si="8"/>
        <v>….. SOURCE of  LOSS PICS …..</v>
      </c>
      <c r="Q23" s="619" t="str">
        <f>$E$23</f>
        <v>….........</v>
      </c>
      <c r="R23" s="755"/>
      <c r="S23" s="484">
        <f t="shared" si="22"/>
        <v>320</v>
      </c>
      <c r="T23" s="200" t="str">
        <f t="shared" si="9"/>
        <v>….</v>
      </c>
      <c r="U23" s="530">
        <f t="shared" si="23"/>
        <v>0</v>
      </c>
      <c r="V23" s="530" t="str">
        <f t="shared" si="10"/>
        <v>…..  C.P.S.  …...</v>
      </c>
      <c r="W23" s="619" t="str">
        <f>$E$23</f>
        <v>….........</v>
      </c>
      <c r="X23" s="755"/>
      <c r="Y23" s="484">
        <f t="shared" si="24"/>
        <v>420</v>
      </c>
      <c r="Z23" s="200" t="str">
        <f t="shared" si="0"/>
        <v>….</v>
      </c>
      <c r="AA23" s="530">
        <f t="shared" si="11"/>
        <v>0</v>
      </c>
      <c r="AB23" s="530" t="str">
        <f t="shared" si="12"/>
        <v>NON SALVAGEABLE ITEMS</v>
      </c>
      <c r="AC23" s="619" t="str">
        <f>$E$23</f>
        <v>….........</v>
      </c>
      <c r="AD23" s="751"/>
      <c r="AE23" s="484">
        <f t="shared" si="25"/>
        <v>520</v>
      </c>
      <c r="AF23" s="200" t="s">
        <v>536</v>
      </c>
      <c r="AG23" s="530">
        <f t="shared" si="13"/>
        <v>0</v>
      </c>
      <c r="AH23" s="619" t="str">
        <f t="shared" si="34"/>
        <v>,,,,,, DMO = DEMOLITION …....</v>
      </c>
      <c r="AI23" s="619" t="str">
        <f t="shared" si="14"/>
        <v>….........</v>
      </c>
      <c r="AJ23" s="751"/>
      <c r="AK23" s="484">
        <f t="shared" si="26"/>
        <v>620</v>
      </c>
      <c r="AL23" s="200" t="s">
        <v>543</v>
      </c>
      <c r="AM23" s="530">
        <f t="shared" si="15"/>
        <v>0</v>
      </c>
      <c r="AN23" s="575" t="str">
        <f t="shared" si="27"/>
        <v>… WTR MITIGATION  EQUIPMENT &amp; W.I.P . ...</v>
      </c>
      <c r="AO23" s="619" t="str">
        <f>$E$23</f>
        <v>….........</v>
      </c>
      <c r="AP23" s="755"/>
      <c r="AQ23" s="484">
        <f t="shared" si="28"/>
        <v>720</v>
      </c>
      <c r="AR23" s="200" t="s">
        <v>543</v>
      </c>
      <c r="AS23" s="530">
        <f t="shared" si="16"/>
        <v>0</v>
      </c>
      <c r="AT23" s="575" t="str">
        <f t="shared" si="29"/>
        <v>… HMR MITIGATION  EQUIPMENT &amp; W.I.P . ...</v>
      </c>
      <c r="AU23" s="619" t="str">
        <f>$E$23</f>
        <v>….........</v>
      </c>
      <c r="AV23" s="755"/>
      <c r="AW23" s="771">
        <f t="shared" si="17"/>
        <v>8020</v>
      </c>
      <c r="AX23" s="200" t="s">
        <v>543</v>
      </c>
      <c r="AY23" s="772">
        <f t="shared" si="18"/>
        <v>0</v>
      </c>
      <c r="AZ23" s="662" t="str">
        <f t="shared" si="30"/>
        <v>… DAY # 0  … MC READINGS STABILIZATION</v>
      </c>
      <c r="BA23" s="769"/>
      <c r="BB23" s="769"/>
      <c r="BC23" s="755"/>
      <c r="BD23" s="381">
        <f t="shared" si="35"/>
        <v>8120.1</v>
      </c>
      <c r="BE23" s="200" t="s">
        <v>543</v>
      </c>
      <c r="BF23" s="530">
        <f t="shared" si="19"/>
        <v>0</v>
      </c>
      <c r="BG23" s="530" t="str">
        <f t="shared" si="36"/>
        <v xml:space="preserve">  ...  DAY1    MC READINGS ..</v>
      </c>
      <c r="BI23" s="619" t="str">
        <f>$E$23</f>
        <v>….........</v>
      </c>
      <c r="BJ23" s="755"/>
      <c r="BK23" s="739">
        <f t="shared" si="37"/>
        <v>8220.2000000000007</v>
      </c>
      <c r="BL23" s="200" t="s">
        <v>543</v>
      </c>
      <c r="BM23" s="530">
        <f t="shared" si="31"/>
        <v>0</v>
      </c>
      <c r="BN23" t="str">
        <f t="shared" si="38"/>
        <v xml:space="preserve">  ...  DAY2    MC READINGS ..</v>
      </c>
      <c r="BO23" s="619" t="str">
        <f>$E$23</f>
        <v>….........</v>
      </c>
      <c r="BP23" s="755"/>
      <c r="BQ23" s="739">
        <f t="shared" si="39"/>
        <v>8320.2999999999993</v>
      </c>
      <c r="BR23" s="200" t="s">
        <v>543</v>
      </c>
      <c r="BS23" s="530">
        <f t="shared" si="32"/>
        <v>0</v>
      </c>
      <c r="BT23" t="str">
        <f t="shared" si="40"/>
        <v xml:space="preserve">  ...  DAY3    MC READINGS ..</v>
      </c>
      <c r="BU23" s="619" t="str">
        <f>$E$23</f>
        <v>….........</v>
      </c>
      <c r="BV23" s="755"/>
      <c r="BW23" s="244">
        <f t="shared" si="41"/>
        <v>8420.4</v>
      </c>
      <c r="BX23" s="200" t="s">
        <v>543</v>
      </c>
      <c r="BY23" s="530">
        <f t="shared" si="33"/>
        <v>0</v>
      </c>
      <c r="BZ23" t="str">
        <f t="shared" si="42"/>
        <v xml:space="preserve">  ...  DAY4    MC READINGS </v>
      </c>
      <c r="CA23" s="619" t="str">
        <f>$E$23</f>
        <v>….........</v>
      </c>
      <c r="CB23" s="755"/>
      <c r="CC23" s="625">
        <f>CC22+1</f>
        <v>9401.4000000000015</v>
      </c>
      <c r="CD23" s="606" t="s">
        <v>557</v>
      </c>
      <c r="CE23" s="622" t="s">
        <v>532</v>
      </c>
      <c r="CF23" s="602" t="s">
        <v>558</v>
      </c>
      <c r="CJ23" s="632"/>
      <c r="CK23" s="572"/>
      <c r="CL23" s="14"/>
      <c r="CM23" s="602"/>
      <c r="CN23" t="s">
        <v>537</v>
      </c>
      <c r="CO23" s="138"/>
      <c r="CW23" s="606"/>
      <c r="CX23">
        <f t="shared" si="1"/>
        <v>0</v>
      </c>
      <c r="CY23" t="str">
        <f t="shared" si="20"/>
        <v>….........</v>
      </c>
      <c r="DH23" s="567"/>
    </row>
    <row r="24" spans="1:112" ht="26.7" customHeight="1" thickTop="1" thickBot="1">
      <c r="A24" s="484">
        <v>121</v>
      </c>
      <c r="B24" s="200" t="s">
        <v>536</v>
      </c>
      <c r="C24" s="138">
        <f>'jobinfo(2)'!C73</f>
        <v>0</v>
      </c>
      <c r="D24" s="668" t="s">
        <v>537</v>
      </c>
      <c r="E24" s="650" t="s">
        <v>553</v>
      </c>
      <c r="F24" s="755"/>
      <c r="G24" s="484">
        <f t="shared" si="2"/>
        <v>121</v>
      </c>
      <c r="H24" s="200" t="str">
        <f t="shared" si="3"/>
        <v>….</v>
      </c>
      <c r="I24" s="530">
        <f t="shared" si="4"/>
        <v>0</v>
      </c>
      <c r="J24" s="530" t="str">
        <f t="shared" si="5"/>
        <v xml:space="preserve"> = … JOB/ROOMS OVERVIEW PICS ..</v>
      </c>
      <c r="K24" s="619" t="str">
        <f>$E$24</f>
        <v>….........</v>
      </c>
      <c r="L24" s="755"/>
      <c r="M24" s="484">
        <f t="shared" si="21"/>
        <v>221</v>
      </c>
      <c r="N24" s="200" t="str">
        <f t="shared" si="6"/>
        <v>….</v>
      </c>
      <c r="O24" s="530">
        <f t="shared" si="7"/>
        <v>0</v>
      </c>
      <c r="P24" s="530" t="str">
        <f t="shared" si="8"/>
        <v>….. SOURCE of  LOSS PICS …..</v>
      </c>
      <c r="Q24" s="619" t="str">
        <f>$E$24</f>
        <v>….........</v>
      </c>
      <c r="R24" s="755"/>
      <c r="S24" s="484">
        <f t="shared" si="22"/>
        <v>321</v>
      </c>
      <c r="T24" s="200" t="str">
        <f t="shared" si="9"/>
        <v>….</v>
      </c>
      <c r="U24" s="530">
        <f t="shared" si="23"/>
        <v>0</v>
      </c>
      <c r="V24" s="530" t="str">
        <f t="shared" si="10"/>
        <v>…..  C.P.S.  …...</v>
      </c>
      <c r="W24" s="619" t="str">
        <f>$E$24</f>
        <v>….........</v>
      </c>
      <c r="X24" s="755"/>
      <c r="Y24" s="484">
        <f t="shared" si="24"/>
        <v>421</v>
      </c>
      <c r="Z24" s="200" t="str">
        <f t="shared" si="0"/>
        <v>….</v>
      </c>
      <c r="AA24" s="530">
        <f t="shared" si="11"/>
        <v>0</v>
      </c>
      <c r="AB24" s="530" t="str">
        <f t="shared" si="12"/>
        <v>NON SALVAGEABLE ITEMS</v>
      </c>
      <c r="AC24" s="619" t="str">
        <f>$E$24</f>
        <v>….........</v>
      </c>
      <c r="AD24" s="751"/>
      <c r="AE24" s="484">
        <f t="shared" si="25"/>
        <v>521</v>
      </c>
      <c r="AF24" s="200" t="s">
        <v>536</v>
      </c>
      <c r="AG24" s="530">
        <f t="shared" si="13"/>
        <v>0</v>
      </c>
      <c r="AH24" s="619" t="str">
        <f t="shared" si="34"/>
        <v>,,,,,, DMO = DEMOLITION …....</v>
      </c>
      <c r="AI24" s="619" t="str">
        <f t="shared" si="14"/>
        <v>….........</v>
      </c>
      <c r="AJ24" s="751"/>
      <c r="AK24" s="484">
        <f t="shared" si="26"/>
        <v>621</v>
      </c>
      <c r="AL24" s="200" t="s">
        <v>543</v>
      </c>
      <c r="AM24" s="530">
        <f t="shared" si="15"/>
        <v>0</v>
      </c>
      <c r="AN24" s="575" t="str">
        <f t="shared" si="27"/>
        <v>… WTR MITIGATION  EQUIPMENT &amp; W.I.P . ...</v>
      </c>
      <c r="AO24" s="619" t="str">
        <f>$E$24</f>
        <v>….........</v>
      </c>
      <c r="AP24" s="755"/>
      <c r="AQ24" s="484">
        <f t="shared" si="28"/>
        <v>721</v>
      </c>
      <c r="AR24" s="200" t="s">
        <v>543</v>
      </c>
      <c r="AS24" s="530">
        <f t="shared" si="16"/>
        <v>0</v>
      </c>
      <c r="AT24" s="575" t="str">
        <f t="shared" si="29"/>
        <v>… HMR MITIGATION  EQUIPMENT &amp; W.I.P . ...</v>
      </c>
      <c r="AU24" s="619" t="str">
        <f>$E$24</f>
        <v>….........</v>
      </c>
      <c r="AV24" s="755"/>
      <c r="AW24" s="771">
        <f t="shared" si="17"/>
        <v>8021</v>
      </c>
      <c r="AX24" s="200" t="s">
        <v>543</v>
      </c>
      <c r="AY24" s="772">
        <f t="shared" si="18"/>
        <v>0</v>
      </c>
      <c r="AZ24" s="662" t="str">
        <f t="shared" si="30"/>
        <v>… DAY # 0  … MC READINGS STABILIZATION</v>
      </c>
      <c r="BA24" s="769"/>
      <c r="BB24" s="769"/>
      <c r="BC24" s="755"/>
      <c r="BD24" s="381">
        <f t="shared" si="35"/>
        <v>8121.1</v>
      </c>
      <c r="BE24" s="200" t="s">
        <v>543</v>
      </c>
      <c r="BF24" s="530">
        <f t="shared" si="19"/>
        <v>0</v>
      </c>
      <c r="BG24" s="530" t="str">
        <f t="shared" si="36"/>
        <v xml:space="preserve">  ...  DAY1    MC READINGS ..</v>
      </c>
      <c r="BI24" s="619" t="str">
        <f>$E$24</f>
        <v>….........</v>
      </c>
      <c r="BJ24" s="755"/>
      <c r="BK24" s="739">
        <f t="shared" si="37"/>
        <v>8221.2000000000007</v>
      </c>
      <c r="BL24" s="200" t="s">
        <v>543</v>
      </c>
      <c r="BM24" s="530">
        <f t="shared" si="31"/>
        <v>0</v>
      </c>
      <c r="BN24" t="str">
        <f t="shared" si="38"/>
        <v xml:space="preserve">  ...  DAY2    MC READINGS ..</v>
      </c>
      <c r="BO24" s="619" t="str">
        <f>$E$24</f>
        <v>….........</v>
      </c>
      <c r="BP24" s="755"/>
      <c r="BQ24" s="739">
        <f t="shared" si="39"/>
        <v>8321.2999999999993</v>
      </c>
      <c r="BR24" s="200" t="s">
        <v>543</v>
      </c>
      <c r="BS24" s="530">
        <f t="shared" si="32"/>
        <v>0</v>
      </c>
      <c r="BT24" t="str">
        <f t="shared" si="40"/>
        <v xml:space="preserve">  ...  DAY3    MC READINGS ..</v>
      </c>
      <c r="BU24" s="619" t="str">
        <f>$E$24</f>
        <v>….........</v>
      </c>
      <c r="BV24" s="755"/>
      <c r="BW24" s="244">
        <f t="shared" si="41"/>
        <v>8421.4</v>
      </c>
      <c r="BX24" s="200" t="s">
        <v>543</v>
      </c>
      <c r="BY24" s="530">
        <f t="shared" si="33"/>
        <v>0</v>
      </c>
      <c r="BZ24" t="str">
        <f t="shared" si="42"/>
        <v xml:space="preserve">  ...  DAY4    MC READINGS </v>
      </c>
      <c r="CA24" s="619" t="str">
        <f>$E$24</f>
        <v>….........</v>
      </c>
      <c r="CB24" s="755"/>
      <c r="CC24" s="625">
        <f t="shared" ref="CC24:CC26" si="46">CC23+1</f>
        <v>9402.4000000000015</v>
      </c>
      <c r="CD24" s="607" t="s">
        <v>560</v>
      </c>
      <c r="CE24" s="8" t="str">
        <f>CE23</f>
        <v xml:space="preserve">….. DAY 4 ….. </v>
      </c>
      <c r="CF24" s="602" t="s">
        <v>558</v>
      </c>
      <c r="CJ24" s="632"/>
      <c r="CK24" s="572"/>
      <c r="CL24" s="14"/>
      <c r="CM24" s="602"/>
      <c r="CN24" t="s">
        <v>537</v>
      </c>
      <c r="CO24" s="138"/>
      <c r="CW24" s="606"/>
      <c r="CX24">
        <f t="shared" si="1"/>
        <v>0</v>
      </c>
      <c r="CY24" t="str">
        <f t="shared" si="20"/>
        <v>….........</v>
      </c>
      <c r="DH24" s="565"/>
    </row>
    <row r="25" spans="1:112" ht="26.7" customHeight="1" thickTop="1" thickBot="1">
      <c r="A25" s="484">
        <v>122</v>
      </c>
      <c r="B25" s="200" t="s">
        <v>536</v>
      </c>
      <c r="C25" s="138">
        <f>'jobinfo(2)'!C74</f>
        <v>0</v>
      </c>
      <c r="D25" s="668" t="s">
        <v>537</v>
      </c>
      <c r="E25" s="650" t="s">
        <v>553</v>
      </c>
      <c r="F25" s="755"/>
      <c r="G25" s="484">
        <f t="shared" si="2"/>
        <v>122</v>
      </c>
      <c r="H25" s="200" t="str">
        <f t="shared" si="3"/>
        <v>….</v>
      </c>
      <c r="I25" s="530">
        <f t="shared" si="4"/>
        <v>0</v>
      </c>
      <c r="J25" s="530" t="str">
        <f t="shared" si="5"/>
        <v xml:space="preserve"> = … JOB/ROOMS OVERVIEW PICS ..</v>
      </c>
      <c r="K25" s="619" t="str">
        <f>$E$25</f>
        <v>….........</v>
      </c>
      <c r="L25" s="755"/>
      <c r="M25" s="484">
        <f t="shared" si="21"/>
        <v>222</v>
      </c>
      <c r="N25" s="200" t="str">
        <f t="shared" si="6"/>
        <v>….</v>
      </c>
      <c r="O25" s="530">
        <f t="shared" si="7"/>
        <v>0</v>
      </c>
      <c r="P25" s="530" t="str">
        <f t="shared" si="8"/>
        <v>….. SOURCE of  LOSS PICS …..</v>
      </c>
      <c r="Q25" s="619" t="str">
        <f>$E$25</f>
        <v>….........</v>
      </c>
      <c r="R25" s="755"/>
      <c r="S25" s="484">
        <f t="shared" si="22"/>
        <v>322</v>
      </c>
      <c r="T25" s="200" t="str">
        <f t="shared" si="9"/>
        <v>….</v>
      </c>
      <c r="U25" s="530">
        <f t="shared" si="23"/>
        <v>0</v>
      </c>
      <c r="V25" s="530" t="str">
        <f t="shared" si="10"/>
        <v>…..  C.P.S.  …...</v>
      </c>
      <c r="W25" s="619" t="str">
        <f>$E$25</f>
        <v>….........</v>
      </c>
      <c r="X25" s="755"/>
      <c r="Y25" s="484">
        <f t="shared" si="24"/>
        <v>422</v>
      </c>
      <c r="Z25" s="200" t="str">
        <f t="shared" si="0"/>
        <v>….</v>
      </c>
      <c r="AA25" s="530">
        <f t="shared" si="11"/>
        <v>0</v>
      </c>
      <c r="AB25" s="530" t="str">
        <f t="shared" si="12"/>
        <v>NON SALVAGEABLE ITEMS</v>
      </c>
      <c r="AC25" s="619" t="str">
        <f>$E$25</f>
        <v>….........</v>
      </c>
      <c r="AD25" s="751"/>
      <c r="AE25" s="484">
        <f t="shared" si="25"/>
        <v>522</v>
      </c>
      <c r="AF25" s="200" t="s">
        <v>536</v>
      </c>
      <c r="AG25" s="530">
        <f t="shared" si="13"/>
        <v>0</v>
      </c>
      <c r="AH25" s="619" t="str">
        <f t="shared" si="34"/>
        <v>,,,,,, DMO = DEMOLITION …....</v>
      </c>
      <c r="AI25" s="619" t="str">
        <f t="shared" si="14"/>
        <v>….........</v>
      </c>
      <c r="AJ25" s="751"/>
      <c r="AK25" s="484">
        <f t="shared" si="26"/>
        <v>622</v>
      </c>
      <c r="AL25" s="200" t="s">
        <v>543</v>
      </c>
      <c r="AM25" s="530">
        <f t="shared" si="15"/>
        <v>0</v>
      </c>
      <c r="AN25" s="575" t="str">
        <f t="shared" si="27"/>
        <v>… WTR MITIGATION  EQUIPMENT &amp; W.I.P . ...</v>
      </c>
      <c r="AO25" s="619" t="str">
        <f>$E$25</f>
        <v>….........</v>
      </c>
      <c r="AP25" s="755"/>
      <c r="AQ25" s="484">
        <f t="shared" si="28"/>
        <v>722</v>
      </c>
      <c r="AR25" s="200" t="s">
        <v>543</v>
      </c>
      <c r="AS25" s="530">
        <f t="shared" si="16"/>
        <v>0</v>
      </c>
      <c r="AT25" s="575" t="str">
        <f t="shared" si="29"/>
        <v>… HMR MITIGATION  EQUIPMENT &amp; W.I.P . ...</v>
      </c>
      <c r="AU25" s="619" t="str">
        <f>$E$25</f>
        <v>….........</v>
      </c>
      <c r="AV25" s="755"/>
      <c r="AW25" s="771">
        <f t="shared" si="17"/>
        <v>8022</v>
      </c>
      <c r="AX25" s="200" t="s">
        <v>543</v>
      </c>
      <c r="AY25" s="772">
        <f t="shared" si="18"/>
        <v>0</v>
      </c>
      <c r="AZ25" s="662" t="str">
        <f t="shared" si="30"/>
        <v>… DAY # 0  … MC READINGS STABILIZATION</v>
      </c>
      <c r="BA25" s="769"/>
      <c r="BB25" s="769"/>
      <c r="BC25" s="755"/>
      <c r="BD25" s="381">
        <f t="shared" si="35"/>
        <v>8122.1</v>
      </c>
      <c r="BE25" s="200" t="s">
        <v>543</v>
      </c>
      <c r="BF25" s="530">
        <f t="shared" si="19"/>
        <v>0</v>
      </c>
      <c r="BG25" s="530" t="str">
        <f t="shared" si="36"/>
        <v xml:space="preserve">  ...  DAY1    MC READINGS ..</v>
      </c>
      <c r="BI25" s="619" t="str">
        <f>$E$25</f>
        <v>….........</v>
      </c>
      <c r="BJ25" s="755"/>
      <c r="BK25" s="739">
        <f t="shared" si="37"/>
        <v>8222.2000000000007</v>
      </c>
      <c r="BL25" s="200" t="s">
        <v>543</v>
      </c>
      <c r="BM25" s="530">
        <f t="shared" si="31"/>
        <v>0</v>
      </c>
      <c r="BN25" t="str">
        <f t="shared" ref="BN25:BN28" si="47">BN24</f>
        <v xml:space="preserve">  ...  DAY2    MC READINGS ..</v>
      </c>
      <c r="BO25" s="619" t="str">
        <f>$E$25</f>
        <v>….........</v>
      </c>
      <c r="BP25" s="755"/>
      <c r="BQ25" s="739">
        <f t="shared" si="39"/>
        <v>8322.2999999999993</v>
      </c>
      <c r="BR25" s="200" t="s">
        <v>543</v>
      </c>
      <c r="BS25" s="530">
        <f t="shared" si="32"/>
        <v>0</v>
      </c>
      <c r="BT25" t="str">
        <f t="shared" si="40"/>
        <v xml:space="preserve">  ...  DAY3    MC READINGS ..</v>
      </c>
      <c r="BU25" s="619" t="str">
        <f>$E$25</f>
        <v>….........</v>
      </c>
      <c r="BV25" s="755"/>
      <c r="BW25" s="244">
        <f t="shared" si="41"/>
        <v>8422.4</v>
      </c>
      <c r="BX25" s="200" t="s">
        <v>543</v>
      </c>
      <c r="BY25" s="530">
        <f t="shared" si="33"/>
        <v>0</v>
      </c>
      <c r="BZ25" t="str">
        <f t="shared" si="42"/>
        <v xml:space="preserve">  ...  DAY4    MC READINGS </v>
      </c>
      <c r="CA25" s="619" t="str">
        <f>$E$25</f>
        <v>….........</v>
      </c>
      <c r="CB25" s="755"/>
      <c r="CC25" s="625">
        <f t="shared" si="46"/>
        <v>9403.4000000000015</v>
      </c>
      <c r="CD25" s="607" t="s">
        <v>562</v>
      </c>
      <c r="CE25" s="32" t="str">
        <f>CE24</f>
        <v xml:space="preserve">….. DAY 4 ….. </v>
      </c>
      <c r="CF25" s="602" t="s">
        <v>558</v>
      </c>
      <c r="CJ25" s="632"/>
      <c r="CK25" s="572"/>
      <c r="CL25" s="14"/>
      <c r="CM25" s="602"/>
      <c r="CN25" t="s">
        <v>537</v>
      </c>
      <c r="CO25" s="138"/>
      <c r="CW25" s="606"/>
      <c r="CX25">
        <f t="shared" si="1"/>
        <v>0</v>
      </c>
      <c r="CY25" t="str">
        <f t="shared" si="20"/>
        <v>….........</v>
      </c>
      <c r="DH25" s="567"/>
    </row>
    <row r="26" spans="1:112" ht="26.7" customHeight="1" thickTop="1" thickBot="1">
      <c r="A26" s="484">
        <v>123</v>
      </c>
      <c r="B26" s="200" t="s">
        <v>536</v>
      </c>
      <c r="C26" s="138">
        <f>'jobinfo(2)'!C75</f>
        <v>0</v>
      </c>
      <c r="D26" s="668" t="s">
        <v>537</v>
      </c>
      <c r="E26" s="650" t="s">
        <v>553</v>
      </c>
      <c r="F26" s="755"/>
      <c r="G26" s="484">
        <f t="shared" si="2"/>
        <v>123</v>
      </c>
      <c r="H26" s="200" t="str">
        <f t="shared" si="3"/>
        <v>….</v>
      </c>
      <c r="I26" s="530">
        <f t="shared" si="4"/>
        <v>0</v>
      </c>
      <c r="J26" s="530" t="str">
        <f t="shared" si="5"/>
        <v xml:space="preserve"> = … JOB/ROOMS OVERVIEW PICS ..</v>
      </c>
      <c r="K26" s="619" t="str">
        <f>$E$26</f>
        <v>….........</v>
      </c>
      <c r="L26" s="755"/>
      <c r="M26" s="484">
        <f t="shared" si="21"/>
        <v>223</v>
      </c>
      <c r="N26" s="200" t="str">
        <f t="shared" si="6"/>
        <v>….</v>
      </c>
      <c r="O26" s="530">
        <f t="shared" si="7"/>
        <v>0</v>
      </c>
      <c r="P26" s="530" t="str">
        <f t="shared" si="8"/>
        <v>….. SOURCE of  LOSS PICS …..</v>
      </c>
      <c r="Q26" s="619" t="str">
        <f>$E$26</f>
        <v>….........</v>
      </c>
      <c r="R26" s="755"/>
      <c r="S26" s="484">
        <f t="shared" si="22"/>
        <v>323</v>
      </c>
      <c r="T26" s="200" t="str">
        <f t="shared" si="9"/>
        <v>….</v>
      </c>
      <c r="U26" s="530">
        <f t="shared" si="23"/>
        <v>0</v>
      </c>
      <c r="V26" s="530" t="str">
        <f t="shared" si="10"/>
        <v>…..  C.P.S.  …...</v>
      </c>
      <c r="W26" s="619" t="str">
        <f>$E$26</f>
        <v>….........</v>
      </c>
      <c r="X26" s="755"/>
      <c r="Y26" s="484">
        <f t="shared" si="24"/>
        <v>423</v>
      </c>
      <c r="Z26" s="200" t="str">
        <f t="shared" si="0"/>
        <v>….</v>
      </c>
      <c r="AA26" s="530">
        <f t="shared" si="11"/>
        <v>0</v>
      </c>
      <c r="AB26" s="530" t="str">
        <f t="shared" si="12"/>
        <v>NON SALVAGEABLE ITEMS</v>
      </c>
      <c r="AC26" s="619" t="str">
        <f>$E$26</f>
        <v>….........</v>
      </c>
      <c r="AD26" s="751"/>
      <c r="AE26" s="484">
        <f t="shared" si="25"/>
        <v>523</v>
      </c>
      <c r="AF26" s="200" t="s">
        <v>536</v>
      </c>
      <c r="AG26" s="530">
        <f t="shared" si="13"/>
        <v>0</v>
      </c>
      <c r="AH26" s="619" t="str">
        <f t="shared" si="34"/>
        <v>,,,,,, DMO = DEMOLITION …....</v>
      </c>
      <c r="AI26" s="619" t="str">
        <f t="shared" si="14"/>
        <v>….........</v>
      </c>
      <c r="AJ26" s="751"/>
      <c r="AK26" s="484">
        <f t="shared" si="26"/>
        <v>623</v>
      </c>
      <c r="AL26" s="200" t="s">
        <v>543</v>
      </c>
      <c r="AM26" s="530">
        <f t="shared" si="15"/>
        <v>0</v>
      </c>
      <c r="AN26" s="575" t="str">
        <f t="shared" si="27"/>
        <v>… WTR MITIGATION  EQUIPMENT &amp; W.I.P . ...</v>
      </c>
      <c r="AO26" s="619" t="str">
        <f>$E$26</f>
        <v>….........</v>
      </c>
      <c r="AP26" s="755"/>
      <c r="AQ26" s="484">
        <f t="shared" si="28"/>
        <v>723</v>
      </c>
      <c r="AR26" s="200" t="s">
        <v>543</v>
      </c>
      <c r="AS26" s="530">
        <f t="shared" si="16"/>
        <v>0</v>
      </c>
      <c r="AT26" s="575" t="str">
        <f t="shared" si="29"/>
        <v>… HMR MITIGATION  EQUIPMENT &amp; W.I.P . ...</v>
      </c>
      <c r="AU26" s="619" t="str">
        <f>$E$26</f>
        <v>….........</v>
      </c>
      <c r="AV26" s="755"/>
      <c r="AW26" s="771">
        <f t="shared" si="17"/>
        <v>8023</v>
      </c>
      <c r="AX26" s="200" t="s">
        <v>543</v>
      </c>
      <c r="AY26" s="772">
        <f t="shared" si="18"/>
        <v>0</v>
      </c>
      <c r="AZ26" s="662" t="str">
        <f t="shared" si="30"/>
        <v>… DAY # 0  … MC READINGS STABILIZATION</v>
      </c>
      <c r="BA26" s="769"/>
      <c r="BB26" s="769"/>
      <c r="BC26" s="755"/>
      <c r="BD26" s="381">
        <f t="shared" si="35"/>
        <v>8123.1</v>
      </c>
      <c r="BE26" s="200" t="s">
        <v>543</v>
      </c>
      <c r="BF26" s="530">
        <f t="shared" si="19"/>
        <v>0</v>
      </c>
      <c r="BG26" s="530" t="str">
        <f t="shared" si="36"/>
        <v xml:space="preserve">  ...  DAY1    MC READINGS ..</v>
      </c>
      <c r="BI26" s="619" t="str">
        <f>$E$26</f>
        <v>….........</v>
      </c>
      <c r="BJ26" s="755"/>
      <c r="BK26" s="739">
        <f t="shared" si="37"/>
        <v>8223.2000000000007</v>
      </c>
      <c r="BL26" s="200" t="s">
        <v>543</v>
      </c>
      <c r="BM26" s="530">
        <f t="shared" si="31"/>
        <v>0</v>
      </c>
      <c r="BN26" t="str">
        <f t="shared" si="47"/>
        <v xml:space="preserve">  ...  DAY2    MC READINGS ..</v>
      </c>
      <c r="BO26" s="619" t="str">
        <f>$E$26</f>
        <v>….........</v>
      </c>
      <c r="BP26" s="755"/>
      <c r="BQ26" s="739">
        <f t="shared" si="39"/>
        <v>8323.2999999999993</v>
      </c>
      <c r="BR26" s="200" t="s">
        <v>543</v>
      </c>
      <c r="BS26" s="530">
        <f t="shared" si="32"/>
        <v>0</v>
      </c>
      <c r="BT26" t="str">
        <f t="shared" si="40"/>
        <v xml:space="preserve">  ...  DAY3    MC READINGS ..</v>
      </c>
      <c r="BU26" s="619" t="str">
        <f>$E$26</f>
        <v>….........</v>
      </c>
      <c r="BV26" s="755"/>
      <c r="BW26" s="244">
        <f t="shared" si="41"/>
        <v>8423.4</v>
      </c>
      <c r="BX26" s="200" t="s">
        <v>543</v>
      </c>
      <c r="BY26" s="530">
        <f t="shared" si="33"/>
        <v>0</v>
      </c>
      <c r="BZ26" t="str">
        <f t="shared" si="42"/>
        <v xml:space="preserve">  ...  DAY4    MC READINGS </v>
      </c>
      <c r="CA26" s="619" t="str">
        <f>$E$26</f>
        <v>….........</v>
      </c>
      <c r="CB26" s="755"/>
      <c r="CC26" s="625">
        <f t="shared" si="46"/>
        <v>9404.4000000000015</v>
      </c>
      <c r="CD26" s="607" t="s">
        <v>565</v>
      </c>
      <c r="CE26" s="32" t="str">
        <f>CE24</f>
        <v xml:space="preserve">….. DAY 4 ….. </v>
      </c>
      <c r="CF26" s="602" t="s">
        <v>558</v>
      </c>
      <c r="CJ26" s="632"/>
      <c r="CK26" s="572"/>
      <c r="CL26" s="14"/>
      <c r="CM26" s="602"/>
      <c r="CN26" t="s">
        <v>537</v>
      </c>
      <c r="CO26" s="138"/>
      <c r="CW26" s="606"/>
      <c r="CX26">
        <f t="shared" si="1"/>
        <v>0</v>
      </c>
      <c r="CY26" t="str">
        <f t="shared" si="20"/>
        <v>….........</v>
      </c>
      <c r="DH26" s="565"/>
    </row>
    <row r="27" spans="1:112" ht="26.7" customHeight="1" thickTop="1" thickBot="1">
      <c r="A27" s="484">
        <v>124</v>
      </c>
      <c r="B27" s="200" t="s">
        <v>536</v>
      </c>
      <c r="C27" s="138">
        <f>'jobinfo(2)'!C76</f>
        <v>0</v>
      </c>
      <c r="D27" s="668" t="s">
        <v>537</v>
      </c>
      <c r="E27" s="650" t="s">
        <v>553</v>
      </c>
      <c r="F27" s="755"/>
      <c r="G27" s="484">
        <f t="shared" si="2"/>
        <v>124</v>
      </c>
      <c r="H27" s="200" t="str">
        <f t="shared" si="3"/>
        <v>….</v>
      </c>
      <c r="I27" s="530">
        <f t="shared" ref="I27:I28" si="48">C27</f>
        <v>0</v>
      </c>
      <c r="J27" s="530" t="str">
        <f t="shared" si="5"/>
        <v xml:space="preserve"> = … JOB/ROOMS OVERVIEW PICS ..</v>
      </c>
      <c r="K27" s="619" t="str">
        <f>$E$27</f>
        <v>….........</v>
      </c>
      <c r="L27" s="755"/>
      <c r="M27" s="484">
        <f t="shared" si="21"/>
        <v>224</v>
      </c>
      <c r="N27" s="200" t="str">
        <f t="shared" si="6"/>
        <v>….</v>
      </c>
      <c r="O27" s="530">
        <f t="shared" si="7"/>
        <v>0</v>
      </c>
      <c r="P27" s="530" t="str">
        <f t="shared" si="8"/>
        <v>….. SOURCE of  LOSS PICS …..</v>
      </c>
      <c r="Q27" s="619" t="str">
        <f>$E$27</f>
        <v>….........</v>
      </c>
      <c r="R27" s="755"/>
      <c r="S27" s="484">
        <f t="shared" si="22"/>
        <v>324</v>
      </c>
      <c r="T27" s="200" t="str">
        <f t="shared" si="9"/>
        <v>….</v>
      </c>
      <c r="U27" s="530">
        <f t="shared" si="23"/>
        <v>0</v>
      </c>
      <c r="V27" s="530" t="str">
        <f t="shared" si="10"/>
        <v>…..  C.P.S.  …...</v>
      </c>
      <c r="W27" s="619" t="str">
        <f>$E$27</f>
        <v>….........</v>
      </c>
      <c r="X27" s="755"/>
      <c r="Y27" s="484">
        <f t="shared" si="24"/>
        <v>424</v>
      </c>
      <c r="Z27" s="200" t="str">
        <f t="shared" si="0"/>
        <v>….</v>
      </c>
      <c r="AA27" s="530">
        <f t="shared" si="11"/>
        <v>0</v>
      </c>
      <c r="AB27" s="530" t="str">
        <f t="shared" si="12"/>
        <v>NON SALVAGEABLE ITEMS</v>
      </c>
      <c r="AC27" s="619" t="str">
        <f>$E$27</f>
        <v>….........</v>
      </c>
      <c r="AD27" s="751"/>
      <c r="AE27" s="484">
        <f t="shared" si="25"/>
        <v>524</v>
      </c>
      <c r="AF27" s="200" t="s">
        <v>536</v>
      </c>
      <c r="AG27" s="530">
        <f t="shared" si="13"/>
        <v>0</v>
      </c>
      <c r="AH27" s="619" t="str">
        <f t="shared" si="34"/>
        <v>,,,,,, DMO = DEMOLITION …....</v>
      </c>
      <c r="AI27" s="619" t="str">
        <f t="shared" si="14"/>
        <v>….........</v>
      </c>
      <c r="AJ27" s="751"/>
      <c r="AK27" s="484">
        <f t="shared" si="26"/>
        <v>624</v>
      </c>
      <c r="AL27" s="200" t="s">
        <v>543</v>
      </c>
      <c r="AM27" s="530">
        <f t="shared" si="15"/>
        <v>0</v>
      </c>
      <c r="AN27" s="575" t="str">
        <f t="shared" si="27"/>
        <v>… WTR MITIGATION  EQUIPMENT &amp; W.I.P . ...</v>
      </c>
      <c r="AO27" s="619" t="str">
        <f>$E$27</f>
        <v>….........</v>
      </c>
      <c r="AP27" s="755"/>
      <c r="AQ27" s="484">
        <f t="shared" si="28"/>
        <v>724</v>
      </c>
      <c r="AR27" s="200" t="s">
        <v>543</v>
      </c>
      <c r="AS27" s="530">
        <f t="shared" si="16"/>
        <v>0</v>
      </c>
      <c r="AT27" s="575" t="str">
        <f t="shared" si="29"/>
        <v>… HMR MITIGATION  EQUIPMENT &amp; W.I.P . ...</v>
      </c>
      <c r="AU27" s="619" t="str">
        <f>$E$27</f>
        <v>….........</v>
      </c>
      <c r="AV27" s="755"/>
      <c r="AW27" s="771">
        <f t="shared" si="17"/>
        <v>8024</v>
      </c>
      <c r="AX27" s="200" t="s">
        <v>543</v>
      </c>
      <c r="AY27" s="772">
        <f t="shared" si="18"/>
        <v>0</v>
      </c>
      <c r="AZ27" s="662" t="str">
        <f t="shared" si="30"/>
        <v>… DAY # 0  … MC READINGS STABILIZATION</v>
      </c>
      <c r="BA27" s="769"/>
      <c r="BB27" s="769"/>
      <c r="BC27" s="755"/>
      <c r="BD27" s="381">
        <f t="shared" si="35"/>
        <v>8124.1</v>
      </c>
      <c r="BE27" s="200" t="s">
        <v>543</v>
      </c>
      <c r="BF27" s="530">
        <f t="shared" si="19"/>
        <v>0</v>
      </c>
      <c r="BG27" s="530" t="str">
        <f t="shared" si="36"/>
        <v xml:space="preserve">  ...  DAY1    MC READINGS ..</v>
      </c>
      <c r="BI27" s="619" t="str">
        <f>$E$27</f>
        <v>….........</v>
      </c>
      <c r="BJ27" s="755"/>
      <c r="BK27" s="739">
        <f t="shared" si="37"/>
        <v>8224.2000000000007</v>
      </c>
      <c r="BL27" s="200" t="s">
        <v>543</v>
      </c>
      <c r="BM27" s="530">
        <f t="shared" si="31"/>
        <v>0</v>
      </c>
      <c r="BN27" t="str">
        <f t="shared" si="47"/>
        <v xml:space="preserve">  ...  DAY2    MC READINGS ..</v>
      </c>
      <c r="BO27" s="619" t="str">
        <f>$E$27</f>
        <v>….........</v>
      </c>
      <c r="BP27" s="755"/>
      <c r="BQ27" s="739">
        <f t="shared" si="39"/>
        <v>8324.2999999999993</v>
      </c>
      <c r="BR27" s="200" t="s">
        <v>543</v>
      </c>
      <c r="BS27" s="530">
        <f t="shared" si="32"/>
        <v>0</v>
      </c>
      <c r="BT27" t="str">
        <f t="shared" si="40"/>
        <v xml:space="preserve">  ...  DAY3    MC READINGS ..</v>
      </c>
      <c r="BU27" s="619" t="str">
        <f>$E$27</f>
        <v>….........</v>
      </c>
      <c r="BV27" s="755"/>
      <c r="BW27" s="244">
        <f t="shared" si="41"/>
        <v>8424.4</v>
      </c>
      <c r="BX27" s="200" t="s">
        <v>543</v>
      </c>
      <c r="BY27" s="530">
        <f t="shared" si="33"/>
        <v>0</v>
      </c>
      <c r="BZ27" t="str">
        <f t="shared" si="42"/>
        <v xml:space="preserve">  ...  DAY4    MC READINGS </v>
      </c>
      <c r="CA27" s="619" t="str">
        <f>$E$27</f>
        <v>….........</v>
      </c>
      <c r="CB27" s="755"/>
      <c r="CC27" s="625">
        <f>CC26+1</f>
        <v>9405.4000000000015</v>
      </c>
      <c r="CD27" s="607" t="s">
        <v>568</v>
      </c>
      <c r="CE27" s="32" t="str">
        <f>CE25</f>
        <v xml:space="preserve">….. DAY 4 ….. </v>
      </c>
      <c r="CF27" s="602" t="s">
        <v>558</v>
      </c>
      <c r="CJ27" s="632"/>
      <c r="CK27" s="572"/>
      <c r="CL27" s="14"/>
      <c r="CN27" t="s">
        <v>537</v>
      </c>
      <c r="CW27" s="606"/>
      <c r="CX27">
        <f t="shared" si="1"/>
        <v>0</v>
      </c>
      <c r="CY27" t="str">
        <f t="shared" si="20"/>
        <v>….........</v>
      </c>
      <c r="DH27" s="567"/>
    </row>
    <row r="28" spans="1:112" ht="26.7" customHeight="1" thickTop="1" thickBot="1">
      <c r="A28" s="484">
        <v>125</v>
      </c>
      <c r="B28" s="200" t="s">
        <v>536</v>
      </c>
      <c r="C28" s="138">
        <f>'jobinfo(2)'!C77</f>
        <v>0</v>
      </c>
      <c r="D28" s="668" t="s">
        <v>537</v>
      </c>
      <c r="E28" s="650" t="s">
        <v>553</v>
      </c>
      <c r="F28" s="755"/>
      <c r="G28" s="484">
        <f t="shared" si="2"/>
        <v>125</v>
      </c>
      <c r="H28" s="200" t="str">
        <f t="shared" si="3"/>
        <v>….</v>
      </c>
      <c r="I28" s="530">
        <f t="shared" si="48"/>
        <v>0</v>
      </c>
      <c r="J28" s="530" t="str">
        <f t="shared" si="5"/>
        <v xml:space="preserve"> = … JOB/ROOMS OVERVIEW PICS ..</v>
      </c>
      <c r="K28" s="619" t="str">
        <f>$E$28</f>
        <v>….........</v>
      </c>
      <c r="L28" s="755"/>
      <c r="M28" s="484">
        <f t="shared" si="21"/>
        <v>225</v>
      </c>
      <c r="N28" s="200" t="str">
        <f t="shared" si="6"/>
        <v>….</v>
      </c>
      <c r="O28" s="530">
        <f t="shared" si="7"/>
        <v>0</v>
      </c>
      <c r="P28" s="530" t="str">
        <f t="shared" si="8"/>
        <v>….. SOURCE of  LOSS PICS …..</v>
      </c>
      <c r="Q28" s="619" t="str">
        <f>$E$28</f>
        <v>….........</v>
      </c>
      <c r="R28" s="755"/>
      <c r="S28" s="484">
        <f t="shared" si="22"/>
        <v>325</v>
      </c>
      <c r="T28" s="200" t="str">
        <f t="shared" si="9"/>
        <v>….</v>
      </c>
      <c r="U28" s="530">
        <f t="shared" si="23"/>
        <v>0</v>
      </c>
      <c r="V28" s="530" t="str">
        <f t="shared" si="10"/>
        <v>…..  C.P.S.  …...</v>
      </c>
      <c r="W28" s="619" t="str">
        <f>$E$28</f>
        <v>….........</v>
      </c>
      <c r="X28" s="755"/>
      <c r="Y28" s="484">
        <f t="shared" si="24"/>
        <v>425</v>
      </c>
      <c r="Z28" s="200" t="str">
        <f t="shared" si="0"/>
        <v>….</v>
      </c>
      <c r="AA28" s="530">
        <f t="shared" si="11"/>
        <v>0</v>
      </c>
      <c r="AB28" s="530" t="str">
        <f t="shared" si="12"/>
        <v>NON SALVAGEABLE ITEMS</v>
      </c>
      <c r="AC28" s="619" t="str">
        <f>$E$28</f>
        <v>….........</v>
      </c>
      <c r="AD28" s="751"/>
      <c r="AE28" s="484">
        <f t="shared" si="25"/>
        <v>525</v>
      </c>
      <c r="AF28" s="200" t="s">
        <v>536</v>
      </c>
      <c r="AG28" s="530">
        <f t="shared" si="13"/>
        <v>0</v>
      </c>
      <c r="AH28" s="619" t="str">
        <f t="shared" si="34"/>
        <v>,,,,,, DMO = DEMOLITION …....</v>
      </c>
      <c r="AI28" s="619" t="str">
        <f t="shared" si="14"/>
        <v>….........</v>
      </c>
      <c r="AJ28" s="751"/>
      <c r="AK28" s="484">
        <f t="shared" si="26"/>
        <v>625</v>
      </c>
      <c r="AL28" s="200" t="s">
        <v>543</v>
      </c>
      <c r="AM28" s="530">
        <f t="shared" si="15"/>
        <v>0</v>
      </c>
      <c r="AN28" s="575" t="str">
        <f t="shared" si="27"/>
        <v>… WTR MITIGATION  EQUIPMENT &amp; W.I.P . ...</v>
      </c>
      <c r="AO28" s="619" t="str">
        <f>$E$28</f>
        <v>….........</v>
      </c>
      <c r="AP28" s="755"/>
      <c r="AQ28" s="484">
        <f t="shared" si="28"/>
        <v>725</v>
      </c>
      <c r="AR28" s="200" t="s">
        <v>543</v>
      </c>
      <c r="AS28" s="530">
        <f t="shared" si="16"/>
        <v>0</v>
      </c>
      <c r="AT28" s="575" t="str">
        <f t="shared" si="29"/>
        <v>… HMR MITIGATION  EQUIPMENT &amp; W.I.P . ...</v>
      </c>
      <c r="AU28" s="619" t="str">
        <f>$E$28</f>
        <v>….........</v>
      </c>
      <c r="AV28" s="755"/>
      <c r="AW28" s="771">
        <f t="shared" si="17"/>
        <v>8025</v>
      </c>
      <c r="AX28" s="200" t="s">
        <v>543</v>
      </c>
      <c r="AY28" s="772">
        <f t="shared" si="18"/>
        <v>0</v>
      </c>
      <c r="AZ28" s="662" t="str">
        <f t="shared" si="30"/>
        <v>… DAY # 0  … MC READINGS STABILIZATION</v>
      </c>
      <c r="BA28" s="769"/>
      <c r="BB28" s="769"/>
      <c r="BC28" s="755"/>
      <c r="BD28" s="381">
        <f t="shared" si="35"/>
        <v>8125.1</v>
      </c>
      <c r="BE28" s="200" t="s">
        <v>543</v>
      </c>
      <c r="BF28" s="530">
        <f t="shared" si="19"/>
        <v>0</v>
      </c>
      <c r="BG28" s="530" t="str">
        <f t="shared" si="36"/>
        <v xml:space="preserve">  ...  DAY1    MC READINGS ..</v>
      </c>
      <c r="BI28" s="619" t="str">
        <f>$E$28</f>
        <v>….........</v>
      </c>
      <c r="BJ28" s="755"/>
      <c r="BK28" s="739">
        <f t="shared" si="37"/>
        <v>8225.2000000000007</v>
      </c>
      <c r="BL28" s="200" t="s">
        <v>543</v>
      </c>
      <c r="BM28" s="530">
        <f t="shared" si="31"/>
        <v>0</v>
      </c>
      <c r="BN28" t="str">
        <f t="shared" si="47"/>
        <v xml:space="preserve">  ...  DAY2    MC READINGS ..</v>
      </c>
      <c r="BO28" s="619" t="str">
        <f>$E$28</f>
        <v>….........</v>
      </c>
      <c r="BP28" s="755"/>
      <c r="BQ28" s="739">
        <f t="shared" si="39"/>
        <v>8325.2999999999993</v>
      </c>
      <c r="BR28" s="200" t="s">
        <v>543</v>
      </c>
      <c r="BS28" s="530">
        <f t="shared" si="32"/>
        <v>0</v>
      </c>
      <c r="BT28" t="str">
        <f t="shared" si="40"/>
        <v xml:space="preserve">  ...  DAY3    MC READINGS ..</v>
      </c>
      <c r="BU28" s="619" t="str">
        <f>$E$28</f>
        <v>….........</v>
      </c>
      <c r="BV28" s="755"/>
      <c r="BW28" s="244">
        <f t="shared" si="41"/>
        <v>8425.4</v>
      </c>
      <c r="BX28" s="200" t="s">
        <v>543</v>
      </c>
      <c r="BY28" s="530">
        <f t="shared" si="33"/>
        <v>0</v>
      </c>
      <c r="BZ28" t="str">
        <f t="shared" si="42"/>
        <v xml:space="preserve">  ...  DAY4    MC READINGS </v>
      </c>
      <c r="CA28" s="619" t="str">
        <f>$E$28</f>
        <v>….........</v>
      </c>
      <c r="CB28" s="755"/>
      <c r="CF28" s="602"/>
      <c r="CJ28" s="632"/>
      <c r="CK28" s="572"/>
      <c r="CL28" s="14"/>
      <c r="CN28" t="s">
        <v>537</v>
      </c>
      <c r="CW28" s="606"/>
      <c r="CX28">
        <f t="shared" si="1"/>
        <v>0</v>
      </c>
      <c r="CY28" t="str">
        <f t="shared" si="20"/>
        <v>….........</v>
      </c>
      <c r="DH28" s="565"/>
    </row>
    <row r="29" spans="1:112" ht="26.7" customHeight="1" thickTop="1">
      <c r="C29" s="580"/>
      <c r="F29" s="138"/>
      <c r="L29" s="138"/>
      <c r="R29" s="138"/>
      <c r="X29" s="138"/>
      <c r="AC29"/>
      <c r="AD29"/>
      <c r="AE29"/>
      <c r="AF29"/>
      <c r="AG29"/>
      <c r="AH29"/>
      <c r="AI29"/>
      <c r="AJ29"/>
      <c r="AP29" s="138"/>
      <c r="AV29" s="138"/>
      <c r="AW29" s="138"/>
      <c r="AX29" s="138"/>
      <c r="AY29" s="138"/>
      <c r="AZ29" s="138"/>
      <c r="BA29" s="138"/>
      <c r="BB29" s="138"/>
      <c r="BC29" s="138"/>
      <c r="BJ29" s="138"/>
      <c r="BP29" s="138"/>
      <c r="BR29" s="244"/>
      <c r="BS29"/>
      <c r="BV29" s="138"/>
      <c r="BW29" s="244"/>
      <c r="CB29" s="138"/>
      <c r="CC29" s="244"/>
      <c r="CT29" s="209"/>
      <c r="CU29" s="209"/>
      <c r="CW29" s="606"/>
      <c r="CX29" s="786"/>
      <c r="CY29" s="662"/>
      <c r="CZ29" s="69"/>
      <c r="DC29" s="630"/>
    </row>
    <row r="30" spans="1:112" ht="26.7" customHeight="1">
      <c r="C30" s="580" t="s">
        <v>584</v>
      </c>
      <c r="F30" s="138"/>
      <c r="G30" s="209"/>
      <c r="L30" s="138"/>
      <c r="R30" s="138"/>
      <c r="X30" s="138"/>
      <c r="AC30"/>
      <c r="AD30"/>
      <c r="AE30"/>
      <c r="AF30"/>
      <c r="AG30"/>
      <c r="AH30"/>
      <c r="AI30"/>
      <c r="AJ30"/>
      <c r="AP30" s="138"/>
      <c r="AV30" s="138"/>
      <c r="AW30" s="138"/>
      <c r="AX30" s="138"/>
      <c r="AY30" s="138"/>
      <c r="AZ30" s="138"/>
      <c r="BA30" s="138"/>
      <c r="BB30" s="138"/>
      <c r="BC30" s="138"/>
      <c r="BD30" s="560" t="s">
        <v>585</v>
      </c>
      <c r="BJ30" s="138"/>
      <c r="BK30" s="560" t="s">
        <v>585</v>
      </c>
      <c r="BP30" s="138"/>
      <c r="BQ30" s="244"/>
      <c r="BR30" s="244"/>
      <c r="BS30"/>
      <c r="BV30" s="138"/>
      <c r="BW30" s="244"/>
      <c r="CB30" s="138"/>
      <c r="CC30" s="244"/>
      <c r="CF30" s="602"/>
      <c r="CR30" s="787"/>
      <c r="CS30" s="787"/>
      <c r="CT30" s="8"/>
      <c r="CU30" s="8"/>
      <c r="CV30" s="554"/>
      <c r="CW30" s="788"/>
      <c r="DB30" s="244"/>
      <c r="DC30" s="244"/>
    </row>
    <row r="31" spans="1:112" ht="26.7" customHeight="1">
      <c r="C31" s="335" t="s">
        <v>586</v>
      </c>
      <c r="F31" s="138"/>
      <c r="L31" s="138"/>
      <c r="R31" s="138"/>
      <c r="X31" s="138"/>
      <c r="AC31"/>
      <c r="AD31"/>
      <c r="AE31"/>
      <c r="AF31"/>
      <c r="AG31"/>
      <c r="AH31"/>
      <c r="AI31"/>
      <c r="AJ31"/>
      <c r="AP31" s="138"/>
      <c r="AV31" s="138"/>
      <c r="AW31" s="138"/>
      <c r="AX31" s="138"/>
      <c r="AY31" s="138"/>
      <c r="AZ31" s="138"/>
      <c r="BA31" s="138"/>
      <c r="BB31" s="138"/>
      <c r="BC31" s="138"/>
      <c r="BD31" s="627" t="s">
        <v>530</v>
      </c>
      <c r="BJ31" s="138"/>
      <c r="BK31" s="627" t="s">
        <v>531</v>
      </c>
      <c r="BP31" s="138"/>
      <c r="BQ31" s="244"/>
      <c r="BR31" s="244"/>
      <c r="BS31"/>
      <c r="BV31" s="138"/>
      <c r="BW31" s="244"/>
      <c r="CB31" s="138"/>
      <c r="CC31" s="244"/>
      <c r="CR31" s="789"/>
      <c r="CS31" s="790"/>
      <c r="CT31" s="8"/>
      <c r="CU31" s="8"/>
      <c r="CV31" s="662"/>
      <c r="CW31" s="791"/>
      <c r="DB31" s="244"/>
      <c r="DC31" s="244"/>
    </row>
    <row r="32" spans="1:112" ht="26.7" customHeight="1">
      <c r="C32" t="s">
        <v>587</v>
      </c>
      <c r="F32" s="138"/>
      <c r="L32" s="138"/>
      <c r="R32" s="138"/>
      <c r="X32" s="138"/>
      <c r="AC32"/>
      <c r="AD32"/>
      <c r="AE32"/>
      <c r="AF32"/>
      <c r="AG32"/>
      <c r="AH32"/>
      <c r="AI32"/>
      <c r="AJ32"/>
      <c r="AP32" s="138"/>
      <c r="AV32" s="138"/>
      <c r="AW32" s="138"/>
      <c r="AX32" s="138"/>
      <c r="AY32" s="138"/>
      <c r="AZ32" s="138"/>
      <c r="BA32" s="138"/>
      <c r="BB32" s="138"/>
      <c r="BC32" s="138"/>
      <c r="BJ32" s="138"/>
      <c r="BP32" s="138"/>
      <c r="BQ32" s="244"/>
      <c r="BR32" s="244"/>
      <c r="BS32"/>
      <c r="BV32" s="138"/>
      <c r="BW32" s="244"/>
      <c r="CB32" s="138"/>
      <c r="CC32" s="244"/>
      <c r="CR32" s="792"/>
      <c r="CS32" s="790"/>
      <c r="CT32" s="8"/>
      <c r="CU32" s="8"/>
      <c r="CV32" s="793"/>
      <c r="CW32" s="69"/>
    </row>
    <row r="33" spans="3:101" ht="26.7" customHeight="1">
      <c r="C33" t="s">
        <v>588</v>
      </c>
      <c r="F33" s="138"/>
      <c r="L33" s="138"/>
      <c r="R33" s="138"/>
      <c r="X33" s="138"/>
      <c r="AC33"/>
      <c r="AD33"/>
      <c r="AE33"/>
      <c r="AF33"/>
      <c r="AG33"/>
      <c r="AH33"/>
      <c r="AI33"/>
      <c r="AJ33"/>
      <c r="AP33" s="138"/>
      <c r="AV33" s="138"/>
      <c r="AW33" s="138"/>
      <c r="AX33" s="138"/>
      <c r="AY33" s="138"/>
      <c r="AZ33" s="138"/>
      <c r="BA33" s="138"/>
      <c r="BB33" s="138"/>
      <c r="BC33" s="138"/>
      <c r="BJ33" s="138"/>
      <c r="BP33" s="138"/>
      <c r="BQ33" s="244"/>
      <c r="BR33" s="244"/>
      <c r="BS33"/>
      <c r="BV33" s="138"/>
      <c r="BW33" s="244"/>
      <c r="CB33" s="138"/>
      <c r="CC33" s="244"/>
      <c r="CR33" s="794"/>
      <c r="CS33" s="788"/>
      <c r="CT33" s="8"/>
      <c r="CU33" s="8"/>
      <c r="CV33" s="662"/>
      <c r="CW33" s="791"/>
    </row>
    <row r="34" spans="3:101" ht="26.7" customHeight="1">
      <c r="C34" t="s">
        <v>589</v>
      </c>
      <c r="F34" s="138"/>
      <c r="L34" s="138"/>
      <c r="R34" s="138"/>
      <c r="X34" s="138"/>
      <c r="AC34"/>
      <c r="AD34"/>
      <c r="AE34"/>
      <c r="AF34"/>
      <c r="AG34"/>
      <c r="AH34"/>
      <c r="AI34"/>
      <c r="AJ34"/>
      <c r="AP34" s="138"/>
      <c r="AV34" s="138"/>
      <c r="AW34" s="138"/>
      <c r="AX34" s="138"/>
      <c r="AY34" s="138"/>
      <c r="AZ34" s="138"/>
      <c r="BA34" s="138"/>
      <c r="BB34" s="138"/>
      <c r="BC34" s="138"/>
      <c r="BJ34" s="138"/>
      <c r="BP34" s="138"/>
      <c r="BQ34" s="244"/>
      <c r="BR34" s="244"/>
      <c r="BS34"/>
      <c r="BV34" s="138"/>
      <c r="BW34" s="244"/>
      <c r="CB34" s="138"/>
      <c r="CC34" s="244"/>
      <c r="CR34" s="787"/>
      <c r="CS34" s="787"/>
      <c r="CT34" s="8"/>
      <c r="CU34" s="8"/>
      <c r="CV34" s="554"/>
      <c r="CW34" s="788"/>
    </row>
    <row r="35" spans="3:101" ht="26.7" customHeight="1">
      <c r="F35" s="138"/>
      <c r="L35" s="138"/>
      <c r="R35" s="138"/>
      <c r="X35" s="138"/>
      <c r="AC35"/>
      <c r="AD35"/>
      <c r="AE35"/>
      <c r="AF35"/>
      <c r="AG35"/>
      <c r="AH35"/>
      <c r="AI35"/>
      <c r="AJ35"/>
      <c r="AP35" s="138"/>
      <c r="AV35" s="138"/>
      <c r="AW35" s="138"/>
      <c r="AX35" s="138"/>
      <c r="AY35" s="138"/>
      <c r="AZ35" s="138"/>
      <c r="BA35" s="138"/>
      <c r="BB35" s="138"/>
      <c r="BC35" s="138"/>
      <c r="BJ35" s="138"/>
      <c r="BP35" s="138"/>
      <c r="BQ35" s="244"/>
      <c r="BR35" s="244"/>
      <c r="BS35"/>
      <c r="BV35" s="138"/>
      <c r="BW35" s="244"/>
      <c r="CB35" s="138"/>
      <c r="CC35" s="244"/>
      <c r="CR35" s="789"/>
      <c r="CS35" s="790"/>
      <c r="CT35" s="8"/>
      <c r="CU35" s="8"/>
      <c r="CV35" s="662"/>
      <c r="CW35" s="69"/>
    </row>
    <row r="36" spans="3:101" ht="26.7" customHeight="1" thickBot="1">
      <c r="F36" s="138"/>
      <c r="L36" s="138"/>
      <c r="R36" s="138"/>
      <c r="X36" s="138"/>
      <c r="AC36"/>
      <c r="AD36"/>
      <c r="AE36"/>
      <c r="AF36"/>
      <c r="AG36"/>
      <c r="AH36"/>
      <c r="AI36"/>
      <c r="AJ36"/>
      <c r="AP36" s="138"/>
      <c r="AV36" s="138"/>
      <c r="AW36" s="138"/>
      <c r="AX36" s="138"/>
      <c r="AY36" s="138"/>
      <c r="AZ36" s="138"/>
      <c r="BA36" s="138"/>
      <c r="BB36" s="138"/>
      <c r="BC36" s="138"/>
      <c r="BJ36" s="138"/>
      <c r="BP36" s="138"/>
      <c r="BQ36" s="244"/>
      <c r="BR36" s="244"/>
      <c r="BS36"/>
      <c r="BV36" s="138"/>
      <c r="BW36" s="244"/>
      <c r="CB36" s="138"/>
      <c r="CC36" s="633"/>
      <c r="CR36" s="792"/>
      <c r="CS36" s="790"/>
      <c r="CT36" s="8"/>
      <c r="CU36" s="8"/>
      <c r="CV36" s="793"/>
      <c r="CW36" s="69"/>
    </row>
    <row r="37" spans="3:101" ht="26.7" customHeight="1" thickTop="1">
      <c r="F37" s="138"/>
      <c r="L37" s="138"/>
      <c r="R37" s="138"/>
      <c r="X37" s="138"/>
      <c r="AC37"/>
      <c r="AD37"/>
      <c r="AE37"/>
      <c r="AF37"/>
      <c r="AG37"/>
      <c r="AH37"/>
      <c r="AI37"/>
      <c r="AJ37"/>
      <c r="AP37" s="138"/>
      <c r="AV37" s="138"/>
      <c r="AW37" s="138"/>
      <c r="AX37" s="138"/>
      <c r="AY37" s="138"/>
      <c r="AZ37" s="138"/>
      <c r="BA37" s="138"/>
      <c r="BB37" s="138"/>
      <c r="BC37" s="138"/>
      <c r="BJ37" s="138"/>
      <c r="BP37" s="138"/>
      <c r="BQ37" s="244"/>
      <c r="BR37" s="244"/>
      <c r="BS37"/>
      <c r="BV37" s="138"/>
      <c r="BW37" s="244"/>
      <c r="CB37" s="138"/>
      <c r="CR37" s="794"/>
      <c r="CS37" s="788"/>
      <c r="CT37" s="8"/>
      <c r="CU37" s="8"/>
      <c r="CV37" s="662"/>
      <c r="CW37" s="662"/>
    </row>
    <row r="38" spans="3:101" ht="26.7" customHeight="1">
      <c r="F38" s="138"/>
      <c r="L38" s="138"/>
      <c r="R38" s="138"/>
      <c r="X38" s="138"/>
      <c r="AC38"/>
      <c r="AD38"/>
      <c r="AE38"/>
      <c r="AF38"/>
      <c r="AG38"/>
      <c r="AH38"/>
      <c r="AI38"/>
      <c r="AJ38"/>
      <c r="AP38" s="138"/>
      <c r="AV38" s="138"/>
      <c r="AW38" s="138"/>
      <c r="AX38" s="138"/>
      <c r="AY38" s="138"/>
      <c r="AZ38" s="138"/>
      <c r="BA38" s="138"/>
      <c r="BB38" s="138"/>
      <c r="BC38" s="138"/>
      <c r="BJ38" s="138"/>
      <c r="BP38" s="138"/>
      <c r="BQ38" s="244"/>
      <c r="BR38" s="244"/>
      <c r="BS38"/>
      <c r="BV38" s="138"/>
      <c r="BW38" s="244"/>
      <c r="CB38" s="138"/>
      <c r="CR38" s="787"/>
      <c r="CS38" s="787"/>
      <c r="CT38" s="8"/>
      <c r="CU38" s="8"/>
      <c r="CV38" s="554"/>
      <c r="CW38" s="788"/>
    </row>
    <row r="39" spans="3:101" ht="26.7" customHeight="1">
      <c r="F39" s="138"/>
      <c r="L39" s="138"/>
      <c r="R39" s="138"/>
      <c r="X39" s="138"/>
      <c r="AC39"/>
      <c r="AD39"/>
      <c r="AE39"/>
      <c r="AF39"/>
      <c r="AG39"/>
      <c r="AH39"/>
      <c r="AI39"/>
      <c r="AJ39"/>
      <c r="AP39" s="138"/>
      <c r="AV39" s="138"/>
      <c r="AW39" s="138"/>
      <c r="AX39" s="138"/>
      <c r="AY39" s="138"/>
      <c r="AZ39" s="138"/>
      <c r="BA39" s="138"/>
      <c r="BB39" s="138"/>
      <c r="BC39" s="138"/>
      <c r="BJ39" s="138"/>
      <c r="BP39" s="138"/>
      <c r="BQ39" s="244"/>
      <c r="BR39" s="244"/>
      <c r="BS39"/>
      <c r="BV39" s="138"/>
      <c r="BW39" s="244"/>
      <c r="CB39" s="138"/>
      <c r="CR39" s="789" t="s">
        <v>590</v>
      </c>
      <c r="CS39" s="790"/>
      <c r="CT39" s="8"/>
      <c r="CU39" s="8"/>
      <c r="CV39" s="795" t="s">
        <v>38</v>
      </c>
      <c r="CW39" s="796"/>
    </row>
    <row r="40" spans="3:101" ht="26.7" customHeight="1">
      <c r="F40" s="138"/>
      <c r="L40" s="138"/>
      <c r="R40" s="138"/>
      <c r="X40" s="138"/>
      <c r="AC40"/>
      <c r="AD40"/>
      <c r="AE40"/>
      <c r="AF40"/>
      <c r="AG40"/>
      <c r="AH40"/>
      <c r="AI40"/>
      <c r="AJ40"/>
      <c r="AP40" s="138"/>
      <c r="AV40" s="138"/>
      <c r="AW40" s="138"/>
      <c r="AX40" s="138"/>
      <c r="AY40" s="138"/>
      <c r="AZ40" s="138"/>
      <c r="BA40" s="138"/>
      <c r="BB40" s="138"/>
      <c r="BC40" s="138"/>
      <c r="BJ40" s="138"/>
      <c r="BP40" s="138"/>
      <c r="BV40" s="138"/>
      <c r="CB40" s="138"/>
      <c r="CT40" s="8"/>
      <c r="CU40" s="8"/>
      <c r="CV40" s="793" t="s">
        <v>591</v>
      </c>
      <c r="CW40" s="69"/>
    </row>
    <row r="41" spans="3:101" ht="26.7" customHeight="1">
      <c r="F41" s="138"/>
      <c r="L41" s="138"/>
      <c r="R41" s="138"/>
      <c r="X41" s="138"/>
      <c r="AC41"/>
      <c r="AD41"/>
      <c r="AE41"/>
      <c r="AF41"/>
      <c r="AG41"/>
      <c r="AH41"/>
      <c r="AI41"/>
      <c r="AJ41"/>
      <c r="AP41" s="138"/>
      <c r="AV41" s="138"/>
      <c r="AW41" s="138"/>
      <c r="AX41" s="138"/>
      <c r="AY41" s="138"/>
      <c r="AZ41" s="138"/>
      <c r="BA41" s="138"/>
      <c r="BB41" s="138"/>
      <c r="BC41" s="138"/>
      <c r="BJ41" s="138"/>
      <c r="BP41" s="138"/>
      <c r="BV41" s="138"/>
      <c r="CB41" s="138"/>
      <c r="CT41" s="8"/>
      <c r="CU41" s="8"/>
      <c r="CV41" s="797" t="s">
        <v>592</v>
      </c>
      <c r="CW41" s="69"/>
    </row>
    <row r="42" spans="3:101" ht="26.7" customHeight="1">
      <c r="F42" s="138"/>
      <c r="L42" s="138"/>
      <c r="R42" s="138"/>
      <c r="X42" s="138"/>
      <c r="AC42"/>
      <c r="AD42"/>
      <c r="AE42"/>
      <c r="AF42"/>
      <c r="AG42"/>
      <c r="AH42"/>
      <c r="AI42"/>
      <c r="AJ42"/>
      <c r="AP42" s="138"/>
      <c r="AV42" s="138"/>
      <c r="AW42" s="138"/>
      <c r="AX42" s="138"/>
      <c r="AY42" s="138"/>
      <c r="AZ42" s="138"/>
      <c r="BA42" s="138"/>
      <c r="BB42" s="138"/>
      <c r="BC42" s="138"/>
      <c r="BJ42" s="138"/>
      <c r="BP42" s="138"/>
      <c r="BV42" s="138"/>
      <c r="CB42" s="138"/>
      <c r="CT42" s="8"/>
      <c r="CU42" s="8"/>
      <c r="CV42" s="797" t="s">
        <v>592</v>
      </c>
      <c r="CW42" s="69"/>
    </row>
    <row r="43" spans="3:101" ht="26.7" customHeight="1">
      <c r="F43" s="138"/>
      <c r="L43" s="138"/>
      <c r="R43" s="138"/>
      <c r="X43" s="138"/>
      <c r="AC43"/>
      <c r="AD43"/>
      <c r="AE43"/>
      <c r="AF43"/>
      <c r="AG43"/>
      <c r="AH43"/>
      <c r="AI43"/>
      <c r="AJ43"/>
      <c r="AP43" s="138"/>
      <c r="AV43" s="138"/>
      <c r="AW43" s="138"/>
      <c r="AX43" s="138"/>
      <c r="AY43" s="138"/>
      <c r="AZ43" s="138"/>
      <c r="BA43" s="138"/>
      <c r="BB43" s="138"/>
      <c r="BC43" s="138"/>
      <c r="BJ43" s="138"/>
      <c r="BP43" s="138"/>
      <c r="BV43" s="138"/>
      <c r="CB43" s="138"/>
      <c r="CT43" s="8"/>
      <c r="CU43" s="8"/>
    </row>
    <row r="44" spans="3:101" ht="26.7" customHeight="1">
      <c r="F44" s="138"/>
      <c r="L44" s="138"/>
      <c r="R44" s="138"/>
      <c r="X44" s="138"/>
      <c r="AC44"/>
      <c r="AD44"/>
      <c r="AE44"/>
      <c r="AF44"/>
      <c r="AG44"/>
      <c r="AH44"/>
      <c r="AI44"/>
      <c r="AJ44"/>
      <c r="AP44" s="138"/>
      <c r="AV44" s="138"/>
      <c r="AW44" s="138"/>
      <c r="AX44" s="138"/>
      <c r="AY44" s="138"/>
      <c r="AZ44" s="138"/>
      <c r="BA44" s="138"/>
      <c r="BB44" s="138"/>
      <c r="BC44" s="138"/>
      <c r="BJ44" s="138"/>
      <c r="BP44" s="138"/>
      <c r="BV44" s="138"/>
      <c r="CB44" s="138"/>
      <c r="CT44" s="8"/>
      <c r="CU44" s="8"/>
    </row>
    <row r="45" spans="3:101" ht="26.7" customHeight="1">
      <c r="X45" s="138"/>
      <c r="AC45"/>
      <c r="AD45"/>
      <c r="AE45"/>
      <c r="AF45"/>
      <c r="AG45"/>
      <c r="AH45"/>
      <c r="AI45"/>
      <c r="AJ45"/>
      <c r="BV45" s="138"/>
      <c r="CB45" s="138"/>
    </row>
    <row r="46" spans="3:101" ht="26.7" customHeight="1">
      <c r="X46" s="754"/>
      <c r="BV46" s="138"/>
      <c r="CB46" s="138"/>
    </row>
  </sheetData>
  <mergeCells count="18">
    <mergeCell ref="BI1:BI2"/>
    <mergeCell ref="BO1:BO2"/>
    <mergeCell ref="BU1:BU2"/>
    <mergeCell ref="CA1:CA2"/>
    <mergeCell ref="AQ1:AT1"/>
    <mergeCell ref="AU1:AU2"/>
    <mergeCell ref="AO1:AO2"/>
    <mergeCell ref="S2:V2"/>
    <mergeCell ref="AK1:AN1"/>
    <mergeCell ref="E1:E2"/>
    <mergeCell ref="K1:K2"/>
    <mergeCell ref="Q1:Q2"/>
    <mergeCell ref="W1:W2"/>
    <mergeCell ref="AC1:AC2"/>
    <mergeCell ref="S1:V1"/>
    <mergeCell ref="M1:P1"/>
    <mergeCell ref="Y1:AB1"/>
    <mergeCell ref="AE1:AH1"/>
  </mergeCells>
  <printOptions gridLines="1"/>
  <pageMargins left="0.25" right="0.19" top="0.27" bottom="0.31" header="0.24" footer="0.05"/>
  <pageSetup orientation="portrait" r:id="rId1"/>
  <headerFooter>
    <oddFooter>&amp;L.....  &amp;P&amp;C&amp;F&amp;R&amp;A      ...</oddFooter>
  </headerFooter>
  <colBreaks count="13" manualBreakCount="13">
    <brk id="6" max="27" man="1"/>
    <brk id="12" max="27" man="1"/>
    <brk id="18" max="27" man="1"/>
    <brk id="24" max="27" man="1"/>
    <brk id="36" max="27" man="1"/>
    <brk id="55" max="27" man="1"/>
    <brk id="62" max="27" man="1"/>
    <brk id="68" max="27" man="1"/>
    <brk id="74" max="27" man="1"/>
    <brk id="80" max="27" man="1"/>
    <brk id="86" max="27" man="1"/>
    <brk id="87" max="27" man="1"/>
    <brk id="48" max="27"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C82AF-484F-4C6F-9E00-9E816FF8079B}">
  <sheetPr codeName="Sheet4"/>
  <dimension ref="A1:CY539"/>
  <sheetViews>
    <sheetView view="pageBreakPreview" topLeftCell="C106" zoomScaleNormal="100" zoomScaleSheetLayoutView="100" workbookViewId="0">
      <selection activeCell="V115" sqref="V115"/>
    </sheetView>
  </sheetViews>
  <sheetFormatPr defaultColWidth="8" defaultRowHeight="27" customHeight="1"/>
  <cols>
    <col min="2" max="2" width="53.09765625" customWidth="1"/>
    <col min="3" max="3" width="25.3984375" customWidth="1"/>
    <col min="4" max="4" width="3" customWidth="1"/>
    <col min="5" max="5" width="7.09765625" bestFit="1" customWidth="1"/>
    <col min="6" max="6" width="12.69921875" customWidth="1"/>
    <col min="7" max="7" width="5.8984375" customWidth="1"/>
    <col min="8" max="8" width="7.296875" customWidth="1"/>
    <col min="9" max="9" width="2.3984375" customWidth="1"/>
    <col min="10" max="10" width="7.09765625" customWidth="1"/>
    <col min="11" max="11" width="2.19921875" customWidth="1"/>
    <col min="12" max="12" width="7" customWidth="1"/>
    <col min="13" max="13" width="2.09765625" customWidth="1"/>
    <col min="14" max="14" width="7" customWidth="1"/>
    <col min="15" max="15" width="1.59765625" customWidth="1"/>
    <col min="16" max="16" width="7.8984375" customWidth="1"/>
    <col min="17" max="17" width="2.09765625" customWidth="1"/>
    <col min="18" max="18" width="7.8984375" customWidth="1"/>
    <col min="19" max="19" width="2.8984375" customWidth="1"/>
    <col min="20" max="20" width="7.19921875" customWidth="1"/>
    <col min="21" max="21" width="2.19921875" customWidth="1"/>
    <col min="22" max="22" width="7.09765625" style="240" customWidth="1"/>
    <col min="23" max="23" width="1.69921875" style="2" customWidth="1"/>
    <col min="24" max="24" width="7.8984375" customWidth="1"/>
    <col min="25" max="25" width="8.09765625" style="283" customWidth="1"/>
    <col min="26" max="26" width="7.5" customWidth="1"/>
    <col min="27" max="27" width="3.8984375" bestFit="1" customWidth="1"/>
    <col min="28" max="28" width="14.69921875" customWidth="1"/>
    <col min="29" max="29" width="36.3984375" customWidth="1"/>
    <col min="30" max="30" width="7.8984375" style="618" customWidth="1"/>
    <col min="31" max="31" width="5.19921875" style="244" customWidth="1"/>
    <col min="32" max="32" width="3.8984375" bestFit="1" customWidth="1"/>
    <col min="33" max="33" width="25" bestFit="1" customWidth="1"/>
    <col min="34" max="34" width="24.5" bestFit="1" customWidth="1"/>
    <col min="35" max="35" width="7.69921875" customWidth="1"/>
    <col min="36" max="36" width="5.69921875" customWidth="1"/>
    <col min="37" max="37" width="3.8984375" bestFit="1" customWidth="1"/>
    <col min="38" max="38" width="23.5" customWidth="1"/>
    <col min="39" max="39" width="15.59765625" customWidth="1"/>
    <col min="40" max="40" width="7.69921875" customWidth="1"/>
    <col min="41" max="41" width="0.19921875" customWidth="1"/>
    <col min="42" max="42" width="5.69921875" customWidth="1"/>
    <col min="43" max="43" width="3.8984375" bestFit="1" customWidth="1"/>
    <col min="44" max="44" width="21.69921875" customWidth="1"/>
    <col min="45" max="45" width="26.69921875" customWidth="1"/>
    <col min="46" max="46" width="7.69921875" style="431" customWidth="1"/>
    <col min="47" max="47" width="5.19921875" customWidth="1"/>
    <col min="48" max="48" width="0.8984375" customWidth="1"/>
    <col min="49" max="49" width="29.59765625" customWidth="1"/>
    <col min="50" max="50" width="36.5" bestFit="1" customWidth="1"/>
    <col min="51" max="51" width="7.69921875" customWidth="1"/>
    <col min="52" max="52" width="7.69921875" style="244" customWidth="1"/>
    <col min="53" max="53" width="0.8984375" style="244" customWidth="1"/>
    <col min="54" max="54" width="11.09765625" customWidth="1"/>
    <col min="55" max="55" width="25" customWidth="1"/>
    <col min="56" max="56" width="18.59765625" bestFit="1" customWidth="1"/>
    <col min="57" max="57" width="9.8984375" customWidth="1"/>
    <col min="58" max="58" width="12" customWidth="1"/>
    <col min="59" max="59" width="0.8984375" style="244" customWidth="1"/>
    <col min="60" max="60" width="25" bestFit="1" customWidth="1"/>
    <col min="61" max="61" width="18.59765625" customWidth="1"/>
    <col min="62" max="62" width="8" customWidth="1"/>
    <col min="63" max="63" width="6.8984375" customWidth="1"/>
    <col min="64" max="64" width="0.8984375" customWidth="1"/>
    <col min="65" max="65" width="13.5" style="244" bestFit="1" customWidth="1"/>
    <col min="66" max="66" width="0.8984375" style="244" customWidth="1"/>
    <col min="67" max="67" width="18.59765625" bestFit="1" customWidth="1"/>
    <col min="68" max="68" width="7.69921875" customWidth="1"/>
    <col min="69" max="69" width="8.59765625" customWidth="1"/>
    <col min="70" max="70" width="0.8984375" customWidth="1"/>
    <col min="71" max="71" width="12" customWidth="1"/>
    <col min="72" max="72" width="25" bestFit="1" customWidth="1"/>
    <col min="73" max="73" width="0.8984375" customWidth="1"/>
    <col min="74" max="74" width="7.69921875" customWidth="1"/>
    <col min="75" max="75" width="9.09765625" customWidth="1"/>
    <col min="76" max="76" width="18.3984375" customWidth="1"/>
    <col min="77" max="77" width="9.8984375" customWidth="1"/>
    <col min="78" max="78" width="12" customWidth="1"/>
    <col min="79" max="79" width="7.3984375" customWidth="1"/>
    <col min="80" max="80" width="12.19921875" customWidth="1"/>
    <col min="81" max="81" width="20.5" customWidth="1"/>
    <col min="82" max="82" width="23.69921875" bestFit="1" customWidth="1"/>
    <col min="83" max="83" width="16.69921875" customWidth="1"/>
    <col min="84" max="84" width="12" customWidth="1"/>
    <col min="85" max="85" width="23.69921875" bestFit="1" customWidth="1"/>
    <col min="86" max="86" width="12.19921875" customWidth="1"/>
    <col min="87" max="87" width="5.59765625" customWidth="1"/>
    <col min="88" max="88" width="0.8984375" customWidth="1"/>
    <col min="89" max="89" width="24.8984375" customWidth="1"/>
    <col min="90" max="90" width="34" customWidth="1"/>
    <col min="91" max="91" width="9.19921875" customWidth="1"/>
    <col min="92" max="92" width="7.69921875" customWidth="1"/>
    <col min="93" max="93" width="16.69921875" customWidth="1"/>
    <col min="94" max="94" width="12" customWidth="1"/>
    <col min="97" max="97" width="24.09765625" bestFit="1" customWidth="1"/>
    <col min="98" max="98" width="35.09765625" bestFit="1" customWidth="1"/>
  </cols>
  <sheetData>
    <row r="1" spans="1:15" ht="27" customHeight="1">
      <c r="A1" s="810"/>
      <c r="B1" s="743" t="s">
        <v>593</v>
      </c>
      <c r="C1" s="7"/>
      <c r="D1" s="7"/>
      <c r="E1" s="743" t="s">
        <v>594</v>
      </c>
      <c r="H1" s="138"/>
      <c r="I1" s="831"/>
      <c r="K1" s="831"/>
    </row>
    <row r="2" spans="1:15" ht="27" customHeight="1">
      <c r="A2" s="138">
        <v>0.01</v>
      </c>
      <c r="B2" s="431" t="str">
        <f>'ROOMS#'!CL4</f>
        <v>JOBSITE VERIFICATION</v>
      </c>
      <c r="H2" s="138"/>
      <c r="K2" s="831"/>
    </row>
    <row r="3" spans="1:15" ht="10.95" customHeight="1">
      <c r="A3" s="138"/>
      <c r="H3" s="138"/>
      <c r="K3" s="831"/>
    </row>
    <row r="4" spans="1:15" ht="27" customHeight="1">
      <c r="A4" s="138">
        <v>0.02</v>
      </c>
      <c r="B4" s="431" t="s">
        <v>595</v>
      </c>
      <c r="C4" s="138" t="s">
        <v>596</v>
      </c>
      <c r="H4" s="138"/>
      <c r="K4" s="831"/>
    </row>
    <row r="5" spans="1:15" ht="10.95" customHeight="1">
      <c r="A5" s="138"/>
      <c r="H5" s="138"/>
      <c r="K5" s="831"/>
    </row>
    <row r="6" spans="1:15" ht="27" customHeight="1">
      <c r="A6" s="138">
        <v>0.03</v>
      </c>
      <c r="B6" s="431" t="str">
        <f>'ROOMS#'!CL5</f>
        <v>MECHANICALS =  WATER METER READING &amp; PLUMBING REPORT/INVOICE</v>
      </c>
      <c r="K6" s="831"/>
    </row>
    <row r="7" spans="1:15" ht="10.95" customHeight="1">
      <c r="A7" s="138"/>
      <c r="K7" s="831"/>
    </row>
    <row r="8" spans="1:15" ht="27" customHeight="1">
      <c r="A8" s="138">
        <v>0.04</v>
      </c>
      <c r="B8" s="431" t="str">
        <f>'ROOMS#'!CL6</f>
        <v>MECHANICALS =  ELECTRICAL HAZARDS</v>
      </c>
      <c r="C8" s="138" t="s">
        <v>596</v>
      </c>
      <c r="H8" s="138"/>
      <c r="K8" s="831"/>
    </row>
    <row r="9" spans="1:15" ht="10.95" customHeight="1">
      <c r="K9" s="831"/>
    </row>
    <row r="10" spans="1:15" ht="27" customHeight="1">
      <c r="A10" s="138">
        <v>0.05</v>
      </c>
      <c r="B10" s="431" t="str">
        <f>'ROOMS#'!CL9</f>
        <v>KITCHEN CABINETS SIZES</v>
      </c>
      <c r="C10" s="138" t="s">
        <v>596</v>
      </c>
      <c r="K10" s="831"/>
    </row>
    <row r="11" spans="1:15" ht="10.95" customHeight="1">
      <c r="A11" s="138"/>
      <c r="K11" s="831"/>
    </row>
    <row r="12" spans="1:15" ht="27" customHeight="1">
      <c r="A12" s="138">
        <v>0.06</v>
      </c>
      <c r="B12" s="431" t="str">
        <f>'ROOMS#'!CL10</f>
        <v>BATHROOM FIXTURES</v>
      </c>
      <c r="C12" s="138" t="s">
        <v>596</v>
      </c>
      <c r="K12" s="831"/>
    </row>
    <row r="13" spans="1:15" ht="10.95" customHeight="1">
      <c r="K13" s="831"/>
    </row>
    <row r="14" spans="1:15" ht="10.95" customHeight="1">
      <c r="K14" s="831"/>
    </row>
    <row r="15" spans="1:15" ht="27" customHeight="1">
      <c r="A15" s="484">
        <v>100</v>
      </c>
      <c r="B15" s="774" t="s">
        <v>597</v>
      </c>
      <c r="C15" s="737"/>
      <c r="D15" s="737"/>
      <c r="E15" s="484">
        <v>100</v>
      </c>
      <c r="F15" s="484"/>
      <c r="G15" s="484"/>
      <c r="K15" s="484"/>
      <c r="L15" s="649"/>
      <c r="M15" s="484"/>
      <c r="N15" s="649"/>
      <c r="O15" s="649"/>
    </row>
    <row r="16" spans="1:15" ht="10.95" customHeight="1">
      <c r="A16" s="484"/>
      <c r="B16" s="737"/>
      <c r="C16" s="737"/>
      <c r="D16" s="737"/>
      <c r="E16" s="484"/>
      <c r="F16" s="484"/>
      <c r="G16" s="484"/>
      <c r="K16" s="484"/>
      <c r="L16" s="649"/>
      <c r="M16" s="484"/>
      <c r="N16" s="649"/>
      <c r="O16" s="649"/>
    </row>
    <row r="17" spans="1:24" ht="27" customHeight="1">
      <c r="A17" s="484">
        <v>200</v>
      </c>
      <c r="B17" s="774" t="s">
        <v>598</v>
      </c>
      <c r="C17" s="737"/>
      <c r="D17" s="737"/>
      <c r="E17" s="484">
        <v>200</v>
      </c>
      <c r="F17" s="484"/>
      <c r="G17" s="484"/>
      <c r="M17" s="484"/>
    </row>
    <row r="18" spans="1:24" ht="10.95" customHeight="1">
      <c r="A18" s="484"/>
      <c r="B18" s="737"/>
      <c r="C18" s="737"/>
      <c r="D18" s="737"/>
      <c r="E18" s="484"/>
      <c r="F18" s="484"/>
      <c r="G18" s="484"/>
      <c r="M18" s="484"/>
    </row>
    <row r="19" spans="1:24" ht="27" customHeight="1">
      <c r="A19" s="648">
        <v>300</v>
      </c>
      <c r="B19" s="774" t="s">
        <v>200</v>
      </c>
      <c r="C19" s="737"/>
      <c r="D19" s="737"/>
      <c r="E19" s="648">
        <v>300</v>
      </c>
      <c r="F19" s="648"/>
      <c r="G19" s="648"/>
      <c r="K19" s="601"/>
      <c r="L19" s="601"/>
      <c r="M19" s="648"/>
      <c r="N19" s="601"/>
      <c r="O19" s="138"/>
      <c r="P19" s="138"/>
      <c r="Q19" s="138"/>
      <c r="R19" s="138"/>
      <c r="S19" s="138"/>
      <c r="T19" s="138"/>
      <c r="U19" s="736"/>
      <c r="V19" s="14"/>
      <c r="W19" s="138"/>
      <c r="X19" s="8"/>
    </row>
    <row r="20" spans="1:24" ht="27" customHeight="1">
      <c r="A20" s="138">
        <v>3222</v>
      </c>
      <c r="B20" t="str">
        <f>'ROOMS#'!CL11</f>
        <v>CPS DAY2 WIP</v>
      </c>
      <c r="K20" s="601"/>
      <c r="L20" s="601"/>
      <c r="M20" s="648"/>
      <c r="N20" s="601"/>
      <c r="O20" s="138"/>
      <c r="P20" s="138"/>
      <c r="Q20" s="138"/>
      <c r="R20" s="138"/>
      <c r="S20" s="138"/>
      <c r="T20" s="138"/>
      <c r="U20" s="736"/>
      <c r="V20" s="14"/>
      <c r="W20" s="138"/>
      <c r="X20" s="8"/>
    </row>
    <row r="21" spans="1:24" ht="27" customHeight="1">
      <c r="A21" s="138">
        <v>3322</v>
      </c>
      <c r="B21" t="str">
        <f>'ROOMS#'!CL12</f>
        <v>CPS3 DAY3 STORAGE</v>
      </c>
      <c r="K21" s="601"/>
      <c r="L21" s="601"/>
      <c r="M21" s="648"/>
      <c r="N21" s="601"/>
      <c r="O21" s="138"/>
      <c r="P21" s="138"/>
      <c r="Q21" s="138"/>
      <c r="R21" s="138"/>
      <c r="S21" s="138"/>
      <c r="T21" s="138"/>
      <c r="U21" s="736"/>
      <c r="V21" s="14"/>
      <c r="W21" s="138"/>
      <c r="X21" s="8"/>
    </row>
    <row r="22" spans="1:24" ht="27" customHeight="1">
      <c r="A22" s="138">
        <v>3444</v>
      </c>
      <c r="B22" t="str">
        <f>'ROOMS#'!CL13</f>
        <v>CPS4 DAY4 PACKBACK</v>
      </c>
      <c r="K22" s="601"/>
      <c r="L22" s="601"/>
      <c r="M22" s="648"/>
      <c r="N22" s="601"/>
      <c r="O22" s="138"/>
      <c r="P22" s="138"/>
      <c r="Q22" s="138"/>
      <c r="R22" s="138"/>
      <c r="S22" s="138"/>
      <c r="T22" s="138"/>
      <c r="U22" s="736"/>
      <c r="V22" s="14"/>
      <c r="W22" s="138"/>
      <c r="X22" s="8"/>
    </row>
    <row r="23" spans="1:24" ht="10.95" customHeight="1">
      <c r="A23" s="648"/>
      <c r="B23" s="737"/>
      <c r="C23" s="737"/>
      <c r="D23" s="737"/>
      <c r="E23" s="648"/>
      <c r="F23" s="648"/>
      <c r="G23" s="648"/>
      <c r="K23" s="601"/>
      <c r="L23" s="601"/>
      <c r="M23" s="648"/>
      <c r="N23" s="601"/>
      <c r="O23" s="138"/>
      <c r="P23" s="138"/>
      <c r="Q23" s="138"/>
      <c r="R23" s="138"/>
      <c r="S23" s="138"/>
      <c r="T23" s="138"/>
      <c r="U23" s="736"/>
      <c r="V23" s="14"/>
      <c r="W23" s="138"/>
      <c r="X23" s="8"/>
    </row>
    <row r="24" spans="1:24" ht="27" customHeight="1">
      <c r="A24" s="484">
        <v>400</v>
      </c>
      <c r="B24" s="775" t="s">
        <v>599</v>
      </c>
      <c r="C24" s="737"/>
      <c r="D24" s="737"/>
      <c r="E24" s="484">
        <v>400</v>
      </c>
      <c r="F24" s="484"/>
      <c r="G24" s="484"/>
      <c r="K24" s="832"/>
      <c r="L24" s="833"/>
      <c r="M24" s="484"/>
      <c r="N24" s="833"/>
      <c r="O24" s="138"/>
      <c r="P24" s="138"/>
      <c r="Q24" s="138"/>
      <c r="R24" s="138"/>
      <c r="S24" s="138"/>
      <c r="T24" s="138"/>
      <c r="U24" s="736"/>
      <c r="V24" s="14"/>
      <c r="W24" s="138"/>
      <c r="X24" s="8"/>
    </row>
    <row r="25" spans="1:24" ht="27" customHeight="1">
      <c r="A25" s="138">
        <v>411.1</v>
      </c>
      <c r="B25" t="str">
        <f>'ROOMS#'!CL14</f>
        <v xml:space="preserve">REPLACEMENT 1 CON OVERVIEW DAY PICS, </v>
      </c>
      <c r="K25" s="832"/>
      <c r="L25" s="833"/>
      <c r="M25" s="484"/>
      <c r="N25" s="833"/>
      <c r="O25" s="138"/>
      <c r="P25" s="138"/>
      <c r="Q25" s="138"/>
      <c r="R25" s="138"/>
      <c r="S25" s="138"/>
      <c r="T25" s="138"/>
      <c r="U25" s="736"/>
      <c r="V25" s="14"/>
      <c r="W25" s="138"/>
      <c r="X25" s="8"/>
    </row>
    <row r="26" spans="1:24" ht="27" customHeight="1">
      <c r="A26" s="138">
        <v>422.2</v>
      </c>
      <c r="B26" t="str">
        <f>'ROOMS#'!CL15</f>
        <v xml:space="preserve">REPLACEMENT 2 CON WIP, </v>
      </c>
      <c r="K26" s="832"/>
      <c r="L26" s="833"/>
      <c r="M26" s="484"/>
      <c r="N26" s="833"/>
      <c r="O26" s="138"/>
      <c r="P26" s="138"/>
      <c r="Q26" s="138"/>
      <c r="R26" s="138"/>
      <c r="S26" s="138"/>
      <c r="T26" s="138"/>
      <c r="U26" s="736"/>
      <c r="V26" s="14"/>
      <c r="W26" s="138"/>
      <c r="X26" s="8"/>
    </row>
    <row r="27" spans="1:24" ht="27" customHeight="1">
      <c r="A27" s="138">
        <v>433.3</v>
      </c>
      <c r="B27" t="str">
        <f>'ROOMS#'!CL16</f>
        <v xml:space="preserve">REPLACEMENT 3 CON STORAGE </v>
      </c>
      <c r="K27" s="832"/>
      <c r="L27" s="833"/>
      <c r="M27" s="484"/>
      <c r="N27" s="833"/>
      <c r="O27" s="138"/>
      <c r="P27" s="138"/>
      <c r="Q27" s="138"/>
      <c r="R27" s="138"/>
      <c r="S27" s="138"/>
      <c r="T27" s="138"/>
      <c r="U27" s="736"/>
      <c r="V27" s="14"/>
      <c r="W27" s="138"/>
      <c r="X27" s="8"/>
    </row>
    <row r="28" spans="1:24" ht="27" customHeight="1">
      <c r="A28" s="138">
        <v>444.4</v>
      </c>
      <c r="B28" t="str">
        <f>'ROOMS#'!CL17</f>
        <v xml:space="preserve">REPLACEMENT 4 CON DISPOSAL, </v>
      </c>
      <c r="K28" s="832"/>
      <c r="L28" s="833"/>
      <c r="M28" s="484"/>
      <c r="N28" s="833"/>
      <c r="O28" s="138"/>
      <c r="P28" s="138"/>
      <c r="Q28" s="138"/>
      <c r="R28" s="138"/>
      <c r="S28" s="138"/>
      <c r="T28" s="138"/>
      <c r="U28" s="736"/>
      <c r="V28" s="14"/>
      <c r="W28" s="138"/>
      <c r="X28" s="8"/>
    </row>
    <row r="29" spans="1:24" ht="10.95" customHeight="1">
      <c r="A29" s="484"/>
      <c r="B29" s="484"/>
      <c r="C29" s="737"/>
      <c r="D29" s="737"/>
      <c r="E29" s="484"/>
      <c r="F29" s="484"/>
      <c r="G29" s="484"/>
      <c r="K29" s="832"/>
      <c r="L29" s="833"/>
      <c r="M29" s="484"/>
      <c r="N29" s="833"/>
      <c r="O29" s="138"/>
      <c r="P29" s="138"/>
      <c r="Q29" s="138"/>
      <c r="R29" s="138"/>
      <c r="S29" s="138"/>
      <c r="T29" s="138"/>
      <c r="U29" s="736"/>
      <c r="V29" s="14"/>
      <c r="W29" s="138"/>
      <c r="X29" s="8"/>
    </row>
    <row r="30" spans="1:24" ht="27" customHeight="1">
      <c r="A30" s="484">
        <v>500</v>
      </c>
      <c r="B30" s="776" t="s">
        <v>600</v>
      </c>
      <c r="C30" s="601"/>
      <c r="D30" s="601"/>
      <c r="E30" s="484">
        <v>500</v>
      </c>
      <c r="F30" s="484"/>
      <c r="G30" s="484"/>
      <c r="M30" s="484"/>
    </row>
    <row r="31" spans="1:24" ht="10.95" customHeight="1">
      <c r="A31" s="484"/>
      <c r="B31" s="601"/>
      <c r="C31" s="601"/>
      <c r="D31" s="601"/>
      <c r="E31" s="484"/>
      <c r="F31" s="484"/>
      <c r="G31" s="484"/>
      <c r="M31" s="484"/>
    </row>
    <row r="32" spans="1:24" ht="27" customHeight="1">
      <c r="A32" s="484">
        <v>600</v>
      </c>
      <c r="B32" s="777" t="str">
        <f>'ROOMS#'!AK1</f>
        <v>… WTR MITIGATION  EQUIPMENT &amp; W.I.P . ...</v>
      </c>
      <c r="C32" s="780"/>
      <c r="D32" s="780"/>
      <c r="E32" s="484">
        <v>800</v>
      </c>
      <c r="F32" s="484"/>
      <c r="G32" s="484"/>
      <c r="K32" s="138"/>
      <c r="L32" s="138"/>
      <c r="M32" s="484"/>
    </row>
    <row r="33" spans="1:13" ht="10.95" customHeight="1">
      <c r="A33" s="484"/>
      <c r="B33" s="780"/>
      <c r="C33" s="780"/>
      <c r="D33" s="780"/>
      <c r="E33" s="484"/>
      <c r="F33" s="484"/>
      <c r="G33" s="484"/>
      <c r="K33" s="138"/>
      <c r="L33" s="138"/>
      <c r="M33" s="484"/>
    </row>
    <row r="34" spans="1:13" ht="27" customHeight="1">
      <c r="A34" s="741">
        <v>7000</v>
      </c>
      <c r="B34" s="775" t="s">
        <v>212</v>
      </c>
      <c r="C34" s="737"/>
      <c r="D34" s="737"/>
      <c r="E34" s="138"/>
      <c r="M34" s="138"/>
    </row>
    <row r="35" spans="1:13" ht="27" customHeight="1">
      <c r="A35" s="741">
        <v>7999</v>
      </c>
      <c r="B35" t="str">
        <f>'ROOMS#'!CL8</f>
        <v>LEAD &amp; HMR TESTING</v>
      </c>
      <c r="M35" s="138"/>
    </row>
    <row r="36" spans="1:13" ht="27" customHeight="1">
      <c r="A36" s="741"/>
      <c r="M36" s="138"/>
    </row>
    <row r="37" spans="1:13" ht="27" customHeight="1">
      <c r="A37" s="741"/>
      <c r="B37" s="665"/>
      <c r="M37" s="138"/>
    </row>
    <row r="38" spans="1:13" ht="27" customHeight="1">
      <c r="A38" s="803">
        <v>8000</v>
      </c>
      <c r="B38" s="804" t="s">
        <v>546</v>
      </c>
      <c r="C38" s="197"/>
      <c r="M38" s="138"/>
    </row>
    <row r="39" spans="1:13" ht="27" customHeight="1">
      <c r="A39" s="741"/>
      <c r="B39" s="665"/>
      <c r="M39" s="138"/>
    </row>
    <row r="40" spans="1:13" ht="27" customHeight="1">
      <c r="A40" s="805">
        <v>8100</v>
      </c>
      <c r="B40" s="778" t="s">
        <v>601</v>
      </c>
      <c r="C40" s="601"/>
      <c r="D40" s="601"/>
      <c r="E40" s="741">
        <v>6000</v>
      </c>
      <c r="F40" s="738"/>
      <c r="G40" s="738"/>
      <c r="M40" s="741"/>
    </row>
    <row r="41" spans="1:13" ht="27" customHeight="1">
      <c r="A41" s="605"/>
      <c r="B41" s="601"/>
      <c r="C41" s="601"/>
      <c r="D41" s="601"/>
      <c r="E41" s="741"/>
      <c r="F41" s="738"/>
      <c r="G41" s="738"/>
      <c r="M41" s="741"/>
    </row>
    <row r="42" spans="1:13" ht="27" customHeight="1">
      <c r="A42" s="806">
        <v>8100.1</v>
      </c>
      <c r="B42" s="807" t="s">
        <v>516</v>
      </c>
      <c r="C42" s="601"/>
      <c r="D42" s="601"/>
      <c r="E42" s="741"/>
      <c r="F42" s="738"/>
      <c r="G42" s="738"/>
      <c r="M42" s="741"/>
    </row>
    <row r="43" spans="1:13" ht="27" customHeight="1">
      <c r="A43" s="739"/>
      <c r="B43" s="560"/>
      <c r="C43" s="601"/>
      <c r="D43" s="601"/>
      <c r="E43" s="741"/>
      <c r="F43" s="738"/>
      <c r="G43" s="738"/>
      <c r="M43" s="741"/>
    </row>
    <row r="44" spans="1:13" ht="27" customHeight="1">
      <c r="A44" s="806">
        <v>8200.2000000000007</v>
      </c>
      <c r="B44" s="807" t="s">
        <v>517</v>
      </c>
      <c r="C44" s="601"/>
      <c r="D44" s="601"/>
      <c r="E44" s="741"/>
      <c r="F44" s="738"/>
      <c r="G44" s="738"/>
      <c r="M44" s="741"/>
    </row>
    <row r="45" spans="1:13" ht="27" customHeight="1">
      <c r="A45" s="739"/>
      <c r="B45" s="560"/>
      <c r="C45" s="601"/>
      <c r="D45" s="601"/>
      <c r="E45" s="741"/>
      <c r="F45" s="738"/>
      <c r="G45" s="738"/>
      <c r="M45" s="741"/>
    </row>
    <row r="46" spans="1:13" ht="27" customHeight="1">
      <c r="A46" s="806">
        <v>8300.2999999999993</v>
      </c>
      <c r="B46" s="807" t="s">
        <v>518</v>
      </c>
      <c r="C46" s="601"/>
      <c r="D46" s="601"/>
      <c r="E46" s="741"/>
      <c r="F46" s="738"/>
      <c r="G46" s="738"/>
      <c r="M46" s="741"/>
    </row>
    <row r="47" spans="1:13" ht="27" customHeight="1">
      <c r="A47" s="739"/>
      <c r="B47" s="560"/>
      <c r="C47" s="601"/>
      <c r="D47" s="601"/>
      <c r="E47" s="741"/>
      <c r="F47" s="738"/>
      <c r="G47" s="738"/>
      <c r="M47" s="741"/>
    </row>
    <row r="48" spans="1:13" ht="27" customHeight="1">
      <c r="A48" s="806">
        <v>8400.4</v>
      </c>
      <c r="B48" s="807" t="s">
        <v>519</v>
      </c>
      <c r="C48" s="601"/>
      <c r="D48" s="601"/>
      <c r="E48" s="741"/>
      <c r="F48" s="738"/>
      <c r="G48" s="738"/>
      <c r="M48" s="741"/>
    </row>
    <row r="49" spans="1:13" ht="27" customHeight="1">
      <c r="A49" s="741"/>
      <c r="B49" s="560"/>
      <c r="C49" s="601"/>
      <c r="D49" s="601"/>
      <c r="E49" s="741"/>
      <c r="F49" s="738"/>
      <c r="G49" s="738"/>
      <c r="M49" s="741"/>
    </row>
    <row r="50" spans="1:13" ht="27" customHeight="1">
      <c r="A50" s="741"/>
      <c r="B50" s="560"/>
      <c r="C50" s="601"/>
      <c r="D50" s="601"/>
      <c r="E50" s="741"/>
      <c r="F50" s="738"/>
      <c r="G50" s="738"/>
      <c r="M50" s="741"/>
    </row>
    <row r="51" spans="1:13" ht="27" customHeight="1">
      <c r="A51" s="741"/>
      <c r="B51" s="560"/>
      <c r="C51" s="601"/>
      <c r="D51" s="601"/>
      <c r="E51" s="741"/>
      <c r="F51" s="738"/>
      <c r="G51" s="738"/>
      <c r="M51" s="741"/>
    </row>
    <row r="52" spans="1:13" ht="27" customHeight="1">
      <c r="A52" s="741"/>
      <c r="B52" s="560"/>
      <c r="C52" s="601"/>
      <c r="D52" s="601"/>
      <c r="E52" s="741"/>
      <c r="F52" s="738"/>
      <c r="G52" s="738"/>
      <c r="M52" s="741"/>
    </row>
    <row r="53" spans="1:13" ht="27" customHeight="1">
      <c r="A53" s="741"/>
      <c r="B53" s="560"/>
      <c r="C53" s="601"/>
      <c r="D53" s="601"/>
      <c r="E53" s="741"/>
      <c r="F53" s="738"/>
      <c r="G53" s="738"/>
      <c r="M53" s="741"/>
    </row>
    <row r="54" spans="1:13" ht="27" customHeight="1">
      <c r="A54" s="741"/>
      <c r="B54" s="560"/>
      <c r="C54" s="601"/>
      <c r="D54" s="601"/>
      <c r="E54" s="741"/>
      <c r="F54" s="738"/>
      <c r="G54" s="738"/>
      <c r="M54" s="741"/>
    </row>
    <row r="55" spans="1:13" ht="27" customHeight="1">
      <c r="A55" s="741"/>
      <c r="B55" s="560"/>
      <c r="C55" s="601"/>
      <c r="D55" s="601"/>
      <c r="E55" s="741"/>
      <c r="F55" s="738"/>
      <c r="G55" s="738"/>
      <c r="M55" s="741"/>
    </row>
    <row r="56" spans="1:13" ht="27" customHeight="1">
      <c r="A56" s="741"/>
      <c r="B56" s="560"/>
      <c r="C56" s="601"/>
      <c r="D56" s="601"/>
      <c r="E56" s="741"/>
      <c r="F56" s="738"/>
      <c r="G56" s="738"/>
      <c r="M56" s="741"/>
    </row>
    <row r="57" spans="1:13" ht="27" customHeight="1">
      <c r="A57" s="741"/>
      <c r="B57" s="560"/>
      <c r="C57" s="601"/>
      <c r="D57" s="601"/>
      <c r="E57" s="741"/>
      <c r="F57" s="738"/>
      <c r="G57" s="738"/>
      <c r="M57" s="741"/>
    </row>
    <row r="58" spans="1:13" ht="27" customHeight="1">
      <c r="A58" s="741"/>
      <c r="B58" s="560"/>
      <c r="C58" s="601"/>
      <c r="D58" s="601"/>
      <c r="E58" s="741"/>
      <c r="F58" s="738"/>
      <c r="G58" s="738"/>
      <c r="M58" s="741"/>
    </row>
    <row r="59" spans="1:13" ht="27" customHeight="1">
      <c r="A59" s="741"/>
      <c r="B59" s="560"/>
      <c r="C59" s="601"/>
      <c r="D59" s="601"/>
      <c r="E59" s="741"/>
      <c r="F59" s="738"/>
      <c r="G59" s="738"/>
      <c r="M59" s="741"/>
    </row>
    <row r="60" spans="1:13" ht="27" customHeight="1">
      <c r="A60" s="741"/>
      <c r="B60" s="560"/>
      <c r="C60" s="601"/>
      <c r="D60" s="601"/>
      <c r="E60" s="741"/>
      <c r="F60" s="738"/>
      <c r="G60" s="738"/>
      <c r="M60" s="741"/>
    </row>
    <row r="61" spans="1:13" ht="27" customHeight="1">
      <c r="A61" s="741"/>
      <c r="B61" s="560"/>
      <c r="C61" s="601"/>
      <c r="D61" s="601"/>
      <c r="E61" s="741"/>
      <c r="F61" s="738"/>
      <c r="G61" s="738"/>
      <c r="M61" s="741"/>
    </row>
    <row r="62" spans="1:13" ht="27" customHeight="1">
      <c r="A62" s="741"/>
      <c r="B62" s="560"/>
      <c r="C62" s="601"/>
      <c r="D62" s="601"/>
      <c r="E62" s="741"/>
      <c r="F62" s="738"/>
      <c r="G62" s="738"/>
      <c r="M62" s="741"/>
    </row>
    <row r="63" spans="1:13" ht="27" customHeight="1">
      <c r="A63" s="741"/>
      <c r="B63" s="560"/>
      <c r="C63" s="601"/>
      <c r="D63" s="601"/>
      <c r="E63" s="741"/>
      <c r="F63" s="738"/>
      <c r="G63" s="738"/>
      <c r="M63" s="741"/>
    </row>
    <row r="64" spans="1:13" ht="27" customHeight="1">
      <c r="A64" s="741"/>
      <c r="C64" s="601"/>
      <c r="D64" s="601"/>
      <c r="E64" s="741"/>
      <c r="F64" s="738"/>
      <c r="G64" s="738"/>
      <c r="M64" s="741"/>
    </row>
    <row r="65" spans="1:13" ht="10.95" customHeight="1">
      <c r="A65" s="741"/>
      <c r="B65" s="601"/>
      <c r="C65" s="601"/>
      <c r="D65" s="601"/>
      <c r="E65" s="741"/>
      <c r="F65" s="738"/>
      <c r="G65" s="738"/>
      <c r="M65" s="741"/>
    </row>
    <row r="66" spans="1:13" ht="25.2" customHeight="1">
      <c r="A66" s="741">
        <v>9000</v>
      </c>
      <c r="B66" s="779" t="str">
        <f>'ROOMS#'!CC1</f>
        <v>RH &amp;T &amp; GPP  DRY CHAMBERS [DC] .READ INGS</v>
      </c>
      <c r="C66" s="742"/>
      <c r="D66" s="742"/>
      <c r="E66" s="137">
        <v>7100</v>
      </c>
      <c r="F66" s="740"/>
      <c r="G66" s="740"/>
      <c r="M66" s="137"/>
    </row>
    <row r="67" spans="1:13" ht="25.2" customHeight="1">
      <c r="A67" s="605">
        <v>9100</v>
      </c>
      <c r="B67" s="602" t="s">
        <v>554</v>
      </c>
      <c r="C67" s="605" t="s">
        <v>533</v>
      </c>
      <c r="D67" s="605"/>
      <c r="E67" s="137"/>
      <c r="F67" s="740"/>
      <c r="G67" s="740"/>
      <c r="M67" s="137"/>
    </row>
    <row r="68" spans="1:13" ht="25.2" customHeight="1" thickBot="1">
      <c r="A68" s="605">
        <v>9100</v>
      </c>
      <c r="B68" s="661" t="s">
        <v>557</v>
      </c>
      <c r="C68" s="735" t="s">
        <v>533</v>
      </c>
      <c r="D68" s="735"/>
      <c r="E68" s="137"/>
      <c r="F68" s="740"/>
      <c r="G68" s="740"/>
      <c r="M68" s="137"/>
    </row>
    <row r="69" spans="1:13" ht="25.2" customHeight="1" thickTop="1" thickBot="1">
      <c r="A69" s="624">
        <v>9101.1</v>
      </c>
      <c r="B69" s="607" t="s">
        <v>560</v>
      </c>
      <c r="C69" s="8" t="s">
        <v>533</v>
      </c>
      <c r="D69" s="8"/>
      <c r="E69" s="137"/>
      <c r="F69" s="740"/>
      <c r="G69" s="740"/>
      <c r="M69" s="137"/>
    </row>
    <row r="70" spans="1:13" ht="25.2" customHeight="1" thickTop="1" thickBot="1">
      <c r="A70" s="625">
        <v>9102.1</v>
      </c>
      <c r="B70" s="607" t="s">
        <v>562</v>
      </c>
      <c r="C70" s="32" t="s">
        <v>533</v>
      </c>
      <c r="D70" s="32"/>
      <c r="E70" s="137"/>
      <c r="F70" s="740"/>
      <c r="G70" s="740"/>
      <c r="M70" s="137"/>
    </row>
    <row r="71" spans="1:13" ht="25.2" customHeight="1" thickTop="1" thickBot="1">
      <c r="A71" s="624">
        <v>9103.1</v>
      </c>
      <c r="B71" s="607" t="s">
        <v>565</v>
      </c>
      <c r="C71" s="32" t="s">
        <v>533</v>
      </c>
      <c r="D71" s="32"/>
      <c r="E71" s="137"/>
      <c r="F71" s="740"/>
      <c r="G71" s="740"/>
      <c r="M71" s="137"/>
    </row>
    <row r="72" spans="1:13" ht="25.2" customHeight="1" thickTop="1" thickBot="1">
      <c r="A72" s="625">
        <v>9104.1</v>
      </c>
      <c r="B72" s="607" t="s">
        <v>568</v>
      </c>
      <c r="C72" s="32" t="s">
        <v>533</v>
      </c>
      <c r="D72" s="32"/>
      <c r="E72" s="137"/>
      <c r="F72" s="740"/>
      <c r="G72" s="740"/>
      <c r="M72" s="137"/>
    </row>
    <row r="73" spans="1:13" ht="10.95" customHeight="1" thickTop="1" thickBot="1">
      <c r="A73" s="801"/>
      <c r="B73" s="802"/>
      <c r="C73" s="800"/>
      <c r="D73" s="800"/>
      <c r="E73" s="137"/>
      <c r="F73" s="740"/>
      <c r="G73" s="740"/>
      <c r="M73" s="137"/>
    </row>
    <row r="74" spans="1:13" ht="25.2" customHeight="1" thickTop="1" thickBot="1">
      <c r="A74" s="624">
        <v>9200.2000000000007</v>
      </c>
      <c r="B74" s="602" t="s">
        <v>554</v>
      </c>
      <c r="C74" s="747" t="s">
        <v>530</v>
      </c>
      <c r="D74" s="747"/>
      <c r="E74" s="137"/>
      <c r="F74" s="740"/>
      <c r="G74" s="740"/>
      <c r="M74" s="137"/>
    </row>
    <row r="75" spans="1:13" ht="25.2" customHeight="1" thickTop="1" thickBot="1">
      <c r="A75" s="624">
        <v>9200.2000000000007</v>
      </c>
      <c r="B75" s="661" t="s">
        <v>557</v>
      </c>
      <c r="C75" s="622" t="s">
        <v>530</v>
      </c>
      <c r="D75" s="622"/>
      <c r="E75" s="137"/>
      <c r="F75" s="740"/>
      <c r="G75" s="740"/>
      <c r="M75" s="137"/>
    </row>
    <row r="76" spans="1:13" ht="25.2" customHeight="1" thickTop="1" thickBot="1">
      <c r="A76" s="625">
        <v>9201.2000000000007</v>
      </c>
      <c r="B76" s="607" t="s">
        <v>560</v>
      </c>
      <c r="C76" s="8" t="s">
        <v>530</v>
      </c>
      <c r="D76" s="8"/>
      <c r="E76" s="137"/>
      <c r="F76" s="740"/>
      <c r="G76" s="740"/>
      <c r="M76" s="137"/>
    </row>
    <row r="77" spans="1:13" ht="25.2" customHeight="1" thickTop="1" thickBot="1">
      <c r="A77" s="624">
        <v>9202.2000000000007</v>
      </c>
      <c r="B77" s="607" t="s">
        <v>562</v>
      </c>
      <c r="C77" s="32" t="s">
        <v>530</v>
      </c>
      <c r="D77" s="32"/>
      <c r="E77" s="137"/>
      <c r="F77" s="740"/>
      <c r="G77" s="740"/>
      <c r="M77" s="137"/>
    </row>
    <row r="78" spans="1:13" ht="25.2" customHeight="1" thickTop="1" thickBot="1">
      <c r="A78" s="625">
        <v>9203.2000000000007</v>
      </c>
      <c r="B78" s="607" t="s">
        <v>565</v>
      </c>
      <c r="C78" s="32" t="s">
        <v>530</v>
      </c>
      <c r="D78" s="32"/>
      <c r="E78" s="137"/>
      <c r="F78" s="740"/>
      <c r="G78" s="740"/>
      <c r="M78" s="137"/>
    </row>
    <row r="79" spans="1:13" ht="25.2" customHeight="1" thickTop="1" thickBot="1">
      <c r="A79" s="625">
        <v>9204.2000000000007</v>
      </c>
      <c r="B79" s="607" t="s">
        <v>568</v>
      </c>
      <c r="C79" s="32" t="s">
        <v>530</v>
      </c>
      <c r="D79" s="32"/>
      <c r="E79" s="137"/>
      <c r="F79" s="740"/>
      <c r="G79" s="740"/>
      <c r="M79" s="137"/>
    </row>
    <row r="80" spans="1:13" ht="10.95" customHeight="1" thickTop="1">
      <c r="A80" s="798"/>
      <c r="B80" s="802"/>
      <c r="C80" s="800"/>
      <c r="D80" s="800"/>
      <c r="E80" s="137"/>
      <c r="F80" s="740"/>
      <c r="G80" s="740"/>
      <c r="M80" s="137"/>
    </row>
    <row r="81" spans="1:13" ht="25.2" customHeight="1">
      <c r="A81" s="632">
        <v>9300.2999999999993</v>
      </c>
      <c r="B81" s="602" t="s">
        <v>554</v>
      </c>
      <c r="C81" s="603" t="s">
        <v>531</v>
      </c>
      <c r="D81" s="603"/>
      <c r="E81" s="137"/>
      <c r="F81" s="740"/>
      <c r="G81" s="740"/>
      <c r="M81" s="137"/>
    </row>
    <row r="82" spans="1:13" ht="25.2" customHeight="1" thickBot="1">
      <c r="A82" s="624">
        <v>9300.2999999999993</v>
      </c>
      <c r="B82" s="661" t="s">
        <v>557</v>
      </c>
      <c r="C82" s="605" t="s">
        <v>531</v>
      </c>
      <c r="D82" s="605"/>
      <c r="E82" s="137"/>
      <c r="F82" s="740"/>
      <c r="G82" s="740"/>
      <c r="M82" s="137"/>
    </row>
    <row r="83" spans="1:13" ht="25.2" customHeight="1" thickTop="1" thickBot="1">
      <c r="A83" s="625">
        <v>9301.2999999999993</v>
      </c>
      <c r="B83" s="607" t="s">
        <v>560</v>
      </c>
      <c r="C83" s="622" t="s">
        <v>531</v>
      </c>
      <c r="D83" s="622"/>
      <c r="E83" s="137"/>
      <c r="F83" s="740"/>
      <c r="G83" s="740"/>
      <c r="M83" s="137"/>
    </row>
    <row r="84" spans="1:13" ht="25.2" customHeight="1" thickTop="1" thickBot="1">
      <c r="A84" s="625">
        <v>9302.2999999999993</v>
      </c>
      <c r="B84" s="607" t="s">
        <v>562</v>
      </c>
      <c r="C84" s="32" t="s">
        <v>531</v>
      </c>
      <c r="D84" s="32"/>
      <c r="E84" s="137"/>
      <c r="F84" s="740"/>
      <c r="G84" s="740"/>
      <c r="M84" s="137"/>
    </row>
    <row r="85" spans="1:13" ht="25.2" customHeight="1" thickTop="1" thickBot="1">
      <c r="A85" s="625">
        <v>9303.2999999999993</v>
      </c>
      <c r="B85" s="607" t="s">
        <v>565</v>
      </c>
      <c r="C85" s="32" t="s">
        <v>531</v>
      </c>
      <c r="D85" s="32"/>
      <c r="E85" s="137"/>
      <c r="F85" s="740"/>
      <c r="G85" s="740"/>
      <c r="M85" s="137"/>
    </row>
    <row r="86" spans="1:13" ht="25.2" customHeight="1" thickTop="1" thickBot="1">
      <c r="A86" s="625">
        <v>9304.2999999999993</v>
      </c>
      <c r="B86" s="607" t="s">
        <v>568</v>
      </c>
      <c r="C86" s="32" t="s">
        <v>531</v>
      </c>
      <c r="D86" s="32"/>
      <c r="E86" s="137"/>
      <c r="F86" s="740"/>
      <c r="G86" s="740"/>
      <c r="M86" s="137"/>
    </row>
    <row r="87" spans="1:13" ht="10.95" customHeight="1" thickTop="1">
      <c r="A87" s="798"/>
      <c r="B87" s="802"/>
      <c r="C87" s="800"/>
      <c r="D87" s="800"/>
      <c r="E87" s="137"/>
      <c r="F87" s="740"/>
      <c r="G87" s="740"/>
      <c r="M87" s="137"/>
    </row>
    <row r="88" spans="1:13" ht="25.2" customHeight="1">
      <c r="A88" s="632">
        <v>9400.4</v>
      </c>
      <c r="B88" s="602" t="s">
        <v>554</v>
      </c>
      <c r="C88" s="621" t="s">
        <v>532</v>
      </c>
      <c r="D88" s="621"/>
      <c r="E88" s="137"/>
      <c r="F88" s="740"/>
      <c r="G88" s="740"/>
      <c r="M88" s="137"/>
    </row>
    <row r="89" spans="1:13" ht="25.2" customHeight="1" thickBot="1">
      <c r="A89" s="625">
        <v>9401.4</v>
      </c>
      <c r="B89" s="661" t="s">
        <v>557</v>
      </c>
      <c r="C89" s="622" t="s">
        <v>532</v>
      </c>
      <c r="D89" s="622"/>
      <c r="E89" s="137"/>
      <c r="F89" s="740"/>
      <c r="G89" s="740"/>
      <c r="M89" s="137"/>
    </row>
    <row r="90" spans="1:13" ht="25.2" customHeight="1" thickTop="1" thickBot="1">
      <c r="A90" s="625">
        <v>9402.4</v>
      </c>
      <c r="B90" s="607" t="s">
        <v>560</v>
      </c>
      <c r="C90" s="8" t="s">
        <v>532</v>
      </c>
      <c r="D90" s="8"/>
      <c r="E90" s="137"/>
      <c r="F90" s="740"/>
      <c r="G90" s="740"/>
      <c r="M90" s="137"/>
    </row>
    <row r="91" spans="1:13" ht="25.2" customHeight="1" thickTop="1" thickBot="1">
      <c r="A91" s="625">
        <v>9403.4</v>
      </c>
      <c r="B91" s="607" t="s">
        <v>562</v>
      </c>
      <c r="C91" s="32" t="s">
        <v>532</v>
      </c>
      <c r="D91" s="32"/>
      <c r="E91" s="137"/>
      <c r="F91" s="740"/>
      <c r="G91" s="740"/>
      <c r="M91" s="137"/>
    </row>
    <row r="92" spans="1:13" ht="25.2" customHeight="1" thickTop="1" thickBot="1">
      <c r="A92" s="625">
        <v>9404.4</v>
      </c>
      <c r="B92" s="607" t="s">
        <v>565</v>
      </c>
      <c r="C92" s="32" t="s">
        <v>532</v>
      </c>
      <c r="D92" s="32"/>
      <c r="E92" s="137"/>
      <c r="F92" s="740"/>
      <c r="G92" s="740"/>
      <c r="M92" s="137"/>
    </row>
    <row r="93" spans="1:13" ht="25.2" customHeight="1" thickTop="1" thickBot="1">
      <c r="A93" s="625">
        <v>9405.4</v>
      </c>
      <c r="B93" s="607" t="s">
        <v>568</v>
      </c>
      <c r="C93" s="32" t="s">
        <v>532</v>
      </c>
      <c r="D93" s="32"/>
      <c r="E93" s="137"/>
      <c r="F93" s="740"/>
      <c r="G93" s="740"/>
      <c r="M93" s="137"/>
    </row>
    <row r="94" spans="1:13" ht="10.95" customHeight="1" thickTop="1">
      <c r="A94" s="798"/>
      <c r="B94" s="799"/>
      <c r="C94" s="800"/>
      <c r="D94" s="800"/>
      <c r="E94" s="137"/>
      <c r="F94" s="740"/>
      <c r="G94" s="740"/>
      <c r="M94" s="137"/>
    </row>
    <row r="95" spans="1:13" ht="25.2" customHeight="1">
      <c r="A95" s="138">
        <v>9998</v>
      </c>
      <c r="B95" t="str">
        <f>'ROOMS#'!CL18</f>
        <v xml:space="preserve">REBUILD OVERVIEW WORK IN PROGRESS.......WIP, </v>
      </c>
      <c r="M95" s="138"/>
    </row>
    <row r="96" spans="1:13" ht="10.95" customHeight="1">
      <c r="A96" s="138"/>
      <c r="M96" s="138"/>
    </row>
    <row r="97" spans="1:21" ht="25.2" customHeight="1">
      <c r="A97" s="138">
        <v>9999</v>
      </c>
      <c r="B97" t="str">
        <f>'ROOMS#'!CL19</f>
        <v xml:space="preserve">REBUILD INTERIOR COMPLETED WORK, </v>
      </c>
      <c r="M97" s="138"/>
    </row>
    <row r="98" spans="1:21" ht="27" customHeight="1">
      <c r="A98" s="138"/>
      <c r="F98" s="890" t="s">
        <v>593</v>
      </c>
      <c r="G98" s="890"/>
      <c r="H98" s="890"/>
      <c r="I98" s="890"/>
      <c r="J98" s="890"/>
      <c r="K98" s="890"/>
      <c r="L98" s="890"/>
      <c r="M98" s="890"/>
      <c r="N98" s="890"/>
      <c r="O98" s="890"/>
      <c r="P98" s="890"/>
      <c r="Q98" s="890"/>
      <c r="R98" s="890"/>
      <c r="S98" s="890"/>
      <c r="T98" s="890"/>
      <c r="U98" s="890"/>
    </row>
    <row r="99" spans="1:21" ht="27" customHeight="1">
      <c r="A99" s="138"/>
      <c r="F99" s="639" t="str">
        <f>'jobinfo(2)'!$C$51</f>
        <v>OH25 BROWNLEE @E189</v>
      </c>
      <c r="G99" s="639"/>
      <c r="H99" s="784"/>
      <c r="I99" s="784"/>
      <c r="J99" s="193"/>
      <c r="K99" s="785" t="str">
        <f>'jobinfo(2)'!$C$2</f>
        <v>3922 E 189 STR</v>
      </c>
      <c r="L99" s="193"/>
      <c r="M99" s="784"/>
      <c r="N99" s="193"/>
      <c r="O99" s="193"/>
      <c r="P99" s="193"/>
      <c r="Q99" s="785" t="str">
        <f>'jobinfo(2)'!$C$3</f>
        <v>CLEVELAND, OH 44128</v>
      </c>
      <c r="R99" s="193"/>
      <c r="S99" s="193"/>
      <c r="T99" s="193"/>
      <c r="U99" s="193"/>
    </row>
    <row r="100" spans="1:21" ht="27" customHeight="1">
      <c r="A100" s="138"/>
      <c r="F100" s="896"/>
      <c r="G100" s="896"/>
      <c r="H100" s="896"/>
      <c r="I100" s="896"/>
      <c r="J100" s="896"/>
      <c r="K100" s="896"/>
      <c r="L100" s="896"/>
      <c r="M100" s="896"/>
      <c r="N100" s="896"/>
      <c r="O100" s="896"/>
      <c r="P100" s="896"/>
      <c r="Q100" s="896"/>
      <c r="R100" s="896"/>
      <c r="S100" s="896"/>
    </row>
    <row r="101" spans="1:21" ht="27" customHeight="1">
      <c r="A101" s="138"/>
      <c r="F101" s="589" t="s">
        <v>555</v>
      </c>
      <c r="G101" s="589"/>
      <c r="I101" s="138"/>
      <c r="J101" s="896"/>
      <c r="K101" s="896"/>
      <c r="L101" s="896"/>
      <c r="M101" s="896"/>
      <c r="N101" s="896"/>
      <c r="O101" s="896"/>
      <c r="P101" s="896"/>
      <c r="Q101" s="896"/>
      <c r="R101" s="896"/>
      <c r="S101" s="896"/>
      <c r="T101" s="783">
        <v>0.01</v>
      </c>
    </row>
    <row r="102" spans="1:21" ht="10.95" customHeight="1">
      <c r="A102" s="138"/>
      <c r="F102" s="890"/>
      <c r="G102" s="890"/>
      <c r="H102" s="890"/>
      <c r="I102" s="890"/>
      <c r="J102" s="896"/>
      <c r="K102" s="896"/>
      <c r="L102" s="896"/>
      <c r="M102" s="896"/>
      <c r="N102" s="896"/>
      <c r="O102" s="896"/>
      <c r="P102" s="896"/>
      <c r="Q102" s="896"/>
      <c r="R102" s="896"/>
      <c r="S102" s="896"/>
      <c r="T102" s="661"/>
    </row>
    <row r="103" spans="1:21" ht="27" customHeight="1">
      <c r="A103" s="138"/>
      <c r="F103" s="589" t="s">
        <v>595</v>
      </c>
      <c r="G103" s="589"/>
      <c r="J103" s="889" t="s">
        <v>596</v>
      </c>
      <c r="K103" s="889"/>
      <c r="L103" s="889"/>
      <c r="M103" s="889"/>
      <c r="N103" s="889"/>
      <c r="O103" s="889"/>
      <c r="P103" s="889"/>
      <c r="Q103" s="889"/>
      <c r="R103" s="889"/>
      <c r="S103" s="889"/>
      <c r="T103" s="783">
        <v>0.02</v>
      </c>
    </row>
    <row r="104" spans="1:21" ht="10.95" customHeight="1">
      <c r="A104" s="138"/>
      <c r="F104" s="890"/>
      <c r="G104" s="890"/>
      <c r="H104" s="890"/>
      <c r="I104" s="890"/>
      <c r="J104" s="890"/>
      <c r="K104" s="890"/>
      <c r="L104" s="890"/>
      <c r="M104" s="890"/>
      <c r="N104" s="890"/>
      <c r="O104" s="890"/>
      <c r="P104" s="890"/>
      <c r="Q104" s="890"/>
      <c r="R104" s="890"/>
      <c r="S104" s="890"/>
      <c r="T104" s="890"/>
      <c r="U104" s="890"/>
    </row>
    <row r="105" spans="1:21" ht="27" customHeight="1">
      <c r="A105" s="138"/>
      <c r="F105" s="589" t="s">
        <v>559</v>
      </c>
      <c r="G105" s="589"/>
      <c r="M105" s="138"/>
      <c r="Q105" s="2"/>
      <c r="T105" s="783">
        <v>0.03</v>
      </c>
    </row>
    <row r="106" spans="1:21" ht="10.95" customHeight="1">
      <c r="A106" s="138"/>
      <c r="F106" s="589"/>
      <c r="G106" s="589"/>
      <c r="J106" s="895" t="s">
        <v>596</v>
      </c>
      <c r="K106" s="895"/>
      <c r="L106" s="895"/>
      <c r="M106" s="895"/>
      <c r="N106" s="895"/>
      <c r="O106" s="895"/>
      <c r="P106" s="895"/>
      <c r="Q106" s="895"/>
      <c r="R106" s="895"/>
      <c r="S106" s="895"/>
      <c r="T106" s="661"/>
    </row>
    <row r="107" spans="1:21" ht="27" customHeight="1">
      <c r="A107" s="138"/>
      <c r="F107" s="589" t="s">
        <v>561</v>
      </c>
      <c r="G107" s="589"/>
      <c r="M107" s="889" t="s">
        <v>596</v>
      </c>
      <c r="N107" s="889"/>
      <c r="O107" s="889"/>
      <c r="P107" s="889"/>
      <c r="Q107" s="889"/>
      <c r="R107" s="889"/>
      <c r="S107" s="889"/>
      <c r="T107" s="783">
        <v>0.04</v>
      </c>
    </row>
    <row r="108" spans="1:21" ht="10.95" customHeight="1">
      <c r="A108" s="138"/>
      <c r="F108" s="890"/>
      <c r="G108" s="890"/>
      <c r="H108" s="890"/>
      <c r="I108" s="890"/>
      <c r="J108" s="890"/>
      <c r="K108" s="890"/>
      <c r="L108" s="890"/>
      <c r="M108" s="890"/>
      <c r="N108" s="890"/>
      <c r="O108" s="890"/>
      <c r="P108" s="890"/>
      <c r="Q108" s="890"/>
      <c r="R108" s="890"/>
      <c r="S108" s="890"/>
      <c r="T108" s="890"/>
      <c r="U108" s="890"/>
    </row>
    <row r="109" spans="1:21" ht="27" customHeight="1">
      <c r="A109" s="138"/>
      <c r="F109" s="589" t="s">
        <v>534</v>
      </c>
      <c r="G109" s="589"/>
      <c r="I109" s="891"/>
      <c r="J109" s="891"/>
      <c r="K109" s="891"/>
      <c r="L109" s="891"/>
      <c r="M109" s="889" t="s">
        <v>596</v>
      </c>
      <c r="N109" s="889"/>
      <c r="O109" s="889"/>
      <c r="P109" s="889"/>
      <c r="Q109" s="889"/>
      <c r="R109" s="889"/>
      <c r="S109" s="889"/>
      <c r="T109" s="783">
        <v>0.05</v>
      </c>
    </row>
    <row r="110" spans="1:21" ht="10.95" customHeight="1">
      <c r="A110" s="138"/>
      <c r="F110" s="890"/>
      <c r="G110" s="890"/>
      <c r="H110" s="890"/>
      <c r="I110" s="890"/>
      <c r="J110" s="890"/>
      <c r="K110" s="890"/>
      <c r="L110" s="890"/>
      <c r="M110" s="890"/>
      <c r="N110" s="890"/>
      <c r="O110" s="890"/>
      <c r="P110" s="890"/>
      <c r="Q110" s="890"/>
      <c r="R110" s="890"/>
      <c r="S110" s="890"/>
      <c r="T110" s="890"/>
      <c r="U110" s="890"/>
    </row>
    <row r="111" spans="1:21" ht="27" customHeight="1">
      <c r="A111" s="138"/>
      <c r="F111" s="589" t="s">
        <v>570</v>
      </c>
      <c r="G111" s="589"/>
      <c r="J111" s="889" t="s">
        <v>596</v>
      </c>
      <c r="K111" s="889"/>
      <c r="L111" s="889"/>
      <c r="M111" s="889"/>
      <c r="N111" s="889"/>
      <c r="O111" s="889"/>
      <c r="P111" s="889"/>
      <c r="Q111" s="889"/>
      <c r="R111" s="889"/>
      <c r="S111" s="889"/>
      <c r="T111" s="783">
        <v>0.06</v>
      </c>
    </row>
    <row r="112" spans="1:21" ht="27" customHeight="1">
      <c r="F112" s="891"/>
      <c r="G112" s="891"/>
      <c r="H112" s="891"/>
      <c r="I112" s="891"/>
      <c r="J112" s="891"/>
      <c r="K112" s="891"/>
      <c r="L112" s="891"/>
      <c r="M112" s="891"/>
      <c r="N112" s="891"/>
      <c r="O112" s="891"/>
      <c r="P112" s="891"/>
      <c r="Q112" s="891"/>
      <c r="R112" s="891"/>
      <c r="S112" s="891"/>
      <c r="T112" s="891"/>
      <c r="U112" s="891"/>
    </row>
    <row r="113" spans="3:103" ht="27" customHeight="1">
      <c r="C113" s="639"/>
      <c r="D113" s="639"/>
      <c r="E113" s="639"/>
      <c r="G113" t="s">
        <v>602</v>
      </c>
      <c r="H113" s="899" t="s">
        <v>603</v>
      </c>
      <c r="J113" s="900" t="str">
        <f>'ROOMS-out'!B17</f>
        <v>SOURCE of LOSS</v>
      </c>
      <c r="K113" s="900"/>
      <c r="L113" s="901" t="s">
        <v>200</v>
      </c>
      <c r="M113" s="901"/>
      <c r="N113" s="901" t="s">
        <v>599</v>
      </c>
      <c r="O113" s="901"/>
      <c r="P113" s="901" t="s">
        <v>197</v>
      </c>
      <c r="Q113" s="901"/>
      <c r="R113" s="898" t="s">
        <v>604</v>
      </c>
      <c r="S113" s="898"/>
      <c r="T113" s="898" t="s">
        <v>212</v>
      </c>
      <c r="U113" s="898"/>
      <c r="V113" s="888" t="s">
        <v>1454</v>
      </c>
      <c r="X113" s="883" t="s">
        <v>1455</v>
      </c>
      <c r="CY113" s="560"/>
    </row>
    <row r="114" spans="3:103" ht="27" customHeight="1">
      <c r="C114" s="640"/>
      <c r="D114" s="640"/>
      <c r="E114" s="640"/>
      <c r="G114" t="s">
        <v>605</v>
      </c>
      <c r="H114" s="899"/>
      <c r="J114" s="900"/>
      <c r="K114" s="900"/>
      <c r="L114" s="901"/>
      <c r="M114" s="901"/>
      <c r="N114" s="901"/>
      <c r="O114" s="901"/>
      <c r="P114" s="901"/>
      <c r="Q114" s="901"/>
      <c r="R114" s="898"/>
      <c r="S114" s="898"/>
      <c r="T114" s="898"/>
      <c r="U114" s="898"/>
      <c r="V114" s="888"/>
      <c r="X114" s="883"/>
      <c r="CY114" s="560"/>
    </row>
    <row r="115" spans="3:103" ht="27" customHeight="1" thickBot="1">
      <c r="C115" s="730"/>
      <c r="D115" s="730"/>
      <c r="E115" s="730"/>
      <c r="F115" s="748" t="s">
        <v>606</v>
      </c>
      <c r="G115" s="748"/>
      <c r="H115" s="781">
        <f>A15</f>
        <v>100</v>
      </c>
      <c r="I115" s="735"/>
      <c r="J115" s="745">
        <f>A17</f>
        <v>200</v>
      </c>
      <c r="K115" s="735"/>
      <c r="L115" s="781">
        <f>A19</f>
        <v>300</v>
      </c>
      <c r="M115" s="735"/>
      <c r="N115" s="773">
        <f>A24</f>
        <v>400</v>
      </c>
      <c r="O115" s="735"/>
      <c r="P115" s="781">
        <f>A30</f>
        <v>500</v>
      </c>
      <c r="Q115" s="735"/>
      <c r="R115" s="745">
        <f>'ROOMS#'!AK3</f>
        <v>600</v>
      </c>
      <c r="S115" s="735"/>
      <c r="T115" s="781">
        <f>'ROOMS#'!AQ3</f>
        <v>700</v>
      </c>
      <c r="U115" s="735"/>
      <c r="V115" s="967">
        <f>'ROOMS#'!AW3</f>
        <v>8000</v>
      </c>
      <c r="W115" s="62"/>
      <c r="X115" s="843">
        <f>'ROOMS#'!CC5</f>
        <v>9100</v>
      </c>
      <c r="CY115" s="563"/>
    </row>
    <row r="116" spans="3:103" ht="33.450000000000003" customHeight="1" thickTop="1" thickBot="1">
      <c r="C116" s="431"/>
      <c r="D116" s="431"/>
      <c r="E116" s="431"/>
      <c r="F116" s="7" t="str">
        <f>'jobinfo(2)'!C53</f>
        <v xml:space="preserve">Living Room, </v>
      </c>
      <c r="G116" s="7"/>
      <c r="H116" s="744">
        <f t="shared" ref="H116:H125" si="0">H115+1</f>
        <v>101</v>
      </c>
      <c r="I116" s="735"/>
      <c r="J116" s="782">
        <f t="shared" ref="J116:J125" si="1">J115+1</f>
        <v>201</v>
      </c>
      <c r="K116" s="7"/>
      <c r="L116" s="744">
        <f t="shared" ref="L116:L125" si="2">L115+1</f>
        <v>301</v>
      </c>
      <c r="M116" s="735"/>
      <c r="N116" s="782">
        <f t="shared" ref="N116:N125" si="3">N115+1</f>
        <v>401</v>
      </c>
      <c r="O116" s="735"/>
      <c r="P116" s="744">
        <f t="shared" ref="P116:P125" si="4">P115+1</f>
        <v>501</v>
      </c>
      <c r="Q116" s="735"/>
      <c r="R116" s="782">
        <f t="shared" ref="R116:R125" si="5">R115+1</f>
        <v>601</v>
      </c>
      <c r="S116" s="735"/>
      <c r="T116" s="744">
        <f t="shared" ref="T116:X125" si="6">T115+1</f>
        <v>701</v>
      </c>
      <c r="U116" s="735"/>
      <c r="V116" s="968">
        <f t="shared" si="6"/>
        <v>8001</v>
      </c>
      <c r="X116" s="968">
        <f t="shared" si="6"/>
        <v>9101</v>
      </c>
      <c r="CY116" s="565"/>
    </row>
    <row r="117" spans="3:103" ht="33.450000000000003" customHeight="1" thickTop="1" thickBot="1">
      <c r="C117" s="431"/>
      <c r="D117" s="431"/>
      <c r="E117" s="431"/>
      <c r="F117" s="641" t="str">
        <f>'jobinfo(2)'!C54</f>
        <v>HALLWAY</v>
      </c>
      <c r="G117" s="641"/>
      <c r="H117" s="782">
        <f t="shared" si="0"/>
        <v>102</v>
      </c>
      <c r="I117" s="735"/>
      <c r="J117" s="744">
        <f t="shared" si="1"/>
        <v>202</v>
      </c>
      <c r="K117" s="735"/>
      <c r="L117" s="782">
        <f t="shared" si="2"/>
        <v>302</v>
      </c>
      <c r="M117" s="735"/>
      <c r="N117" s="744">
        <f t="shared" si="3"/>
        <v>402</v>
      </c>
      <c r="O117" s="735"/>
      <c r="P117" s="782">
        <f t="shared" si="4"/>
        <v>502</v>
      </c>
      <c r="Q117" s="735"/>
      <c r="R117" s="744">
        <f t="shared" si="5"/>
        <v>602</v>
      </c>
      <c r="S117" s="735"/>
      <c r="T117" s="782">
        <f t="shared" si="6"/>
        <v>702</v>
      </c>
      <c r="U117" s="735"/>
      <c r="V117" s="968">
        <f t="shared" ref="V117:X117" si="7">V116+1</f>
        <v>8002</v>
      </c>
      <c r="X117" s="968">
        <f t="shared" ref="X117" si="8">X116+1</f>
        <v>9102</v>
      </c>
      <c r="CY117" s="567"/>
    </row>
    <row r="118" spans="3:103" ht="33.450000000000003" customHeight="1" thickTop="1" thickBot="1">
      <c r="C118" s="431"/>
      <c r="D118" s="431"/>
      <c r="E118" s="431"/>
      <c r="F118" s="7" t="str">
        <f>'jobinfo(2)'!C55</f>
        <v xml:space="preserve">Kitchen, </v>
      </c>
      <c r="G118" s="7"/>
      <c r="H118" s="744">
        <f t="shared" si="0"/>
        <v>103</v>
      </c>
      <c r="I118" s="735"/>
      <c r="J118" s="782">
        <f t="shared" si="1"/>
        <v>203</v>
      </c>
      <c r="K118" s="735"/>
      <c r="L118" s="744">
        <f t="shared" si="2"/>
        <v>303</v>
      </c>
      <c r="M118" s="735"/>
      <c r="N118" s="782">
        <f t="shared" si="3"/>
        <v>403</v>
      </c>
      <c r="O118" s="735"/>
      <c r="P118" s="744">
        <f t="shared" si="4"/>
        <v>503</v>
      </c>
      <c r="Q118" s="735"/>
      <c r="R118" s="782">
        <f t="shared" si="5"/>
        <v>603</v>
      </c>
      <c r="S118" s="735"/>
      <c r="T118" s="744">
        <f t="shared" si="6"/>
        <v>703</v>
      </c>
      <c r="U118" s="735"/>
      <c r="V118" s="968">
        <f t="shared" ref="V118:X118" si="9">V117+1</f>
        <v>8003</v>
      </c>
      <c r="X118" s="968">
        <f t="shared" ref="X118" si="10">X117+1</f>
        <v>9103</v>
      </c>
      <c r="CY118" s="565"/>
    </row>
    <row r="119" spans="3:103" ht="33.450000000000003" customHeight="1" thickTop="1" thickBot="1">
      <c r="C119" s="431"/>
      <c r="D119" s="431"/>
      <c r="E119" s="431"/>
      <c r="F119" s="641" t="str">
        <f>'jobinfo(2)'!C56</f>
        <v>DEN</v>
      </c>
      <c r="G119" s="641"/>
      <c r="H119" s="782">
        <f t="shared" si="0"/>
        <v>104</v>
      </c>
      <c r="I119" s="735"/>
      <c r="J119" s="744">
        <f t="shared" si="1"/>
        <v>204</v>
      </c>
      <c r="K119" s="735"/>
      <c r="L119" s="782">
        <f t="shared" si="2"/>
        <v>304</v>
      </c>
      <c r="M119" s="735"/>
      <c r="N119" s="744">
        <f t="shared" si="3"/>
        <v>404</v>
      </c>
      <c r="O119" s="735"/>
      <c r="P119" s="782">
        <f t="shared" si="4"/>
        <v>504</v>
      </c>
      <c r="Q119" s="735"/>
      <c r="R119" s="744">
        <f t="shared" si="5"/>
        <v>604</v>
      </c>
      <c r="S119" s="735"/>
      <c r="T119" s="782">
        <f t="shared" si="6"/>
        <v>704</v>
      </c>
      <c r="U119" s="735"/>
      <c r="V119" s="968">
        <f t="shared" ref="V119:X119" si="11">V118+1</f>
        <v>8004</v>
      </c>
      <c r="X119" s="968">
        <f t="shared" ref="X119" si="12">X118+1</f>
        <v>9104</v>
      </c>
      <c r="CY119" s="567"/>
    </row>
    <row r="120" spans="3:103" ht="33.450000000000003" customHeight="1" thickTop="1" thickBot="1">
      <c r="C120" s="431"/>
      <c r="D120" s="431"/>
      <c r="E120" s="431"/>
      <c r="F120" s="7" t="str">
        <f>'jobinfo(2)'!C57</f>
        <v>STAIRS UP</v>
      </c>
      <c r="G120" s="7"/>
      <c r="H120" s="744">
        <f t="shared" si="0"/>
        <v>105</v>
      </c>
      <c r="I120" s="735"/>
      <c r="J120" s="782">
        <f t="shared" si="1"/>
        <v>205</v>
      </c>
      <c r="K120" s="735"/>
      <c r="L120" s="744">
        <f t="shared" si="2"/>
        <v>305</v>
      </c>
      <c r="M120" s="735"/>
      <c r="N120" s="782">
        <f t="shared" si="3"/>
        <v>405</v>
      </c>
      <c r="O120" s="735"/>
      <c r="P120" s="744">
        <f t="shared" si="4"/>
        <v>505</v>
      </c>
      <c r="Q120" s="735"/>
      <c r="R120" s="782">
        <f t="shared" si="5"/>
        <v>605</v>
      </c>
      <c r="S120" s="735"/>
      <c r="T120" s="744">
        <f t="shared" si="6"/>
        <v>705</v>
      </c>
      <c r="U120" s="735"/>
      <c r="V120" s="968">
        <f t="shared" ref="V120:X120" si="13">V119+1</f>
        <v>8005</v>
      </c>
      <c r="X120" s="968">
        <f t="shared" ref="X120" si="14">X119+1</f>
        <v>9105</v>
      </c>
      <c r="CY120" s="565"/>
    </row>
    <row r="121" spans="3:103" ht="33.450000000000003" customHeight="1" thickTop="1" thickBot="1">
      <c r="C121" s="431"/>
      <c r="D121" s="431"/>
      <c r="E121" s="431"/>
      <c r="F121" s="641" t="str">
        <f>'jobinfo(2)'!C58</f>
        <v>HALL UP</v>
      </c>
      <c r="G121" s="641"/>
      <c r="H121" s="782">
        <f t="shared" si="0"/>
        <v>106</v>
      </c>
      <c r="I121" s="735"/>
      <c r="J121" s="744">
        <f t="shared" si="1"/>
        <v>206</v>
      </c>
      <c r="K121" s="735"/>
      <c r="L121" s="782">
        <f t="shared" si="2"/>
        <v>306</v>
      </c>
      <c r="M121" s="735"/>
      <c r="N121" s="744">
        <f t="shared" si="3"/>
        <v>406</v>
      </c>
      <c r="O121" s="735"/>
      <c r="P121" s="782">
        <f t="shared" si="4"/>
        <v>506</v>
      </c>
      <c r="Q121" s="735"/>
      <c r="R121" s="744">
        <f t="shared" si="5"/>
        <v>606</v>
      </c>
      <c r="S121" s="735"/>
      <c r="T121" s="782">
        <f t="shared" si="6"/>
        <v>706</v>
      </c>
      <c r="U121" s="735"/>
      <c r="V121" s="968">
        <f t="shared" ref="V121:X121" si="15">V120+1</f>
        <v>8006</v>
      </c>
      <c r="X121" s="968">
        <f t="shared" ref="X121" si="16">X120+1</f>
        <v>9106</v>
      </c>
      <c r="CY121" s="567"/>
    </row>
    <row r="122" spans="3:103" ht="33.450000000000003" customHeight="1" thickTop="1" thickBot="1">
      <c r="C122" s="431"/>
      <c r="D122" s="431"/>
      <c r="E122" s="431"/>
      <c r="F122" s="7" t="str">
        <f>'jobinfo(2)'!C59</f>
        <v>PBR UP</v>
      </c>
      <c r="G122" s="7"/>
      <c r="H122" s="744">
        <f t="shared" si="0"/>
        <v>107</v>
      </c>
      <c r="I122" s="735"/>
      <c r="J122" s="782">
        <f t="shared" si="1"/>
        <v>207</v>
      </c>
      <c r="K122" s="735"/>
      <c r="L122" s="744">
        <f t="shared" si="2"/>
        <v>307</v>
      </c>
      <c r="M122" s="735"/>
      <c r="N122" s="782">
        <f t="shared" si="3"/>
        <v>407</v>
      </c>
      <c r="O122" s="735"/>
      <c r="P122" s="744">
        <f t="shared" si="4"/>
        <v>507</v>
      </c>
      <c r="Q122" s="735"/>
      <c r="R122" s="782">
        <f t="shared" si="5"/>
        <v>607</v>
      </c>
      <c r="S122" s="735"/>
      <c r="T122" s="744">
        <f t="shared" si="6"/>
        <v>707</v>
      </c>
      <c r="U122" s="735"/>
      <c r="V122" s="968">
        <f t="shared" ref="V122:X122" si="17">V121+1</f>
        <v>8007</v>
      </c>
      <c r="X122" s="968">
        <f t="shared" ref="X122" si="18">X121+1</f>
        <v>9107</v>
      </c>
      <c r="CY122" s="565"/>
    </row>
    <row r="123" spans="3:103" ht="33.450000000000003" customHeight="1" thickTop="1" thickBot="1">
      <c r="C123" s="431"/>
      <c r="D123" s="431"/>
      <c r="E123" s="431"/>
      <c r="F123" s="641" t="str">
        <f>'jobinfo(2)'!C60</f>
        <v>BATH UP</v>
      </c>
      <c r="G123" s="641"/>
      <c r="H123" s="782">
        <f t="shared" si="0"/>
        <v>108</v>
      </c>
      <c r="I123" s="735"/>
      <c r="J123" s="744">
        <f t="shared" si="1"/>
        <v>208</v>
      </c>
      <c r="K123" s="735"/>
      <c r="L123" s="782">
        <f t="shared" si="2"/>
        <v>308</v>
      </c>
      <c r="M123" s="735"/>
      <c r="N123" s="744">
        <f t="shared" si="3"/>
        <v>408</v>
      </c>
      <c r="O123" s="735"/>
      <c r="P123" s="782">
        <f t="shared" si="4"/>
        <v>508</v>
      </c>
      <c r="Q123" s="735"/>
      <c r="R123" s="744">
        <f t="shared" si="5"/>
        <v>608</v>
      </c>
      <c r="S123" s="735"/>
      <c r="T123" s="782">
        <f t="shared" si="6"/>
        <v>708</v>
      </c>
      <c r="U123" s="735"/>
      <c r="V123" s="968">
        <f t="shared" ref="V123:X123" si="19">V122+1</f>
        <v>8008</v>
      </c>
      <c r="X123" s="968">
        <f t="shared" ref="X123" si="20">X122+1</f>
        <v>9108</v>
      </c>
      <c r="CY123" s="567"/>
    </row>
    <row r="124" spans="3:103" ht="33.450000000000003" customHeight="1" thickTop="1" thickBot="1">
      <c r="C124" s="431"/>
      <c r="D124" s="431"/>
      <c r="E124" s="431"/>
      <c r="F124" s="7" t="str">
        <f>'jobinfo(2)'!C61</f>
        <v>BR-2 UP</v>
      </c>
      <c r="G124" s="7"/>
      <c r="H124" s="744">
        <f t="shared" si="0"/>
        <v>109</v>
      </c>
      <c r="I124" s="735"/>
      <c r="J124" s="782">
        <f t="shared" si="1"/>
        <v>209</v>
      </c>
      <c r="K124" s="735"/>
      <c r="L124" s="744">
        <f t="shared" si="2"/>
        <v>309</v>
      </c>
      <c r="M124" s="735"/>
      <c r="N124" s="782">
        <f t="shared" si="3"/>
        <v>409</v>
      </c>
      <c r="O124" s="735"/>
      <c r="P124" s="744">
        <f t="shared" si="4"/>
        <v>509</v>
      </c>
      <c r="Q124" s="735"/>
      <c r="R124" s="782">
        <f t="shared" si="5"/>
        <v>609</v>
      </c>
      <c r="S124" s="735"/>
      <c r="T124" s="744">
        <f t="shared" si="6"/>
        <v>709</v>
      </c>
      <c r="U124" s="735"/>
      <c r="V124" s="968">
        <f t="shared" ref="V124:X124" si="21">V123+1</f>
        <v>8009</v>
      </c>
      <c r="X124" s="968">
        <f t="shared" ref="X124" si="22">X123+1</f>
        <v>9109</v>
      </c>
      <c r="CY124" s="565"/>
    </row>
    <row r="125" spans="3:103" ht="33.450000000000003" customHeight="1" thickTop="1" thickBot="1">
      <c r="C125" s="431"/>
      <c r="D125" s="431"/>
      <c r="E125" s="431"/>
      <c r="F125" s="641" t="str">
        <f>'jobinfo(2)'!C62</f>
        <v>GUEST CLOSET</v>
      </c>
      <c r="G125" s="641"/>
      <c r="H125" s="782">
        <f t="shared" si="0"/>
        <v>110</v>
      </c>
      <c r="I125" s="735"/>
      <c r="J125" s="744">
        <f t="shared" si="1"/>
        <v>210</v>
      </c>
      <c r="K125" s="735"/>
      <c r="L125" s="782">
        <f t="shared" si="2"/>
        <v>310</v>
      </c>
      <c r="M125" s="735"/>
      <c r="N125" s="744">
        <f t="shared" si="3"/>
        <v>410</v>
      </c>
      <c r="O125" s="735"/>
      <c r="P125" s="782">
        <f t="shared" si="4"/>
        <v>510</v>
      </c>
      <c r="Q125" s="735"/>
      <c r="R125" s="744">
        <f t="shared" si="5"/>
        <v>610</v>
      </c>
      <c r="S125" s="735"/>
      <c r="T125" s="782">
        <f t="shared" si="6"/>
        <v>710</v>
      </c>
      <c r="U125" s="735"/>
      <c r="V125" s="968">
        <f t="shared" ref="V125:X125" si="23">V124+1</f>
        <v>8010</v>
      </c>
      <c r="X125" s="968">
        <f t="shared" ref="X125" si="24">X124+1</f>
        <v>9110</v>
      </c>
      <c r="CY125" s="567"/>
    </row>
    <row r="126" spans="3:103" ht="27" customHeight="1" thickTop="1" thickBot="1">
      <c r="C126" s="431"/>
      <c r="D126" s="431"/>
      <c r="E126" s="431"/>
      <c r="F126" s="743" t="str">
        <f>F99</f>
        <v>OH25 BROWNLEE @E189</v>
      </c>
      <c r="G126" s="743"/>
      <c r="H126" s="743"/>
      <c r="I126" s="743"/>
      <c r="J126" s="193"/>
      <c r="K126" s="743" t="str">
        <f>K99</f>
        <v>3922 E 189 STR</v>
      </c>
      <c r="L126" s="743"/>
      <c r="M126" s="743"/>
      <c r="N126" s="743"/>
      <c r="O126" s="743"/>
      <c r="P126" s="743"/>
      <c r="Q126" s="30" t="str">
        <f>Q99</f>
        <v>CLEVELAND, OH 44128</v>
      </c>
      <c r="R126" s="743"/>
      <c r="S126" s="743"/>
      <c r="T126" s="743"/>
      <c r="U126" s="743"/>
      <c r="CY126" s="567"/>
    </row>
    <row r="127" spans="3:103" ht="27" customHeight="1" thickTop="1" thickBot="1">
      <c r="C127" s="431"/>
      <c r="D127" s="431"/>
      <c r="E127" s="431"/>
      <c r="F127" s="7"/>
      <c r="G127" s="7"/>
      <c r="H127" s="782"/>
      <c r="I127" s="735"/>
      <c r="J127" s="782"/>
      <c r="K127" s="735"/>
      <c r="L127" s="782"/>
      <c r="M127" s="735"/>
      <c r="N127" s="782"/>
      <c r="O127" s="735"/>
      <c r="P127" s="782"/>
      <c r="Q127" s="735"/>
      <c r="R127" s="782"/>
      <c r="S127" s="735"/>
      <c r="T127" s="782"/>
      <c r="U127" s="735"/>
      <c r="Y127" s="285"/>
      <c r="Z127" s="431"/>
      <c r="AA127" s="431"/>
      <c r="CY127" s="567"/>
    </row>
    <row r="128" spans="3:103" ht="27" customHeight="1" thickTop="1" thickBot="1">
      <c r="C128" s="431"/>
      <c r="D128" s="431"/>
      <c r="E128" s="431"/>
      <c r="F128" s="641"/>
      <c r="G128" s="641"/>
      <c r="H128" s="892" t="str">
        <f>H113</f>
        <v xml:space="preserve"> OVERVIEW PICS ..</v>
      </c>
      <c r="I128" s="893"/>
      <c r="J128" s="894" t="str">
        <f>J113</f>
        <v>SOURCE of LOSS</v>
      </c>
      <c r="K128" s="893"/>
      <c r="L128" s="894" t="str">
        <f>L113</f>
        <v>CPS</v>
      </c>
      <c r="M128" s="893"/>
      <c r="N128" s="894" t="str">
        <f>N113</f>
        <v>PPR</v>
      </c>
      <c r="O128" s="893"/>
      <c r="P128" s="894" t="str">
        <f>P113</f>
        <v>DEMO</v>
      </c>
      <c r="Q128" s="893"/>
      <c r="R128" s="894" t="str">
        <f>R113</f>
        <v>WTR MIT  EQUIP.</v>
      </c>
      <c r="S128" s="893"/>
      <c r="T128" s="894" t="str">
        <f>T113</f>
        <v>HMR</v>
      </c>
      <c r="U128" s="893"/>
      <c r="V128" s="969" t="str">
        <f>V113</f>
        <v xml:space="preserve"> MC READINGS</v>
      </c>
      <c r="X128" s="969" t="str">
        <f>X113</f>
        <v>RH&amp;T&amp;GPP [DC] .READ INGS</v>
      </c>
      <c r="CY128" s="567"/>
    </row>
    <row r="129" spans="3:103" ht="27" customHeight="1" thickTop="1" thickBot="1">
      <c r="C129" s="431"/>
      <c r="D129" s="431"/>
      <c r="E129" s="431"/>
      <c r="F129" s="748" t="s">
        <v>606</v>
      </c>
      <c r="G129" s="641"/>
      <c r="H129" s="892"/>
      <c r="I129" s="893"/>
      <c r="J129" s="894"/>
      <c r="K129" s="893"/>
      <c r="L129" s="894"/>
      <c r="M129" s="893"/>
      <c r="N129" s="894"/>
      <c r="O129" s="893"/>
      <c r="P129" s="894"/>
      <c r="Q129" s="893"/>
      <c r="R129" s="894"/>
      <c r="S129" s="893"/>
      <c r="T129" s="894"/>
      <c r="U129" s="893"/>
      <c r="V129" s="969"/>
      <c r="X129" s="969"/>
      <c r="CY129" s="567"/>
    </row>
    <row r="130" spans="3:103" ht="37.950000000000003" customHeight="1" thickTop="1" thickBot="1">
      <c r="C130" s="431"/>
      <c r="D130" s="431"/>
      <c r="E130" s="431"/>
      <c r="F130" s="7" t="str">
        <f>'jobinfo(2)'!C63</f>
        <v>BATH DN</v>
      </c>
      <c r="G130" s="7"/>
      <c r="H130" s="744">
        <f>H125+1</f>
        <v>111</v>
      </c>
      <c r="I130" s="735"/>
      <c r="J130" s="782">
        <f>J125+1</f>
        <v>211</v>
      </c>
      <c r="K130" s="735"/>
      <c r="L130" s="744">
        <f>L125+1</f>
        <v>311</v>
      </c>
      <c r="M130" s="735"/>
      <c r="N130" s="782">
        <f>N125+1</f>
        <v>411</v>
      </c>
      <c r="O130" s="735"/>
      <c r="P130" s="744">
        <f>P125+1</f>
        <v>511</v>
      </c>
      <c r="Q130" s="735"/>
      <c r="R130" s="782">
        <f>R125+1</f>
        <v>611</v>
      </c>
      <c r="S130" s="735"/>
      <c r="T130" s="744">
        <f>T125+1</f>
        <v>711</v>
      </c>
      <c r="U130" s="735"/>
      <c r="V130" s="968">
        <f>V125+1</f>
        <v>8011</v>
      </c>
      <c r="X130" s="968">
        <f>X125+1</f>
        <v>9111</v>
      </c>
      <c r="CY130" s="565"/>
    </row>
    <row r="131" spans="3:103" ht="37.950000000000003" customHeight="1" thickTop="1" thickBot="1">
      <c r="C131" s="431"/>
      <c r="D131" s="431"/>
      <c r="E131" s="431"/>
      <c r="F131" s="641" t="str">
        <f>'jobinfo(2)'!C64</f>
        <v>SHOWER</v>
      </c>
      <c r="G131" s="641"/>
      <c r="H131" s="782">
        <f t="shared" ref="H131:H144" si="25">H130+1</f>
        <v>112</v>
      </c>
      <c r="I131" s="735"/>
      <c r="J131" s="744">
        <f t="shared" ref="J131:J144" si="26">J130+1</f>
        <v>212</v>
      </c>
      <c r="K131" s="735"/>
      <c r="L131" s="782">
        <f t="shared" ref="L131:L144" si="27">L130+1</f>
        <v>312</v>
      </c>
      <c r="M131" s="735"/>
      <c r="N131" s="744">
        <f t="shared" ref="N131:N144" si="28">N130+1</f>
        <v>412</v>
      </c>
      <c r="O131" s="735"/>
      <c r="P131" s="782">
        <f t="shared" ref="P131:P144" si="29">P130+1</f>
        <v>512</v>
      </c>
      <c r="Q131" s="735"/>
      <c r="R131" s="744">
        <f t="shared" ref="R131:R144" si="30">R130+1</f>
        <v>612</v>
      </c>
      <c r="S131" s="735"/>
      <c r="T131" s="782">
        <f t="shared" ref="T131:T144" si="31">T130+1</f>
        <v>712</v>
      </c>
      <c r="U131" s="735"/>
      <c r="V131" s="968">
        <f t="shared" ref="V131:X131" si="32">V130+1</f>
        <v>8012</v>
      </c>
      <c r="X131" s="968">
        <f t="shared" ref="X131" si="33">X130+1</f>
        <v>9112</v>
      </c>
      <c r="CY131" s="567"/>
    </row>
    <row r="132" spans="3:103" ht="37.950000000000003" customHeight="1" thickTop="1" thickBot="1">
      <c r="C132" s="431"/>
      <c r="D132" s="431"/>
      <c r="E132" s="431"/>
      <c r="F132" s="7">
        <f>'jobinfo(2)'!C65</f>
        <v>0</v>
      </c>
      <c r="G132" s="7"/>
      <c r="H132" s="744">
        <f t="shared" si="25"/>
        <v>113</v>
      </c>
      <c r="I132" s="735"/>
      <c r="J132" s="782">
        <f t="shared" si="26"/>
        <v>213</v>
      </c>
      <c r="K132" s="735"/>
      <c r="L132" s="744">
        <f t="shared" si="27"/>
        <v>313</v>
      </c>
      <c r="M132" s="735"/>
      <c r="N132" s="782">
        <f t="shared" si="28"/>
        <v>413</v>
      </c>
      <c r="O132" s="735"/>
      <c r="P132" s="744">
        <f t="shared" si="29"/>
        <v>513</v>
      </c>
      <c r="Q132" s="735"/>
      <c r="R132" s="782">
        <f t="shared" si="30"/>
        <v>613</v>
      </c>
      <c r="S132" s="735"/>
      <c r="T132" s="744">
        <f t="shared" si="31"/>
        <v>713</v>
      </c>
      <c r="U132" s="735"/>
      <c r="V132" s="968">
        <f t="shared" ref="V132:X132" si="34">V131+1</f>
        <v>8013</v>
      </c>
      <c r="X132" s="968">
        <f t="shared" ref="X132" si="35">X131+1</f>
        <v>9113</v>
      </c>
      <c r="CY132" s="565"/>
    </row>
    <row r="133" spans="3:103" ht="37.950000000000003" customHeight="1" thickTop="1" thickBot="1">
      <c r="C133" s="431"/>
      <c r="D133" s="431"/>
      <c r="E133" s="431"/>
      <c r="F133" s="641">
        <f>'jobinfo(2)'!C66</f>
        <v>0</v>
      </c>
      <c r="G133" s="641"/>
      <c r="H133" s="782">
        <f t="shared" si="25"/>
        <v>114</v>
      </c>
      <c r="I133" s="735"/>
      <c r="J133" s="744">
        <f t="shared" si="26"/>
        <v>214</v>
      </c>
      <c r="K133" s="735"/>
      <c r="L133" s="782">
        <f t="shared" si="27"/>
        <v>314</v>
      </c>
      <c r="M133" s="735"/>
      <c r="N133" s="744">
        <f t="shared" si="28"/>
        <v>414</v>
      </c>
      <c r="O133" s="735"/>
      <c r="P133" s="782">
        <f t="shared" si="29"/>
        <v>514</v>
      </c>
      <c r="Q133" s="735"/>
      <c r="R133" s="744">
        <f t="shared" si="30"/>
        <v>614</v>
      </c>
      <c r="S133" s="735"/>
      <c r="T133" s="782">
        <f t="shared" si="31"/>
        <v>714</v>
      </c>
      <c r="U133" s="735"/>
      <c r="V133" s="968">
        <f t="shared" ref="V133:X134" si="36">V132+1</f>
        <v>8014</v>
      </c>
      <c r="X133" s="968">
        <f t="shared" ref="X133:X134" si="37">X132+1</f>
        <v>9114</v>
      </c>
      <c r="CY133" s="567"/>
    </row>
    <row r="134" spans="3:103" ht="37.950000000000003" customHeight="1" thickTop="1" thickBot="1">
      <c r="C134" s="431"/>
      <c r="D134" s="431"/>
      <c r="E134" s="431"/>
      <c r="F134" s="7">
        <f>'jobinfo(2)'!C67</f>
        <v>0</v>
      </c>
      <c r="G134" s="7"/>
      <c r="H134" s="744">
        <f t="shared" si="25"/>
        <v>115</v>
      </c>
      <c r="I134" s="735"/>
      <c r="J134" s="782">
        <f t="shared" si="26"/>
        <v>215</v>
      </c>
      <c r="K134" s="735"/>
      <c r="L134" s="744">
        <f t="shared" si="27"/>
        <v>315</v>
      </c>
      <c r="M134" s="735"/>
      <c r="N134" s="782">
        <f t="shared" si="28"/>
        <v>415</v>
      </c>
      <c r="O134" s="735"/>
      <c r="P134" s="744">
        <f t="shared" si="29"/>
        <v>515</v>
      </c>
      <c r="Q134" s="735"/>
      <c r="R134" s="782">
        <f t="shared" si="30"/>
        <v>615</v>
      </c>
      <c r="S134" s="735"/>
      <c r="T134" s="744">
        <f t="shared" si="31"/>
        <v>715</v>
      </c>
      <c r="U134" s="735"/>
      <c r="V134" s="968">
        <f t="shared" si="36"/>
        <v>8015</v>
      </c>
      <c r="X134" s="968">
        <f t="shared" si="37"/>
        <v>9115</v>
      </c>
      <c r="CY134" s="565"/>
    </row>
    <row r="135" spans="3:103" ht="37.950000000000003" customHeight="1" thickTop="1" thickBot="1">
      <c r="C135" s="431"/>
      <c r="D135" s="431"/>
      <c r="E135" s="431"/>
      <c r="F135" s="7">
        <f>'jobinfo(2)'!C68</f>
        <v>0</v>
      </c>
      <c r="G135" s="7"/>
      <c r="H135" s="782">
        <f t="shared" si="25"/>
        <v>116</v>
      </c>
      <c r="I135" s="735"/>
      <c r="J135" s="744">
        <f t="shared" si="26"/>
        <v>216</v>
      </c>
      <c r="K135" s="735"/>
      <c r="L135" s="782">
        <f t="shared" si="27"/>
        <v>316</v>
      </c>
      <c r="M135" s="735"/>
      <c r="N135" s="744">
        <f t="shared" si="28"/>
        <v>416</v>
      </c>
      <c r="O135" s="735"/>
      <c r="P135" s="782">
        <f t="shared" si="29"/>
        <v>516</v>
      </c>
      <c r="Q135" s="735"/>
      <c r="R135" s="744">
        <f t="shared" si="30"/>
        <v>616</v>
      </c>
      <c r="S135" s="735"/>
      <c r="T135" s="782">
        <f t="shared" si="31"/>
        <v>716</v>
      </c>
      <c r="U135" s="735"/>
      <c r="V135" s="968">
        <f t="shared" ref="V135:X135" si="38">V134+1</f>
        <v>8016</v>
      </c>
      <c r="X135" s="968">
        <f t="shared" ref="X135" si="39">X134+1</f>
        <v>9116</v>
      </c>
      <c r="CY135" s="567"/>
    </row>
    <row r="136" spans="3:103" ht="37.950000000000003" customHeight="1" thickTop="1" thickBot="1">
      <c r="C136" s="431"/>
      <c r="D136" s="431"/>
      <c r="E136" s="431"/>
      <c r="F136" s="641">
        <f>'jobinfo(2)'!C69</f>
        <v>0</v>
      </c>
      <c r="G136" s="641"/>
      <c r="H136" s="744">
        <f t="shared" si="25"/>
        <v>117</v>
      </c>
      <c r="I136" s="735"/>
      <c r="J136" s="782">
        <f t="shared" si="26"/>
        <v>217</v>
      </c>
      <c r="K136" s="735"/>
      <c r="L136" s="744">
        <f t="shared" si="27"/>
        <v>317</v>
      </c>
      <c r="M136" s="735"/>
      <c r="N136" s="782">
        <f t="shared" si="28"/>
        <v>417</v>
      </c>
      <c r="O136" s="735"/>
      <c r="P136" s="744">
        <f t="shared" si="29"/>
        <v>517</v>
      </c>
      <c r="Q136" s="735"/>
      <c r="R136" s="782">
        <f t="shared" si="30"/>
        <v>617</v>
      </c>
      <c r="S136" s="735"/>
      <c r="T136" s="744">
        <f t="shared" si="31"/>
        <v>717</v>
      </c>
      <c r="U136" s="735"/>
      <c r="V136" s="968">
        <f t="shared" ref="V136:X136" si="40">V135+1</f>
        <v>8017</v>
      </c>
      <c r="X136" s="968">
        <f t="shared" ref="X136" si="41">X135+1</f>
        <v>9117</v>
      </c>
      <c r="CY136" s="565"/>
    </row>
    <row r="137" spans="3:103" ht="37.950000000000003" customHeight="1" thickTop="1" thickBot="1">
      <c r="C137" s="431"/>
      <c r="D137" s="431"/>
      <c r="E137" s="431"/>
      <c r="F137" s="7">
        <f>'jobinfo(2)'!C70</f>
        <v>0</v>
      </c>
      <c r="G137" s="7"/>
      <c r="H137" s="782">
        <f t="shared" si="25"/>
        <v>118</v>
      </c>
      <c r="I137" s="735"/>
      <c r="J137" s="744">
        <f t="shared" si="26"/>
        <v>218</v>
      </c>
      <c r="K137" s="735"/>
      <c r="L137" s="782">
        <f t="shared" si="27"/>
        <v>318</v>
      </c>
      <c r="M137" s="735"/>
      <c r="N137" s="744">
        <f t="shared" si="28"/>
        <v>418</v>
      </c>
      <c r="O137" s="735"/>
      <c r="P137" s="782">
        <f t="shared" si="29"/>
        <v>518</v>
      </c>
      <c r="Q137" s="735"/>
      <c r="R137" s="744">
        <f t="shared" si="30"/>
        <v>618</v>
      </c>
      <c r="S137" s="735"/>
      <c r="T137" s="782">
        <f t="shared" si="31"/>
        <v>718</v>
      </c>
      <c r="U137" s="735"/>
      <c r="V137" s="968">
        <f t="shared" ref="V137:X137" si="42">V136+1</f>
        <v>8018</v>
      </c>
      <c r="X137" s="968">
        <f t="shared" ref="X137" si="43">X136+1</f>
        <v>9118</v>
      </c>
      <c r="CY137" s="567"/>
    </row>
    <row r="138" spans="3:103" ht="37.950000000000003" customHeight="1" thickTop="1" thickBot="1">
      <c r="C138" s="431"/>
      <c r="D138" s="431"/>
      <c r="E138" s="431"/>
      <c r="F138" s="641">
        <f>'jobinfo(2)'!C71</f>
        <v>0</v>
      </c>
      <c r="G138" s="641"/>
      <c r="H138" s="744">
        <f t="shared" si="25"/>
        <v>119</v>
      </c>
      <c r="I138" s="735"/>
      <c r="J138" s="782">
        <f t="shared" si="26"/>
        <v>219</v>
      </c>
      <c r="K138" s="735"/>
      <c r="L138" s="744">
        <f t="shared" si="27"/>
        <v>319</v>
      </c>
      <c r="M138" s="735"/>
      <c r="N138" s="782">
        <f t="shared" si="28"/>
        <v>419</v>
      </c>
      <c r="O138" s="735"/>
      <c r="P138" s="744">
        <f t="shared" si="29"/>
        <v>519</v>
      </c>
      <c r="Q138" s="735"/>
      <c r="R138" s="782">
        <f t="shared" si="30"/>
        <v>619</v>
      </c>
      <c r="S138" s="735"/>
      <c r="T138" s="744">
        <f t="shared" si="31"/>
        <v>719</v>
      </c>
      <c r="U138" s="735"/>
      <c r="V138" s="968">
        <f t="shared" ref="V138:X138" si="44">V137+1</f>
        <v>8019</v>
      </c>
      <c r="X138" s="968">
        <f t="shared" ref="X138" si="45">X137+1</f>
        <v>9119</v>
      </c>
      <c r="CY138" s="565"/>
    </row>
    <row r="139" spans="3:103" ht="37.950000000000003" customHeight="1" thickTop="1" thickBot="1">
      <c r="C139" s="431"/>
      <c r="D139" s="431"/>
      <c r="E139" s="431"/>
      <c r="F139" s="7">
        <f>'jobinfo(2)'!C72</f>
        <v>0</v>
      </c>
      <c r="G139" s="7"/>
      <c r="H139" s="782">
        <f t="shared" si="25"/>
        <v>120</v>
      </c>
      <c r="I139" s="735"/>
      <c r="J139" s="744">
        <f t="shared" si="26"/>
        <v>220</v>
      </c>
      <c r="K139" s="735"/>
      <c r="L139" s="782">
        <f t="shared" si="27"/>
        <v>320</v>
      </c>
      <c r="M139" s="735"/>
      <c r="N139" s="744">
        <f t="shared" si="28"/>
        <v>420</v>
      </c>
      <c r="O139" s="735"/>
      <c r="P139" s="782">
        <f t="shared" si="29"/>
        <v>520</v>
      </c>
      <c r="Q139" s="735"/>
      <c r="R139" s="744">
        <f t="shared" si="30"/>
        <v>620</v>
      </c>
      <c r="S139" s="735"/>
      <c r="T139" s="782">
        <f t="shared" si="31"/>
        <v>720</v>
      </c>
      <c r="U139" s="735"/>
      <c r="V139" s="968">
        <f t="shared" ref="V139:X139" si="46">V138+1</f>
        <v>8020</v>
      </c>
      <c r="X139" s="968">
        <f t="shared" ref="X139" si="47">X138+1</f>
        <v>9120</v>
      </c>
      <c r="CY139" s="567"/>
    </row>
    <row r="140" spans="3:103" ht="37.950000000000003" customHeight="1" thickTop="1" thickBot="1">
      <c r="C140" s="431"/>
      <c r="D140" s="431"/>
      <c r="E140" s="431"/>
      <c r="F140" s="641">
        <f>'jobinfo(2)'!C73</f>
        <v>0</v>
      </c>
      <c r="G140" s="641"/>
      <c r="H140" s="744">
        <f t="shared" si="25"/>
        <v>121</v>
      </c>
      <c r="I140" s="735"/>
      <c r="J140" s="782">
        <f t="shared" si="26"/>
        <v>221</v>
      </c>
      <c r="K140" s="735"/>
      <c r="L140" s="744">
        <f t="shared" si="27"/>
        <v>321</v>
      </c>
      <c r="M140" s="735"/>
      <c r="N140" s="782">
        <f t="shared" si="28"/>
        <v>421</v>
      </c>
      <c r="O140" s="735"/>
      <c r="P140" s="744">
        <f t="shared" si="29"/>
        <v>521</v>
      </c>
      <c r="Q140" s="735"/>
      <c r="R140" s="782">
        <f t="shared" si="30"/>
        <v>621</v>
      </c>
      <c r="S140" s="735"/>
      <c r="T140" s="744">
        <f t="shared" si="31"/>
        <v>721</v>
      </c>
      <c r="U140" s="735"/>
      <c r="V140" s="968">
        <f t="shared" ref="V140:X140" si="48">V139+1</f>
        <v>8021</v>
      </c>
      <c r="X140" s="968">
        <f t="shared" ref="X140" si="49">X139+1</f>
        <v>9121</v>
      </c>
      <c r="CY140" s="565"/>
    </row>
    <row r="141" spans="3:103" ht="37.950000000000003" customHeight="1" thickTop="1" thickBot="1">
      <c r="C141" s="431"/>
      <c r="D141" s="431"/>
      <c r="E141" s="431"/>
      <c r="F141" s="7">
        <f>'jobinfo(2)'!C74</f>
        <v>0</v>
      </c>
      <c r="G141" s="7"/>
      <c r="H141" s="782">
        <f t="shared" si="25"/>
        <v>122</v>
      </c>
      <c r="I141" s="735"/>
      <c r="J141" s="744">
        <f t="shared" si="26"/>
        <v>222</v>
      </c>
      <c r="K141" s="735"/>
      <c r="L141" s="782">
        <f t="shared" si="27"/>
        <v>322</v>
      </c>
      <c r="M141" s="735"/>
      <c r="N141" s="744">
        <f t="shared" si="28"/>
        <v>422</v>
      </c>
      <c r="O141" s="735"/>
      <c r="P141" s="782">
        <f t="shared" si="29"/>
        <v>522</v>
      </c>
      <c r="Q141" s="735"/>
      <c r="R141" s="744">
        <f t="shared" si="30"/>
        <v>622</v>
      </c>
      <c r="S141" s="735"/>
      <c r="T141" s="782">
        <f t="shared" si="31"/>
        <v>722</v>
      </c>
      <c r="U141" s="735"/>
      <c r="V141" s="968">
        <f t="shared" ref="V141:X141" si="50">V140+1</f>
        <v>8022</v>
      </c>
      <c r="X141" s="968">
        <f t="shared" ref="X141" si="51">X140+1</f>
        <v>9122</v>
      </c>
      <c r="CY141" s="567"/>
    </row>
    <row r="142" spans="3:103" ht="37.950000000000003" customHeight="1" thickTop="1" thickBot="1">
      <c r="C142" s="431"/>
      <c r="D142" s="431"/>
      <c r="E142" s="431"/>
      <c r="F142" s="641">
        <f>'jobinfo(2)'!C75</f>
        <v>0</v>
      </c>
      <c r="G142" s="641"/>
      <c r="H142" s="744">
        <f t="shared" si="25"/>
        <v>123</v>
      </c>
      <c r="I142" s="735"/>
      <c r="J142" s="782">
        <f t="shared" si="26"/>
        <v>223</v>
      </c>
      <c r="K142" s="735"/>
      <c r="L142" s="744">
        <f t="shared" si="27"/>
        <v>323</v>
      </c>
      <c r="M142" s="735"/>
      <c r="N142" s="782">
        <f t="shared" si="28"/>
        <v>423</v>
      </c>
      <c r="O142" s="735"/>
      <c r="P142" s="744">
        <f t="shared" si="29"/>
        <v>523</v>
      </c>
      <c r="Q142" s="735"/>
      <c r="R142" s="782">
        <f t="shared" si="30"/>
        <v>623</v>
      </c>
      <c r="S142" s="735"/>
      <c r="T142" s="744">
        <f t="shared" si="31"/>
        <v>723</v>
      </c>
      <c r="U142" s="735"/>
      <c r="V142" s="968">
        <f t="shared" ref="V142:X142" si="52">V141+1</f>
        <v>8023</v>
      </c>
      <c r="X142" s="968">
        <f t="shared" ref="X142" si="53">X141+1</f>
        <v>9123</v>
      </c>
      <c r="CY142" s="565"/>
    </row>
    <row r="143" spans="3:103" ht="37.950000000000003" customHeight="1" thickTop="1" thickBot="1">
      <c r="C143" s="431"/>
      <c r="D143" s="431"/>
      <c r="E143" s="431"/>
      <c r="F143" s="7">
        <f>'jobinfo(2)'!C76</f>
        <v>0</v>
      </c>
      <c r="G143" s="7"/>
      <c r="H143" s="782">
        <f t="shared" si="25"/>
        <v>124</v>
      </c>
      <c r="I143" s="735"/>
      <c r="J143" s="744">
        <f t="shared" si="26"/>
        <v>224</v>
      </c>
      <c r="K143" s="735"/>
      <c r="L143" s="782">
        <f t="shared" si="27"/>
        <v>324</v>
      </c>
      <c r="M143" s="735"/>
      <c r="N143" s="744">
        <f t="shared" si="28"/>
        <v>424</v>
      </c>
      <c r="O143" s="735"/>
      <c r="P143" s="782">
        <f t="shared" si="29"/>
        <v>524</v>
      </c>
      <c r="Q143" s="735"/>
      <c r="R143" s="744">
        <f t="shared" si="30"/>
        <v>624</v>
      </c>
      <c r="S143" s="735"/>
      <c r="T143" s="782">
        <f t="shared" si="31"/>
        <v>724</v>
      </c>
      <c r="U143" s="735"/>
      <c r="V143" s="968">
        <f t="shared" ref="V143:X143" si="54">V142+1</f>
        <v>8024</v>
      </c>
      <c r="X143" s="968">
        <f t="shared" ref="X143" si="55">X142+1</f>
        <v>9124</v>
      </c>
      <c r="CY143" s="567"/>
    </row>
    <row r="144" spans="3:103" ht="37.950000000000003" customHeight="1" thickTop="1" thickBot="1">
      <c r="C144" s="431"/>
      <c r="D144" s="431"/>
      <c r="E144" s="431"/>
      <c r="F144" s="641">
        <f>'jobinfo(2)'!C77</f>
        <v>0</v>
      </c>
      <c r="G144" s="641"/>
      <c r="H144" s="744">
        <f t="shared" si="25"/>
        <v>125</v>
      </c>
      <c r="I144" s="735"/>
      <c r="J144" s="782">
        <f t="shared" si="26"/>
        <v>225</v>
      </c>
      <c r="K144" s="735"/>
      <c r="L144" s="744">
        <f t="shared" si="27"/>
        <v>325</v>
      </c>
      <c r="M144" s="735"/>
      <c r="N144" s="782">
        <f t="shared" si="28"/>
        <v>425</v>
      </c>
      <c r="O144" s="735"/>
      <c r="P144" s="744">
        <f t="shared" si="29"/>
        <v>525</v>
      </c>
      <c r="Q144" s="735"/>
      <c r="R144" s="782">
        <f t="shared" si="30"/>
        <v>625</v>
      </c>
      <c r="S144" s="735"/>
      <c r="T144" s="744">
        <f t="shared" si="31"/>
        <v>725</v>
      </c>
      <c r="U144" s="735"/>
      <c r="V144" s="968">
        <f t="shared" ref="V144:X144" si="56">V143+1</f>
        <v>8025</v>
      </c>
      <c r="X144" s="968">
        <f t="shared" ref="X144" si="57">X143+1</f>
        <v>9125</v>
      </c>
      <c r="CY144" s="565"/>
    </row>
    <row r="145" spans="2:103" ht="27" customHeight="1" thickTop="1">
      <c r="C145" s="626"/>
      <c r="D145" s="626"/>
      <c r="E145" s="626"/>
      <c r="F145" s="2"/>
      <c r="G145" s="2"/>
      <c r="I145" s="734"/>
      <c r="J145" s="7"/>
      <c r="K145" s="734"/>
      <c r="L145" s="7"/>
      <c r="M145" s="734"/>
      <c r="N145" s="7"/>
      <c r="O145" s="734"/>
      <c r="P145" s="7"/>
      <c r="Q145" s="734"/>
      <c r="R145" s="734"/>
      <c r="S145" s="734"/>
      <c r="T145" s="734"/>
      <c r="U145" s="734"/>
      <c r="V145" s="968"/>
      <c r="X145" s="968"/>
      <c r="Y145" s="1"/>
      <c r="Z145" s="484"/>
      <c r="AA145" s="200"/>
      <c r="AB145" s="530"/>
      <c r="AC145" s="530"/>
      <c r="AD145" s="619"/>
      <c r="AE145" s="575"/>
      <c r="AF145" s="200"/>
      <c r="AG145" s="530"/>
      <c r="AH145" s="530"/>
      <c r="AI145" s="619"/>
      <c r="AJ145" s="530"/>
      <c r="AK145" s="200"/>
      <c r="AL145" s="530"/>
      <c r="AM145" s="530"/>
      <c r="AN145" s="619"/>
      <c r="AO145" s="431"/>
      <c r="AP145" s="530"/>
      <c r="AQ145" s="200"/>
      <c r="AR145" s="530"/>
      <c r="AS145" s="530"/>
      <c r="AT145" s="619"/>
      <c r="AU145" s="530"/>
      <c r="AV145" s="200"/>
      <c r="AW145" s="530"/>
      <c r="AX145" s="575"/>
      <c r="AY145" s="619"/>
      <c r="BA145" s="200"/>
      <c r="BC145" s="530"/>
      <c r="BE145" s="619"/>
      <c r="BF145" s="244"/>
      <c r="BG145" s="200"/>
      <c r="BH145" s="530"/>
      <c r="BJ145" s="619"/>
      <c r="BK145" s="244"/>
      <c r="BL145" s="200"/>
      <c r="BM145"/>
      <c r="BN145" s="530"/>
      <c r="BP145" s="619"/>
      <c r="BQ145" s="244"/>
      <c r="BR145" s="200"/>
      <c r="BT145" s="530"/>
      <c r="BV145" s="619"/>
      <c r="BW145" s="632"/>
      <c r="BX145" s="32"/>
      <c r="BY145" s="607"/>
      <c r="BZ145" s="602"/>
      <c r="CG145" s="200"/>
      <c r="CY145" s="734"/>
    </row>
    <row r="146" spans="2:103" ht="27" customHeight="1">
      <c r="B146" s="560" t="s">
        <v>607</v>
      </c>
      <c r="C146" s="560"/>
      <c r="D146" s="560"/>
      <c r="E146" s="560"/>
      <c r="F146" s="733"/>
      <c r="G146" s="733"/>
      <c r="I146" s="734"/>
      <c r="J146" s="7"/>
      <c r="K146" s="734"/>
      <c r="L146" s="732" t="s">
        <v>508</v>
      </c>
      <c r="M146" s="734"/>
      <c r="N146" s="7"/>
      <c r="O146" s="734"/>
      <c r="P146" s="7"/>
      <c r="Q146" s="734"/>
      <c r="R146" s="734"/>
      <c r="S146" s="734"/>
      <c r="T146" s="734"/>
      <c r="U146" s="734"/>
      <c r="V146" s="968"/>
      <c r="X146" s="968"/>
      <c r="Y146" s="1"/>
      <c r="Z146" s="484"/>
      <c r="AA146" s="200"/>
      <c r="AB146" s="530"/>
      <c r="AC146" s="530"/>
      <c r="AD146" s="619"/>
      <c r="AE146" s="575"/>
      <c r="AF146" s="200"/>
      <c r="AG146" s="530"/>
      <c r="AH146" s="530"/>
      <c r="AI146" s="619"/>
      <c r="AJ146" s="530"/>
      <c r="AK146" s="200"/>
      <c r="AL146" s="530"/>
      <c r="AM146" s="530"/>
      <c r="AN146" s="619"/>
      <c r="AO146" s="431"/>
      <c r="AP146" s="530"/>
      <c r="AQ146" s="200"/>
      <c r="AR146" s="530"/>
      <c r="AS146" s="530"/>
      <c r="AT146" s="619"/>
      <c r="AU146" s="530"/>
      <c r="AV146" s="200"/>
      <c r="AW146" s="530"/>
      <c r="AX146" s="575"/>
      <c r="AY146" s="619"/>
      <c r="BA146" s="200"/>
      <c r="BC146" s="530"/>
      <c r="BE146" s="619"/>
      <c r="BF146" s="244"/>
      <c r="BG146" s="200"/>
      <c r="BH146" s="530"/>
      <c r="BJ146" s="619"/>
      <c r="BK146" s="244"/>
      <c r="BL146" s="200"/>
      <c r="BM146"/>
      <c r="BN146" s="530"/>
      <c r="BP146" s="619"/>
      <c r="BQ146" s="244"/>
      <c r="BR146" s="200"/>
      <c r="BT146" s="530"/>
      <c r="BV146" s="619"/>
      <c r="BW146" s="632"/>
      <c r="BX146" s="32"/>
      <c r="BY146" s="607"/>
      <c r="BZ146" s="602"/>
      <c r="CG146" s="200"/>
      <c r="CY146" s="734"/>
    </row>
    <row r="147" spans="2:103" ht="27" customHeight="1">
      <c r="B147" s="484">
        <f>B148-1</f>
        <v>100</v>
      </c>
      <c r="C147" s="484"/>
      <c r="D147" s="484"/>
      <c r="E147" s="484"/>
      <c r="F147" s="200" t="s">
        <v>536</v>
      </c>
      <c r="G147" s="200"/>
      <c r="I147" s="734"/>
      <c r="J147" s="7"/>
      <c r="K147" s="734"/>
      <c r="L147" s="732"/>
      <c r="M147" s="734"/>
      <c r="N147" s="7"/>
      <c r="O147" s="734"/>
      <c r="P147" s="7"/>
      <c r="Q147" s="734"/>
      <c r="R147" s="734"/>
      <c r="S147" s="734"/>
      <c r="T147" s="734"/>
      <c r="U147" s="734"/>
      <c r="V147" s="968"/>
      <c r="X147" s="968"/>
      <c r="Y147" s="1"/>
      <c r="Z147" s="484"/>
      <c r="AA147" s="200"/>
      <c r="AB147" s="530"/>
      <c r="AC147" s="530"/>
      <c r="AD147" s="619"/>
      <c r="AE147" s="575"/>
      <c r="AF147" s="200"/>
      <c r="AG147" s="530"/>
      <c r="AH147" s="530"/>
      <c r="AI147" s="619"/>
      <c r="AJ147" s="530"/>
      <c r="AK147" s="200"/>
      <c r="AL147" s="530"/>
      <c r="AM147" s="530"/>
      <c r="AN147" s="619"/>
      <c r="AO147" s="431"/>
      <c r="AP147" s="530"/>
      <c r="AQ147" s="200"/>
      <c r="AR147" s="530"/>
      <c r="AS147" s="530"/>
      <c r="AT147" s="619"/>
      <c r="AU147" s="530"/>
      <c r="AV147" s="200"/>
      <c r="AW147" s="530"/>
      <c r="AX147" s="575"/>
      <c r="AY147" s="619"/>
      <c r="BA147" s="200"/>
      <c r="BC147" s="530"/>
      <c r="BE147" s="619"/>
      <c r="BF147" s="244"/>
      <c r="BG147" s="200"/>
      <c r="BH147" s="530"/>
      <c r="BJ147" s="619"/>
      <c r="BK147" s="244"/>
      <c r="BL147" s="200"/>
      <c r="BM147"/>
      <c r="BN147" s="530"/>
      <c r="BP147" s="619"/>
      <c r="BQ147" s="244"/>
      <c r="BR147" s="200"/>
      <c r="BT147" s="530"/>
      <c r="BV147" s="619"/>
      <c r="BW147" s="632"/>
      <c r="BX147" s="32"/>
      <c r="BY147" s="607"/>
      <c r="BZ147" s="602"/>
      <c r="CG147" s="200"/>
      <c r="CY147" s="734"/>
    </row>
    <row r="148" spans="2:103" ht="27" customHeight="1">
      <c r="B148" s="484">
        <v>101</v>
      </c>
      <c r="C148" s="484"/>
      <c r="D148" s="484"/>
      <c r="E148" s="484"/>
      <c r="F148" s="200" t="s">
        <v>536</v>
      </c>
      <c r="G148" s="200"/>
      <c r="I148" s="734"/>
      <c r="J148" s="7"/>
      <c r="K148" s="734"/>
      <c r="L148" s="564" t="s">
        <v>538</v>
      </c>
      <c r="M148" s="734"/>
      <c r="N148" s="7"/>
      <c r="O148" s="734"/>
      <c r="P148" s="7"/>
      <c r="Q148" s="734"/>
      <c r="R148" s="734"/>
      <c r="S148" s="734"/>
      <c r="T148" s="734"/>
      <c r="U148" s="734"/>
      <c r="V148" s="968"/>
      <c r="X148" s="968"/>
      <c r="Y148" s="1"/>
      <c r="Z148" s="484"/>
      <c r="AA148" s="200"/>
      <c r="AB148" s="530"/>
      <c r="AC148" s="530"/>
      <c r="AD148" s="619"/>
      <c r="AE148" s="575"/>
      <c r="AF148" s="200"/>
      <c r="AG148" s="530"/>
      <c r="AH148" s="530"/>
      <c r="AI148" s="619"/>
      <c r="AJ148" s="530"/>
      <c r="AK148" s="200"/>
      <c r="AL148" s="530"/>
      <c r="AM148" s="530"/>
      <c r="AN148" s="619"/>
      <c r="AO148" s="431"/>
      <c r="AP148" s="530"/>
      <c r="AQ148" s="200"/>
      <c r="AR148" s="530"/>
      <c r="AS148" s="530"/>
      <c r="AT148" s="619"/>
      <c r="AU148" s="530"/>
      <c r="AV148" s="200"/>
      <c r="AW148" s="530"/>
      <c r="AX148" s="575"/>
      <c r="AY148" s="619"/>
      <c r="BA148" s="200"/>
      <c r="BC148" s="530"/>
      <c r="BE148" s="619"/>
      <c r="BF148" s="244"/>
      <c r="BG148" s="200"/>
      <c r="BH148" s="530"/>
      <c r="BJ148" s="619"/>
      <c r="BK148" s="244"/>
      <c r="BL148" s="200"/>
      <c r="BM148"/>
      <c r="BN148" s="530"/>
      <c r="BP148" s="619"/>
      <c r="BQ148" s="244"/>
      <c r="BR148" s="200"/>
      <c r="BT148" s="530"/>
      <c r="BV148" s="619"/>
      <c r="BW148" s="632"/>
      <c r="BX148" s="32"/>
      <c r="BY148" s="607"/>
      <c r="BZ148" s="602"/>
      <c r="CG148" s="200"/>
      <c r="CY148" s="734"/>
    </row>
    <row r="149" spans="2:103" ht="27" customHeight="1">
      <c r="B149" s="484">
        <v>102</v>
      </c>
      <c r="C149" s="484"/>
      <c r="D149" s="484"/>
      <c r="E149" s="484"/>
      <c r="F149" s="200" t="s">
        <v>536</v>
      </c>
      <c r="G149" s="200"/>
      <c r="I149" s="734"/>
      <c r="J149" s="7"/>
      <c r="K149" s="734"/>
      <c r="L149" s="1" t="s">
        <v>602</v>
      </c>
      <c r="M149" s="734"/>
      <c r="N149" s="7"/>
      <c r="O149" s="734"/>
      <c r="P149" s="7"/>
      <c r="Q149" s="734"/>
      <c r="R149" s="734"/>
      <c r="S149" s="734"/>
      <c r="T149" s="734"/>
      <c r="U149" s="734"/>
      <c r="V149" s="484"/>
      <c r="W149" s="200"/>
      <c r="X149" s="631"/>
      <c r="Y149" s="1"/>
      <c r="Z149" s="484"/>
      <c r="AA149" s="200"/>
      <c r="AB149" s="530"/>
      <c r="AC149" s="530"/>
      <c r="AD149" s="619"/>
      <c r="AE149" s="575"/>
      <c r="AF149" s="200"/>
      <c r="AG149" s="530"/>
      <c r="AH149" s="530"/>
      <c r="AI149" s="619"/>
      <c r="AJ149" s="530"/>
      <c r="AK149" s="200"/>
      <c r="AL149" s="530"/>
      <c r="AM149" s="530"/>
      <c r="AN149" s="619"/>
      <c r="AO149" s="431"/>
      <c r="AP149" s="530"/>
      <c r="AQ149" s="200"/>
      <c r="AR149" s="530"/>
      <c r="AS149" s="530"/>
      <c r="AT149" s="619"/>
      <c r="AU149" s="530"/>
      <c r="AV149" s="200"/>
      <c r="AW149" s="530"/>
      <c r="AX149" s="575"/>
      <c r="AY149" s="619"/>
      <c r="BA149" s="200"/>
      <c r="BC149" s="530"/>
      <c r="BE149" s="619"/>
      <c r="BF149" s="244"/>
      <c r="BG149" s="200"/>
      <c r="BH149" s="530"/>
      <c r="BJ149" s="619"/>
      <c r="BK149" s="244"/>
      <c r="BL149" s="200"/>
      <c r="BM149"/>
      <c r="BN149" s="530"/>
      <c r="BP149" s="619"/>
      <c r="BQ149" s="244"/>
      <c r="BR149" s="200"/>
      <c r="BT149" s="530"/>
      <c r="BV149" s="619"/>
      <c r="BW149" s="632"/>
      <c r="BX149" s="32"/>
      <c r="BY149" s="607"/>
      <c r="BZ149" s="602"/>
      <c r="CG149" s="200"/>
      <c r="CY149" s="734"/>
    </row>
    <row r="150" spans="2:103" ht="27" customHeight="1">
      <c r="B150" s="484">
        <v>103</v>
      </c>
      <c r="C150" s="484"/>
      <c r="D150" s="484"/>
      <c r="E150" s="484"/>
      <c r="F150" s="200" t="s">
        <v>536</v>
      </c>
      <c r="G150" s="200"/>
      <c r="I150" s="734"/>
      <c r="J150" s="7"/>
      <c r="K150" s="734"/>
      <c r="L150" s="1" t="s">
        <v>602</v>
      </c>
      <c r="M150" s="734"/>
      <c r="N150" s="7"/>
      <c r="O150" s="734"/>
      <c r="P150" s="7"/>
      <c r="Q150" s="734"/>
      <c r="R150" s="734"/>
      <c r="S150" s="734"/>
      <c r="T150" s="734"/>
      <c r="U150" s="734"/>
      <c r="V150" s="484"/>
      <c r="W150" s="200"/>
      <c r="X150" s="631"/>
      <c r="Y150" s="1"/>
      <c r="Z150" s="484"/>
      <c r="AA150" s="200"/>
      <c r="AB150" s="530"/>
      <c r="AC150" s="530"/>
      <c r="AD150" s="619"/>
      <c r="AE150" s="575"/>
      <c r="AF150" s="200"/>
      <c r="AG150" s="530"/>
      <c r="AH150" s="530"/>
      <c r="AI150" s="619"/>
      <c r="AJ150" s="530"/>
      <c r="AK150" s="200"/>
      <c r="AL150" s="530"/>
      <c r="AM150" s="530"/>
      <c r="AN150" s="619"/>
      <c r="AO150" s="431"/>
      <c r="AP150" s="530"/>
      <c r="AQ150" s="200"/>
      <c r="AR150" s="530"/>
      <c r="AS150" s="530"/>
      <c r="AT150" s="619"/>
      <c r="AU150" s="530"/>
      <c r="AV150" s="200"/>
      <c r="AW150" s="530"/>
      <c r="AX150" s="575"/>
      <c r="AY150" s="619"/>
      <c r="BA150" s="200"/>
      <c r="BC150" s="530"/>
      <c r="BE150" s="619"/>
      <c r="BF150" s="244"/>
      <c r="BG150" s="200"/>
      <c r="BH150" s="530"/>
      <c r="BJ150" s="619"/>
      <c r="BK150" s="244"/>
      <c r="BL150" s="200"/>
      <c r="BM150"/>
      <c r="BN150" s="530"/>
      <c r="BP150" s="619"/>
      <c r="BQ150" s="244"/>
      <c r="BR150" s="200"/>
      <c r="BT150" s="530"/>
      <c r="BV150" s="619"/>
      <c r="BW150" s="632"/>
      <c r="BX150" s="32"/>
      <c r="BY150" s="607"/>
      <c r="BZ150" s="602"/>
      <c r="CG150" s="200"/>
      <c r="CY150" s="734"/>
    </row>
    <row r="151" spans="2:103" ht="27" customHeight="1">
      <c r="B151" s="484">
        <v>104</v>
      </c>
      <c r="C151" s="484"/>
      <c r="D151" s="484"/>
      <c r="E151" s="484"/>
      <c r="F151" s="200" t="s">
        <v>536</v>
      </c>
      <c r="G151" s="200"/>
      <c r="I151" s="734"/>
      <c r="J151" s="7"/>
      <c r="K151" s="734"/>
      <c r="L151" s="1" t="s">
        <v>602</v>
      </c>
      <c r="M151" s="734"/>
      <c r="N151" s="7"/>
      <c r="O151" s="734"/>
      <c r="P151" s="7"/>
      <c r="Q151" s="734"/>
      <c r="R151" s="734"/>
      <c r="S151" s="734"/>
      <c r="T151" s="734"/>
      <c r="U151" s="734"/>
      <c r="V151" s="484"/>
      <c r="W151" s="200"/>
      <c r="X151" s="631"/>
      <c r="Y151" s="1"/>
      <c r="Z151" s="484"/>
      <c r="AA151" s="200"/>
      <c r="AB151" s="530"/>
      <c r="AC151" s="530"/>
      <c r="AD151" s="619"/>
      <c r="AE151" s="575"/>
      <c r="AF151" s="200"/>
      <c r="AG151" s="530"/>
      <c r="AH151" s="530"/>
      <c r="AI151" s="619"/>
      <c r="AJ151" s="530"/>
      <c r="AK151" s="200"/>
      <c r="AL151" s="530"/>
      <c r="AM151" s="530"/>
      <c r="AN151" s="619"/>
      <c r="AO151" s="431"/>
      <c r="AP151" s="530"/>
      <c r="AQ151" s="200"/>
      <c r="AR151" s="530"/>
      <c r="AS151" s="530"/>
      <c r="AT151" s="619"/>
      <c r="AU151" s="530"/>
      <c r="AV151" s="200"/>
      <c r="AW151" s="530"/>
      <c r="AX151" s="575"/>
      <c r="AY151" s="619"/>
      <c r="BA151" s="200"/>
      <c r="BC151" s="530"/>
      <c r="BE151" s="619"/>
      <c r="BF151" s="244"/>
      <c r="BG151" s="200"/>
      <c r="BH151" s="530"/>
      <c r="BJ151" s="619"/>
      <c r="BK151" s="244"/>
      <c r="BL151" s="200"/>
      <c r="BM151"/>
      <c r="BN151" s="530"/>
      <c r="BP151" s="619"/>
      <c r="BQ151" s="244"/>
      <c r="BR151" s="200"/>
      <c r="BT151" s="530"/>
      <c r="BV151" s="619"/>
      <c r="BW151" s="632"/>
      <c r="BX151" s="32"/>
      <c r="BY151" s="607"/>
      <c r="BZ151" s="602"/>
      <c r="CG151" s="200"/>
      <c r="CY151" s="734"/>
    </row>
    <row r="152" spans="2:103" ht="27" customHeight="1">
      <c r="B152" s="484">
        <v>105</v>
      </c>
      <c r="C152" s="484"/>
      <c r="D152" s="484"/>
      <c r="E152" s="484"/>
      <c r="F152" s="200" t="s">
        <v>536</v>
      </c>
      <c r="G152" s="200"/>
      <c r="I152" s="734"/>
      <c r="J152" s="7"/>
      <c r="K152" s="734"/>
      <c r="L152" s="1" t="s">
        <v>556</v>
      </c>
      <c r="M152" s="734"/>
      <c r="N152" s="7"/>
      <c r="O152" s="734"/>
      <c r="P152" s="7"/>
      <c r="Q152" s="734"/>
      <c r="R152" s="734"/>
      <c r="S152" s="734"/>
      <c r="T152" s="734"/>
      <c r="U152" s="734"/>
      <c r="V152" s="484"/>
      <c r="W152" s="200"/>
      <c r="X152" s="631"/>
      <c r="Y152" s="1"/>
      <c r="Z152" s="484"/>
      <c r="AA152" s="200"/>
      <c r="AB152" s="530"/>
      <c r="AC152" s="530"/>
      <c r="AD152" s="619"/>
      <c r="AE152" s="575"/>
      <c r="AF152" s="200"/>
      <c r="AG152" s="530"/>
      <c r="AH152" s="530"/>
      <c r="AI152" s="619"/>
      <c r="AJ152" s="530"/>
      <c r="AK152" s="200"/>
      <c r="AL152" s="530"/>
      <c r="AM152" s="530"/>
      <c r="AN152" s="619"/>
      <c r="AO152" s="431"/>
      <c r="AP152" s="530"/>
      <c r="AQ152" s="200"/>
      <c r="AR152" s="530"/>
      <c r="AS152" s="530"/>
      <c r="AT152" s="619"/>
      <c r="AU152" s="530"/>
      <c r="AV152" s="200"/>
      <c r="AW152" s="530"/>
      <c r="AX152" s="575"/>
      <c r="AY152" s="619"/>
      <c r="BA152" s="200"/>
      <c r="BC152" s="530"/>
      <c r="BE152" s="619"/>
      <c r="BF152" s="244"/>
      <c r="BG152" s="200"/>
      <c r="BH152" s="530"/>
      <c r="BJ152" s="619"/>
      <c r="BK152" s="244"/>
      <c r="BL152" s="200"/>
      <c r="BM152"/>
      <c r="BN152" s="530"/>
      <c r="BP152" s="619"/>
      <c r="BQ152" s="244"/>
      <c r="BR152" s="200"/>
      <c r="BT152" s="530"/>
      <c r="BV152" s="619"/>
      <c r="BW152" s="632"/>
      <c r="BX152" s="32"/>
      <c r="BY152" s="607"/>
      <c r="BZ152" s="602"/>
      <c r="CG152" s="200"/>
      <c r="CY152" s="734"/>
    </row>
    <row r="153" spans="2:103" ht="27" customHeight="1">
      <c r="B153" s="484">
        <v>106</v>
      </c>
      <c r="C153" s="484"/>
      <c r="D153" s="484"/>
      <c r="E153" s="484"/>
      <c r="F153" s="200" t="s">
        <v>536</v>
      </c>
      <c r="G153" s="200"/>
      <c r="I153" s="734"/>
      <c r="J153" s="7"/>
      <c r="K153" s="734"/>
      <c r="L153" s="1" t="s">
        <v>556</v>
      </c>
      <c r="M153" s="734"/>
      <c r="N153" s="7"/>
      <c r="O153" s="734"/>
      <c r="P153" s="7"/>
      <c r="Q153" s="734"/>
      <c r="R153" s="734"/>
      <c r="S153" s="734"/>
      <c r="T153" s="734"/>
      <c r="U153" s="734"/>
      <c r="V153" s="484"/>
      <c r="W153" s="200"/>
      <c r="X153" s="631"/>
      <c r="Y153" s="1"/>
      <c r="Z153" s="484"/>
      <c r="AA153" s="200"/>
      <c r="AB153" s="530"/>
      <c r="AC153" s="530"/>
      <c r="AD153" s="619"/>
      <c r="AE153" s="575"/>
      <c r="AF153" s="200"/>
      <c r="AG153" s="530"/>
      <c r="AH153" s="530"/>
      <c r="AI153" s="619"/>
      <c r="AJ153" s="530"/>
      <c r="AK153" s="200"/>
      <c r="AL153" s="530"/>
      <c r="AM153" s="530"/>
      <c r="AN153" s="619"/>
      <c r="AO153" s="431"/>
      <c r="AP153" s="530"/>
      <c r="AQ153" s="200"/>
      <c r="AR153" s="530"/>
      <c r="AS153" s="530"/>
      <c r="AT153" s="619"/>
      <c r="AU153" s="530"/>
      <c r="AV153" s="200"/>
      <c r="AW153" s="530"/>
      <c r="AX153" s="575"/>
      <c r="AY153" s="619"/>
      <c r="BA153" s="200"/>
      <c r="BC153" s="530"/>
      <c r="BE153" s="619"/>
      <c r="BF153" s="244"/>
      <c r="BG153" s="200"/>
      <c r="BH153" s="530"/>
      <c r="BJ153" s="619"/>
      <c r="BK153" s="244"/>
      <c r="BL153" s="200"/>
      <c r="BM153"/>
      <c r="BN153" s="530"/>
      <c r="BP153" s="619"/>
      <c r="BQ153" s="244"/>
      <c r="BR153" s="200"/>
      <c r="BT153" s="530"/>
      <c r="BV153" s="619"/>
      <c r="BW153" s="632"/>
      <c r="BX153" s="32"/>
      <c r="BY153" s="607"/>
      <c r="BZ153" s="602"/>
      <c r="CG153" s="200"/>
      <c r="CY153" s="734"/>
    </row>
    <row r="154" spans="2:103" ht="27" customHeight="1">
      <c r="B154" s="484">
        <v>107</v>
      </c>
      <c r="C154" s="484"/>
      <c r="D154" s="484"/>
      <c r="E154" s="484"/>
      <c r="F154" s="200" t="s">
        <v>536</v>
      </c>
      <c r="G154" s="200"/>
      <c r="I154" s="734"/>
      <c r="J154" s="7"/>
      <c r="K154" s="734"/>
      <c r="L154" s="1" t="s">
        <v>556</v>
      </c>
      <c r="M154" s="734"/>
      <c r="N154" s="7"/>
      <c r="O154" s="734"/>
      <c r="P154" s="7"/>
      <c r="Q154" s="734"/>
      <c r="R154" s="734"/>
      <c r="S154" s="734"/>
      <c r="T154" s="734"/>
      <c r="U154" s="734"/>
      <c r="V154" s="484"/>
      <c r="W154" s="200"/>
      <c r="X154" s="631"/>
      <c r="Y154" s="1"/>
      <c r="Z154" s="484"/>
      <c r="AA154" s="200"/>
      <c r="AB154" s="530"/>
      <c r="AC154" s="530"/>
      <c r="AD154" s="619"/>
      <c r="AE154" s="575"/>
      <c r="AF154" s="200"/>
      <c r="AG154" s="530"/>
      <c r="AH154" s="530"/>
      <c r="AI154" s="619"/>
      <c r="AJ154" s="530"/>
      <c r="AK154" s="200"/>
      <c r="AL154" s="530"/>
      <c r="AM154" s="530"/>
      <c r="AN154" s="619"/>
      <c r="AO154" s="431"/>
      <c r="AP154" s="530"/>
      <c r="AQ154" s="200"/>
      <c r="AR154" s="530"/>
      <c r="AS154" s="530"/>
      <c r="AT154" s="619"/>
      <c r="AU154" s="530"/>
      <c r="AV154" s="200"/>
      <c r="AW154" s="530"/>
      <c r="AX154" s="575"/>
      <c r="AY154" s="619"/>
      <c r="BA154" s="200"/>
      <c r="BC154" s="530"/>
      <c r="BE154" s="619"/>
      <c r="BF154" s="244"/>
      <c r="BG154" s="200"/>
      <c r="BH154" s="530"/>
      <c r="BJ154" s="619"/>
      <c r="BK154" s="244"/>
      <c r="BL154" s="200"/>
      <c r="BM154"/>
      <c r="BN154" s="530"/>
      <c r="BP154" s="619"/>
      <c r="BQ154" s="244"/>
      <c r="BR154" s="200"/>
      <c r="BT154" s="530"/>
      <c r="BV154" s="619"/>
      <c r="BW154" s="632"/>
      <c r="BX154" s="32"/>
      <c r="BY154" s="607"/>
      <c r="BZ154" s="602"/>
      <c r="CG154" s="200"/>
      <c r="CY154" s="734"/>
    </row>
    <row r="155" spans="2:103" ht="27" customHeight="1">
      <c r="B155" s="484">
        <v>108</v>
      </c>
      <c r="C155" s="484"/>
      <c r="D155" s="484"/>
      <c r="E155" s="484"/>
      <c r="F155" s="200" t="s">
        <v>536</v>
      </c>
      <c r="G155" s="200"/>
      <c r="I155" s="734"/>
      <c r="J155" s="7"/>
      <c r="K155" s="734"/>
      <c r="L155" s="1" t="s">
        <v>556</v>
      </c>
      <c r="M155" s="734"/>
      <c r="N155" s="7"/>
      <c r="O155" s="734"/>
      <c r="P155" s="7"/>
      <c r="Q155" s="734"/>
      <c r="R155" s="734"/>
      <c r="S155" s="734"/>
      <c r="T155" s="734"/>
      <c r="U155" s="734"/>
      <c r="V155" s="484"/>
      <c r="W155" s="200"/>
      <c r="X155" s="631"/>
      <c r="Y155" s="1"/>
      <c r="Z155" s="484"/>
      <c r="AA155" s="200"/>
      <c r="AB155" s="530"/>
      <c r="AC155" s="530"/>
      <c r="AD155" s="619"/>
      <c r="AE155" s="575"/>
      <c r="AF155" s="200"/>
      <c r="AG155" s="530"/>
      <c r="AH155" s="530"/>
      <c r="AI155" s="619"/>
      <c r="AJ155" s="530"/>
      <c r="AK155" s="200"/>
      <c r="AL155" s="530"/>
      <c r="AM155" s="530"/>
      <c r="AN155" s="619"/>
      <c r="AO155" s="431"/>
      <c r="AP155" s="530"/>
      <c r="AQ155" s="200"/>
      <c r="AR155" s="530"/>
      <c r="AS155" s="530"/>
      <c r="AT155" s="619"/>
      <c r="AU155" s="530"/>
      <c r="AV155" s="200"/>
      <c r="AW155" s="530"/>
      <c r="AX155" s="575"/>
      <c r="AY155" s="619"/>
      <c r="BA155" s="200"/>
      <c r="BC155" s="530"/>
      <c r="BE155" s="619"/>
      <c r="BF155" s="244"/>
      <c r="BG155" s="200"/>
      <c r="BH155" s="530"/>
      <c r="BJ155" s="619"/>
      <c r="BK155" s="244"/>
      <c r="BL155" s="200"/>
      <c r="BM155"/>
      <c r="BN155" s="530"/>
      <c r="BP155" s="619"/>
      <c r="BQ155" s="244"/>
      <c r="BR155" s="200"/>
      <c r="BT155" s="530"/>
      <c r="BV155" s="619"/>
      <c r="BW155" s="632"/>
      <c r="BX155" s="32"/>
      <c r="BY155" s="607"/>
      <c r="BZ155" s="602"/>
      <c r="CG155" s="200"/>
      <c r="CY155" s="734"/>
    </row>
    <row r="156" spans="2:103" ht="27" customHeight="1">
      <c r="B156" s="484">
        <v>109</v>
      </c>
      <c r="C156" s="484"/>
      <c r="D156" s="484"/>
      <c r="E156" s="484"/>
      <c r="F156" s="200" t="s">
        <v>536</v>
      </c>
      <c r="G156" s="200"/>
      <c r="I156" s="734"/>
      <c r="J156" s="7"/>
      <c r="K156" s="734"/>
      <c r="L156" s="1" t="s">
        <v>556</v>
      </c>
      <c r="M156" s="734"/>
      <c r="N156" s="7"/>
      <c r="O156" s="734"/>
      <c r="P156" s="7"/>
      <c r="Q156" s="734"/>
      <c r="R156" s="734"/>
      <c r="S156" s="734"/>
      <c r="T156" s="734"/>
      <c r="U156" s="734"/>
      <c r="V156" s="484"/>
      <c r="W156" s="200"/>
      <c r="X156" s="631"/>
      <c r="Y156" s="1"/>
      <c r="Z156" s="484"/>
      <c r="AA156" s="200"/>
      <c r="AB156" s="530"/>
      <c r="AC156" s="530"/>
      <c r="AD156" s="619"/>
      <c r="AE156" s="575"/>
      <c r="AF156" s="200"/>
      <c r="AG156" s="530"/>
      <c r="AH156" s="530"/>
      <c r="AI156" s="619"/>
      <c r="AJ156" s="530"/>
      <c r="AK156" s="200"/>
      <c r="AL156" s="530"/>
      <c r="AM156" s="530"/>
      <c r="AN156" s="619"/>
      <c r="AO156" s="431"/>
      <c r="AP156" s="530"/>
      <c r="AQ156" s="200"/>
      <c r="AR156" s="530"/>
      <c r="AS156" s="530"/>
      <c r="AT156" s="619"/>
      <c r="AU156" s="530"/>
      <c r="AV156" s="200"/>
      <c r="AW156" s="530"/>
      <c r="AX156" s="575"/>
      <c r="AY156" s="619"/>
      <c r="BA156" s="200"/>
      <c r="BC156" s="530"/>
      <c r="BE156" s="619"/>
      <c r="BF156" s="244"/>
      <c r="BG156" s="200"/>
      <c r="BH156" s="530"/>
      <c r="BJ156" s="619"/>
      <c r="BK156" s="244"/>
      <c r="BL156" s="200"/>
      <c r="BM156"/>
      <c r="BN156" s="530"/>
      <c r="BP156" s="619"/>
      <c r="BQ156" s="244"/>
      <c r="BR156" s="200"/>
      <c r="BT156" s="530"/>
      <c r="BV156" s="619"/>
      <c r="BW156" s="632"/>
      <c r="BX156" s="32"/>
      <c r="BY156" s="607"/>
      <c r="BZ156" s="602"/>
      <c r="CG156" s="200"/>
      <c r="CY156" s="734"/>
    </row>
    <row r="157" spans="2:103" ht="27" customHeight="1">
      <c r="B157" s="484">
        <v>110</v>
      </c>
      <c r="C157" s="484"/>
      <c r="D157" s="484"/>
      <c r="E157" s="484"/>
      <c r="F157" s="200" t="s">
        <v>536</v>
      </c>
      <c r="G157" s="200"/>
      <c r="I157" s="734"/>
      <c r="J157" s="7"/>
      <c r="K157" s="734"/>
      <c r="L157" s="1" t="s">
        <v>556</v>
      </c>
      <c r="M157" s="734"/>
      <c r="N157" s="7"/>
      <c r="O157" s="734"/>
      <c r="P157" s="7"/>
      <c r="Q157" s="734"/>
      <c r="R157" s="734"/>
      <c r="S157" s="734"/>
      <c r="T157" s="734"/>
      <c r="U157" s="734"/>
      <c r="V157" s="484"/>
      <c r="W157" s="200"/>
      <c r="X157" s="631"/>
      <c r="Y157" s="1"/>
      <c r="Z157" s="484"/>
      <c r="AA157" s="200"/>
      <c r="AB157" s="530"/>
      <c r="AC157" s="530"/>
      <c r="AD157" s="619"/>
      <c r="AE157" s="575"/>
      <c r="AF157" s="200"/>
      <c r="AG157" s="530"/>
      <c r="AH157" s="530"/>
      <c r="AI157" s="619"/>
      <c r="AJ157" s="530"/>
      <c r="AK157" s="200"/>
      <c r="AL157" s="530"/>
      <c r="AM157" s="530"/>
      <c r="AN157" s="619"/>
      <c r="AO157" s="431"/>
      <c r="AP157" s="530"/>
      <c r="AQ157" s="200"/>
      <c r="AR157" s="530"/>
      <c r="AS157" s="530"/>
      <c r="AT157" s="619"/>
      <c r="AU157" s="530"/>
      <c r="AV157" s="200"/>
      <c r="AW157" s="530"/>
      <c r="AX157" s="575"/>
      <c r="AY157" s="619"/>
      <c r="BA157" s="200"/>
      <c r="BC157" s="530"/>
      <c r="BE157" s="619"/>
      <c r="BF157" s="244"/>
      <c r="BG157" s="200"/>
      <c r="BH157" s="530"/>
      <c r="BJ157" s="619"/>
      <c r="BK157" s="244"/>
      <c r="BL157" s="200"/>
      <c r="BM157"/>
      <c r="BN157" s="530"/>
      <c r="BP157" s="619"/>
      <c r="BQ157" s="244"/>
      <c r="BR157" s="200"/>
      <c r="BT157" s="530"/>
      <c r="BV157" s="619"/>
      <c r="BW157" s="632"/>
      <c r="BX157" s="32"/>
      <c r="BY157" s="607"/>
      <c r="BZ157" s="602"/>
      <c r="CG157" s="200"/>
      <c r="CY157" s="734"/>
    </row>
    <row r="158" spans="2:103" ht="27" customHeight="1">
      <c r="B158" s="484">
        <v>111</v>
      </c>
      <c r="C158" s="484"/>
      <c r="D158" s="484"/>
      <c r="E158" s="484"/>
      <c r="F158" s="200" t="s">
        <v>536</v>
      </c>
      <c r="G158" s="200"/>
      <c r="I158" s="734"/>
      <c r="J158" s="7"/>
      <c r="K158" s="734"/>
      <c r="L158" s="1" t="s">
        <v>602</v>
      </c>
      <c r="M158" s="734"/>
      <c r="N158" s="7"/>
      <c r="O158" s="734"/>
      <c r="P158" s="7"/>
      <c r="Q158" s="734"/>
      <c r="R158" s="734"/>
      <c r="S158" s="734"/>
      <c r="T158" s="734"/>
      <c r="U158" s="734"/>
      <c r="V158" s="484"/>
      <c r="W158" s="200"/>
      <c r="X158" s="631"/>
      <c r="Y158" s="1"/>
      <c r="Z158" s="484"/>
      <c r="AA158" s="200"/>
      <c r="AB158" s="530"/>
      <c r="AC158" s="530"/>
      <c r="AD158" s="619"/>
      <c r="AE158" s="575"/>
      <c r="AF158" s="200"/>
      <c r="AG158" s="530"/>
      <c r="AH158" s="530"/>
      <c r="AI158" s="619"/>
      <c r="AJ158" s="530"/>
      <c r="AK158" s="200"/>
      <c r="AL158" s="530"/>
      <c r="AM158" s="530"/>
      <c r="AN158" s="619"/>
      <c r="AO158" s="431"/>
      <c r="AP158" s="530"/>
      <c r="AQ158" s="200"/>
      <c r="AR158" s="530"/>
      <c r="AS158" s="530"/>
      <c r="AT158" s="619"/>
      <c r="AU158" s="530"/>
      <c r="AV158" s="200"/>
      <c r="AW158" s="530"/>
      <c r="AX158" s="575"/>
      <c r="AY158" s="619"/>
      <c r="BA158" s="200"/>
      <c r="BC158" s="530"/>
      <c r="BE158" s="619"/>
      <c r="BF158" s="244"/>
      <c r="BG158" s="200"/>
      <c r="BH158" s="530"/>
      <c r="BJ158" s="619"/>
      <c r="BK158" s="244"/>
      <c r="BL158" s="200"/>
      <c r="BM158"/>
      <c r="BN158" s="530"/>
      <c r="BP158" s="619"/>
      <c r="BQ158" s="244"/>
      <c r="BR158" s="200"/>
      <c r="BT158" s="530"/>
      <c r="BV158" s="619"/>
      <c r="BW158" s="632"/>
      <c r="BX158" s="32"/>
      <c r="BY158" s="607"/>
      <c r="BZ158" s="602"/>
      <c r="CG158" s="200"/>
      <c r="CY158" s="734"/>
    </row>
    <row r="159" spans="2:103" ht="27" customHeight="1">
      <c r="B159" s="484">
        <v>112</v>
      </c>
      <c r="C159" s="484"/>
      <c r="D159" s="484"/>
      <c r="E159" s="484"/>
      <c r="F159" s="200" t="s">
        <v>536</v>
      </c>
      <c r="G159" s="200"/>
      <c r="I159" s="734"/>
      <c r="J159" s="7"/>
      <c r="K159" s="734"/>
      <c r="L159" s="1" t="s">
        <v>556</v>
      </c>
      <c r="M159" s="734"/>
      <c r="N159" s="7"/>
      <c r="O159" s="734"/>
      <c r="P159" s="7"/>
      <c r="Q159" s="734"/>
      <c r="R159" s="734"/>
      <c r="S159" s="734"/>
      <c r="T159" s="734"/>
      <c r="U159" s="734"/>
      <c r="V159" s="484"/>
      <c r="W159" s="200"/>
      <c r="X159" s="631"/>
      <c r="Y159" s="1"/>
      <c r="Z159" s="484"/>
      <c r="AA159" s="200"/>
      <c r="AB159" s="530"/>
      <c r="AC159" s="530"/>
      <c r="AD159" s="619"/>
      <c r="AE159" s="575"/>
      <c r="AF159" s="200"/>
      <c r="AG159" s="530"/>
      <c r="AH159" s="530"/>
      <c r="AI159" s="619"/>
      <c r="AJ159" s="530"/>
      <c r="AK159" s="200"/>
      <c r="AL159" s="530"/>
      <c r="AM159" s="530"/>
      <c r="AN159" s="619"/>
      <c r="AO159" s="431"/>
      <c r="AP159" s="530"/>
      <c r="AQ159" s="200"/>
      <c r="AR159" s="530"/>
      <c r="AS159" s="530"/>
      <c r="AT159" s="619"/>
      <c r="AU159" s="530"/>
      <c r="AV159" s="200"/>
      <c r="AW159" s="530"/>
      <c r="AX159" s="575"/>
      <c r="AY159" s="619"/>
      <c r="BA159" s="200"/>
      <c r="BC159" s="530"/>
      <c r="BE159" s="619"/>
      <c r="BF159" s="244"/>
      <c r="BG159" s="200"/>
      <c r="BH159" s="530"/>
      <c r="BJ159" s="619"/>
      <c r="BK159" s="244"/>
      <c r="BL159" s="200"/>
      <c r="BM159"/>
      <c r="BN159" s="530"/>
      <c r="BP159" s="619"/>
      <c r="BQ159" s="244"/>
      <c r="BR159" s="200"/>
      <c r="BT159" s="530"/>
      <c r="BV159" s="619"/>
      <c r="BW159" s="632"/>
      <c r="BX159" s="32"/>
      <c r="BY159" s="607"/>
      <c r="BZ159" s="602"/>
      <c r="CG159" s="200"/>
      <c r="CY159" s="734"/>
    </row>
    <row r="160" spans="2:103" ht="27" customHeight="1">
      <c r="B160" s="484">
        <v>113</v>
      </c>
      <c r="C160" s="484"/>
      <c r="D160" s="484"/>
      <c r="E160" s="484"/>
      <c r="F160" s="200" t="s">
        <v>536</v>
      </c>
      <c r="G160" s="200"/>
      <c r="I160" s="734"/>
      <c r="J160" s="7"/>
      <c r="K160" s="734"/>
      <c r="L160" s="1" t="s">
        <v>602</v>
      </c>
      <c r="M160" s="734"/>
      <c r="N160" s="7"/>
      <c r="O160" s="734"/>
      <c r="P160" s="7"/>
      <c r="Q160" s="734"/>
      <c r="R160" s="734"/>
      <c r="S160" s="734"/>
      <c r="T160" s="734"/>
      <c r="U160" s="734"/>
      <c r="V160" s="484"/>
      <c r="W160" s="200"/>
      <c r="X160" s="631"/>
      <c r="Y160" s="1"/>
      <c r="Z160" s="484"/>
      <c r="AA160" s="200"/>
      <c r="AB160" s="530"/>
      <c r="AC160" s="530"/>
      <c r="AD160" s="619"/>
      <c r="AE160" s="575"/>
      <c r="AF160" s="200"/>
      <c r="AG160" s="530"/>
      <c r="AH160" s="530"/>
      <c r="AI160" s="619"/>
      <c r="AJ160" s="530"/>
      <c r="AK160" s="200"/>
      <c r="AL160" s="530"/>
      <c r="AM160" s="530"/>
      <c r="AN160" s="619"/>
      <c r="AO160" s="431"/>
      <c r="AP160" s="530"/>
      <c r="AQ160" s="200"/>
      <c r="AR160" s="530"/>
      <c r="AS160" s="530"/>
      <c r="AT160" s="619"/>
      <c r="AU160" s="530"/>
      <c r="AV160" s="200"/>
      <c r="AW160" s="530"/>
      <c r="AX160" s="575"/>
      <c r="AY160" s="619"/>
      <c r="BA160" s="200"/>
      <c r="BC160" s="530"/>
      <c r="BE160" s="619"/>
      <c r="BF160" s="244"/>
      <c r="BG160" s="200"/>
      <c r="BH160" s="530"/>
      <c r="BJ160" s="619"/>
      <c r="BK160" s="244"/>
      <c r="BL160" s="200"/>
      <c r="BM160"/>
      <c r="BN160" s="530"/>
      <c r="BP160" s="619"/>
      <c r="BQ160" s="244"/>
      <c r="BR160" s="200"/>
      <c r="BT160" s="530"/>
      <c r="BV160" s="619"/>
      <c r="BW160" s="632"/>
      <c r="BX160" s="32"/>
      <c r="BY160" s="607"/>
      <c r="BZ160" s="602"/>
      <c r="CG160" s="200"/>
      <c r="CY160" s="734"/>
    </row>
    <row r="161" spans="2:103" ht="27" customHeight="1">
      <c r="B161" s="484">
        <v>114</v>
      </c>
      <c r="C161" s="484"/>
      <c r="D161" s="484"/>
      <c r="E161" s="484"/>
      <c r="F161" s="200" t="s">
        <v>536</v>
      </c>
      <c r="G161" s="200"/>
      <c r="I161" s="734"/>
      <c r="J161" s="7"/>
      <c r="K161" s="734"/>
      <c r="L161" s="1" t="s">
        <v>602</v>
      </c>
      <c r="M161" s="734"/>
      <c r="N161" s="7"/>
      <c r="O161" s="734"/>
      <c r="P161" s="7"/>
      <c r="Q161" s="734"/>
      <c r="R161" s="734"/>
      <c r="S161" s="734"/>
      <c r="T161" s="734"/>
      <c r="U161" s="734"/>
      <c r="V161" s="484"/>
      <c r="W161" s="200"/>
      <c r="X161" s="631"/>
      <c r="Y161" s="1"/>
      <c r="Z161" s="484"/>
      <c r="AA161" s="200"/>
      <c r="AB161" s="530"/>
      <c r="AC161" s="530"/>
      <c r="AD161" s="619"/>
      <c r="AE161" s="575"/>
      <c r="AF161" s="200"/>
      <c r="AG161" s="530"/>
      <c r="AH161" s="530"/>
      <c r="AI161" s="619"/>
      <c r="AJ161" s="530"/>
      <c r="AK161" s="200"/>
      <c r="AL161" s="530"/>
      <c r="AM161" s="530"/>
      <c r="AN161" s="619"/>
      <c r="AO161" s="431"/>
      <c r="AP161" s="530"/>
      <c r="AQ161" s="200"/>
      <c r="AR161" s="530"/>
      <c r="AS161" s="530"/>
      <c r="AT161" s="619"/>
      <c r="AU161" s="530"/>
      <c r="AV161" s="200"/>
      <c r="AW161" s="530"/>
      <c r="AX161" s="575"/>
      <c r="AY161" s="619"/>
      <c r="BA161" s="200"/>
      <c r="BC161" s="530"/>
      <c r="BE161" s="619"/>
      <c r="BF161" s="244"/>
      <c r="BG161" s="200"/>
      <c r="BH161" s="530"/>
      <c r="BJ161" s="619"/>
      <c r="BK161" s="244"/>
      <c r="BL161" s="200"/>
      <c r="BM161"/>
      <c r="BN161" s="530"/>
      <c r="BP161" s="619"/>
      <c r="BQ161" s="244"/>
      <c r="BR161" s="200"/>
      <c r="BT161" s="530"/>
      <c r="BV161" s="619"/>
      <c r="BW161" s="632"/>
      <c r="BX161" s="32"/>
      <c r="BY161" s="607"/>
      <c r="BZ161" s="602"/>
      <c r="CG161" s="200"/>
      <c r="CY161" s="734"/>
    </row>
    <row r="162" spans="2:103" ht="27" customHeight="1">
      <c r="B162" s="484">
        <v>115</v>
      </c>
      <c r="C162" s="484"/>
      <c r="D162" s="484"/>
      <c r="E162" s="484"/>
      <c r="F162" s="200" t="s">
        <v>536</v>
      </c>
      <c r="G162" s="200"/>
      <c r="I162" s="734"/>
      <c r="J162" s="7"/>
      <c r="K162" s="734"/>
      <c r="L162" s="1" t="s">
        <v>602</v>
      </c>
      <c r="M162" s="734"/>
      <c r="N162" s="7"/>
      <c r="O162" s="734"/>
      <c r="P162" s="7"/>
      <c r="Q162" s="734"/>
      <c r="R162" s="734"/>
      <c r="S162" s="734"/>
      <c r="T162" s="734"/>
      <c r="U162" s="734"/>
      <c r="V162" s="484"/>
      <c r="W162" s="200"/>
      <c r="X162" s="631"/>
      <c r="Y162" s="1"/>
      <c r="Z162" s="484"/>
      <c r="AA162" s="200"/>
      <c r="AB162" s="530"/>
      <c r="AC162" s="530"/>
      <c r="AD162" s="619"/>
      <c r="AE162" s="575"/>
      <c r="AF162" s="200"/>
      <c r="AG162" s="530"/>
      <c r="AH162" s="530"/>
      <c r="AI162" s="619"/>
      <c r="AJ162" s="530"/>
      <c r="AK162" s="200"/>
      <c r="AL162" s="530"/>
      <c r="AM162" s="530"/>
      <c r="AN162" s="619"/>
      <c r="AO162" s="431"/>
      <c r="AP162" s="530"/>
      <c r="AQ162" s="200"/>
      <c r="AR162" s="530"/>
      <c r="AS162" s="530"/>
      <c r="AT162" s="619"/>
      <c r="AU162" s="530"/>
      <c r="AV162" s="200"/>
      <c r="AW162" s="530"/>
      <c r="AX162" s="575"/>
      <c r="AY162" s="619"/>
      <c r="BA162" s="200"/>
      <c r="BC162" s="530"/>
      <c r="BE162" s="619"/>
      <c r="BF162" s="244"/>
      <c r="BG162" s="200"/>
      <c r="BH162" s="530"/>
      <c r="BJ162" s="619"/>
      <c r="BK162" s="244"/>
      <c r="BL162" s="200"/>
      <c r="BM162"/>
      <c r="BN162" s="530"/>
      <c r="BP162" s="619"/>
      <c r="BQ162" s="244"/>
      <c r="BR162" s="200"/>
      <c r="BT162" s="530"/>
      <c r="BV162" s="619"/>
      <c r="BW162" s="632"/>
      <c r="BX162" s="32"/>
      <c r="BY162" s="607"/>
      <c r="BZ162" s="602"/>
      <c r="CG162" s="200"/>
      <c r="CY162" s="734"/>
    </row>
    <row r="163" spans="2:103" ht="27" customHeight="1">
      <c r="B163" s="484">
        <v>116</v>
      </c>
      <c r="C163" s="484"/>
      <c r="D163" s="484"/>
      <c r="E163" s="484"/>
      <c r="F163" s="200" t="s">
        <v>536</v>
      </c>
      <c r="G163" s="200"/>
      <c r="I163" s="734"/>
      <c r="J163" s="7"/>
      <c r="K163" s="734"/>
      <c r="L163" s="1" t="s">
        <v>602</v>
      </c>
      <c r="M163" s="734"/>
      <c r="N163" s="7"/>
      <c r="O163" s="734"/>
      <c r="P163" s="7"/>
      <c r="Q163" s="734"/>
      <c r="R163" s="734"/>
      <c r="S163" s="734"/>
      <c r="T163" s="734"/>
      <c r="U163" s="734"/>
      <c r="V163" s="484"/>
      <c r="W163" s="200"/>
      <c r="X163" s="631"/>
      <c r="Y163" s="1"/>
      <c r="Z163" s="484"/>
      <c r="AA163" s="200"/>
      <c r="AB163" s="530"/>
      <c r="AC163" s="530"/>
      <c r="AD163" s="619"/>
      <c r="AE163" s="575"/>
      <c r="AF163" s="200"/>
      <c r="AG163" s="530"/>
      <c r="AH163" s="530"/>
      <c r="AI163" s="619"/>
      <c r="AJ163" s="530"/>
      <c r="AK163" s="200"/>
      <c r="AL163" s="530"/>
      <c r="AM163" s="530"/>
      <c r="AN163" s="619"/>
      <c r="AO163" s="431"/>
      <c r="AP163" s="530"/>
      <c r="AQ163" s="200"/>
      <c r="AR163" s="530"/>
      <c r="AS163" s="530"/>
      <c r="AT163" s="619"/>
      <c r="AU163" s="530"/>
      <c r="AV163" s="200"/>
      <c r="AW163" s="530"/>
      <c r="AX163" s="575"/>
      <c r="AY163" s="619"/>
      <c r="BA163" s="200"/>
      <c r="BC163" s="530"/>
      <c r="BE163" s="619"/>
      <c r="BF163" s="244"/>
      <c r="BG163" s="200"/>
      <c r="BH163" s="530"/>
      <c r="BJ163" s="619"/>
      <c r="BK163" s="244"/>
      <c r="BL163" s="200"/>
      <c r="BM163"/>
      <c r="BN163" s="530"/>
      <c r="BP163" s="619"/>
      <c r="BQ163" s="244"/>
      <c r="BR163" s="200"/>
      <c r="BT163" s="530"/>
      <c r="BV163" s="619"/>
      <c r="BW163" s="632"/>
      <c r="BX163" s="32"/>
      <c r="BY163" s="607"/>
      <c r="BZ163" s="602"/>
      <c r="CG163" s="200"/>
      <c r="CY163" s="734"/>
    </row>
    <row r="164" spans="2:103" ht="27" customHeight="1">
      <c r="B164" s="484">
        <v>117</v>
      </c>
      <c r="C164" s="484"/>
      <c r="D164" s="484"/>
      <c r="E164" s="484"/>
      <c r="F164" s="200" t="s">
        <v>536</v>
      </c>
      <c r="G164" s="200"/>
      <c r="I164" s="734"/>
      <c r="J164" s="7"/>
      <c r="K164" s="734"/>
      <c r="L164" s="1" t="s">
        <v>602</v>
      </c>
      <c r="M164" s="734"/>
      <c r="N164" s="7"/>
      <c r="O164" s="734"/>
      <c r="P164" s="7"/>
      <c r="Q164" s="734"/>
      <c r="R164" s="734"/>
      <c r="S164" s="734"/>
      <c r="T164" s="734"/>
      <c r="U164" s="734"/>
      <c r="V164" s="484"/>
      <c r="W164" s="200"/>
      <c r="X164" s="631"/>
      <c r="Y164" s="1"/>
      <c r="Z164" s="484"/>
      <c r="AA164" s="200"/>
      <c r="AB164" s="530"/>
      <c r="AC164" s="530"/>
      <c r="AD164" s="619"/>
      <c r="AE164" s="575"/>
      <c r="AF164" s="200"/>
      <c r="AG164" s="530"/>
      <c r="AH164" s="530"/>
      <c r="AI164" s="619"/>
      <c r="AJ164" s="530"/>
      <c r="AK164" s="200"/>
      <c r="AL164" s="530"/>
      <c r="AM164" s="530"/>
      <c r="AN164" s="619"/>
      <c r="AO164" s="431"/>
      <c r="AP164" s="530"/>
      <c r="AQ164" s="200"/>
      <c r="AR164" s="530"/>
      <c r="AS164" s="530"/>
      <c r="AT164" s="619"/>
      <c r="AU164" s="530"/>
      <c r="AV164" s="200"/>
      <c r="AW164" s="530"/>
      <c r="AX164" s="575"/>
      <c r="AY164" s="619"/>
      <c r="BA164" s="200"/>
      <c r="BC164" s="530"/>
      <c r="BE164" s="619"/>
      <c r="BF164" s="244"/>
      <c r="BG164" s="200"/>
      <c r="BH164" s="530"/>
      <c r="BJ164" s="619"/>
      <c r="BK164" s="244"/>
      <c r="BL164" s="200"/>
      <c r="BM164"/>
      <c r="BN164" s="530"/>
      <c r="BP164" s="619"/>
      <c r="BQ164" s="244"/>
      <c r="BR164" s="200"/>
      <c r="BT164" s="530"/>
      <c r="BV164" s="619"/>
      <c r="BW164" s="632"/>
      <c r="BX164" s="32"/>
      <c r="BY164" s="607"/>
      <c r="BZ164" s="602"/>
      <c r="CG164" s="200"/>
      <c r="CY164" s="734"/>
    </row>
    <row r="165" spans="2:103" ht="27" customHeight="1">
      <c r="B165" s="484">
        <v>118</v>
      </c>
      <c r="C165" s="484"/>
      <c r="D165" s="484"/>
      <c r="E165" s="484"/>
      <c r="F165" s="200" t="s">
        <v>536</v>
      </c>
      <c r="G165" s="200"/>
      <c r="I165" s="734"/>
      <c r="J165" s="7"/>
      <c r="K165" s="734"/>
      <c r="L165" s="1" t="s">
        <v>602</v>
      </c>
      <c r="M165" s="734"/>
      <c r="N165" s="7"/>
      <c r="O165" s="734"/>
      <c r="P165" s="7"/>
      <c r="Q165" s="734"/>
      <c r="R165" s="734"/>
      <c r="S165" s="734"/>
      <c r="T165" s="734"/>
      <c r="U165" s="734"/>
      <c r="V165" s="484"/>
      <c r="W165" s="200"/>
      <c r="X165" s="631"/>
      <c r="Y165" s="1"/>
      <c r="Z165" s="484"/>
      <c r="AA165" s="200"/>
      <c r="AB165" s="530"/>
      <c r="AC165" s="530"/>
      <c r="AD165" s="619"/>
      <c r="AE165" s="575"/>
      <c r="AF165" s="200"/>
      <c r="AG165" s="530"/>
      <c r="AH165" s="530"/>
      <c r="AI165" s="619"/>
      <c r="AJ165" s="530"/>
      <c r="AK165" s="200"/>
      <c r="AL165" s="530"/>
      <c r="AM165" s="530"/>
      <c r="AN165" s="619"/>
      <c r="AO165" s="431"/>
      <c r="AP165" s="530"/>
      <c r="AQ165" s="200"/>
      <c r="AR165" s="530"/>
      <c r="AS165" s="530"/>
      <c r="AT165" s="619"/>
      <c r="AU165" s="530"/>
      <c r="AV165" s="200"/>
      <c r="AW165" s="530"/>
      <c r="AX165" s="575"/>
      <c r="AY165" s="619"/>
      <c r="BA165" s="200"/>
      <c r="BC165" s="530"/>
      <c r="BE165" s="619"/>
      <c r="BF165" s="244"/>
      <c r="BG165" s="200"/>
      <c r="BH165" s="530"/>
      <c r="BJ165" s="619"/>
      <c r="BK165" s="244"/>
      <c r="BL165" s="200"/>
      <c r="BM165"/>
      <c r="BN165" s="530"/>
      <c r="BP165" s="619"/>
      <c r="BQ165" s="244"/>
      <c r="BR165" s="200"/>
      <c r="BT165" s="530"/>
      <c r="BV165" s="619"/>
      <c r="BW165" s="632"/>
      <c r="BX165" s="32"/>
      <c r="BY165" s="607"/>
      <c r="BZ165" s="602"/>
      <c r="CG165" s="200"/>
      <c r="CY165" s="734"/>
    </row>
    <row r="166" spans="2:103" ht="27" customHeight="1">
      <c r="B166" s="484">
        <v>119</v>
      </c>
      <c r="C166" s="484"/>
      <c r="D166" s="484"/>
      <c r="E166" s="484"/>
      <c r="F166" s="200" t="s">
        <v>536</v>
      </c>
      <c r="G166" s="200"/>
      <c r="I166" s="734"/>
      <c r="J166" s="7"/>
      <c r="K166" s="734"/>
      <c r="L166" s="1" t="s">
        <v>602</v>
      </c>
      <c r="M166" s="734"/>
      <c r="N166" s="7"/>
      <c r="O166" s="734"/>
      <c r="P166" s="7"/>
      <c r="Q166" s="734"/>
      <c r="R166" s="734"/>
      <c r="S166" s="734"/>
      <c r="T166" s="734"/>
      <c r="U166" s="734"/>
      <c r="V166" s="484"/>
      <c r="W166" s="200"/>
      <c r="X166" s="631"/>
      <c r="Y166" s="1"/>
      <c r="Z166" s="484"/>
      <c r="AA166" s="200"/>
      <c r="AB166" s="530"/>
      <c r="AC166" s="530"/>
      <c r="AD166" s="619"/>
      <c r="AE166" s="575"/>
      <c r="AF166" s="200"/>
      <c r="AG166" s="530"/>
      <c r="AH166" s="530"/>
      <c r="AI166" s="619"/>
      <c r="AJ166" s="530"/>
      <c r="AK166" s="200"/>
      <c r="AL166" s="530"/>
      <c r="AM166" s="530"/>
      <c r="AN166" s="619"/>
      <c r="AO166" s="431"/>
      <c r="AP166" s="530"/>
      <c r="AQ166" s="200"/>
      <c r="AR166" s="530"/>
      <c r="AS166" s="530"/>
      <c r="AT166" s="619"/>
      <c r="AU166" s="530"/>
      <c r="AV166" s="200"/>
      <c r="AW166" s="530"/>
      <c r="AX166" s="575"/>
      <c r="AY166" s="619"/>
      <c r="BA166" s="200"/>
      <c r="BC166" s="530"/>
      <c r="BE166" s="619"/>
      <c r="BF166" s="244"/>
      <c r="BG166" s="200"/>
      <c r="BH166" s="530"/>
      <c r="BJ166" s="619"/>
      <c r="BK166" s="244"/>
      <c r="BL166" s="200"/>
      <c r="BM166"/>
      <c r="BN166" s="530"/>
      <c r="BP166" s="619"/>
      <c r="BQ166" s="244"/>
      <c r="BR166" s="200"/>
      <c r="BT166" s="530"/>
      <c r="BV166" s="619"/>
      <c r="BW166" s="632"/>
      <c r="BX166" s="32"/>
      <c r="BY166" s="607"/>
      <c r="BZ166" s="602"/>
      <c r="CG166" s="200"/>
      <c r="CY166" s="734"/>
    </row>
    <row r="167" spans="2:103" ht="27" customHeight="1">
      <c r="B167" s="484">
        <v>120</v>
      </c>
      <c r="C167" s="484"/>
      <c r="D167" s="484"/>
      <c r="E167" s="484"/>
      <c r="F167" s="200" t="s">
        <v>536</v>
      </c>
      <c r="G167" s="200"/>
      <c r="I167" s="734"/>
      <c r="J167" s="7"/>
      <c r="K167" s="734"/>
      <c r="L167" s="1" t="s">
        <v>602</v>
      </c>
      <c r="M167" s="734"/>
      <c r="N167" s="7"/>
      <c r="O167" s="734"/>
      <c r="P167" s="7"/>
      <c r="Q167" s="734"/>
      <c r="R167" s="734"/>
      <c r="S167" s="734"/>
      <c r="T167" s="734"/>
      <c r="U167" s="734"/>
      <c r="V167" s="484"/>
      <c r="W167" s="200"/>
      <c r="X167" s="631"/>
      <c r="Y167" s="1"/>
      <c r="Z167" s="484"/>
      <c r="AA167" s="200"/>
      <c r="AB167" s="530"/>
      <c r="AC167" s="530"/>
      <c r="AD167" s="619"/>
      <c r="AE167" s="575"/>
      <c r="AF167" s="200"/>
      <c r="AG167" s="530"/>
      <c r="AH167" s="530"/>
      <c r="AI167" s="619"/>
      <c r="AJ167" s="530"/>
      <c r="AK167" s="200"/>
      <c r="AL167" s="530"/>
      <c r="AM167" s="530"/>
      <c r="AN167" s="619"/>
      <c r="AO167" s="431"/>
      <c r="AP167" s="530"/>
      <c r="AQ167" s="200"/>
      <c r="AR167" s="530"/>
      <c r="AS167" s="530"/>
      <c r="AT167" s="619"/>
      <c r="AU167" s="530"/>
      <c r="AV167" s="200"/>
      <c r="AW167" s="530"/>
      <c r="AX167" s="575"/>
      <c r="AY167" s="619"/>
      <c r="BA167" s="200"/>
      <c r="BC167" s="530"/>
      <c r="BE167" s="619"/>
      <c r="BF167" s="244"/>
      <c r="BG167" s="200"/>
      <c r="BH167" s="530"/>
      <c r="BJ167" s="619"/>
      <c r="BK167" s="244"/>
      <c r="BL167" s="200"/>
      <c r="BM167"/>
      <c r="BN167" s="530"/>
      <c r="BP167" s="619"/>
      <c r="BQ167" s="244"/>
      <c r="BR167" s="200"/>
      <c r="BT167" s="530"/>
      <c r="BV167" s="619"/>
      <c r="BW167" s="632"/>
      <c r="BX167" s="32"/>
      <c r="BY167" s="607"/>
      <c r="BZ167" s="602"/>
      <c r="CG167" s="200"/>
      <c r="CY167" s="734"/>
    </row>
    <row r="168" spans="2:103" ht="27" customHeight="1">
      <c r="B168" s="484">
        <v>121</v>
      </c>
      <c r="C168" s="484"/>
      <c r="D168" s="484"/>
      <c r="E168" s="484"/>
      <c r="F168" s="200" t="s">
        <v>536</v>
      </c>
      <c r="G168" s="200"/>
      <c r="I168" s="734"/>
      <c r="J168" s="7"/>
      <c r="K168" s="734"/>
      <c r="L168" s="209" t="s">
        <v>556</v>
      </c>
      <c r="M168" s="734"/>
      <c r="N168" s="7"/>
      <c r="O168" s="734"/>
      <c r="P168" s="7"/>
      <c r="Q168" s="734"/>
      <c r="R168" s="734"/>
      <c r="S168" s="734"/>
      <c r="T168" s="734"/>
      <c r="U168" s="734"/>
      <c r="V168" s="484"/>
      <c r="W168" s="200"/>
      <c r="X168" s="631"/>
      <c r="Y168" s="1"/>
      <c r="Z168" s="484"/>
      <c r="AA168" s="200"/>
      <c r="AB168" s="530"/>
      <c r="AC168" s="530"/>
      <c r="AD168" s="619"/>
      <c r="AE168" s="575"/>
      <c r="AF168" s="200"/>
      <c r="AG168" s="530"/>
      <c r="AH168" s="530"/>
      <c r="AI168" s="619"/>
      <c r="AJ168" s="530"/>
      <c r="AK168" s="200"/>
      <c r="AL168" s="530"/>
      <c r="AM168" s="530"/>
      <c r="AN168" s="619"/>
      <c r="AO168" s="431"/>
      <c r="AP168" s="530"/>
      <c r="AQ168" s="200"/>
      <c r="AR168" s="530"/>
      <c r="AS168" s="530"/>
      <c r="AT168" s="619"/>
      <c r="AU168" s="530"/>
      <c r="AV168" s="200"/>
      <c r="AW168" s="530"/>
      <c r="AX168" s="575"/>
      <c r="AY168" s="619"/>
      <c r="BA168" s="200"/>
      <c r="BC168" s="530"/>
      <c r="BE168" s="619"/>
      <c r="BF168" s="244"/>
      <c r="BG168" s="200"/>
      <c r="BH168" s="530"/>
      <c r="BJ168" s="619"/>
      <c r="BK168" s="244"/>
      <c r="BL168" s="200"/>
      <c r="BM168"/>
      <c r="BN168" s="530"/>
      <c r="BP168" s="619"/>
      <c r="BQ168" s="244"/>
      <c r="BR168" s="200"/>
      <c r="BT168" s="530"/>
      <c r="BV168" s="619"/>
      <c r="BW168" s="632"/>
      <c r="BX168" s="32"/>
      <c r="BY168" s="607"/>
      <c r="BZ168" s="602"/>
      <c r="CG168" s="200"/>
      <c r="CY168" s="734"/>
    </row>
    <row r="169" spans="2:103" ht="27" customHeight="1">
      <c r="B169" s="484">
        <v>122</v>
      </c>
      <c r="C169" s="484"/>
      <c r="D169" s="484"/>
      <c r="E169" s="484"/>
      <c r="F169" s="200" t="s">
        <v>536</v>
      </c>
      <c r="G169" s="200"/>
      <c r="I169" s="734"/>
      <c r="J169" s="7"/>
      <c r="K169" s="734"/>
      <c r="L169" s="209" t="s">
        <v>556</v>
      </c>
      <c r="M169" s="734"/>
      <c r="N169" s="7"/>
      <c r="O169" s="734"/>
      <c r="P169" s="7"/>
      <c r="Q169" s="734"/>
      <c r="R169" s="734"/>
      <c r="S169" s="734"/>
      <c r="T169" s="734"/>
      <c r="U169" s="734"/>
      <c r="V169" s="484"/>
      <c r="W169" s="200"/>
      <c r="X169" s="631"/>
      <c r="Y169" s="1"/>
      <c r="Z169" s="484"/>
      <c r="AA169" s="200"/>
      <c r="AB169" s="530"/>
      <c r="AC169" s="530"/>
      <c r="AD169" s="619"/>
      <c r="AE169" s="575"/>
      <c r="AF169" s="200"/>
      <c r="AG169" s="530"/>
      <c r="AH169" s="530"/>
      <c r="AI169" s="619"/>
      <c r="AJ169" s="530"/>
      <c r="AK169" s="200"/>
      <c r="AL169" s="530"/>
      <c r="AM169" s="530"/>
      <c r="AN169" s="619"/>
      <c r="AO169" s="431"/>
      <c r="AP169" s="530"/>
      <c r="AQ169" s="200"/>
      <c r="AR169" s="530"/>
      <c r="AS169" s="530"/>
      <c r="AT169" s="619"/>
      <c r="AU169" s="530"/>
      <c r="AV169" s="200"/>
      <c r="AW169" s="530"/>
      <c r="AX169" s="575"/>
      <c r="AY169" s="619"/>
      <c r="BA169" s="200"/>
      <c r="BC169" s="530"/>
      <c r="BE169" s="619"/>
      <c r="BF169" s="244"/>
      <c r="BG169" s="200"/>
      <c r="BH169" s="530"/>
      <c r="BJ169" s="619"/>
      <c r="BK169" s="244"/>
      <c r="BL169" s="200"/>
      <c r="BM169"/>
      <c r="BN169" s="530"/>
      <c r="BP169" s="619"/>
      <c r="BQ169" s="244"/>
      <c r="BR169" s="200"/>
      <c r="BT169" s="530"/>
      <c r="BV169" s="619"/>
      <c r="BW169" s="632"/>
      <c r="BX169" s="32"/>
      <c r="BY169" s="607"/>
      <c r="BZ169" s="602"/>
      <c r="CG169" s="200"/>
      <c r="CY169" s="734"/>
    </row>
    <row r="170" spans="2:103" ht="27" customHeight="1">
      <c r="B170" s="484">
        <v>123</v>
      </c>
      <c r="C170" s="484"/>
      <c r="D170" s="484"/>
      <c r="E170" s="484"/>
      <c r="F170" s="200" t="s">
        <v>536</v>
      </c>
      <c r="G170" s="200"/>
      <c r="I170" s="734"/>
      <c r="J170" s="7"/>
      <c r="K170" s="734"/>
      <c r="L170" s="209" t="s">
        <v>556</v>
      </c>
      <c r="M170" s="734"/>
      <c r="N170" s="7"/>
      <c r="O170" s="734"/>
      <c r="P170" s="7"/>
      <c r="Q170" s="734"/>
      <c r="R170" s="734"/>
      <c r="S170" s="734"/>
      <c r="T170" s="734"/>
      <c r="U170" s="734"/>
      <c r="V170" s="484"/>
      <c r="W170" s="200"/>
      <c r="X170" s="631"/>
      <c r="Y170" s="1"/>
      <c r="Z170" s="484"/>
      <c r="AA170" s="200"/>
      <c r="AB170" s="530"/>
      <c r="AC170" s="530"/>
      <c r="AD170" s="619"/>
      <c r="AE170" s="575"/>
      <c r="AF170" s="200"/>
      <c r="AG170" s="530"/>
      <c r="AH170" s="530"/>
      <c r="AI170" s="619"/>
      <c r="AJ170" s="530"/>
      <c r="AK170" s="200"/>
      <c r="AL170" s="530"/>
      <c r="AM170" s="530"/>
      <c r="AN170" s="619"/>
      <c r="AO170" s="431"/>
      <c r="AP170" s="530"/>
      <c r="AQ170" s="200"/>
      <c r="AR170" s="530"/>
      <c r="AS170" s="530"/>
      <c r="AT170" s="619"/>
      <c r="AU170" s="530"/>
      <c r="AV170" s="200"/>
      <c r="AW170" s="530"/>
      <c r="AX170" s="575"/>
      <c r="AY170" s="619"/>
      <c r="BA170" s="200"/>
      <c r="BC170" s="530"/>
      <c r="BE170" s="619"/>
      <c r="BF170" s="244"/>
      <c r="BG170" s="200"/>
      <c r="BH170" s="530"/>
      <c r="BJ170" s="619"/>
      <c r="BK170" s="244"/>
      <c r="BL170" s="200"/>
      <c r="BM170"/>
      <c r="BN170" s="530"/>
      <c r="BP170" s="619"/>
      <c r="BQ170" s="244"/>
      <c r="BR170" s="200"/>
      <c r="BT170" s="530"/>
      <c r="BV170" s="619"/>
      <c r="BW170" s="632"/>
      <c r="BX170" s="32"/>
      <c r="BY170" s="607"/>
      <c r="BZ170" s="602"/>
      <c r="CG170" s="200"/>
      <c r="CY170" s="734"/>
    </row>
    <row r="171" spans="2:103" ht="27" customHeight="1">
      <c r="B171" s="484">
        <v>124</v>
      </c>
      <c r="C171" s="484"/>
      <c r="D171" s="484"/>
      <c r="E171" s="484"/>
      <c r="F171" s="200" t="s">
        <v>536</v>
      </c>
      <c r="G171" s="200"/>
      <c r="I171" s="734"/>
      <c r="J171" s="7"/>
      <c r="K171" s="734"/>
      <c r="L171" s="209" t="s">
        <v>556</v>
      </c>
      <c r="M171" s="734"/>
      <c r="N171" s="7"/>
      <c r="O171" s="734"/>
      <c r="P171" s="7"/>
      <c r="Q171" s="734"/>
      <c r="R171" s="734"/>
      <c r="S171" s="734"/>
      <c r="T171" s="734"/>
      <c r="U171" s="734"/>
      <c r="V171" s="484"/>
      <c r="W171" s="200"/>
      <c r="X171" s="631"/>
      <c r="Y171" s="1"/>
      <c r="Z171" s="484"/>
      <c r="AA171" s="200"/>
      <c r="AB171" s="530"/>
      <c r="AC171" s="530"/>
      <c r="AD171" s="619"/>
      <c r="AE171" s="575"/>
      <c r="AF171" s="200"/>
      <c r="AG171" s="530"/>
      <c r="AH171" s="530"/>
      <c r="AI171" s="619"/>
      <c r="AJ171" s="530"/>
      <c r="AK171" s="200"/>
      <c r="AL171" s="530"/>
      <c r="AM171" s="530"/>
      <c r="AN171" s="619"/>
      <c r="AO171" s="431"/>
      <c r="AP171" s="530"/>
      <c r="AQ171" s="200"/>
      <c r="AR171" s="530"/>
      <c r="AS171" s="530"/>
      <c r="AT171" s="619"/>
      <c r="AU171" s="530"/>
      <c r="AV171" s="200"/>
      <c r="AW171" s="530"/>
      <c r="AX171" s="575"/>
      <c r="AY171" s="619"/>
      <c r="BA171" s="200"/>
      <c r="BC171" s="530"/>
      <c r="BE171" s="619"/>
      <c r="BF171" s="244"/>
      <c r="BG171" s="200"/>
      <c r="BH171" s="530"/>
      <c r="BJ171" s="619"/>
      <c r="BK171" s="244"/>
      <c r="BL171" s="200"/>
      <c r="BM171"/>
      <c r="BN171" s="530"/>
      <c r="BP171" s="619"/>
      <c r="BQ171" s="244"/>
      <c r="BR171" s="200"/>
      <c r="BT171" s="530"/>
      <c r="BV171" s="619"/>
      <c r="BW171" s="632"/>
      <c r="BX171" s="32"/>
      <c r="BY171" s="607"/>
      <c r="BZ171" s="602"/>
      <c r="CG171" s="200"/>
      <c r="CY171" s="734"/>
    </row>
    <row r="172" spans="2:103" ht="27" customHeight="1">
      <c r="B172" s="484">
        <v>125</v>
      </c>
      <c r="C172" s="484"/>
      <c r="D172" s="484"/>
      <c r="E172" s="484"/>
      <c r="F172" s="200" t="s">
        <v>536</v>
      </c>
      <c r="G172" s="200"/>
      <c r="I172" s="734"/>
      <c r="J172" s="7"/>
      <c r="K172" s="734"/>
      <c r="L172" s="209" t="s">
        <v>556</v>
      </c>
      <c r="M172" s="734"/>
      <c r="N172" s="7"/>
      <c r="O172" s="734"/>
      <c r="P172" s="7"/>
      <c r="Q172" s="734"/>
      <c r="R172" s="734"/>
      <c r="S172" s="734"/>
      <c r="T172" s="734"/>
      <c r="U172" s="734"/>
      <c r="V172" s="484"/>
      <c r="W172" s="200"/>
      <c r="X172" s="631"/>
      <c r="Y172" s="1"/>
      <c r="Z172" s="484"/>
      <c r="AA172" s="200"/>
      <c r="AB172" s="530"/>
      <c r="AC172" s="530"/>
      <c r="AD172" s="619"/>
      <c r="AE172" s="575"/>
      <c r="AF172" s="200"/>
      <c r="AG172" s="530"/>
      <c r="AH172" s="530"/>
      <c r="AI172" s="619"/>
      <c r="AJ172" s="530"/>
      <c r="AK172" s="200"/>
      <c r="AL172" s="530"/>
      <c r="AM172" s="530"/>
      <c r="AN172" s="619"/>
      <c r="AO172" s="431"/>
      <c r="AP172" s="530"/>
      <c r="AQ172" s="200"/>
      <c r="AR172" s="530"/>
      <c r="AS172" s="530"/>
      <c r="AT172" s="619"/>
      <c r="AU172" s="530"/>
      <c r="AV172" s="200"/>
      <c r="AW172" s="530"/>
      <c r="AX172" s="575"/>
      <c r="AY172" s="619"/>
      <c r="BA172" s="200"/>
      <c r="BC172" s="530"/>
      <c r="BE172" s="619"/>
      <c r="BF172" s="244"/>
      <c r="BG172" s="200"/>
      <c r="BH172" s="530"/>
      <c r="BJ172" s="619"/>
      <c r="BK172" s="244"/>
      <c r="BL172" s="200"/>
      <c r="BM172"/>
      <c r="BN172" s="530"/>
      <c r="BP172" s="619"/>
      <c r="BQ172" s="244"/>
      <c r="BR172" s="200"/>
      <c r="BT172" s="530"/>
      <c r="BV172" s="619"/>
      <c r="BW172" s="632"/>
      <c r="BX172" s="32"/>
      <c r="BY172" s="607"/>
      <c r="BZ172" s="602"/>
      <c r="CG172" s="200"/>
      <c r="CY172" s="734"/>
    </row>
    <row r="173" spans="2:103" ht="27" customHeight="1">
      <c r="B173" s="30" t="s">
        <v>608</v>
      </c>
      <c r="C173" s="30"/>
      <c r="D173" s="30"/>
      <c r="E173" s="30"/>
      <c r="F173" s="30"/>
      <c r="G173" s="30"/>
      <c r="H173" s="30"/>
      <c r="I173" s="732" t="s">
        <v>508</v>
      </c>
      <c r="BW173" s="632"/>
      <c r="BX173" s="32"/>
      <c r="BY173" s="607"/>
      <c r="BZ173" s="602"/>
      <c r="CG173" s="200"/>
      <c r="CY173" s="734"/>
    </row>
    <row r="174" spans="2:103" ht="27" customHeight="1">
      <c r="B174" s="635" t="str">
        <f t="shared" ref="B174:B200" si="58">B146</f>
        <v xml:space="preserve"> = … ROOM OVERVIEW PICS ... DAY 1 …</v>
      </c>
      <c r="C174" s="635"/>
      <c r="D174" s="635"/>
      <c r="E174" s="635"/>
      <c r="F174" s="635"/>
      <c r="G174" s="635"/>
      <c r="H174" s="560"/>
      <c r="I174" s="732"/>
      <c r="BW174" s="632"/>
      <c r="BX174" s="32"/>
      <c r="BY174" s="607"/>
      <c r="BZ174" s="602"/>
      <c r="CG174" s="200"/>
      <c r="CY174" s="734"/>
    </row>
    <row r="175" spans="2:103" ht="27" customHeight="1">
      <c r="B175" s="484">
        <f t="shared" si="58"/>
        <v>100</v>
      </c>
      <c r="C175" s="484"/>
      <c r="D175" s="484"/>
      <c r="E175" s="484"/>
      <c r="F175" s="200" t="str">
        <f t="shared" ref="F175:F200" si="59">F147</f>
        <v>….</v>
      </c>
      <c r="G175" s="200"/>
      <c r="H175" s="910"/>
      <c r="I175" s="910"/>
      <c r="J175" s="910"/>
      <c r="K175" s="910"/>
      <c r="BW175" s="632"/>
      <c r="BX175" s="32"/>
      <c r="BY175" s="607"/>
      <c r="BZ175" s="602"/>
      <c r="CG175" s="200"/>
      <c r="CY175" s="734"/>
    </row>
    <row r="176" spans="2:103" ht="27" customHeight="1">
      <c r="B176" s="484">
        <f t="shared" si="58"/>
        <v>101</v>
      </c>
      <c r="C176" s="484"/>
      <c r="D176" s="484"/>
      <c r="E176" s="484"/>
      <c r="F176" s="200" t="str">
        <f t="shared" si="59"/>
        <v>….</v>
      </c>
      <c r="G176" s="200"/>
      <c r="I176" s="637" t="str">
        <f t="shared" ref="I176:I200" si="60">$B$174</f>
        <v xml:space="preserve"> = … ROOM OVERVIEW PICS ... DAY 1 …</v>
      </c>
      <c r="J176" s="619" t="str">
        <f>$L$149</f>
        <v>LOS</v>
      </c>
      <c r="BW176" s="632"/>
      <c r="BX176" s="32"/>
      <c r="BY176" s="607"/>
      <c r="BZ176" s="602"/>
      <c r="CG176" s="200"/>
      <c r="CY176" s="734"/>
    </row>
    <row r="177" spans="2:103" ht="27" customHeight="1">
      <c r="B177" s="484">
        <f t="shared" si="58"/>
        <v>102</v>
      </c>
      <c r="C177" s="484"/>
      <c r="D177" s="484"/>
      <c r="E177" s="484"/>
      <c r="F177" s="200" t="str">
        <f t="shared" si="59"/>
        <v>….</v>
      </c>
      <c r="G177" s="200"/>
      <c r="I177" s="530" t="str">
        <f t="shared" si="60"/>
        <v xml:space="preserve"> = … ROOM OVERVIEW PICS ... DAY 1 …</v>
      </c>
      <c r="J177" s="619" t="str">
        <f>$L$150</f>
        <v>LOS</v>
      </c>
      <c r="BW177" s="632"/>
      <c r="BX177" s="32"/>
      <c r="BY177" s="607"/>
      <c r="BZ177" s="602"/>
      <c r="CG177" s="200"/>
      <c r="CY177" s="734"/>
    </row>
    <row r="178" spans="2:103" ht="27" customHeight="1">
      <c r="B178" s="484">
        <f t="shared" si="58"/>
        <v>103</v>
      </c>
      <c r="C178" s="484"/>
      <c r="D178" s="484"/>
      <c r="E178" s="484"/>
      <c r="F178" s="200" t="str">
        <f t="shared" si="59"/>
        <v>….</v>
      </c>
      <c r="G178" s="200"/>
      <c r="I178" s="530" t="str">
        <f t="shared" si="60"/>
        <v xml:space="preserve"> = … ROOM OVERVIEW PICS ... DAY 1 …</v>
      </c>
      <c r="J178" s="619" t="str">
        <f>$L$151</f>
        <v>LOS</v>
      </c>
      <c r="BW178" s="632"/>
      <c r="BX178" s="32"/>
      <c r="BY178" s="607"/>
      <c r="BZ178" s="602"/>
      <c r="CG178" s="200"/>
      <c r="CY178" s="734"/>
    </row>
    <row r="179" spans="2:103" ht="27" customHeight="1">
      <c r="B179" s="484">
        <f t="shared" si="58"/>
        <v>104</v>
      </c>
      <c r="C179" s="484"/>
      <c r="D179" s="484"/>
      <c r="E179" s="484"/>
      <c r="F179" s="200" t="str">
        <f t="shared" si="59"/>
        <v>….</v>
      </c>
      <c r="G179" s="200"/>
      <c r="I179" s="530" t="str">
        <f t="shared" si="60"/>
        <v xml:space="preserve"> = … ROOM OVERVIEW PICS ... DAY 1 …</v>
      </c>
      <c r="J179" s="619" t="str">
        <f>$L$152</f>
        <v>…..........</v>
      </c>
      <c r="BW179" s="632"/>
      <c r="BX179" s="32"/>
      <c r="BY179" s="607"/>
      <c r="BZ179" s="602"/>
      <c r="CG179" s="200"/>
      <c r="CY179" s="734"/>
    </row>
    <row r="180" spans="2:103" ht="27" customHeight="1">
      <c r="B180" s="484">
        <f t="shared" si="58"/>
        <v>105</v>
      </c>
      <c r="C180" s="484"/>
      <c r="D180" s="484"/>
      <c r="E180" s="484"/>
      <c r="F180" s="200" t="str">
        <f t="shared" si="59"/>
        <v>….</v>
      </c>
      <c r="G180" s="200"/>
      <c r="I180" s="530" t="str">
        <f t="shared" si="60"/>
        <v xml:space="preserve"> = … ROOM OVERVIEW PICS ... DAY 1 …</v>
      </c>
      <c r="J180" s="619" t="str">
        <f>$L$153</f>
        <v>…..........</v>
      </c>
      <c r="BW180" s="632"/>
      <c r="BX180" s="32"/>
      <c r="BY180" s="607"/>
      <c r="BZ180" s="602"/>
      <c r="CG180" s="200"/>
      <c r="CY180" s="734"/>
    </row>
    <row r="181" spans="2:103" ht="27" customHeight="1">
      <c r="B181" s="484">
        <f t="shared" si="58"/>
        <v>106</v>
      </c>
      <c r="C181" s="484"/>
      <c r="D181" s="484"/>
      <c r="E181" s="484"/>
      <c r="F181" s="200" t="str">
        <f t="shared" si="59"/>
        <v>….</v>
      </c>
      <c r="G181" s="200"/>
      <c r="I181" s="530" t="str">
        <f t="shared" si="60"/>
        <v xml:space="preserve"> = … ROOM OVERVIEW PICS ... DAY 1 …</v>
      </c>
      <c r="J181" s="619" t="str">
        <f>$L$154</f>
        <v>…..........</v>
      </c>
      <c r="BW181" s="632"/>
      <c r="BX181" s="32"/>
      <c r="BY181" s="607"/>
      <c r="BZ181" s="602"/>
      <c r="CG181" s="200"/>
      <c r="CY181" s="734"/>
    </row>
    <row r="182" spans="2:103" ht="27" customHeight="1">
      <c r="B182" s="484">
        <f t="shared" si="58"/>
        <v>107</v>
      </c>
      <c r="C182" s="484"/>
      <c r="D182" s="484"/>
      <c r="E182" s="484"/>
      <c r="F182" s="200" t="str">
        <f t="shared" si="59"/>
        <v>….</v>
      </c>
      <c r="G182" s="200"/>
      <c r="I182" s="530" t="str">
        <f t="shared" si="60"/>
        <v xml:space="preserve"> = … ROOM OVERVIEW PICS ... DAY 1 …</v>
      </c>
      <c r="J182" s="619" t="str">
        <f>$L$155</f>
        <v>…..........</v>
      </c>
      <c r="BW182" s="632"/>
      <c r="BX182" s="32"/>
      <c r="BY182" s="607"/>
      <c r="BZ182" s="602"/>
      <c r="CG182" s="200"/>
      <c r="CY182" s="734"/>
    </row>
    <row r="183" spans="2:103" ht="27" customHeight="1">
      <c r="B183" s="484">
        <f t="shared" si="58"/>
        <v>108</v>
      </c>
      <c r="C183" s="484"/>
      <c r="D183" s="484"/>
      <c r="E183" s="484"/>
      <c r="F183" s="200" t="str">
        <f t="shared" si="59"/>
        <v>….</v>
      </c>
      <c r="G183" s="200"/>
      <c r="I183" s="530" t="str">
        <f t="shared" si="60"/>
        <v xml:space="preserve"> = … ROOM OVERVIEW PICS ... DAY 1 …</v>
      </c>
      <c r="J183" s="619" t="str">
        <f>$L$156</f>
        <v>…..........</v>
      </c>
      <c r="BW183" s="632"/>
      <c r="BX183" s="32"/>
      <c r="BY183" s="607"/>
      <c r="BZ183" s="602"/>
      <c r="CG183" s="200"/>
      <c r="CY183" s="734"/>
    </row>
    <row r="184" spans="2:103" ht="27" customHeight="1">
      <c r="B184" s="484">
        <f t="shared" si="58"/>
        <v>109</v>
      </c>
      <c r="C184" s="484"/>
      <c r="D184" s="484"/>
      <c r="E184" s="484"/>
      <c r="F184" s="200" t="str">
        <f t="shared" si="59"/>
        <v>….</v>
      </c>
      <c r="G184" s="200"/>
      <c r="I184" s="530" t="str">
        <f t="shared" si="60"/>
        <v xml:space="preserve"> = … ROOM OVERVIEW PICS ... DAY 1 …</v>
      </c>
      <c r="J184" s="619" t="str">
        <f>$L$157</f>
        <v>…..........</v>
      </c>
      <c r="BW184" s="632"/>
      <c r="BX184" s="32"/>
      <c r="BY184" s="607"/>
      <c r="BZ184" s="602"/>
      <c r="CG184" s="200"/>
      <c r="CY184" s="734"/>
    </row>
    <row r="185" spans="2:103" ht="27" customHeight="1">
      <c r="B185" s="484">
        <f t="shared" si="58"/>
        <v>110</v>
      </c>
      <c r="C185" s="484"/>
      <c r="D185" s="484"/>
      <c r="E185" s="484"/>
      <c r="F185" s="200" t="str">
        <f t="shared" si="59"/>
        <v>….</v>
      </c>
      <c r="G185" s="200"/>
      <c r="I185" s="530" t="str">
        <f t="shared" si="60"/>
        <v xml:space="preserve"> = … ROOM OVERVIEW PICS ... DAY 1 …</v>
      </c>
      <c r="J185" s="619" t="str">
        <f>$L$158</f>
        <v>LOS</v>
      </c>
      <c r="BW185" s="632"/>
      <c r="BX185" s="32"/>
      <c r="BY185" s="607"/>
      <c r="BZ185" s="602"/>
      <c r="CG185" s="200"/>
      <c r="CY185" s="734"/>
    </row>
    <row r="186" spans="2:103" ht="27" customHeight="1">
      <c r="B186" s="484">
        <f t="shared" si="58"/>
        <v>111</v>
      </c>
      <c r="C186" s="484"/>
      <c r="D186" s="484"/>
      <c r="E186" s="484"/>
      <c r="F186" s="200" t="str">
        <f t="shared" si="59"/>
        <v>….</v>
      </c>
      <c r="G186" s="200"/>
      <c r="I186" s="530" t="str">
        <f t="shared" si="60"/>
        <v xml:space="preserve"> = … ROOM OVERVIEW PICS ... DAY 1 …</v>
      </c>
      <c r="J186" s="619" t="str">
        <f>$L$159</f>
        <v>…..........</v>
      </c>
      <c r="BW186" s="632"/>
      <c r="BX186" s="32"/>
      <c r="BY186" s="607"/>
      <c r="BZ186" s="602"/>
      <c r="CG186" s="200"/>
      <c r="CY186" s="734"/>
    </row>
    <row r="187" spans="2:103" ht="27" customHeight="1">
      <c r="B187" s="484">
        <f t="shared" si="58"/>
        <v>112</v>
      </c>
      <c r="C187" s="484"/>
      <c r="D187" s="484"/>
      <c r="E187" s="484"/>
      <c r="F187" s="200" t="str">
        <f t="shared" si="59"/>
        <v>….</v>
      </c>
      <c r="G187" s="200"/>
      <c r="I187" s="530" t="str">
        <f t="shared" si="60"/>
        <v xml:space="preserve"> = … ROOM OVERVIEW PICS ... DAY 1 …</v>
      </c>
      <c r="J187" s="619" t="str">
        <f>$L$160</f>
        <v>LOS</v>
      </c>
      <c r="BW187" s="632"/>
      <c r="BX187" s="32"/>
      <c r="BY187" s="607"/>
      <c r="BZ187" s="602"/>
      <c r="CG187" s="200"/>
      <c r="CY187" s="734"/>
    </row>
    <row r="188" spans="2:103" ht="27" customHeight="1">
      <c r="B188" s="484">
        <f t="shared" si="58"/>
        <v>113</v>
      </c>
      <c r="C188" s="484"/>
      <c r="D188" s="484"/>
      <c r="E188" s="484"/>
      <c r="F188" s="200" t="str">
        <f t="shared" si="59"/>
        <v>….</v>
      </c>
      <c r="G188" s="200"/>
      <c r="I188" s="530" t="str">
        <f t="shared" si="60"/>
        <v xml:space="preserve"> = … ROOM OVERVIEW PICS ... DAY 1 …</v>
      </c>
      <c r="J188" s="619" t="str">
        <f>$L$161</f>
        <v>LOS</v>
      </c>
      <c r="BW188" s="632"/>
      <c r="BX188" s="32"/>
      <c r="BY188" s="607"/>
      <c r="BZ188" s="602"/>
      <c r="CG188" s="200"/>
      <c r="CY188" s="734"/>
    </row>
    <row r="189" spans="2:103" ht="27" customHeight="1">
      <c r="B189" s="484">
        <f t="shared" si="58"/>
        <v>114</v>
      </c>
      <c r="C189" s="484"/>
      <c r="D189" s="484"/>
      <c r="E189" s="484"/>
      <c r="F189" s="200" t="str">
        <f t="shared" si="59"/>
        <v>….</v>
      </c>
      <c r="G189" s="200"/>
      <c r="I189" s="530" t="str">
        <f t="shared" si="60"/>
        <v xml:space="preserve"> = … ROOM OVERVIEW PICS ... DAY 1 …</v>
      </c>
      <c r="J189" s="619" t="str">
        <f>$L$162</f>
        <v>LOS</v>
      </c>
      <c r="BW189" s="632"/>
      <c r="BX189" s="32"/>
      <c r="BY189" s="607"/>
      <c r="BZ189" s="602"/>
      <c r="CG189" s="200"/>
      <c r="CY189" s="734"/>
    </row>
    <row r="190" spans="2:103" ht="27" customHeight="1">
      <c r="B190" s="484">
        <f t="shared" si="58"/>
        <v>115</v>
      </c>
      <c r="C190" s="484"/>
      <c r="D190" s="484"/>
      <c r="E190" s="484"/>
      <c r="F190" s="200" t="str">
        <f t="shared" si="59"/>
        <v>….</v>
      </c>
      <c r="G190" s="200"/>
      <c r="I190" s="530" t="str">
        <f t="shared" si="60"/>
        <v xml:space="preserve"> = … ROOM OVERVIEW PICS ... DAY 1 …</v>
      </c>
      <c r="J190" s="619" t="str">
        <f>$L$163</f>
        <v>LOS</v>
      </c>
      <c r="BW190" s="632"/>
      <c r="BX190" s="32"/>
      <c r="BY190" s="607"/>
      <c r="BZ190" s="602"/>
      <c r="CG190" s="200"/>
      <c r="CY190" s="734"/>
    </row>
    <row r="191" spans="2:103" ht="27" customHeight="1">
      <c r="B191" s="484">
        <f t="shared" si="58"/>
        <v>116</v>
      </c>
      <c r="C191" s="484"/>
      <c r="D191" s="484"/>
      <c r="E191" s="484"/>
      <c r="F191" s="200" t="str">
        <f t="shared" si="59"/>
        <v>….</v>
      </c>
      <c r="G191" s="200"/>
      <c r="I191" s="530" t="str">
        <f t="shared" si="60"/>
        <v xml:space="preserve"> = … ROOM OVERVIEW PICS ... DAY 1 …</v>
      </c>
      <c r="J191" s="619" t="str">
        <f>$L$164</f>
        <v>LOS</v>
      </c>
      <c r="BW191" s="632"/>
      <c r="BX191" s="32"/>
      <c r="BY191" s="607"/>
      <c r="BZ191" s="602"/>
      <c r="CG191" s="200"/>
      <c r="CY191" s="734"/>
    </row>
    <row r="192" spans="2:103" ht="27" customHeight="1">
      <c r="B192" s="484">
        <f t="shared" si="58"/>
        <v>117</v>
      </c>
      <c r="C192" s="484"/>
      <c r="D192" s="484"/>
      <c r="E192" s="484"/>
      <c r="F192" s="200" t="str">
        <f t="shared" si="59"/>
        <v>….</v>
      </c>
      <c r="G192" s="200"/>
      <c r="I192" s="530" t="str">
        <f t="shared" si="60"/>
        <v xml:space="preserve"> = … ROOM OVERVIEW PICS ... DAY 1 …</v>
      </c>
      <c r="J192" s="619" t="str">
        <f>$L$165</f>
        <v>LOS</v>
      </c>
      <c r="BW192" s="632"/>
      <c r="BX192" s="32"/>
      <c r="BY192" s="607"/>
      <c r="BZ192" s="602"/>
      <c r="CG192" s="200"/>
      <c r="CY192" s="734"/>
    </row>
    <row r="193" spans="2:103" ht="27" customHeight="1">
      <c r="B193" s="484">
        <f t="shared" si="58"/>
        <v>118</v>
      </c>
      <c r="C193" s="484"/>
      <c r="D193" s="484"/>
      <c r="E193" s="484"/>
      <c r="F193" s="200" t="str">
        <f t="shared" si="59"/>
        <v>….</v>
      </c>
      <c r="G193" s="200"/>
      <c r="I193" s="530" t="str">
        <f t="shared" si="60"/>
        <v xml:space="preserve"> = … ROOM OVERVIEW PICS ... DAY 1 …</v>
      </c>
      <c r="J193" s="619" t="str">
        <f>$L$166</f>
        <v>LOS</v>
      </c>
      <c r="BW193" s="632"/>
      <c r="BX193" s="32"/>
      <c r="BY193" s="607"/>
      <c r="BZ193" s="602"/>
      <c r="CG193" s="200"/>
      <c r="CY193" s="734"/>
    </row>
    <row r="194" spans="2:103" ht="27" customHeight="1">
      <c r="B194" s="484">
        <f t="shared" si="58"/>
        <v>119</v>
      </c>
      <c r="C194" s="484"/>
      <c r="D194" s="484"/>
      <c r="E194" s="484"/>
      <c r="F194" s="200" t="str">
        <f t="shared" si="59"/>
        <v>….</v>
      </c>
      <c r="G194" s="200"/>
      <c r="I194" s="530" t="str">
        <f t="shared" si="60"/>
        <v xml:space="preserve"> = … ROOM OVERVIEW PICS ... DAY 1 …</v>
      </c>
      <c r="J194" s="619" t="str">
        <f>$L$167</f>
        <v>LOS</v>
      </c>
      <c r="BW194" s="632"/>
      <c r="BX194" s="32"/>
      <c r="BY194" s="607"/>
      <c r="BZ194" s="602"/>
      <c r="CG194" s="200"/>
      <c r="CY194" s="734"/>
    </row>
    <row r="195" spans="2:103" ht="27" customHeight="1">
      <c r="B195" s="484">
        <f t="shared" si="58"/>
        <v>120</v>
      </c>
      <c r="C195" s="484"/>
      <c r="D195" s="484"/>
      <c r="E195" s="484"/>
      <c r="F195" s="200" t="str">
        <f t="shared" si="59"/>
        <v>….</v>
      </c>
      <c r="G195" s="200"/>
      <c r="I195" s="530" t="str">
        <f t="shared" si="60"/>
        <v xml:space="preserve"> = … ROOM OVERVIEW PICS ... DAY 1 …</v>
      </c>
      <c r="J195" s="619" t="str">
        <f>$L$168</f>
        <v>…..........</v>
      </c>
      <c r="BW195" s="632"/>
      <c r="BX195" s="32"/>
      <c r="BY195" s="607"/>
      <c r="BZ195" s="602"/>
      <c r="CG195" s="200"/>
      <c r="CY195" s="734"/>
    </row>
    <row r="196" spans="2:103" ht="27" customHeight="1">
      <c r="B196" s="484">
        <f t="shared" si="58"/>
        <v>121</v>
      </c>
      <c r="C196" s="484"/>
      <c r="D196" s="484"/>
      <c r="E196" s="484"/>
      <c r="F196" s="200" t="str">
        <f t="shared" si="59"/>
        <v>….</v>
      </c>
      <c r="G196" s="200"/>
      <c r="I196" s="530" t="str">
        <f t="shared" si="60"/>
        <v xml:space="preserve"> = … ROOM OVERVIEW PICS ... DAY 1 …</v>
      </c>
      <c r="J196" s="619" t="str">
        <f>$L$169</f>
        <v>…..........</v>
      </c>
      <c r="BW196" s="632"/>
      <c r="BX196" s="32"/>
      <c r="BY196" s="607"/>
      <c r="BZ196" s="602"/>
      <c r="CG196" s="200"/>
      <c r="CY196" s="734"/>
    </row>
    <row r="197" spans="2:103" ht="27" customHeight="1">
      <c r="B197" s="484">
        <f t="shared" si="58"/>
        <v>122</v>
      </c>
      <c r="C197" s="484"/>
      <c r="D197" s="484"/>
      <c r="E197" s="484"/>
      <c r="F197" s="200" t="str">
        <f t="shared" si="59"/>
        <v>….</v>
      </c>
      <c r="G197" s="200"/>
      <c r="I197" s="530" t="str">
        <f t="shared" si="60"/>
        <v xml:space="preserve"> = … ROOM OVERVIEW PICS ... DAY 1 …</v>
      </c>
      <c r="J197" s="619" t="str">
        <f>$L$170</f>
        <v>…..........</v>
      </c>
      <c r="BW197" s="632"/>
      <c r="BX197" s="32"/>
      <c r="BY197" s="607"/>
      <c r="BZ197" s="602"/>
      <c r="CG197" s="200"/>
      <c r="CY197" s="734"/>
    </row>
    <row r="198" spans="2:103" ht="27" customHeight="1">
      <c r="B198" s="484">
        <f t="shared" si="58"/>
        <v>123</v>
      </c>
      <c r="C198" s="484"/>
      <c r="D198" s="484"/>
      <c r="E198" s="484"/>
      <c r="F198" s="200" t="str">
        <f t="shared" si="59"/>
        <v>….</v>
      </c>
      <c r="G198" s="200"/>
      <c r="I198" s="530" t="str">
        <f t="shared" si="60"/>
        <v xml:space="preserve"> = … ROOM OVERVIEW PICS ... DAY 1 …</v>
      </c>
      <c r="J198" s="619" t="str">
        <f>$L$171</f>
        <v>…..........</v>
      </c>
      <c r="BW198" s="632"/>
      <c r="BX198" s="32"/>
      <c r="BY198" s="607"/>
      <c r="BZ198" s="602"/>
      <c r="CG198" s="200"/>
      <c r="CY198" s="734"/>
    </row>
    <row r="199" spans="2:103" ht="27" customHeight="1">
      <c r="B199" s="484">
        <f t="shared" si="58"/>
        <v>124</v>
      </c>
      <c r="C199" s="484"/>
      <c r="D199" s="484"/>
      <c r="E199" s="484"/>
      <c r="F199" s="200" t="str">
        <f t="shared" si="59"/>
        <v>….</v>
      </c>
      <c r="G199" s="200"/>
      <c r="I199" s="530" t="str">
        <f t="shared" si="60"/>
        <v xml:space="preserve"> = … ROOM OVERVIEW PICS ... DAY 1 …</v>
      </c>
      <c r="J199" s="619" t="str">
        <f>$L$172</f>
        <v>…..........</v>
      </c>
      <c r="BW199" s="632"/>
      <c r="BX199" s="32"/>
      <c r="BY199" s="607"/>
      <c r="BZ199" s="602"/>
      <c r="CG199" s="200"/>
      <c r="CY199" s="734"/>
    </row>
    <row r="200" spans="2:103" ht="27" customHeight="1">
      <c r="B200" s="484">
        <f t="shared" si="58"/>
        <v>125</v>
      </c>
      <c r="C200" s="484"/>
      <c r="D200" s="484"/>
      <c r="E200" s="484"/>
      <c r="F200" s="200" t="str">
        <f t="shared" si="59"/>
        <v>….</v>
      </c>
      <c r="G200" s="200"/>
      <c r="I200" s="530" t="str">
        <f t="shared" si="60"/>
        <v xml:space="preserve"> = … ROOM OVERVIEW PICS ... DAY 1 …</v>
      </c>
      <c r="J200" s="619" t="str">
        <f>$L$172</f>
        <v>…..........</v>
      </c>
      <c r="BW200" s="632"/>
      <c r="BX200" s="32"/>
      <c r="BY200" s="607"/>
      <c r="BZ200" s="602"/>
      <c r="CG200" s="200"/>
      <c r="CY200" s="734"/>
    </row>
    <row r="201" spans="2:103" ht="27" customHeight="1">
      <c r="B201" s="897" t="s">
        <v>511</v>
      </c>
      <c r="C201" s="897"/>
      <c r="D201" s="897"/>
      <c r="E201" s="897"/>
      <c r="F201" s="897"/>
      <c r="G201" s="897"/>
      <c r="H201" s="897"/>
      <c r="I201" s="883" t="s">
        <v>508</v>
      </c>
      <c r="J201" s="883"/>
      <c r="K201" s="883"/>
      <c r="BW201" s="632"/>
      <c r="BX201" s="32"/>
      <c r="BY201" s="607"/>
      <c r="BZ201" s="602"/>
      <c r="CG201" s="200"/>
      <c r="CY201" s="734"/>
    </row>
    <row r="202" spans="2:103" ht="27" customHeight="1">
      <c r="B202" s="636" t="s">
        <v>609</v>
      </c>
      <c r="C202" s="636"/>
      <c r="D202" s="636"/>
      <c r="E202" s="636"/>
      <c r="F202" s="570"/>
      <c r="G202" s="570"/>
      <c r="H202" s="560"/>
      <c r="I202" s="883"/>
      <c r="J202" s="883"/>
      <c r="K202" s="883"/>
      <c r="BW202" s="632"/>
      <c r="BX202" s="32"/>
      <c r="BY202" s="607"/>
      <c r="BZ202" s="602"/>
      <c r="CG202" s="200"/>
      <c r="CY202" s="734"/>
    </row>
    <row r="203" spans="2:103" ht="27" customHeight="1">
      <c r="B203" s="530">
        <f>H115</f>
        <v>100</v>
      </c>
      <c r="C203" s="530"/>
      <c r="D203" s="530"/>
      <c r="E203" s="530"/>
      <c r="F203" s="200" t="str">
        <f t="shared" ref="F203:F228" si="61">F175</f>
        <v>….</v>
      </c>
      <c r="G203" s="200"/>
      <c r="J203" s="564" t="s">
        <v>540</v>
      </c>
      <c r="N203" s="564" t="s">
        <v>539</v>
      </c>
      <c r="BW203" s="632"/>
      <c r="BX203" s="32"/>
      <c r="BY203" s="607"/>
      <c r="BZ203" s="602"/>
      <c r="CG203" s="200"/>
      <c r="CY203" s="734"/>
    </row>
    <row r="204" spans="2:103" ht="27" customHeight="1">
      <c r="B204" s="530" t="e">
        <f>#REF!</f>
        <v>#REF!</v>
      </c>
      <c r="C204" s="530"/>
      <c r="D204" s="530"/>
      <c r="E204" s="530"/>
      <c r="F204" s="200" t="str">
        <f t="shared" si="61"/>
        <v>….</v>
      </c>
      <c r="G204" s="200"/>
      <c r="J204" s="637" t="str">
        <f t="shared" ref="J204:J228" si="62">$B$202</f>
        <v>….. SOURCE of  LOSS …..</v>
      </c>
      <c r="N204" s="619" t="str">
        <f>$L$149</f>
        <v>LOS</v>
      </c>
      <c r="BW204" s="632"/>
      <c r="BX204" s="32"/>
      <c r="BY204" s="607"/>
      <c r="BZ204" s="602"/>
      <c r="CG204" s="200"/>
      <c r="CY204" s="734"/>
    </row>
    <row r="205" spans="2:103" ht="27" customHeight="1">
      <c r="B205" s="575">
        <f t="shared" ref="B205:B213" si="63">H117</f>
        <v>102</v>
      </c>
      <c r="C205" s="575"/>
      <c r="D205" s="575"/>
      <c r="E205" s="575"/>
      <c r="F205" s="200" t="str">
        <f t="shared" si="61"/>
        <v>….</v>
      </c>
      <c r="G205" s="200"/>
      <c r="J205" s="530" t="str">
        <f t="shared" si="62"/>
        <v>….. SOURCE of  LOSS …..</v>
      </c>
      <c r="N205" s="619" t="str">
        <f>$L$150</f>
        <v>LOS</v>
      </c>
      <c r="BW205" s="632"/>
      <c r="BX205" s="32"/>
      <c r="BY205" s="607"/>
      <c r="BZ205" s="602"/>
      <c r="CG205" s="200"/>
      <c r="CY205" s="734"/>
    </row>
    <row r="206" spans="2:103" ht="27" customHeight="1">
      <c r="B206" s="575">
        <f t="shared" si="63"/>
        <v>103</v>
      </c>
      <c r="C206" s="575"/>
      <c r="D206" s="575"/>
      <c r="E206" s="575"/>
      <c r="F206" s="200" t="str">
        <f t="shared" si="61"/>
        <v>….</v>
      </c>
      <c r="G206" s="200"/>
      <c r="J206" s="530" t="str">
        <f t="shared" si="62"/>
        <v>….. SOURCE of  LOSS …..</v>
      </c>
      <c r="N206" s="619" t="str">
        <f>$L$151</f>
        <v>LOS</v>
      </c>
      <c r="BW206" s="632"/>
      <c r="BX206" s="32"/>
      <c r="BY206" s="607"/>
      <c r="BZ206" s="602"/>
      <c r="CG206" s="200"/>
      <c r="CY206" s="734"/>
    </row>
    <row r="207" spans="2:103" ht="27" customHeight="1">
      <c r="B207" s="575">
        <f t="shared" si="63"/>
        <v>104</v>
      </c>
      <c r="C207" s="575"/>
      <c r="D207" s="575"/>
      <c r="E207" s="575"/>
      <c r="F207" s="200" t="str">
        <f t="shared" si="61"/>
        <v>….</v>
      </c>
      <c r="G207" s="200"/>
      <c r="J207" s="530" t="str">
        <f t="shared" si="62"/>
        <v>….. SOURCE of  LOSS …..</v>
      </c>
      <c r="N207" s="619" t="str">
        <f>$L$152</f>
        <v>…..........</v>
      </c>
      <c r="BW207" s="632"/>
      <c r="BX207" s="32"/>
      <c r="BY207" s="607"/>
      <c r="BZ207" s="602"/>
      <c r="CG207" s="200"/>
      <c r="CY207" s="734"/>
    </row>
    <row r="208" spans="2:103" ht="27" customHeight="1">
      <c r="B208" s="575">
        <f t="shared" si="63"/>
        <v>105</v>
      </c>
      <c r="C208" s="575"/>
      <c r="D208" s="575"/>
      <c r="E208" s="575"/>
      <c r="F208" s="200" t="str">
        <f t="shared" si="61"/>
        <v>….</v>
      </c>
      <c r="G208" s="200"/>
      <c r="J208" s="530" t="str">
        <f t="shared" si="62"/>
        <v>….. SOURCE of  LOSS …..</v>
      </c>
      <c r="N208" s="619" t="str">
        <f>$L$153</f>
        <v>…..........</v>
      </c>
      <c r="BW208" s="632"/>
      <c r="BX208" s="32"/>
      <c r="BY208" s="607"/>
      <c r="BZ208" s="602"/>
      <c r="CG208" s="200"/>
      <c r="CY208" s="734"/>
    </row>
    <row r="209" spans="2:103" ht="27" customHeight="1">
      <c r="B209" s="575">
        <f t="shared" si="63"/>
        <v>106</v>
      </c>
      <c r="C209" s="575"/>
      <c r="D209" s="575"/>
      <c r="E209" s="575"/>
      <c r="F209" s="200" t="str">
        <f t="shared" si="61"/>
        <v>….</v>
      </c>
      <c r="G209" s="200"/>
      <c r="J209" s="530" t="str">
        <f t="shared" si="62"/>
        <v>….. SOURCE of  LOSS …..</v>
      </c>
      <c r="N209" s="619" t="str">
        <f>$L$154</f>
        <v>…..........</v>
      </c>
      <c r="BW209" s="632"/>
      <c r="BX209" s="32"/>
      <c r="BY209" s="607"/>
      <c r="BZ209" s="602"/>
      <c r="CG209" s="200"/>
      <c r="CY209" s="734"/>
    </row>
    <row r="210" spans="2:103" ht="27" customHeight="1">
      <c r="B210" s="575">
        <f t="shared" si="63"/>
        <v>107</v>
      </c>
      <c r="C210" s="575"/>
      <c r="D210" s="575"/>
      <c r="E210" s="575"/>
      <c r="F210" s="200" t="str">
        <f t="shared" si="61"/>
        <v>….</v>
      </c>
      <c r="G210" s="200"/>
      <c r="J210" s="530" t="str">
        <f t="shared" si="62"/>
        <v>….. SOURCE of  LOSS …..</v>
      </c>
      <c r="N210" s="619" t="str">
        <f>$L$155</f>
        <v>…..........</v>
      </c>
      <c r="BW210" s="632"/>
      <c r="BX210" s="32"/>
      <c r="BY210" s="607"/>
      <c r="BZ210" s="602"/>
      <c r="CG210" s="200"/>
      <c r="CY210" s="734"/>
    </row>
    <row r="211" spans="2:103" ht="27" customHeight="1">
      <c r="B211" s="575">
        <f t="shared" si="63"/>
        <v>108</v>
      </c>
      <c r="C211" s="575"/>
      <c r="D211" s="575"/>
      <c r="E211" s="575"/>
      <c r="F211" s="200" t="str">
        <f t="shared" si="61"/>
        <v>….</v>
      </c>
      <c r="G211" s="200"/>
      <c r="J211" s="530" t="str">
        <f t="shared" si="62"/>
        <v>….. SOURCE of  LOSS …..</v>
      </c>
      <c r="N211" s="619" t="str">
        <f>$L$156</f>
        <v>…..........</v>
      </c>
      <c r="BW211" s="632"/>
      <c r="BX211" s="32"/>
      <c r="BY211" s="607"/>
      <c r="BZ211" s="602"/>
      <c r="CG211" s="200"/>
      <c r="CY211" s="734"/>
    </row>
    <row r="212" spans="2:103" ht="27" customHeight="1">
      <c r="B212" s="575">
        <f t="shared" si="63"/>
        <v>109</v>
      </c>
      <c r="C212" s="575"/>
      <c r="D212" s="575"/>
      <c r="E212" s="575"/>
      <c r="F212" s="200" t="str">
        <f t="shared" si="61"/>
        <v>….</v>
      </c>
      <c r="G212" s="200"/>
      <c r="J212" s="530" t="str">
        <f t="shared" si="62"/>
        <v>….. SOURCE of  LOSS …..</v>
      </c>
      <c r="N212" s="619" t="str">
        <f>$L$157</f>
        <v>…..........</v>
      </c>
      <c r="BW212" s="632"/>
      <c r="BX212" s="32"/>
      <c r="BY212" s="607"/>
      <c r="BZ212" s="602"/>
      <c r="CG212" s="200"/>
      <c r="CY212" s="734"/>
    </row>
    <row r="213" spans="2:103" ht="27" customHeight="1">
      <c r="B213" s="575">
        <f t="shared" si="63"/>
        <v>110</v>
      </c>
      <c r="C213" s="575"/>
      <c r="D213" s="575"/>
      <c r="E213" s="575"/>
      <c r="F213" s="200" t="str">
        <f t="shared" si="61"/>
        <v>….</v>
      </c>
      <c r="G213" s="200"/>
      <c r="J213" s="530" t="str">
        <f t="shared" si="62"/>
        <v>….. SOURCE of  LOSS …..</v>
      </c>
      <c r="N213" s="619" t="str">
        <f>$L$158</f>
        <v>LOS</v>
      </c>
      <c r="BW213" s="632"/>
      <c r="BX213" s="32"/>
      <c r="BY213" s="607"/>
      <c r="BZ213" s="602"/>
      <c r="CG213" s="200"/>
      <c r="CY213" s="734"/>
    </row>
    <row r="214" spans="2:103" ht="27" customHeight="1">
      <c r="B214" s="575">
        <f>H130</f>
        <v>111</v>
      </c>
      <c r="C214" s="575"/>
      <c r="D214" s="575"/>
      <c r="E214" s="575"/>
      <c r="F214" s="200" t="str">
        <f t="shared" si="61"/>
        <v>….</v>
      </c>
      <c r="G214" s="200"/>
      <c r="J214" s="530" t="str">
        <f t="shared" si="62"/>
        <v>….. SOURCE of  LOSS …..</v>
      </c>
      <c r="N214" s="619" t="str">
        <f>$L$159</f>
        <v>…..........</v>
      </c>
      <c r="BW214" s="632"/>
      <c r="BX214" s="32"/>
      <c r="BY214" s="607"/>
      <c r="BZ214" s="602"/>
      <c r="CG214" s="200"/>
      <c r="CY214" s="734"/>
    </row>
    <row r="215" spans="2:103" ht="27" customHeight="1">
      <c r="B215" s="575">
        <f>H131</f>
        <v>112</v>
      </c>
      <c r="C215" s="575"/>
      <c r="D215" s="575"/>
      <c r="E215" s="575"/>
      <c r="F215" s="200" t="str">
        <f t="shared" si="61"/>
        <v>….</v>
      </c>
      <c r="G215" s="200"/>
      <c r="J215" s="530" t="str">
        <f t="shared" si="62"/>
        <v>….. SOURCE of  LOSS …..</v>
      </c>
      <c r="N215" s="619" t="str">
        <f>$L$160</f>
        <v>LOS</v>
      </c>
      <c r="BW215" s="632"/>
      <c r="BX215" s="32"/>
      <c r="BY215" s="607"/>
      <c r="BZ215" s="602"/>
      <c r="CG215" s="200"/>
      <c r="CY215" s="734"/>
    </row>
    <row r="216" spans="2:103" ht="27" customHeight="1">
      <c r="B216" s="575">
        <f>H132</f>
        <v>113</v>
      </c>
      <c r="C216" s="575"/>
      <c r="D216" s="575"/>
      <c r="E216" s="575"/>
      <c r="F216" s="200" t="str">
        <f t="shared" si="61"/>
        <v>….</v>
      </c>
      <c r="G216" s="200"/>
      <c r="J216" s="530" t="str">
        <f t="shared" si="62"/>
        <v>….. SOURCE of  LOSS …..</v>
      </c>
      <c r="N216" s="619" t="str">
        <f>$L$161</f>
        <v>LOS</v>
      </c>
      <c r="BW216" s="632"/>
      <c r="BX216" s="32"/>
      <c r="BY216" s="607"/>
      <c r="BZ216" s="602"/>
      <c r="CG216" s="200"/>
      <c r="CY216" s="734"/>
    </row>
    <row r="217" spans="2:103" ht="27" customHeight="1">
      <c r="B217" s="575">
        <f>H133</f>
        <v>114</v>
      </c>
      <c r="C217" s="575"/>
      <c r="D217" s="575"/>
      <c r="E217" s="575"/>
      <c r="F217" s="200" t="str">
        <f t="shared" si="61"/>
        <v>….</v>
      </c>
      <c r="G217" s="200"/>
      <c r="J217" s="530" t="str">
        <f t="shared" si="62"/>
        <v>….. SOURCE of  LOSS …..</v>
      </c>
      <c r="N217" s="619" t="str">
        <f>$L$162</f>
        <v>LOS</v>
      </c>
      <c r="BW217" s="632"/>
      <c r="BX217" s="32"/>
      <c r="BY217" s="607"/>
      <c r="BZ217" s="602"/>
      <c r="CG217" s="200"/>
      <c r="CY217" s="734"/>
    </row>
    <row r="218" spans="2:103" ht="27" customHeight="1">
      <c r="B218" s="575">
        <f>H134</f>
        <v>115</v>
      </c>
      <c r="C218" s="575"/>
      <c r="D218" s="575"/>
      <c r="E218" s="575"/>
      <c r="F218" s="200" t="str">
        <f t="shared" si="61"/>
        <v>….</v>
      </c>
      <c r="G218" s="200"/>
      <c r="J218" s="530" t="str">
        <f t="shared" si="62"/>
        <v>….. SOURCE of  LOSS …..</v>
      </c>
      <c r="N218" s="619" t="str">
        <f>$L$163</f>
        <v>LOS</v>
      </c>
      <c r="BW218" s="632"/>
      <c r="BX218" s="32"/>
      <c r="BY218" s="607"/>
      <c r="BZ218" s="602"/>
      <c r="CG218" s="200"/>
      <c r="CY218" s="734"/>
    </row>
    <row r="219" spans="2:103" ht="27" customHeight="1">
      <c r="B219" s="575">
        <f t="shared" ref="B219:B228" si="64">H135</f>
        <v>116</v>
      </c>
      <c r="C219" s="575"/>
      <c r="D219" s="575"/>
      <c r="E219" s="575"/>
      <c r="F219" s="200" t="str">
        <f t="shared" si="61"/>
        <v>….</v>
      </c>
      <c r="G219" s="200"/>
      <c r="J219" s="530" t="str">
        <f t="shared" si="62"/>
        <v>….. SOURCE of  LOSS …..</v>
      </c>
      <c r="N219" s="619" t="str">
        <f>$L$164</f>
        <v>LOS</v>
      </c>
      <c r="BW219" s="632"/>
      <c r="BX219" s="32"/>
      <c r="BY219" s="607"/>
      <c r="BZ219" s="602"/>
      <c r="CG219" s="200"/>
      <c r="CY219" s="734"/>
    </row>
    <row r="220" spans="2:103" ht="27" customHeight="1">
      <c r="B220" s="575">
        <f t="shared" si="64"/>
        <v>117</v>
      </c>
      <c r="C220" s="575"/>
      <c r="D220" s="575"/>
      <c r="E220" s="575"/>
      <c r="F220" s="200" t="str">
        <f t="shared" si="61"/>
        <v>….</v>
      </c>
      <c r="G220" s="200"/>
      <c r="J220" s="530" t="str">
        <f t="shared" si="62"/>
        <v>….. SOURCE of  LOSS …..</v>
      </c>
      <c r="N220" s="619" t="str">
        <f>$L$165</f>
        <v>LOS</v>
      </c>
      <c r="BW220" s="632"/>
      <c r="BX220" s="32"/>
      <c r="BY220" s="607"/>
      <c r="BZ220" s="602"/>
      <c r="CG220" s="200"/>
      <c r="CY220" s="734"/>
    </row>
    <row r="221" spans="2:103" ht="27" customHeight="1">
      <c r="B221" s="575">
        <f t="shared" si="64"/>
        <v>118</v>
      </c>
      <c r="C221" s="575"/>
      <c r="D221" s="575"/>
      <c r="E221" s="575"/>
      <c r="F221" s="200" t="str">
        <f t="shared" si="61"/>
        <v>….</v>
      </c>
      <c r="G221" s="200"/>
      <c r="J221" s="530" t="str">
        <f t="shared" si="62"/>
        <v>….. SOURCE of  LOSS …..</v>
      </c>
      <c r="N221" s="619" t="str">
        <f>$L$166</f>
        <v>LOS</v>
      </c>
      <c r="BW221" s="632"/>
      <c r="BX221" s="32"/>
      <c r="BY221" s="607"/>
      <c r="BZ221" s="602"/>
      <c r="CG221" s="200"/>
      <c r="CY221" s="734"/>
    </row>
    <row r="222" spans="2:103" ht="27" customHeight="1">
      <c r="B222" s="575">
        <f t="shared" si="64"/>
        <v>119</v>
      </c>
      <c r="C222" s="575"/>
      <c r="D222" s="575"/>
      <c r="E222" s="575"/>
      <c r="F222" s="200" t="str">
        <f t="shared" si="61"/>
        <v>….</v>
      </c>
      <c r="G222" s="200"/>
      <c r="J222" s="530" t="str">
        <f t="shared" si="62"/>
        <v>….. SOURCE of  LOSS …..</v>
      </c>
      <c r="N222" s="619" t="str">
        <f>$L$167</f>
        <v>LOS</v>
      </c>
      <c r="BW222" s="632"/>
      <c r="BX222" s="32"/>
      <c r="BY222" s="607"/>
      <c r="BZ222" s="602"/>
      <c r="CG222" s="200"/>
      <c r="CY222" s="734"/>
    </row>
    <row r="223" spans="2:103" ht="27" customHeight="1">
      <c r="B223" s="575">
        <f t="shared" si="64"/>
        <v>120</v>
      </c>
      <c r="C223" s="575"/>
      <c r="D223" s="575"/>
      <c r="E223" s="575"/>
      <c r="F223" s="200" t="str">
        <f t="shared" si="61"/>
        <v>….</v>
      </c>
      <c r="G223" s="200"/>
      <c r="J223" s="530" t="str">
        <f t="shared" si="62"/>
        <v>….. SOURCE of  LOSS …..</v>
      </c>
      <c r="N223" s="619" t="str">
        <f>$L$168</f>
        <v>…..........</v>
      </c>
      <c r="BW223" s="632"/>
      <c r="BX223" s="32"/>
      <c r="BY223" s="607"/>
      <c r="BZ223" s="602"/>
      <c r="CG223" s="200"/>
      <c r="CY223" s="734"/>
    </row>
    <row r="224" spans="2:103" ht="27" customHeight="1">
      <c r="B224" s="575">
        <f t="shared" si="64"/>
        <v>121</v>
      </c>
      <c r="C224" s="575"/>
      <c r="D224" s="575"/>
      <c r="E224" s="575"/>
      <c r="F224" s="200" t="str">
        <f t="shared" si="61"/>
        <v>….</v>
      </c>
      <c r="G224" s="200"/>
      <c r="J224" s="530" t="str">
        <f t="shared" si="62"/>
        <v>….. SOURCE of  LOSS …..</v>
      </c>
      <c r="N224" s="619" t="str">
        <f>$L$169</f>
        <v>…..........</v>
      </c>
      <c r="BW224" s="632"/>
      <c r="BX224" s="32"/>
      <c r="BY224" s="607"/>
      <c r="BZ224" s="602"/>
      <c r="CG224" s="200"/>
      <c r="CY224" s="734"/>
    </row>
    <row r="225" spans="2:103" ht="27" customHeight="1">
      <c r="B225" s="575">
        <f t="shared" si="64"/>
        <v>122</v>
      </c>
      <c r="C225" s="575"/>
      <c r="D225" s="575"/>
      <c r="E225" s="575"/>
      <c r="F225" s="200" t="str">
        <f t="shared" si="61"/>
        <v>….</v>
      </c>
      <c r="G225" s="200"/>
      <c r="J225" s="530" t="str">
        <f t="shared" si="62"/>
        <v>….. SOURCE of  LOSS …..</v>
      </c>
      <c r="N225" s="619" t="str">
        <f>$L$170</f>
        <v>…..........</v>
      </c>
      <c r="BW225" s="632"/>
      <c r="BX225" s="32"/>
      <c r="BY225" s="607"/>
      <c r="BZ225" s="602"/>
      <c r="CG225" s="200"/>
      <c r="CY225" s="734"/>
    </row>
    <row r="226" spans="2:103" ht="27" customHeight="1">
      <c r="B226" s="575">
        <f t="shared" si="64"/>
        <v>123</v>
      </c>
      <c r="C226" s="575"/>
      <c r="D226" s="575"/>
      <c r="E226" s="575"/>
      <c r="F226" s="200" t="str">
        <f t="shared" si="61"/>
        <v>….</v>
      </c>
      <c r="G226" s="200"/>
      <c r="J226" s="530" t="str">
        <f t="shared" si="62"/>
        <v>….. SOURCE of  LOSS …..</v>
      </c>
      <c r="N226" s="619" t="str">
        <f>$L$171</f>
        <v>…..........</v>
      </c>
      <c r="BW226" s="632"/>
      <c r="BX226" s="32"/>
      <c r="BY226" s="607"/>
      <c r="BZ226" s="602"/>
      <c r="CG226" s="200"/>
      <c r="CY226" s="734"/>
    </row>
    <row r="227" spans="2:103" ht="27" customHeight="1">
      <c r="B227" s="575">
        <f t="shared" si="64"/>
        <v>124</v>
      </c>
      <c r="C227" s="575"/>
      <c r="D227" s="575"/>
      <c r="E227" s="575"/>
      <c r="F227" s="200" t="str">
        <f t="shared" si="61"/>
        <v>….</v>
      </c>
      <c r="G227" s="200"/>
      <c r="J227" s="530" t="str">
        <f t="shared" si="62"/>
        <v>….. SOURCE of  LOSS …..</v>
      </c>
      <c r="N227" s="619" t="str">
        <f>$L$172</f>
        <v>…..........</v>
      </c>
      <c r="BW227" s="632"/>
      <c r="BX227" s="32"/>
      <c r="BY227" s="607"/>
      <c r="BZ227" s="602"/>
      <c r="CG227" s="200"/>
      <c r="CY227" s="734"/>
    </row>
    <row r="228" spans="2:103" ht="27" customHeight="1">
      <c r="B228" s="575">
        <f t="shared" si="64"/>
        <v>125</v>
      </c>
      <c r="C228" s="575"/>
      <c r="D228" s="575"/>
      <c r="E228" s="575"/>
      <c r="F228" s="200" t="str">
        <f t="shared" si="61"/>
        <v>….</v>
      </c>
      <c r="G228" s="200"/>
      <c r="J228" s="530" t="str">
        <f t="shared" si="62"/>
        <v>….. SOURCE of  LOSS …..</v>
      </c>
      <c r="N228" s="619" t="str">
        <f>$L$172</f>
        <v>…..........</v>
      </c>
      <c r="BW228" s="632"/>
      <c r="BX228" s="32"/>
      <c r="BY228" s="607"/>
      <c r="BZ228" s="602"/>
      <c r="CG228" s="200"/>
      <c r="CY228" s="734"/>
    </row>
    <row r="229" spans="2:103" ht="27" customHeight="1">
      <c r="B229" s="897" t="s">
        <v>511</v>
      </c>
      <c r="C229" s="897"/>
      <c r="D229" s="897"/>
      <c r="E229" s="897"/>
      <c r="F229" s="897"/>
      <c r="G229" s="897"/>
      <c r="H229" s="897"/>
      <c r="I229" s="883" t="s">
        <v>508</v>
      </c>
      <c r="J229" s="883"/>
      <c r="K229" s="883"/>
      <c r="CG229" s="200"/>
      <c r="CY229" s="734"/>
    </row>
    <row r="230" spans="2:103" ht="27" customHeight="1">
      <c r="B230" s="884" t="s">
        <v>527</v>
      </c>
      <c r="C230" s="884"/>
      <c r="D230" s="884"/>
      <c r="E230" s="884"/>
      <c r="F230" s="884"/>
      <c r="G230" s="884"/>
      <c r="H230" s="884"/>
      <c r="I230" s="883"/>
      <c r="J230" s="883"/>
      <c r="K230" s="883"/>
      <c r="CG230" s="200"/>
      <c r="CY230" s="734"/>
    </row>
    <row r="231" spans="2:103" ht="27" customHeight="1">
      <c r="B231" s="530">
        <f t="shared" ref="B231:B241" si="65">J115</f>
        <v>200</v>
      </c>
      <c r="C231" s="530"/>
      <c r="D231" s="530"/>
      <c r="E231" s="530"/>
      <c r="F231" s="200" t="str">
        <f t="shared" ref="F231:F256" si="66">F203</f>
        <v>….</v>
      </c>
      <c r="G231" s="200"/>
      <c r="I231" s="564" t="s">
        <v>541</v>
      </c>
      <c r="J231" s="564" t="s">
        <v>539</v>
      </c>
      <c r="CG231" s="200"/>
      <c r="CY231" s="734"/>
    </row>
    <row r="232" spans="2:103" ht="27" customHeight="1">
      <c r="B232" s="530">
        <f t="shared" si="65"/>
        <v>201</v>
      </c>
      <c r="C232" s="530"/>
      <c r="D232" s="530"/>
      <c r="E232" s="530"/>
      <c r="F232" s="200" t="str">
        <f t="shared" si="66"/>
        <v>….</v>
      </c>
      <c r="G232" s="200"/>
      <c r="I232" s="530" t="str">
        <f t="shared" ref="I232:I256" si="67">$B$230</f>
        <v>…..  C.P.S.  …...</v>
      </c>
      <c r="J232" s="619" t="str">
        <f>$L$149</f>
        <v>LOS</v>
      </c>
      <c r="CG232" s="200"/>
      <c r="CY232" s="734"/>
    </row>
    <row r="233" spans="2:103" ht="27" customHeight="1">
      <c r="B233" s="530">
        <f t="shared" si="65"/>
        <v>202</v>
      </c>
      <c r="C233" s="530"/>
      <c r="D233" s="530"/>
      <c r="E233" s="530"/>
      <c r="F233" s="200" t="str">
        <f t="shared" si="66"/>
        <v>….</v>
      </c>
      <c r="G233" s="200"/>
      <c r="I233" s="530" t="str">
        <f t="shared" si="67"/>
        <v>…..  C.P.S.  …...</v>
      </c>
      <c r="J233" s="619" t="str">
        <f>$L$150</f>
        <v>LOS</v>
      </c>
      <c r="CG233" s="200"/>
      <c r="CY233" s="734"/>
    </row>
    <row r="234" spans="2:103" ht="27" customHeight="1">
      <c r="B234" s="530">
        <f t="shared" si="65"/>
        <v>203</v>
      </c>
      <c r="C234" s="530"/>
      <c r="D234" s="530"/>
      <c r="E234" s="530"/>
      <c r="F234" s="200" t="str">
        <f t="shared" si="66"/>
        <v>….</v>
      </c>
      <c r="G234" s="200"/>
      <c r="I234" s="530" t="str">
        <f t="shared" si="67"/>
        <v>…..  C.P.S.  …...</v>
      </c>
      <c r="J234" s="619" t="str">
        <f>$L$151</f>
        <v>LOS</v>
      </c>
      <c r="CG234" s="200"/>
      <c r="CY234" s="734"/>
    </row>
    <row r="235" spans="2:103" ht="27" customHeight="1">
      <c r="B235" s="530">
        <f t="shared" si="65"/>
        <v>204</v>
      </c>
      <c r="C235" s="530"/>
      <c r="D235" s="530"/>
      <c r="E235" s="530"/>
      <c r="F235" s="200" t="str">
        <f t="shared" si="66"/>
        <v>….</v>
      </c>
      <c r="G235" s="200"/>
      <c r="I235" s="530" t="str">
        <f t="shared" si="67"/>
        <v>…..  C.P.S.  …...</v>
      </c>
      <c r="J235" s="619" t="str">
        <f>$L$152</f>
        <v>…..........</v>
      </c>
      <c r="CG235" s="200"/>
      <c r="CY235" s="734"/>
    </row>
    <row r="236" spans="2:103" ht="27" customHeight="1">
      <c r="B236" s="530">
        <f t="shared" si="65"/>
        <v>205</v>
      </c>
      <c r="C236" s="530"/>
      <c r="D236" s="530"/>
      <c r="E236" s="530"/>
      <c r="F236" s="200" t="str">
        <f t="shared" si="66"/>
        <v>….</v>
      </c>
      <c r="G236" s="200"/>
      <c r="I236" s="530" t="str">
        <f t="shared" si="67"/>
        <v>…..  C.P.S.  …...</v>
      </c>
      <c r="J236" s="619" t="str">
        <f>$L$153</f>
        <v>…..........</v>
      </c>
      <c r="CG236" s="200"/>
      <c r="CY236" s="734"/>
    </row>
    <row r="237" spans="2:103" ht="27" customHeight="1">
      <c r="B237" s="530">
        <f t="shared" si="65"/>
        <v>206</v>
      </c>
      <c r="C237" s="530"/>
      <c r="D237" s="530"/>
      <c r="E237" s="530"/>
      <c r="F237" s="200" t="str">
        <f t="shared" si="66"/>
        <v>….</v>
      </c>
      <c r="G237" s="200"/>
      <c r="I237" s="530" t="str">
        <f t="shared" si="67"/>
        <v>…..  C.P.S.  …...</v>
      </c>
      <c r="J237" s="619" t="str">
        <f>$L$154</f>
        <v>…..........</v>
      </c>
      <c r="CG237" s="200"/>
      <c r="CY237" s="734"/>
    </row>
    <row r="238" spans="2:103" ht="27" customHeight="1">
      <c r="B238" s="530">
        <f t="shared" si="65"/>
        <v>207</v>
      </c>
      <c r="C238" s="530"/>
      <c r="D238" s="530"/>
      <c r="E238" s="530"/>
      <c r="F238" s="200" t="str">
        <f t="shared" si="66"/>
        <v>….</v>
      </c>
      <c r="G238" s="200"/>
      <c r="I238" s="530" t="str">
        <f t="shared" si="67"/>
        <v>…..  C.P.S.  …...</v>
      </c>
      <c r="J238" s="619" t="str">
        <f>$L$155</f>
        <v>…..........</v>
      </c>
      <c r="CG238" s="200"/>
      <c r="CY238" s="734"/>
    </row>
    <row r="239" spans="2:103" ht="27" customHeight="1">
      <c r="B239" s="530">
        <f t="shared" si="65"/>
        <v>208</v>
      </c>
      <c r="C239" s="530"/>
      <c r="D239" s="530"/>
      <c r="E239" s="530"/>
      <c r="F239" s="200" t="str">
        <f t="shared" si="66"/>
        <v>….</v>
      </c>
      <c r="G239" s="200"/>
      <c r="I239" s="530" t="str">
        <f t="shared" si="67"/>
        <v>…..  C.P.S.  …...</v>
      </c>
      <c r="J239" s="619" t="str">
        <f>$L$156</f>
        <v>…..........</v>
      </c>
      <c r="CG239" s="200"/>
      <c r="CY239" s="734"/>
    </row>
    <row r="240" spans="2:103" ht="27" customHeight="1">
      <c r="B240" s="530">
        <f t="shared" si="65"/>
        <v>209</v>
      </c>
      <c r="C240" s="530"/>
      <c r="D240" s="530"/>
      <c r="E240" s="530"/>
      <c r="F240" s="200" t="str">
        <f t="shared" si="66"/>
        <v>….</v>
      </c>
      <c r="G240" s="200"/>
      <c r="I240" s="530" t="str">
        <f t="shared" si="67"/>
        <v>…..  C.P.S.  …...</v>
      </c>
      <c r="J240" s="619" t="str">
        <f>$L$157</f>
        <v>…..........</v>
      </c>
      <c r="CG240" s="200"/>
      <c r="CY240" s="734"/>
    </row>
    <row r="241" spans="2:103" ht="27" customHeight="1">
      <c r="B241" s="530">
        <f t="shared" si="65"/>
        <v>210</v>
      </c>
      <c r="C241" s="530"/>
      <c r="D241" s="530"/>
      <c r="E241" s="530"/>
      <c r="F241" s="200" t="str">
        <f t="shared" si="66"/>
        <v>….</v>
      </c>
      <c r="G241" s="200"/>
      <c r="I241" s="530" t="str">
        <f t="shared" si="67"/>
        <v>…..  C.P.S.  …...</v>
      </c>
      <c r="J241" s="619" t="str">
        <f>$L$158</f>
        <v>LOS</v>
      </c>
      <c r="CG241" s="200"/>
      <c r="CY241" s="734"/>
    </row>
    <row r="242" spans="2:103" ht="27" customHeight="1">
      <c r="B242" s="530">
        <f>J130</f>
        <v>211</v>
      </c>
      <c r="C242" s="530"/>
      <c r="D242" s="530"/>
      <c r="E242" s="530"/>
      <c r="F242" s="200" t="str">
        <f t="shared" si="66"/>
        <v>….</v>
      </c>
      <c r="G242" s="200"/>
      <c r="I242" s="530" t="str">
        <f t="shared" si="67"/>
        <v>…..  C.P.S.  …...</v>
      </c>
      <c r="J242" s="619" t="str">
        <f>$L$159</f>
        <v>…..........</v>
      </c>
      <c r="CG242" s="200"/>
      <c r="CY242" s="734"/>
    </row>
    <row r="243" spans="2:103" ht="27" customHeight="1">
      <c r="B243" s="530">
        <f>J131</f>
        <v>212</v>
      </c>
      <c r="C243" s="530"/>
      <c r="D243" s="530"/>
      <c r="E243" s="530"/>
      <c r="F243" s="200" t="str">
        <f t="shared" si="66"/>
        <v>….</v>
      </c>
      <c r="G243" s="200"/>
      <c r="I243" s="530" t="str">
        <f t="shared" si="67"/>
        <v>…..  C.P.S.  …...</v>
      </c>
      <c r="J243" s="619" t="str">
        <f>$L$160</f>
        <v>LOS</v>
      </c>
      <c r="CG243" s="200"/>
      <c r="CY243" s="734"/>
    </row>
    <row r="244" spans="2:103" ht="27" customHeight="1">
      <c r="B244" s="530">
        <f>J132</f>
        <v>213</v>
      </c>
      <c r="C244" s="530"/>
      <c r="D244" s="530"/>
      <c r="E244" s="530"/>
      <c r="F244" s="200" t="str">
        <f t="shared" si="66"/>
        <v>….</v>
      </c>
      <c r="G244" s="200"/>
      <c r="I244" s="530" t="str">
        <f t="shared" si="67"/>
        <v>…..  C.P.S.  …...</v>
      </c>
      <c r="J244" s="619" t="str">
        <f>$L$161</f>
        <v>LOS</v>
      </c>
      <c r="CG244" s="200"/>
      <c r="CY244" s="734"/>
    </row>
    <row r="245" spans="2:103" ht="27" customHeight="1">
      <c r="B245" s="530">
        <f>J133</f>
        <v>214</v>
      </c>
      <c r="C245" s="530"/>
      <c r="D245" s="530"/>
      <c r="E245" s="530"/>
      <c r="F245" s="200" t="str">
        <f t="shared" si="66"/>
        <v>….</v>
      </c>
      <c r="G245" s="200"/>
      <c r="I245" s="530" t="str">
        <f t="shared" si="67"/>
        <v>…..  C.P.S.  …...</v>
      </c>
      <c r="J245" s="619" t="str">
        <f>$L$162</f>
        <v>LOS</v>
      </c>
      <c r="CG245" s="200"/>
      <c r="CY245" s="734"/>
    </row>
    <row r="246" spans="2:103" ht="27" customHeight="1">
      <c r="B246" s="530">
        <f>J134</f>
        <v>215</v>
      </c>
      <c r="C246" s="530"/>
      <c r="D246" s="530"/>
      <c r="E246" s="530"/>
      <c r="F246" s="200" t="str">
        <f t="shared" si="66"/>
        <v>….</v>
      </c>
      <c r="G246" s="200"/>
      <c r="I246" s="530" t="str">
        <f t="shared" si="67"/>
        <v>…..  C.P.S.  …...</v>
      </c>
      <c r="J246" s="619" t="str">
        <f>$L$163</f>
        <v>LOS</v>
      </c>
      <c r="CG246" s="200"/>
      <c r="CY246" s="734"/>
    </row>
    <row r="247" spans="2:103" ht="27" customHeight="1">
      <c r="B247" s="530">
        <f t="shared" ref="B247:B256" si="68">J135</f>
        <v>216</v>
      </c>
      <c r="C247" s="530"/>
      <c r="D247" s="530"/>
      <c r="E247" s="530"/>
      <c r="F247" s="200" t="str">
        <f t="shared" si="66"/>
        <v>….</v>
      </c>
      <c r="G247" s="200"/>
      <c r="I247" s="530" t="str">
        <f t="shared" si="67"/>
        <v>…..  C.P.S.  …...</v>
      </c>
      <c r="J247" s="619" t="str">
        <f>$L$164</f>
        <v>LOS</v>
      </c>
      <c r="CG247" s="200"/>
      <c r="CY247" s="734"/>
    </row>
    <row r="248" spans="2:103" ht="27" customHeight="1">
      <c r="B248" s="530">
        <f t="shared" si="68"/>
        <v>217</v>
      </c>
      <c r="C248" s="530"/>
      <c r="D248" s="530"/>
      <c r="E248" s="530"/>
      <c r="F248" s="200" t="str">
        <f t="shared" si="66"/>
        <v>….</v>
      </c>
      <c r="G248" s="200"/>
      <c r="I248" s="530" t="str">
        <f t="shared" si="67"/>
        <v>…..  C.P.S.  …...</v>
      </c>
      <c r="J248" s="619" t="str">
        <f>$L$165</f>
        <v>LOS</v>
      </c>
      <c r="CG248" s="200"/>
      <c r="CY248" s="734"/>
    </row>
    <row r="249" spans="2:103" ht="27" customHeight="1">
      <c r="B249" s="530">
        <f t="shared" si="68"/>
        <v>218</v>
      </c>
      <c r="C249" s="530"/>
      <c r="D249" s="530"/>
      <c r="E249" s="530"/>
      <c r="F249" s="200" t="str">
        <f t="shared" si="66"/>
        <v>….</v>
      </c>
      <c r="G249" s="200"/>
      <c r="I249" s="530" t="str">
        <f t="shared" si="67"/>
        <v>…..  C.P.S.  …...</v>
      </c>
      <c r="J249" s="619" t="str">
        <f>$L$166</f>
        <v>LOS</v>
      </c>
      <c r="CG249" s="200"/>
      <c r="CY249" s="734"/>
    </row>
    <row r="250" spans="2:103" ht="27" customHeight="1">
      <c r="B250" s="530">
        <f t="shared" si="68"/>
        <v>219</v>
      </c>
      <c r="C250" s="530"/>
      <c r="D250" s="530"/>
      <c r="E250" s="530"/>
      <c r="F250" s="200" t="str">
        <f t="shared" si="66"/>
        <v>….</v>
      </c>
      <c r="G250" s="200"/>
      <c r="I250" s="530" t="str">
        <f t="shared" si="67"/>
        <v>…..  C.P.S.  …...</v>
      </c>
      <c r="J250" s="619" t="str">
        <f>$L$167</f>
        <v>LOS</v>
      </c>
      <c r="CG250" s="200"/>
      <c r="CY250" s="734"/>
    </row>
    <row r="251" spans="2:103" ht="27" customHeight="1">
      <c r="B251" s="530">
        <f t="shared" si="68"/>
        <v>220</v>
      </c>
      <c r="C251" s="530"/>
      <c r="D251" s="530"/>
      <c r="E251" s="530"/>
      <c r="F251" s="200" t="str">
        <f t="shared" si="66"/>
        <v>….</v>
      </c>
      <c r="G251" s="200"/>
      <c r="I251" s="530" t="str">
        <f t="shared" si="67"/>
        <v>…..  C.P.S.  …...</v>
      </c>
      <c r="J251" s="619" t="str">
        <f>$L$168</f>
        <v>…..........</v>
      </c>
      <c r="CG251" s="200"/>
      <c r="CY251" s="734"/>
    </row>
    <row r="252" spans="2:103" ht="27" customHeight="1">
      <c r="B252" s="530">
        <f t="shared" si="68"/>
        <v>221</v>
      </c>
      <c r="C252" s="530"/>
      <c r="D252" s="530"/>
      <c r="E252" s="530"/>
      <c r="F252" s="200" t="str">
        <f t="shared" si="66"/>
        <v>….</v>
      </c>
      <c r="G252" s="200"/>
      <c r="I252" s="530" t="str">
        <f t="shared" si="67"/>
        <v>…..  C.P.S.  …...</v>
      </c>
      <c r="J252" s="619" t="str">
        <f>$L$169</f>
        <v>…..........</v>
      </c>
      <c r="CG252" s="200"/>
      <c r="CY252" s="734"/>
    </row>
    <row r="253" spans="2:103" ht="27" customHeight="1">
      <c r="B253" s="530">
        <f t="shared" si="68"/>
        <v>222</v>
      </c>
      <c r="C253" s="530"/>
      <c r="D253" s="530"/>
      <c r="E253" s="530"/>
      <c r="F253" s="200" t="str">
        <f t="shared" si="66"/>
        <v>….</v>
      </c>
      <c r="G253" s="200"/>
      <c r="I253" s="530" t="str">
        <f t="shared" si="67"/>
        <v>…..  C.P.S.  …...</v>
      </c>
      <c r="J253" s="619" t="str">
        <f>$L$170</f>
        <v>…..........</v>
      </c>
      <c r="CG253" s="200"/>
      <c r="CY253" s="734"/>
    </row>
    <row r="254" spans="2:103" ht="27" customHeight="1">
      <c r="B254" s="530">
        <f t="shared" si="68"/>
        <v>223</v>
      </c>
      <c r="C254" s="530"/>
      <c r="D254" s="530"/>
      <c r="E254" s="530"/>
      <c r="F254" s="200" t="str">
        <f t="shared" si="66"/>
        <v>….</v>
      </c>
      <c r="G254" s="200"/>
      <c r="I254" s="530" t="str">
        <f t="shared" si="67"/>
        <v>…..  C.P.S.  …...</v>
      </c>
      <c r="J254" s="619" t="str">
        <f>$L$171</f>
        <v>…..........</v>
      </c>
      <c r="CG254" s="200"/>
      <c r="CY254" s="734"/>
    </row>
    <row r="255" spans="2:103" ht="27" customHeight="1">
      <c r="B255" s="530">
        <f t="shared" si="68"/>
        <v>224</v>
      </c>
      <c r="C255" s="530"/>
      <c r="D255" s="530"/>
      <c r="E255" s="530"/>
      <c r="F255" s="200" t="str">
        <f t="shared" si="66"/>
        <v>….</v>
      </c>
      <c r="G255" s="200"/>
      <c r="I255" s="530" t="str">
        <f t="shared" si="67"/>
        <v>…..  C.P.S.  …...</v>
      </c>
      <c r="J255" s="619" t="str">
        <f>$L$172</f>
        <v>…..........</v>
      </c>
      <c r="CG255" s="200"/>
      <c r="CY255" s="734"/>
    </row>
    <row r="256" spans="2:103" ht="27" customHeight="1">
      <c r="B256" s="530">
        <f t="shared" si="68"/>
        <v>225</v>
      </c>
      <c r="C256" s="530"/>
      <c r="D256" s="530"/>
      <c r="E256" s="530"/>
      <c r="F256" s="200" t="str">
        <f t="shared" si="66"/>
        <v>….</v>
      </c>
      <c r="G256" s="200"/>
      <c r="I256" s="530" t="str">
        <f t="shared" si="67"/>
        <v>…..  C.P.S.  …...</v>
      </c>
      <c r="J256" s="619">
        <f>$L$173</f>
        <v>0</v>
      </c>
      <c r="CG256" s="200"/>
      <c r="CY256" s="734"/>
    </row>
    <row r="257" spans="2:103" ht="27" customHeight="1">
      <c r="B257" s="30" t="s">
        <v>511</v>
      </c>
      <c r="C257" s="30"/>
      <c r="D257" s="30"/>
      <c r="E257" s="30"/>
      <c r="F257" s="897" t="s">
        <v>511</v>
      </c>
      <c r="G257" s="897"/>
      <c r="H257" s="897"/>
      <c r="I257" s="897"/>
      <c r="J257" s="883" t="s">
        <v>508</v>
      </c>
      <c r="BM257" s="200"/>
      <c r="BN257"/>
      <c r="BO257" s="530"/>
      <c r="BQ257" s="619"/>
      <c r="BR257" s="632"/>
      <c r="BS257" s="32"/>
      <c r="BT257" s="607"/>
      <c r="BU257" s="602"/>
      <c r="BZ257" s="602"/>
      <c r="CG257" s="200"/>
      <c r="CY257" s="734"/>
    </row>
    <row r="258" spans="2:103" ht="27" customHeight="1">
      <c r="B258" s="561"/>
      <c r="C258" s="561"/>
      <c r="D258" s="561"/>
      <c r="E258" s="561"/>
      <c r="F258" s="573" t="s">
        <v>528</v>
      </c>
      <c r="G258" s="573"/>
      <c r="H258" s="573"/>
      <c r="I258" s="574" t="str">
        <f>L113</f>
        <v>CPS</v>
      </c>
      <c r="J258" s="883"/>
      <c r="BM258" s="200"/>
      <c r="BN258"/>
      <c r="BO258" s="530"/>
      <c r="BQ258" s="619"/>
      <c r="BR258" s="632"/>
      <c r="BS258" s="32"/>
      <c r="BT258" s="607"/>
      <c r="BU258" s="602"/>
      <c r="BZ258" s="602"/>
      <c r="CG258" s="200"/>
      <c r="CY258" s="734"/>
    </row>
    <row r="259" spans="2:103" ht="27" customHeight="1">
      <c r="F259" s="530">
        <f t="shared" ref="F259:F269" si="69">L115</f>
        <v>300</v>
      </c>
      <c r="G259" s="530"/>
      <c r="H259" t="str">
        <f>F258</f>
        <v>NON SALVAGEABLE ITEMS</v>
      </c>
      <c r="I259" s="564" t="s">
        <v>542</v>
      </c>
      <c r="J259" s="431"/>
      <c r="BM259" s="200"/>
      <c r="BN259"/>
      <c r="BO259" s="530"/>
      <c r="BQ259" s="619"/>
      <c r="BR259" s="632"/>
      <c r="BS259" s="32"/>
      <c r="BT259" s="607"/>
      <c r="BU259" s="602"/>
      <c r="BZ259" s="602"/>
      <c r="CG259" s="200"/>
      <c r="CY259" s="734"/>
    </row>
    <row r="260" spans="2:103" ht="27" customHeight="1">
      <c r="B260" s="566"/>
      <c r="C260" s="566"/>
      <c r="D260" s="566"/>
      <c r="E260" s="566"/>
      <c r="F260" s="530">
        <f t="shared" si="69"/>
        <v>301</v>
      </c>
      <c r="G260" s="530"/>
      <c r="H260" s="530" t="e">
        <f>#REF!</f>
        <v>#REF!</v>
      </c>
      <c r="I260" s="530" t="str">
        <f t="shared" ref="I260:I284" si="70">$F$258</f>
        <v>NON SALVAGEABLE ITEMS</v>
      </c>
      <c r="J260" s="619" t="str">
        <f>$L$149</f>
        <v>LOS</v>
      </c>
      <c r="BM260" s="200"/>
      <c r="BN260"/>
      <c r="BO260" s="530"/>
      <c r="BQ260" s="619"/>
      <c r="BR260" s="632"/>
      <c r="BS260" s="32"/>
      <c r="BT260" s="607"/>
      <c r="BU260" s="602"/>
      <c r="BZ260" s="602"/>
      <c r="CG260" s="200"/>
      <c r="CY260" s="734"/>
    </row>
    <row r="261" spans="2:103" ht="27" customHeight="1">
      <c r="B261" s="431"/>
      <c r="C261" s="431"/>
      <c r="D261" s="431"/>
      <c r="E261" s="431"/>
      <c r="F261" s="530">
        <f t="shared" si="69"/>
        <v>302</v>
      </c>
      <c r="G261" s="530"/>
      <c r="H261" s="530" t="e">
        <f>#REF!</f>
        <v>#REF!</v>
      </c>
      <c r="I261" s="530" t="str">
        <f t="shared" si="70"/>
        <v>NON SALVAGEABLE ITEMS</v>
      </c>
      <c r="J261" s="619" t="str">
        <f>$L$150</f>
        <v>LOS</v>
      </c>
      <c r="BM261" s="200"/>
      <c r="BN261"/>
      <c r="BO261" s="530"/>
      <c r="BQ261" s="619"/>
      <c r="BR261" s="632"/>
      <c r="BS261" s="32"/>
      <c r="BT261" s="607"/>
      <c r="BU261" s="602"/>
      <c r="BZ261" s="602"/>
      <c r="CG261" s="200"/>
      <c r="CY261" s="734"/>
    </row>
    <row r="262" spans="2:103" ht="27" customHeight="1">
      <c r="B262" s="431"/>
      <c r="C262" s="431"/>
      <c r="D262" s="431"/>
      <c r="E262" s="431"/>
      <c r="F262" s="530">
        <f t="shared" si="69"/>
        <v>303</v>
      </c>
      <c r="G262" s="530"/>
      <c r="H262" s="530" t="e">
        <f>#REF!</f>
        <v>#REF!</v>
      </c>
      <c r="I262" s="530" t="str">
        <f t="shared" si="70"/>
        <v>NON SALVAGEABLE ITEMS</v>
      </c>
      <c r="J262" s="619" t="str">
        <f>$L$151</f>
        <v>LOS</v>
      </c>
      <c r="BM262" s="200"/>
      <c r="BN262"/>
      <c r="BO262" s="530"/>
      <c r="BQ262" s="619"/>
      <c r="BR262" s="632"/>
      <c r="BS262" s="32"/>
      <c r="BT262" s="607"/>
      <c r="BU262" s="602"/>
      <c r="BZ262" s="602"/>
      <c r="CG262" s="200"/>
      <c r="CY262" s="734"/>
    </row>
    <row r="263" spans="2:103" ht="27" customHeight="1">
      <c r="B263" s="431"/>
      <c r="C263" s="431"/>
      <c r="D263" s="431"/>
      <c r="E263" s="431"/>
      <c r="F263" s="530">
        <f t="shared" si="69"/>
        <v>304</v>
      </c>
      <c r="G263" s="530"/>
      <c r="H263" s="530" t="e">
        <f>#REF!</f>
        <v>#REF!</v>
      </c>
      <c r="I263" s="530" t="str">
        <f t="shared" si="70"/>
        <v>NON SALVAGEABLE ITEMS</v>
      </c>
      <c r="J263" s="619" t="str">
        <f>$L$152</f>
        <v>…..........</v>
      </c>
      <c r="BM263" s="200"/>
      <c r="BN263"/>
      <c r="BO263" s="530"/>
      <c r="BQ263" s="619"/>
      <c r="BR263" s="632"/>
      <c r="BS263" s="32"/>
      <c r="BT263" s="607"/>
      <c r="BU263" s="602"/>
      <c r="BZ263" s="602"/>
      <c r="CG263" s="200"/>
      <c r="CY263" s="734"/>
    </row>
    <row r="264" spans="2:103" ht="27" customHeight="1">
      <c r="B264" s="431"/>
      <c r="C264" s="431"/>
      <c r="D264" s="431"/>
      <c r="E264" s="431"/>
      <c r="F264" s="530">
        <f t="shared" si="69"/>
        <v>305</v>
      </c>
      <c r="G264" s="530"/>
      <c r="H264" s="530" t="e">
        <f>#REF!</f>
        <v>#REF!</v>
      </c>
      <c r="I264" s="530" t="str">
        <f t="shared" si="70"/>
        <v>NON SALVAGEABLE ITEMS</v>
      </c>
      <c r="J264" s="619" t="str">
        <f>$L$153</f>
        <v>…..........</v>
      </c>
      <c r="BM264" s="200"/>
      <c r="BN264"/>
      <c r="BO264" s="530"/>
      <c r="BQ264" s="619"/>
      <c r="BR264" s="632"/>
      <c r="BS264" s="32"/>
      <c r="BT264" s="607"/>
      <c r="BU264" s="602"/>
      <c r="BZ264" s="602"/>
      <c r="CG264" s="200"/>
      <c r="CY264" s="734"/>
    </row>
    <row r="265" spans="2:103" ht="27" customHeight="1">
      <c r="B265" s="431"/>
      <c r="C265" s="431"/>
      <c r="D265" s="431"/>
      <c r="E265" s="431"/>
      <c r="F265" s="530">
        <f t="shared" si="69"/>
        <v>306</v>
      </c>
      <c r="G265" s="530"/>
      <c r="H265" s="530" t="e">
        <f>#REF!</f>
        <v>#REF!</v>
      </c>
      <c r="I265" s="530" t="str">
        <f t="shared" si="70"/>
        <v>NON SALVAGEABLE ITEMS</v>
      </c>
      <c r="J265" s="619" t="str">
        <f>$L$154</f>
        <v>…..........</v>
      </c>
      <c r="BM265" s="200"/>
      <c r="BN265"/>
      <c r="BO265" s="530"/>
      <c r="BQ265" s="619"/>
      <c r="BR265" s="632"/>
      <c r="BS265" s="32"/>
      <c r="BT265" s="607"/>
      <c r="BU265" s="602"/>
      <c r="BZ265" s="602"/>
      <c r="CG265" s="200"/>
      <c r="CY265" s="734"/>
    </row>
    <row r="266" spans="2:103" ht="27" customHeight="1">
      <c r="B266" s="431"/>
      <c r="C266" s="431"/>
      <c r="D266" s="431"/>
      <c r="E266" s="431"/>
      <c r="F266" s="530">
        <f t="shared" si="69"/>
        <v>307</v>
      </c>
      <c r="G266" s="530"/>
      <c r="H266" s="530" t="e">
        <f>#REF!</f>
        <v>#REF!</v>
      </c>
      <c r="I266" s="530" t="str">
        <f t="shared" si="70"/>
        <v>NON SALVAGEABLE ITEMS</v>
      </c>
      <c r="J266" s="619" t="str">
        <f>$L$155</f>
        <v>…..........</v>
      </c>
      <c r="BM266" s="200"/>
      <c r="BN266"/>
      <c r="BO266" s="530"/>
      <c r="BQ266" s="619"/>
      <c r="BR266" s="632"/>
      <c r="BS266" s="32"/>
      <c r="BT266" s="607"/>
      <c r="BU266" s="602"/>
      <c r="BZ266" s="602"/>
      <c r="CG266" s="200"/>
      <c r="CY266" s="734"/>
    </row>
    <row r="267" spans="2:103" ht="27" customHeight="1">
      <c r="B267" s="431"/>
      <c r="C267" s="431"/>
      <c r="D267" s="431"/>
      <c r="E267" s="431"/>
      <c r="F267" s="530">
        <f t="shared" si="69"/>
        <v>308</v>
      </c>
      <c r="G267" s="530"/>
      <c r="H267" s="530" t="e">
        <f>#REF!</f>
        <v>#REF!</v>
      </c>
      <c r="I267" s="530" t="str">
        <f t="shared" si="70"/>
        <v>NON SALVAGEABLE ITEMS</v>
      </c>
      <c r="J267" s="619" t="str">
        <f>$L$156</f>
        <v>…..........</v>
      </c>
      <c r="BM267" s="200"/>
      <c r="BN267"/>
      <c r="BO267" s="530"/>
      <c r="BQ267" s="619"/>
      <c r="BR267" s="632"/>
      <c r="BS267" s="32"/>
      <c r="BT267" s="607"/>
      <c r="BU267" s="602"/>
      <c r="BZ267" s="602"/>
      <c r="CG267" s="200"/>
      <c r="CY267" s="734"/>
    </row>
    <row r="268" spans="2:103" ht="27" customHeight="1">
      <c r="B268" s="431"/>
      <c r="C268" s="431"/>
      <c r="D268" s="431"/>
      <c r="E268" s="431"/>
      <c r="F268" s="530">
        <f t="shared" si="69"/>
        <v>309</v>
      </c>
      <c r="G268" s="530"/>
      <c r="H268" s="530" t="e">
        <f>#REF!</f>
        <v>#REF!</v>
      </c>
      <c r="I268" s="530" t="str">
        <f t="shared" si="70"/>
        <v>NON SALVAGEABLE ITEMS</v>
      </c>
      <c r="J268" s="619" t="str">
        <f>$L$157</f>
        <v>…..........</v>
      </c>
      <c r="BM268" s="200"/>
      <c r="BN268"/>
      <c r="BO268" s="530"/>
      <c r="BQ268" s="619"/>
      <c r="BR268" s="632"/>
      <c r="BS268" s="32"/>
      <c r="BT268" s="607"/>
      <c r="BU268" s="602"/>
      <c r="BZ268" s="602"/>
      <c r="CG268" s="200"/>
      <c r="CY268" s="734"/>
    </row>
    <row r="269" spans="2:103" ht="27" customHeight="1">
      <c r="B269" s="431"/>
      <c r="C269" s="431"/>
      <c r="D269" s="431"/>
      <c r="E269" s="431"/>
      <c r="F269" s="530">
        <f t="shared" si="69"/>
        <v>310</v>
      </c>
      <c r="G269" s="530"/>
      <c r="H269" s="530" t="e">
        <f>#REF!</f>
        <v>#REF!</v>
      </c>
      <c r="I269" s="530" t="str">
        <f t="shared" si="70"/>
        <v>NON SALVAGEABLE ITEMS</v>
      </c>
      <c r="J269" s="619" t="str">
        <f>$L$158</f>
        <v>LOS</v>
      </c>
      <c r="BM269" s="200"/>
      <c r="BN269"/>
      <c r="BO269" s="530"/>
      <c r="BQ269" s="619"/>
      <c r="BR269" s="632"/>
      <c r="BS269" s="32"/>
      <c r="BT269" s="607"/>
      <c r="BU269" s="602"/>
      <c r="BZ269" s="602"/>
      <c r="CG269" s="200"/>
      <c r="CY269" s="734"/>
    </row>
    <row r="270" spans="2:103" ht="27" customHeight="1">
      <c r="B270" s="431"/>
      <c r="C270" s="431"/>
      <c r="D270" s="431"/>
      <c r="E270" s="431"/>
      <c r="F270" s="530">
        <f>L130</f>
        <v>311</v>
      </c>
      <c r="G270" s="530"/>
      <c r="H270" s="530" t="e">
        <f>#REF!</f>
        <v>#REF!</v>
      </c>
      <c r="I270" s="530" t="str">
        <f t="shared" si="70"/>
        <v>NON SALVAGEABLE ITEMS</v>
      </c>
      <c r="J270" s="619" t="str">
        <f>$L$159</f>
        <v>…..........</v>
      </c>
      <c r="BM270" s="200"/>
      <c r="BN270"/>
      <c r="BO270" s="530"/>
      <c r="BQ270" s="619"/>
      <c r="BR270" s="632"/>
      <c r="BS270" s="32"/>
      <c r="BT270" s="607"/>
      <c r="BU270" s="602"/>
      <c r="BZ270" s="602"/>
      <c r="CG270" s="200"/>
      <c r="CY270" s="734"/>
    </row>
    <row r="271" spans="2:103" ht="27" customHeight="1">
      <c r="B271" s="431"/>
      <c r="C271" s="431"/>
      <c r="D271" s="431"/>
      <c r="E271" s="431"/>
      <c r="F271" s="530">
        <f>L131</f>
        <v>312</v>
      </c>
      <c r="G271" s="530"/>
      <c r="H271" s="530" t="e">
        <f>#REF!</f>
        <v>#REF!</v>
      </c>
      <c r="I271" s="530" t="str">
        <f t="shared" si="70"/>
        <v>NON SALVAGEABLE ITEMS</v>
      </c>
      <c r="J271" s="619" t="str">
        <f>$L$160</f>
        <v>LOS</v>
      </c>
      <c r="BM271" s="200"/>
      <c r="BN271"/>
      <c r="BO271" s="530"/>
      <c r="BQ271" s="619"/>
      <c r="BR271" s="632"/>
      <c r="BS271" s="32"/>
      <c r="BT271" s="607"/>
      <c r="BU271" s="602"/>
      <c r="BZ271" s="602"/>
      <c r="CG271" s="200"/>
      <c r="CY271" s="734"/>
    </row>
    <row r="272" spans="2:103" ht="27" customHeight="1">
      <c r="B272" s="431"/>
      <c r="C272" s="431"/>
      <c r="D272" s="431"/>
      <c r="E272" s="431"/>
      <c r="F272" s="530">
        <f>L132</f>
        <v>313</v>
      </c>
      <c r="G272" s="530"/>
      <c r="H272" s="530" t="e">
        <f>#REF!</f>
        <v>#REF!</v>
      </c>
      <c r="I272" s="530" t="str">
        <f t="shared" si="70"/>
        <v>NON SALVAGEABLE ITEMS</v>
      </c>
      <c r="J272" s="619" t="str">
        <f>$L$161</f>
        <v>LOS</v>
      </c>
      <c r="BM272" s="200"/>
      <c r="BN272"/>
      <c r="BO272" s="530"/>
      <c r="BQ272" s="619"/>
      <c r="BR272" s="632"/>
      <c r="BS272" s="32"/>
      <c r="BT272" s="607"/>
      <c r="BU272" s="602"/>
      <c r="BZ272" s="602"/>
      <c r="CG272" s="200"/>
      <c r="CY272" s="734"/>
    </row>
    <row r="273" spans="2:103" ht="27" customHeight="1">
      <c r="B273" s="431"/>
      <c r="C273" s="431"/>
      <c r="D273" s="431"/>
      <c r="E273" s="431"/>
      <c r="F273" s="530">
        <f>L133</f>
        <v>314</v>
      </c>
      <c r="G273" s="530"/>
      <c r="H273" s="530" t="e">
        <f>#REF!</f>
        <v>#REF!</v>
      </c>
      <c r="I273" s="530" t="str">
        <f t="shared" si="70"/>
        <v>NON SALVAGEABLE ITEMS</v>
      </c>
      <c r="J273" s="619" t="str">
        <f>$L$162</f>
        <v>LOS</v>
      </c>
      <c r="BM273" s="200"/>
      <c r="BN273"/>
      <c r="BO273" s="530"/>
      <c r="BQ273" s="619"/>
      <c r="BR273" s="632"/>
      <c r="BS273" s="32"/>
      <c r="BT273" s="607"/>
      <c r="BU273" s="602"/>
      <c r="BZ273" s="602"/>
      <c r="CG273" s="200"/>
      <c r="CY273" s="734"/>
    </row>
    <row r="274" spans="2:103" ht="27" customHeight="1">
      <c r="B274" s="431"/>
      <c r="C274" s="431"/>
      <c r="D274" s="431"/>
      <c r="E274" s="431"/>
      <c r="F274" s="530">
        <f>L134</f>
        <v>315</v>
      </c>
      <c r="G274" s="530"/>
      <c r="H274" s="530" t="e">
        <f>#REF!</f>
        <v>#REF!</v>
      </c>
      <c r="I274" s="530" t="str">
        <f t="shared" si="70"/>
        <v>NON SALVAGEABLE ITEMS</v>
      </c>
      <c r="J274" s="619" t="str">
        <f>$L$163</f>
        <v>LOS</v>
      </c>
      <c r="BM274" s="200"/>
      <c r="BN274"/>
      <c r="BO274" s="530"/>
      <c r="BQ274" s="619"/>
      <c r="BR274" s="632"/>
      <c r="BS274" s="32"/>
      <c r="BT274" s="607"/>
      <c r="BU274" s="602"/>
      <c r="BZ274" s="602"/>
      <c r="CG274" s="200"/>
      <c r="CY274" s="734"/>
    </row>
    <row r="275" spans="2:103" ht="27" customHeight="1">
      <c r="B275" s="431"/>
      <c r="C275" s="431"/>
      <c r="D275" s="431"/>
      <c r="E275" s="431"/>
      <c r="F275" s="530">
        <f t="shared" ref="F275:F284" si="71">L135</f>
        <v>316</v>
      </c>
      <c r="G275" s="530"/>
      <c r="H275" s="530" t="e">
        <f>#REF!</f>
        <v>#REF!</v>
      </c>
      <c r="I275" s="530" t="str">
        <f t="shared" si="70"/>
        <v>NON SALVAGEABLE ITEMS</v>
      </c>
      <c r="J275" s="619" t="str">
        <f>$L$164</f>
        <v>LOS</v>
      </c>
      <c r="BM275" s="200"/>
      <c r="BN275"/>
      <c r="BO275" s="530"/>
      <c r="BQ275" s="619"/>
      <c r="BR275" s="632"/>
      <c r="BS275" s="32"/>
      <c r="BT275" s="607"/>
      <c r="BU275" s="602"/>
      <c r="BZ275" s="602"/>
      <c r="CG275" s="200"/>
      <c r="CY275" s="734"/>
    </row>
    <row r="276" spans="2:103" ht="27" customHeight="1">
      <c r="B276" s="431"/>
      <c r="C276" s="431"/>
      <c r="D276" s="431"/>
      <c r="E276" s="431"/>
      <c r="F276" s="530">
        <f t="shared" si="71"/>
        <v>317</v>
      </c>
      <c r="G276" s="530"/>
      <c r="H276" s="530" t="e">
        <f>#REF!</f>
        <v>#REF!</v>
      </c>
      <c r="I276" s="530" t="str">
        <f t="shared" si="70"/>
        <v>NON SALVAGEABLE ITEMS</v>
      </c>
      <c r="J276" s="619" t="str">
        <f>$L$165</f>
        <v>LOS</v>
      </c>
      <c r="BM276" s="200"/>
      <c r="BN276"/>
      <c r="BO276" s="530"/>
      <c r="BQ276" s="619"/>
      <c r="BR276" s="632"/>
      <c r="BS276" s="32"/>
      <c r="BT276" s="607"/>
      <c r="BU276" s="602"/>
      <c r="BZ276" s="602"/>
      <c r="CG276" s="200"/>
      <c r="CY276" s="734"/>
    </row>
    <row r="277" spans="2:103" ht="27" customHeight="1">
      <c r="B277" s="431"/>
      <c r="C277" s="431"/>
      <c r="D277" s="431"/>
      <c r="E277" s="431"/>
      <c r="F277" s="530">
        <f t="shared" si="71"/>
        <v>318</v>
      </c>
      <c r="G277" s="530"/>
      <c r="H277" s="530" t="e">
        <f>#REF!</f>
        <v>#REF!</v>
      </c>
      <c r="I277" s="530" t="str">
        <f t="shared" si="70"/>
        <v>NON SALVAGEABLE ITEMS</v>
      </c>
      <c r="J277" s="619" t="str">
        <f>$L$166</f>
        <v>LOS</v>
      </c>
      <c r="BM277" s="200"/>
      <c r="BN277"/>
      <c r="BO277" s="530"/>
      <c r="BQ277" s="619"/>
      <c r="BR277" s="632"/>
      <c r="BS277" s="32"/>
      <c r="BT277" s="607"/>
      <c r="BU277" s="602"/>
      <c r="BZ277" s="602"/>
      <c r="CG277" s="200"/>
      <c r="CY277" s="734"/>
    </row>
    <row r="278" spans="2:103" ht="27" customHeight="1">
      <c r="B278" s="431"/>
      <c r="C278" s="431"/>
      <c r="D278" s="431"/>
      <c r="E278" s="431"/>
      <c r="F278" s="530">
        <f t="shared" si="71"/>
        <v>319</v>
      </c>
      <c r="G278" s="530"/>
      <c r="H278" s="530" t="e">
        <f>#REF!</f>
        <v>#REF!</v>
      </c>
      <c r="I278" s="530" t="str">
        <f t="shared" si="70"/>
        <v>NON SALVAGEABLE ITEMS</v>
      </c>
      <c r="J278" s="619" t="str">
        <f>$L$167</f>
        <v>LOS</v>
      </c>
      <c r="BM278" s="200"/>
      <c r="BN278"/>
      <c r="BO278" s="530"/>
      <c r="BQ278" s="619"/>
      <c r="BR278" s="632"/>
      <c r="BS278" s="32"/>
      <c r="BT278" s="607"/>
      <c r="BU278" s="602"/>
      <c r="BZ278" s="602"/>
      <c r="CG278" s="200"/>
      <c r="CY278" s="734"/>
    </row>
    <row r="279" spans="2:103" ht="27" customHeight="1">
      <c r="B279" s="431"/>
      <c r="C279" s="431"/>
      <c r="D279" s="431"/>
      <c r="E279" s="431"/>
      <c r="F279" s="530">
        <f t="shared" si="71"/>
        <v>320</v>
      </c>
      <c r="G279" s="530"/>
      <c r="H279" s="530" t="e">
        <f>#REF!</f>
        <v>#REF!</v>
      </c>
      <c r="I279" s="530" t="str">
        <f t="shared" si="70"/>
        <v>NON SALVAGEABLE ITEMS</v>
      </c>
      <c r="J279" s="619" t="str">
        <f>$L$168</f>
        <v>…..........</v>
      </c>
      <c r="BM279" s="200"/>
      <c r="BN279"/>
      <c r="BO279" s="530"/>
      <c r="BQ279" s="619"/>
      <c r="BR279" s="632"/>
      <c r="BS279" s="32"/>
      <c r="BT279" s="607"/>
      <c r="BU279" s="602"/>
      <c r="BZ279" s="602"/>
      <c r="CG279" s="200"/>
      <c r="CY279" s="734"/>
    </row>
    <row r="280" spans="2:103" ht="27" customHeight="1">
      <c r="B280" s="431"/>
      <c r="C280" s="431"/>
      <c r="D280" s="431"/>
      <c r="E280" s="431"/>
      <c r="F280" s="530">
        <f t="shared" si="71"/>
        <v>321</v>
      </c>
      <c r="G280" s="530"/>
      <c r="H280" s="530" t="e">
        <f>#REF!</f>
        <v>#REF!</v>
      </c>
      <c r="I280" s="530" t="str">
        <f t="shared" si="70"/>
        <v>NON SALVAGEABLE ITEMS</v>
      </c>
      <c r="J280" s="619" t="str">
        <f>$L$169</f>
        <v>…..........</v>
      </c>
      <c r="BM280" s="200"/>
      <c r="BN280"/>
      <c r="BO280" s="530"/>
      <c r="BQ280" s="619"/>
      <c r="BR280" s="632"/>
      <c r="BS280" s="32"/>
      <c r="BT280" s="607"/>
      <c r="BU280" s="602"/>
      <c r="BZ280" s="602"/>
      <c r="CG280" s="200"/>
      <c r="CY280" s="734"/>
    </row>
    <row r="281" spans="2:103" ht="27" customHeight="1">
      <c r="B281" s="431"/>
      <c r="C281" s="431"/>
      <c r="D281" s="431"/>
      <c r="E281" s="431"/>
      <c r="F281" s="530">
        <f t="shared" si="71"/>
        <v>322</v>
      </c>
      <c r="G281" s="530"/>
      <c r="H281" s="530" t="e">
        <f>#REF!</f>
        <v>#REF!</v>
      </c>
      <c r="I281" s="530" t="str">
        <f t="shared" si="70"/>
        <v>NON SALVAGEABLE ITEMS</v>
      </c>
      <c r="J281" s="619" t="str">
        <f>$L$170</f>
        <v>…..........</v>
      </c>
      <c r="BM281" s="200"/>
      <c r="BN281"/>
      <c r="BO281" s="530"/>
      <c r="BQ281" s="619"/>
      <c r="BR281" s="632"/>
      <c r="BS281" s="32"/>
      <c r="BT281" s="607"/>
      <c r="BU281" s="602"/>
      <c r="BZ281" s="602"/>
      <c r="CG281" s="200"/>
      <c r="CY281" s="734"/>
    </row>
    <row r="282" spans="2:103" ht="27" customHeight="1">
      <c r="B282" s="431"/>
      <c r="C282" s="431"/>
      <c r="D282" s="431"/>
      <c r="E282" s="431"/>
      <c r="F282" s="530">
        <f t="shared" si="71"/>
        <v>323</v>
      </c>
      <c r="G282" s="530"/>
      <c r="H282" s="530" t="e">
        <f>#REF!</f>
        <v>#REF!</v>
      </c>
      <c r="I282" s="530" t="str">
        <f t="shared" si="70"/>
        <v>NON SALVAGEABLE ITEMS</v>
      </c>
      <c r="J282" s="619" t="str">
        <f>$L$171</f>
        <v>…..........</v>
      </c>
      <c r="BM282" s="200"/>
      <c r="BN282"/>
      <c r="BO282" s="530"/>
      <c r="BQ282" s="619"/>
      <c r="BR282" s="632"/>
      <c r="BS282" s="32"/>
      <c r="BT282" s="607"/>
      <c r="BU282" s="602"/>
      <c r="BZ282" s="602"/>
      <c r="CG282" s="200"/>
      <c r="CY282" s="734"/>
    </row>
    <row r="283" spans="2:103" ht="27" customHeight="1">
      <c r="B283" s="431"/>
      <c r="C283" s="431"/>
      <c r="D283" s="431"/>
      <c r="E283" s="431"/>
      <c r="F283" s="530">
        <f t="shared" si="71"/>
        <v>324</v>
      </c>
      <c r="G283" s="530"/>
      <c r="H283" s="530" t="e">
        <f>#REF!</f>
        <v>#REF!</v>
      </c>
      <c r="I283" s="530" t="str">
        <f t="shared" si="70"/>
        <v>NON SALVAGEABLE ITEMS</v>
      </c>
      <c r="J283" s="619" t="str">
        <f>$L$172</f>
        <v>…..........</v>
      </c>
      <c r="BM283" s="200"/>
      <c r="BN283"/>
      <c r="BO283" s="530"/>
      <c r="BQ283" s="619"/>
      <c r="BR283" s="632"/>
      <c r="BS283" s="32"/>
      <c r="BT283" s="607"/>
      <c r="BU283" s="602"/>
      <c r="BZ283" s="602"/>
      <c r="CG283" s="200"/>
      <c r="CY283" s="734"/>
    </row>
    <row r="284" spans="2:103" ht="27" customHeight="1">
      <c r="B284" s="431"/>
      <c r="C284" s="431"/>
      <c r="D284" s="431"/>
      <c r="E284" s="431"/>
      <c r="F284" s="530">
        <f t="shared" si="71"/>
        <v>325</v>
      </c>
      <c r="G284" s="530"/>
      <c r="H284" s="530" t="e">
        <f>#REF!</f>
        <v>#REF!</v>
      </c>
      <c r="I284" s="530" t="str">
        <f t="shared" si="70"/>
        <v>NON SALVAGEABLE ITEMS</v>
      </c>
      <c r="J284" s="619" t="e">
        <f>#REF!</f>
        <v>#REF!</v>
      </c>
      <c r="BM284" s="200"/>
      <c r="BN284"/>
      <c r="BO284" s="530"/>
      <c r="BQ284" s="619"/>
      <c r="BR284" s="632"/>
      <c r="BS284" s="32"/>
      <c r="BT284" s="607"/>
      <c r="BU284" s="602"/>
      <c r="BZ284" s="602"/>
      <c r="CG284" s="200"/>
      <c r="CY284" s="734"/>
    </row>
    <row r="285" spans="2:103" ht="27" customHeight="1">
      <c r="B285" s="885" t="s">
        <v>610</v>
      </c>
      <c r="C285" s="885"/>
      <c r="D285" s="885"/>
      <c r="E285" s="885"/>
      <c r="F285" s="885"/>
      <c r="G285" s="885"/>
      <c r="H285" s="885"/>
      <c r="I285" s="883" t="s">
        <v>508</v>
      </c>
      <c r="BL285" s="200"/>
      <c r="BM285"/>
      <c r="BN285" s="530"/>
      <c r="BP285" s="619"/>
      <c r="BQ285" s="244"/>
      <c r="BR285" s="200"/>
      <c r="BT285" s="530"/>
      <c r="BV285" s="619"/>
      <c r="BW285" s="632"/>
      <c r="BX285" s="32"/>
      <c r="BY285" s="607"/>
      <c r="BZ285" s="602"/>
      <c r="CG285" s="200"/>
      <c r="CY285" s="734"/>
    </row>
    <row r="286" spans="2:103" ht="27" customHeight="1">
      <c r="B286" s="570" t="str">
        <f>N113</f>
        <v>PPR</v>
      </c>
      <c r="C286" s="570"/>
      <c r="D286" s="570"/>
      <c r="E286" s="570"/>
      <c r="F286" s="570"/>
      <c r="G286" s="570"/>
      <c r="H286" s="228" t="s">
        <v>611</v>
      </c>
      <c r="I286" s="883"/>
      <c r="BL286" s="200"/>
      <c r="BM286"/>
      <c r="BN286" s="530"/>
      <c r="BP286" s="619"/>
      <c r="BQ286" s="244"/>
      <c r="BR286" s="200"/>
      <c r="BT286" s="530"/>
      <c r="BV286" s="619"/>
      <c r="BW286" s="632"/>
      <c r="BX286" s="32"/>
      <c r="BY286" s="607"/>
      <c r="BZ286" s="602"/>
      <c r="CG286" s="200"/>
      <c r="CY286" s="734"/>
    </row>
    <row r="287" spans="2:103" ht="27" customHeight="1">
      <c r="B287" s="530">
        <f t="shared" ref="B287:B297" si="72">N115</f>
        <v>400</v>
      </c>
      <c r="C287" s="530"/>
      <c r="D287" s="530"/>
      <c r="E287" s="530"/>
      <c r="F287" s="200" t="s">
        <v>543</v>
      </c>
      <c r="G287" s="200"/>
      <c r="H287" t="str">
        <f>H286</f>
        <v>DMO DEMOLITION</v>
      </c>
      <c r="I287" s="138" t="s">
        <v>542</v>
      </c>
      <c r="BL287" s="200"/>
      <c r="BM287"/>
      <c r="BN287" s="530"/>
      <c r="BP287" s="619"/>
      <c r="BQ287" s="244"/>
      <c r="BR287" s="200"/>
      <c r="BT287" s="530"/>
      <c r="BV287" s="619"/>
      <c r="BW287" s="632"/>
      <c r="BX287" s="32"/>
      <c r="BY287" s="607"/>
      <c r="BZ287" s="602"/>
      <c r="CG287" s="200"/>
      <c r="CY287" s="734"/>
    </row>
    <row r="288" spans="2:103" ht="27" customHeight="1">
      <c r="B288" s="530">
        <f t="shared" si="72"/>
        <v>401</v>
      </c>
      <c r="C288" s="530"/>
      <c r="D288" s="530"/>
      <c r="E288" s="530"/>
      <c r="F288" s="200" t="s">
        <v>543</v>
      </c>
      <c r="G288" s="200"/>
      <c r="H288" s="575" t="str">
        <f>H287</f>
        <v>DMO DEMOLITION</v>
      </c>
      <c r="I288" s="619" t="str">
        <f>$L$149</f>
        <v>LOS</v>
      </c>
      <c r="BL288" s="200"/>
      <c r="BM288"/>
      <c r="BN288" s="530"/>
      <c r="BP288" s="619"/>
      <c r="BQ288" s="244"/>
      <c r="BR288" s="200"/>
      <c r="BT288" s="530"/>
      <c r="BV288" s="619"/>
      <c r="BW288" s="632"/>
      <c r="BX288" s="32"/>
      <c r="BY288" s="607"/>
      <c r="BZ288" s="602"/>
      <c r="CG288" s="200"/>
      <c r="CY288" s="734"/>
    </row>
    <row r="289" spans="2:103" ht="27" customHeight="1">
      <c r="B289" s="530">
        <f t="shared" si="72"/>
        <v>402</v>
      </c>
      <c r="C289" s="530"/>
      <c r="D289" s="530"/>
      <c r="E289" s="530"/>
      <c r="F289" s="200" t="s">
        <v>543</v>
      </c>
      <c r="G289" s="200"/>
      <c r="H289" s="575" t="str">
        <f t="shared" ref="H289:H312" si="73">H288</f>
        <v>DMO DEMOLITION</v>
      </c>
      <c r="I289" s="619" t="str">
        <f>$L$150</f>
        <v>LOS</v>
      </c>
      <c r="BL289" s="200"/>
      <c r="BM289"/>
      <c r="BN289" s="530"/>
      <c r="BP289" s="619"/>
      <c r="BQ289" s="244"/>
      <c r="BR289" s="200"/>
      <c r="BT289" s="530"/>
      <c r="BV289" s="619"/>
      <c r="BW289" s="632"/>
      <c r="BX289" s="32"/>
      <c r="BY289" s="607"/>
      <c r="BZ289" s="602"/>
      <c r="CG289" s="200"/>
      <c r="CY289" s="734"/>
    </row>
    <row r="290" spans="2:103" ht="27" customHeight="1">
      <c r="B290" s="530">
        <f t="shared" si="72"/>
        <v>403</v>
      </c>
      <c r="C290" s="530"/>
      <c r="D290" s="530"/>
      <c r="E290" s="530"/>
      <c r="F290" s="200" t="s">
        <v>543</v>
      </c>
      <c r="G290" s="200"/>
      <c r="H290" s="575" t="str">
        <f t="shared" si="73"/>
        <v>DMO DEMOLITION</v>
      </c>
      <c r="I290" s="619" t="str">
        <f>$L$151</f>
        <v>LOS</v>
      </c>
      <c r="BL290" s="200"/>
      <c r="BM290"/>
      <c r="BN290" s="530"/>
      <c r="BP290" s="619"/>
      <c r="BQ290" s="244"/>
      <c r="BR290" s="200"/>
      <c r="BT290" s="530"/>
      <c r="BV290" s="619"/>
      <c r="BW290" s="632"/>
      <c r="BX290" s="32"/>
      <c r="BY290" s="607"/>
      <c r="BZ290" s="602"/>
      <c r="CG290" s="200"/>
      <c r="CY290" s="734"/>
    </row>
    <row r="291" spans="2:103" ht="27" customHeight="1">
      <c r="B291" s="530">
        <f t="shared" si="72"/>
        <v>404</v>
      </c>
      <c r="C291" s="530"/>
      <c r="D291" s="530"/>
      <c r="E291" s="530"/>
      <c r="F291" s="200" t="s">
        <v>543</v>
      </c>
      <c r="G291" s="200"/>
      <c r="H291" s="575" t="str">
        <f t="shared" si="73"/>
        <v>DMO DEMOLITION</v>
      </c>
      <c r="I291" s="619" t="str">
        <f>$L$152</f>
        <v>…..........</v>
      </c>
      <c r="BL291" s="200"/>
      <c r="BM291"/>
      <c r="BN291" s="530"/>
      <c r="BP291" s="619"/>
      <c r="BQ291" s="244"/>
      <c r="BR291" s="200"/>
      <c r="BT291" s="530"/>
      <c r="BV291" s="619"/>
      <c r="BW291" s="632"/>
      <c r="BX291" s="32"/>
      <c r="BY291" s="607"/>
      <c r="BZ291" s="602"/>
      <c r="CG291" s="200"/>
      <c r="CY291" s="734"/>
    </row>
    <row r="292" spans="2:103" ht="27" customHeight="1">
      <c r="B292" s="530">
        <f t="shared" si="72"/>
        <v>405</v>
      </c>
      <c r="C292" s="530"/>
      <c r="D292" s="530"/>
      <c r="E292" s="530"/>
      <c r="F292" s="200" t="s">
        <v>543</v>
      </c>
      <c r="G292" s="200"/>
      <c r="H292" s="575" t="str">
        <f t="shared" si="73"/>
        <v>DMO DEMOLITION</v>
      </c>
      <c r="I292" s="619" t="str">
        <f>$L$153</f>
        <v>…..........</v>
      </c>
      <c r="BL292" s="200"/>
      <c r="BM292"/>
      <c r="BN292" s="530"/>
      <c r="BP292" s="619"/>
      <c r="BQ292" s="244"/>
      <c r="BR292" s="200"/>
      <c r="BT292" s="530"/>
      <c r="BV292" s="619"/>
      <c r="BW292" s="632"/>
      <c r="BX292" s="32"/>
      <c r="BY292" s="607"/>
      <c r="BZ292" s="602"/>
      <c r="CG292" s="200"/>
      <c r="CY292" s="734"/>
    </row>
    <row r="293" spans="2:103" ht="27" customHeight="1">
      <c r="B293" s="530">
        <f t="shared" si="72"/>
        <v>406</v>
      </c>
      <c r="C293" s="530"/>
      <c r="D293" s="530"/>
      <c r="E293" s="530"/>
      <c r="F293" s="200" t="s">
        <v>543</v>
      </c>
      <c r="G293" s="200"/>
      <c r="H293" s="575" t="str">
        <f t="shared" si="73"/>
        <v>DMO DEMOLITION</v>
      </c>
      <c r="I293" s="619" t="str">
        <f>$L$154</f>
        <v>…..........</v>
      </c>
      <c r="BL293" s="200"/>
      <c r="BM293"/>
      <c r="BN293" s="530"/>
      <c r="BP293" s="619"/>
      <c r="BQ293" s="244"/>
      <c r="BR293" s="200"/>
      <c r="BT293" s="530"/>
      <c r="BV293" s="619"/>
      <c r="BW293" s="632"/>
      <c r="BX293" s="32"/>
      <c r="BY293" s="607"/>
      <c r="BZ293" s="602"/>
      <c r="CG293" s="200"/>
      <c r="CY293" s="734"/>
    </row>
    <row r="294" spans="2:103" ht="27" customHeight="1">
      <c r="B294" s="530">
        <f t="shared" si="72"/>
        <v>407</v>
      </c>
      <c r="C294" s="530"/>
      <c r="D294" s="530"/>
      <c r="E294" s="530"/>
      <c r="F294" s="200" t="s">
        <v>543</v>
      </c>
      <c r="G294" s="200"/>
      <c r="H294" s="575" t="str">
        <f t="shared" si="73"/>
        <v>DMO DEMOLITION</v>
      </c>
      <c r="I294" s="619" t="str">
        <f>$L$155</f>
        <v>…..........</v>
      </c>
      <c r="BL294" s="200"/>
      <c r="BM294"/>
      <c r="BN294" s="530"/>
      <c r="BP294" s="619"/>
      <c r="BQ294" s="244"/>
      <c r="BR294" s="200"/>
      <c r="BT294" s="530"/>
      <c r="BV294" s="619"/>
      <c r="BW294" s="632"/>
      <c r="BX294" s="32"/>
      <c r="BY294" s="607"/>
      <c r="BZ294" s="602"/>
      <c r="CG294" s="200"/>
      <c r="CY294" s="734"/>
    </row>
    <row r="295" spans="2:103" ht="27" customHeight="1">
      <c r="B295" s="530">
        <f t="shared" si="72"/>
        <v>408</v>
      </c>
      <c r="C295" s="530"/>
      <c r="D295" s="530"/>
      <c r="E295" s="530"/>
      <c r="F295" s="200" t="s">
        <v>543</v>
      </c>
      <c r="G295" s="200"/>
      <c r="H295" s="575" t="str">
        <f t="shared" si="73"/>
        <v>DMO DEMOLITION</v>
      </c>
      <c r="I295" s="619" t="str">
        <f>$L$156</f>
        <v>…..........</v>
      </c>
      <c r="BL295" s="200"/>
      <c r="BM295"/>
      <c r="BN295" s="530"/>
      <c r="BP295" s="619"/>
      <c r="BQ295" s="244"/>
      <c r="BR295" s="200"/>
      <c r="BT295" s="530"/>
      <c r="BV295" s="619"/>
      <c r="BW295" s="632"/>
      <c r="BX295" s="32"/>
      <c r="BY295" s="607"/>
      <c r="BZ295" s="602"/>
      <c r="CG295" s="200"/>
      <c r="CY295" s="734"/>
    </row>
    <row r="296" spans="2:103" ht="27" customHeight="1">
      <c r="B296" s="530">
        <f t="shared" si="72"/>
        <v>409</v>
      </c>
      <c r="C296" s="530"/>
      <c r="D296" s="530"/>
      <c r="E296" s="530"/>
      <c r="F296" s="200" t="s">
        <v>543</v>
      </c>
      <c r="G296" s="200"/>
      <c r="H296" s="575" t="str">
        <f t="shared" si="73"/>
        <v>DMO DEMOLITION</v>
      </c>
      <c r="I296" s="619" t="str">
        <f>$L$157</f>
        <v>…..........</v>
      </c>
      <c r="BL296" s="200"/>
      <c r="BM296"/>
      <c r="BN296" s="530"/>
      <c r="BP296" s="619"/>
      <c r="BQ296" s="244"/>
      <c r="BR296" s="200"/>
      <c r="BT296" s="530"/>
      <c r="BV296" s="619"/>
      <c r="BW296" s="632"/>
      <c r="BX296" s="32"/>
      <c r="BY296" s="607"/>
      <c r="BZ296" s="602"/>
      <c r="CG296" s="200"/>
      <c r="CY296" s="734"/>
    </row>
    <row r="297" spans="2:103" ht="27" customHeight="1">
      <c r="B297" s="530">
        <f t="shared" si="72"/>
        <v>410</v>
      </c>
      <c r="C297" s="530"/>
      <c r="D297" s="530"/>
      <c r="E297" s="530"/>
      <c r="F297" s="200" t="s">
        <v>543</v>
      </c>
      <c r="G297" s="200"/>
      <c r="H297" s="575" t="str">
        <f t="shared" si="73"/>
        <v>DMO DEMOLITION</v>
      </c>
      <c r="I297" s="619" t="str">
        <f>$L$158</f>
        <v>LOS</v>
      </c>
      <c r="BL297" s="200"/>
      <c r="BM297"/>
      <c r="BN297" s="530"/>
      <c r="BP297" s="619"/>
      <c r="BQ297" s="244"/>
      <c r="BR297" s="200"/>
      <c r="BT297" s="530"/>
      <c r="BV297" s="619"/>
      <c r="BW297" s="632"/>
      <c r="BX297" s="32"/>
      <c r="BY297" s="607"/>
      <c r="BZ297" s="602"/>
      <c r="CG297" s="200"/>
      <c r="CY297" s="734"/>
    </row>
    <row r="298" spans="2:103" ht="27" customHeight="1">
      <c r="B298" s="530">
        <f>N130</f>
        <v>411</v>
      </c>
      <c r="C298" s="530"/>
      <c r="D298" s="530"/>
      <c r="E298" s="530"/>
      <c r="F298" s="200" t="s">
        <v>543</v>
      </c>
      <c r="G298" s="200"/>
      <c r="H298" s="575" t="str">
        <f t="shared" si="73"/>
        <v>DMO DEMOLITION</v>
      </c>
      <c r="I298" s="619" t="str">
        <f>$L$159</f>
        <v>…..........</v>
      </c>
      <c r="BL298" s="200"/>
      <c r="BM298"/>
      <c r="BN298" s="530"/>
      <c r="BP298" s="619"/>
      <c r="BQ298" s="244"/>
      <c r="BR298" s="200"/>
      <c r="BT298" s="530"/>
      <c r="BV298" s="619"/>
      <c r="BW298" s="632"/>
      <c r="BX298" s="32"/>
      <c r="BY298" s="607"/>
      <c r="BZ298" s="602"/>
      <c r="CG298" s="200"/>
      <c r="CY298" s="734"/>
    </row>
    <row r="299" spans="2:103" ht="27" customHeight="1">
      <c r="B299" s="530">
        <f>N131</f>
        <v>412</v>
      </c>
      <c r="C299" s="530"/>
      <c r="D299" s="530"/>
      <c r="E299" s="530"/>
      <c r="F299" s="200" t="s">
        <v>543</v>
      </c>
      <c r="G299" s="200"/>
      <c r="H299" s="575" t="str">
        <f t="shared" si="73"/>
        <v>DMO DEMOLITION</v>
      </c>
      <c r="I299" s="619" t="str">
        <f>$L$160</f>
        <v>LOS</v>
      </c>
      <c r="BL299" s="200"/>
      <c r="BM299"/>
      <c r="BN299" s="530"/>
      <c r="BP299" s="619"/>
      <c r="BQ299" s="244"/>
      <c r="BR299" s="200"/>
      <c r="BT299" s="530"/>
      <c r="BV299" s="619"/>
      <c r="BW299" s="632"/>
      <c r="BX299" s="32"/>
      <c r="BY299" s="607"/>
      <c r="BZ299" s="602"/>
      <c r="CG299" s="200"/>
      <c r="CY299" s="734"/>
    </row>
    <row r="300" spans="2:103" ht="27" customHeight="1">
      <c r="B300" s="530">
        <f>N132</f>
        <v>413</v>
      </c>
      <c r="C300" s="530"/>
      <c r="D300" s="530"/>
      <c r="E300" s="530"/>
      <c r="F300" s="200" t="s">
        <v>543</v>
      </c>
      <c r="G300" s="200"/>
      <c r="H300" s="575" t="str">
        <f t="shared" si="73"/>
        <v>DMO DEMOLITION</v>
      </c>
      <c r="I300" s="619" t="str">
        <f>$L$161</f>
        <v>LOS</v>
      </c>
      <c r="BL300" s="200"/>
      <c r="BM300"/>
      <c r="BN300" s="530"/>
      <c r="BP300" s="619"/>
      <c r="BQ300" s="244"/>
      <c r="BR300" s="200"/>
      <c r="BT300" s="530"/>
      <c r="BV300" s="619"/>
      <c r="BW300" s="632"/>
      <c r="BX300" s="32"/>
      <c r="BY300" s="607"/>
      <c r="BZ300" s="602"/>
      <c r="CG300" s="200"/>
      <c r="CY300" s="734"/>
    </row>
    <row r="301" spans="2:103" ht="27" customHeight="1">
      <c r="B301" s="530">
        <f>N133</f>
        <v>414</v>
      </c>
      <c r="C301" s="530"/>
      <c r="D301" s="530"/>
      <c r="E301" s="530"/>
      <c r="F301" s="200" t="s">
        <v>543</v>
      </c>
      <c r="G301" s="200"/>
      <c r="H301" s="575" t="str">
        <f t="shared" si="73"/>
        <v>DMO DEMOLITION</v>
      </c>
      <c r="I301" s="619" t="str">
        <f>$L$162</f>
        <v>LOS</v>
      </c>
      <c r="BL301" s="200"/>
      <c r="BM301"/>
      <c r="BN301" s="530"/>
      <c r="BP301" s="619"/>
      <c r="BQ301" s="244"/>
      <c r="BR301" s="200"/>
      <c r="BT301" s="530"/>
      <c r="BV301" s="619"/>
      <c r="BW301" s="632"/>
      <c r="BX301" s="32"/>
      <c r="BY301" s="607"/>
      <c r="BZ301" s="602"/>
      <c r="CG301" s="200"/>
      <c r="CY301" s="734"/>
    </row>
    <row r="302" spans="2:103" ht="27" customHeight="1">
      <c r="B302" s="530">
        <f>N134</f>
        <v>415</v>
      </c>
      <c r="C302" s="530"/>
      <c r="D302" s="530"/>
      <c r="E302" s="530"/>
      <c r="F302" s="200" t="s">
        <v>543</v>
      </c>
      <c r="G302" s="200"/>
      <c r="H302" s="575" t="str">
        <f t="shared" si="73"/>
        <v>DMO DEMOLITION</v>
      </c>
      <c r="I302" s="619" t="str">
        <f>$L$163</f>
        <v>LOS</v>
      </c>
      <c r="BL302" s="200"/>
      <c r="BM302"/>
      <c r="BN302" s="530"/>
      <c r="BP302" s="619"/>
      <c r="BQ302" s="244"/>
      <c r="BR302" s="200"/>
      <c r="BT302" s="530"/>
      <c r="BV302" s="619"/>
      <c r="BW302" s="632"/>
      <c r="BX302" s="32"/>
      <c r="BY302" s="607"/>
      <c r="BZ302" s="602"/>
      <c r="CG302" s="200"/>
      <c r="CY302" s="734"/>
    </row>
    <row r="303" spans="2:103" ht="27" customHeight="1">
      <c r="B303" s="530">
        <f t="shared" ref="B303:B312" si="74">N135</f>
        <v>416</v>
      </c>
      <c r="C303" s="530"/>
      <c r="D303" s="530"/>
      <c r="E303" s="530"/>
      <c r="F303" s="200" t="s">
        <v>543</v>
      </c>
      <c r="G303" s="200"/>
      <c r="H303" s="575" t="str">
        <f t="shared" si="73"/>
        <v>DMO DEMOLITION</v>
      </c>
      <c r="I303" s="619" t="str">
        <f>$L$164</f>
        <v>LOS</v>
      </c>
      <c r="BL303" s="200"/>
      <c r="BM303"/>
      <c r="BN303" s="530"/>
      <c r="BP303" s="619"/>
      <c r="BQ303" s="244"/>
      <c r="BR303" s="200"/>
      <c r="BT303" s="530"/>
      <c r="BV303" s="619"/>
      <c r="BW303" s="632"/>
      <c r="BX303" s="32"/>
      <c r="BY303" s="607"/>
      <c r="BZ303" s="602"/>
      <c r="CG303" s="200"/>
      <c r="CY303" s="734"/>
    </row>
    <row r="304" spans="2:103" ht="27" customHeight="1">
      <c r="B304" s="530">
        <f t="shared" si="74"/>
        <v>417</v>
      </c>
      <c r="C304" s="530"/>
      <c r="D304" s="530"/>
      <c r="E304" s="530"/>
      <c r="F304" s="200" t="s">
        <v>543</v>
      </c>
      <c r="G304" s="200"/>
      <c r="H304" s="575" t="str">
        <f t="shared" si="73"/>
        <v>DMO DEMOLITION</v>
      </c>
      <c r="I304" s="619" t="str">
        <f>$L$165</f>
        <v>LOS</v>
      </c>
      <c r="BL304" s="200"/>
      <c r="BM304"/>
      <c r="BN304" s="530"/>
      <c r="BP304" s="619"/>
      <c r="BQ304" s="244"/>
      <c r="BR304" s="200"/>
      <c r="BT304" s="530"/>
      <c r="BV304" s="619"/>
      <c r="BW304" s="632"/>
      <c r="BX304" s="32"/>
      <c r="BY304" s="607"/>
      <c r="BZ304" s="602"/>
      <c r="CG304" s="200"/>
      <c r="CY304" s="734"/>
    </row>
    <row r="305" spans="2:103" ht="27" customHeight="1">
      <c r="B305" s="530">
        <f t="shared" si="74"/>
        <v>418</v>
      </c>
      <c r="C305" s="530"/>
      <c r="D305" s="530"/>
      <c r="E305" s="530"/>
      <c r="F305" s="200" t="s">
        <v>543</v>
      </c>
      <c r="G305" s="200"/>
      <c r="H305" s="575" t="str">
        <f t="shared" si="73"/>
        <v>DMO DEMOLITION</v>
      </c>
      <c r="I305" s="619" t="str">
        <f>$L$166</f>
        <v>LOS</v>
      </c>
      <c r="BL305" s="200"/>
      <c r="BM305"/>
      <c r="BN305" s="530"/>
      <c r="BP305" s="619"/>
      <c r="BQ305" s="244"/>
      <c r="BR305" s="200"/>
      <c r="BT305" s="530"/>
      <c r="BV305" s="619"/>
      <c r="BW305" s="632"/>
      <c r="BX305" s="32"/>
      <c r="BY305" s="607"/>
      <c r="BZ305" s="602"/>
      <c r="CG305" s="200"/>
      <c r="CY305" s="734"/>
    </row>
    <row r="306" spans="2:103" ht="27" customHeight="1">
      <c r="B306" s="530">
        <f t="shared" si="74"/>
        <v>419</v>
      </c>
      <c r="C306" s="530"/>
      <c r="D306" s="530"/>
      <c r="E306" s="530"/>
      <c r="F306" s="200" t="s">
        <v>543</v>
      </c>
      <c r="G306" s="200"/>
      <c r="H306" s="575" t="str">
        <f t="shared" si="73"/>
        <v>DMO DEMOLITION</v>
      </c>
      <c r="I306" s="619" t="str">
        <f>$L$167</f>
        <v>LOS</v>
      </c>
      <c r="BL306" s="200"/>
      <c r="BM306"/>
      <c r="BN306" s="530"/>
      <c r="BP306" s="619"/>
      <c r="BQ306" s="244"/>
      <c r="BR306" s="200"/>
      <c r="BT306" s="530"/>
      <c r="BV306" s="619"/>
      <c r="BW306" s="632"/>
      <c r="BX306" s="32"/>
      <c r="BY306" s="607"/>
      <c r="BZ306" s="602"/>
      <c r="CG306" s="200"/>
      <c r="CY306" s="734"/>
    </row>
    <row r="307" spans="2:103" ht="27" customHeight="1">
      <c r="B307" s="530">
        <f t="shared" si="74"/>
        <v>420</v>
      </c>
      <c r="C307" s="530"/>
      <c r="D307" s="530"/>
      <c r="E307" s="530"/>
      <c r="F307" s="200" t="s">
        <v>543</v>
      </c>
      <c r="G307" s="200"/>
      <c r="H307" s="575" t="str">
        <f t="shared" si="73"/>
        <v>DMO DEMOLITION</v>
      </c>
      <c r="I307" s="619" t="str">
        <f>$L$168</f>
        <v>…..........</v>
      </c>
      <c r="BL307" s="200"/>
      <c r="BM307"/>
      <c r="BN307" s="530"/>
      <c r="BP307" s="619"/>
      <c r="BQ307" s="244"/>
      <c r="BR307" s="200"/>
      <c r="BT307" s="530"/>
      <c r="BV307" s="619"/>
      <c r="BW307" s="632"/>
      <c r="BX307" s="32"/>
      <c r="BY307" s="607"/>
      <c r="BZ307" s="602"/>
      <c r="CG307" s="200"/>
      <c r="CY307" s="734"/>
    </row>
    <row r="308" spans="2:103" ht="27" customHeight="1">
      <c r="B308" s="530">
        <f t="shared" si="74"/>
        <v>421</v>
      </c>
      <c r="C308" s="530"/>
      <c r="D308" s="530"/>
      <c r="E308" s="530"/>
      <c r="F308" s="200" t="s">
        <v>543</v>
      </c>
      <c r="G308" s="200"/>
      <c r="H308" s="575" t="str">
        <f t="shared" si="73"/>
        <v>DMO DEMOLITION</v>
      </c>
      <c r="I308" s="619" t="str">
        <f>$L$169</f>
        <v>…..........</v>
      </c>
      <c r="BL308" s="200"/>
      <c r="BM308"/>
      <c r="BN308" s="530"/>
      <c r="BP308" s="619"/>
      <c r="BQ308" s="244"/>
      <c r="BR308" s="200"/>
      <c r="BT308" s="530"/>
      <c r="BV308" s="619"/>
      <c r="BW308" s="632"/>
      <c r="BX308" s="32"/>
      <c r="BY308" s="607"/>
      <c r="BZ308" s="602"/>
      <c r="CG308" s="200"/>
      <c r="CY308" s="734"/>
    </row>
    <row r="309" spans="2:103" ht="27" customHeight="1">
      <c r="B309" s="530">
        <f t="shared" si="74"/>
        <v>422</v>
      </c>
      <c r="C309" s="530"/>
      <c r="D309" s="530"/>
      <c r="E309" s="530"/>
      <c r="F309" s="200" t="s">
        <v>543</v>
      </c>
      <c r="G309" s="200"/>
      <c r="H309" s="575" t="str">
        <f t="shared" si="73"/>
        <v>DMO DEMOLITION</v>
      </c>
      <c r="I309" s="619" t="str">
        <f>$L$170</f>
        <v>…..........</v>
      </c>
      <c r="BL309" s="200"/>
      <c r="BM309"/>
      <c r="BN309" s="530"/>
      <c r="BP309" s="619"/>
      <c r="BQ309" s="244"/>
      <c r="BR309" s="200"/>
      <c r="BT309" s="530"/>
      <c r="BV309" s="619"/>
      <c r="BW309" s="632"/>
      <c r="BX309" s="32"/>
      <c r="BY309" s="607"/>
      <c r="BZ309" s="602"/>
      <c r="CG309" s="200"/>
      <c r="CY309" s="734"/>
    </row>
    <row r="310" spans="2:103" ht="27" customHeight="1">
      <c r="B310" s="530">
        <f t="shared" si="74"/>
        <v>423</v>
      </c>
      <c r="C310" s="530"/>
      <c r="D310" s="530"/>
      <c r="E310" s="530"/>
      <c r="F310" s="200" t="s">
        <v>543</v>
      </c>
      <c r="G310" s="200"/>
      <c r="H310" s="575" t="str">
        <f t="shared" si="73"/>
        <v>DMO DEMOLITION</v>
      </c>
      <c r="I310" s="619" t="str">
        <f>$L$171</f>
        <v>…..........</v>
      </c>
      <c r="BL310" s="200"/>
      <c r="BM310"/>
      <c r="BN310" s="530"/>
      <c r="BP310" s="619"/>
      <c r="BQ310" s="244"/>
      <c r="BR310" s="200"/>
      <c r="BT310" s="530"/>
      <c r="BV310" s="619"/>
      <c r="BW310" s="632"/>
      <c r="BX310" s="32"/>
      <c r="BY310" s="607"/>
      <c r="BZ310" s="602"/>
      <c r="CG310" s="200"/>
      <c r="CY310" s="734"/>
    </row>
    <row r="311" spans="2:103" ht="27" customHeight="1">
      <c r="B311" s="530">
        <f t="shared" si="74"/>
        <v>424</v>
      </c>
      <c r="C311" s="530"/>
      <c r="D311" s="530"/>
      <c r="E311" s="530"/>
      <c r="F311" s="200" t="s">
        <v>543</v>
      </c>
      <c r="G311" s="200"/>
      <c r="H311" s="575" t="str">
        <f t="shared" si="73"/>
        <v>DMO DEMOLITION</v>
      </c>
      <c r="I311" s="619" t="str">
        <f>$L$172</f>
        <v>…..........</v>
      </c>
      <c r="BL311" s="200"/>
      <c r="BM311"/>
      <c r="BN311" s="530"/>
      <c r="BP311" s="619"/>
      <c r="BQ311" s="244"/>
      <c r="BR311" s="200"/>
      <c r="BT311" s="530"/>
      <c r="BV311" s="619"/>
      <c r="BW311" s="632"/>
      <c r="BX311" s="32"/>
      <c r="BY311" s="607"/>
      <c r="BZ311" s="602"/>
      <c r="CG311" s="200"/>
      <c r="CY311" s="734"/>
    </row>
    <row r="312" spans="2:103" ht="27" customHeight="1">
      <c r="B312" s="530">
        <f t="shared" si="74"/>
        <v>425</v>
      </c>
      <c r="C312" s="530"/>
      <c r="D312" s="530"/>
      <c r="E312" s="530"/>
      <c r="F312" s="200" t="s">
        <v>543</v>
      </c>
      <c r="G312" s="200"/>
      <c r="H312" s="575" t="str">
        <f t="shared" si="73"/>
        <v>DMO DEMOLITION</v>
      </c>
      <c r="I312" s="619" t="e">
        <f>#REF!</f>
        <v>#REF!</v>
      </c>
      <c r="BL312" s="200"/>
      <c r="BM312"/>
      <c r="BN312" s="530"/>
      <c r="BP312" s="619"/>
      <c r="BQ312" s="244"/>
      <c r="BR312" s="200"/>
      <c r="BT312" s="530"/>
      <c r="BV312" s="619"/>
      <c r="BW312" s="632"/>
      <c r="BX312" s="32"/>
      <c r="BY312" s="607"/>
      <c r="BZ312" s="602"/>
      <c r="CG312" s="200"/>
      <c r="CY312" s="734"/>
    </row>
    <row r="313" spans="2:103" ht="27" customHeight="1">
      <c r="B313" s="602" t="s">
        <v>585</v>
      </c>
      <c r="C313" s="602"/>
      <c r="D313" s="602"/>
      <c r="E313" s="602"/>
      <c r="F313" s="602"/>
      <c r="G313" s="602"/>
      <c r="H313" s="602"/>
      <c r="I313" s="602"/>
      <c r="J313" s="883" t="s">
        <v>508</v>
      </c>
      <c r="BJ313" s="619"/>
      <c r="BK313" s="244"/>
      <c r="BL313" s="200"/>
      <c r="BM313"/>
      <c r="BN313" s="530"/>
      <c r="BP313" s="619"/>
      <c r="BQ313" s="244"/>
      <c r="BR313" s="200"/>
      <c r="BT313" s="530"/>
      <c r="BV313" s="619"/>
      <c r="BW313" s="632"/>
      <c r="BX313" s="32"/>
      <c r="BY313" s="607"/>
      <c r="BZ313" s="602"/>
      <c r="CG313" s="200"/>
      <c r="CY313" s="734"/>
    </row>
    <row r="314" spans="2:103" ht="27" customHeight="1">
      <c r="B314" s="603" t="s">
        <v>529</v>
      </c>
      <c r="C314" s="603"/>
      <c r="D314" s="603"/>
      <c r="E314" s="603"/>
      <c r="F314" s="603"/>
      <c r="G314" s="603"/>
      <c r="H314" s="832"/>
      <c r="I314" s="832"/>
      <c r="J314" s="883"/>
      <c r="BJ314" s="619"/>
      <c r="BK314" s="244"/>
      <c r="BL314" s="200"/>
      <c r="BM314"/>
      <c r="BN314" s="530"/>
      <c r="BP314" s="619"/>
      <c r="BQ314" s="244"/>
      <c r="BR314" s="200"/>
      <c r="BT314" s="530"/>
      <c r="BV314" s="619"/>
      <c r="BW314" s="632"/>
      <c r="BX314" s="32"/>
      <c r="BY314" s="607"/>
      <c r="BZ314" s="602"/>
      <c r="CG314" s="200"/>
      <c r="CY314" s="734"/>
    </row>
    <row r="315" spans="2:103" ht="27" customHeight="1">
      <c r="B315" s="604">
        <f>B316-0.1</f>
        <v>6101</v>
      </c>
      <c r="C315" s="604"/>
      <c r="D315" s="604"/>
      <c r="E315" s="604"/>
      <c r="F315" s="200" t="s">
        <v>543</v>
      </c>
      <c r="G315" s="200"/>
      <c r="H315" t="s">
        <v>612</v>
      </c>
      <c r="I315" s="564" t="s">
        <v>548</v>
      </c>
      <c r="J315" s="183" t="str">
        <f>B314</f>
        <v>.. DAY 1 …</v>
      </c>
      <c r="BJ315" s="619"/>
      <c r="BK315" s="244"/>
      <c r="BL315" s="200"/>
      <c r="BM315"/>
      <c r="BN315" s="530"/>
      <c r="BP315" s="619"/>
      <c r="BQ315" s="244"/>
      <c r="BR315" s="200"/>
      <c r="BT315" s="530"/>
      <c r="BV315" s="619"/>
      <c r="BW315" s="632"/>
      <c r="BX315" s="32"/>
      <c r="BY315" s="607"/>
      <c r="BZ315" s="602"/>
      <c r="CG315" s="200"/>
      <c r="CY315" s="734"/>
    </row>
    <row r="316" spans="2:103" ht="27" customHeight="1">
      <c r="B316" s="244">
        <f t="shared" ref="B316:B340" si="75">F512</f>
        <v>6101.1</v>
      </c>
      <c r="C316" s="244"/>
      <c r="D316" s="244"/>
      <c r="E316" s="244"/>
      <c r="F316" s="200" t="s">
        <v>543</v>
      </c>
      <c r="G316" s="200"/>
      <c r="H316" s="530" t="e">
        <f>#REF!</f>
        <v>#REF!</v>
      </c>
      <c r="I316" t="str">
        <f>B313</f>
        <v xml:space="preserve">  ...  MC READINGS ..</v>
      </c>
      <c r="J316" s="619" t="str">
        <f>$L$149</f>
        <v>LOS</v>
      </c>
      <c r="BJ316" s="619"/>
      <c r="BK316" s="244"/>
      <c r="BL316" s="200"/>
      <c r="BM316"/>
      <c r="BN316" s="530"/>
      <c r="BP316" s="619"/>
      <c r="BQ316" s="244"/>
      <c r="BR316" s="200"/>
      <c r="BT316" s="530"/>
      <c r="BV316" s="619"/>
      <c r="BW316" s="632"/>
      <c r="BX316" s="32"/>
      <c r="BY316" s="607"/>
      <c r="BZ316" s="602"/>
      <c r="CG316" s="200"/>
      <c r="CY316" s="734"/>
    </row>
    <row r="317" spans="2:103" ht="27" customHeight="1">
      <c r="B317" s="244">
        <f t="shared" si="75"/>
        <v>6102.1</v>
      </c>
      <c r="C317" s="244"/>
      <c r="D317" s="244"/>
      <c r="E317" s="244"/>
      <c r="F317" s="200" t="s">
        <v>543</v>
      </c>
      <c r="G317" s="200"/>
      <c r="H317" s="530" t="e">
        <f>#REF!</f>
        <v>#REF!</v>
      </c>
      <c r="I317" t="str">
        <f>I316</f>
        <v xml:space="preserve">  ...  MC READINGS ..</v>
      </c>
      <c r="J317" s="619" t="str">
        <f>$L$150</f>
        <v>LOS</v>
      </c>
      <c r="BJ317" s="619"/>
      <c r="BK317" s="244"/>
      <c r="BL317" s="200"/>
      <c r="BM317"/>
      <c r="BN317" s="530"/>
      <c r="BP317" s="619"/>
      <c r="BQ317" s="244"/>
      <c r="BR317" s="200"/>
      <c r="BT317" s="530"/>
      <c r="BV317" s="619"/>
      <c r="BW317" s="632"/>
      <c r="BX317" s="32"/>
      <c r="BY317" s="607"/>
      <c r="BZ317" s="602"/>
      <c r="CG317" s="200"/>
      <c r="CY317" s="734"/>
    </row>
    <row r="318" spans="2:103" ht="27" customHeight="1">
      <c r="B318" s="244">
        <f t="shared" si="75"/>
        <v>6103.1</v>
      </c>
      <c r="C318" s="244"/>
      <c r="D318" s="244"/>
      <c r="E318" s="244"/>
      <c r="F318" s="200" t="s">
        <v>543</v>
      </c>
      <c r="G318" s="200"/>
      <c r="H318" s="530" t="e">
        <f>#REF!</f>
        <v>#REF!</v>
      </c>
      <c r="I318" t="str">
        <f t="shared" ref="I318:I340" si="76">I317</f>
        <v xml:space="preserve">  ...  MC READINGS ..</v>
      </c>
      <c r="J318" s="619" t="str">
        <f>$L$151</f>
        <v>LOS</v>
      </c>
      <c r="BJ318" s="619"/>
      <c r="BK318" s="244"/>
      <c r="BL318" s="200"/>
      <c r="BM318"/>
      <c r="BN318" s="530"/>
      <c r="BP318" s="619"/>
      <c r="BQ318" s="244"/>
      <c r="BR318" s="200"/>
      <c r="BT318" s="530"/>
      <c r="BV318" s="619"/>
      <c r="BW318" s="632"/>
      <c r="BX318" s="32"/>
      <c r="BY318" s="607"/>
      <c r="BZ318" s="602"/>
      <c r="CG318" s="200"/>
      <c r="CY318" s="734"/>
    </row>
    <row r="319" spans="2:103" ht="27" customHeight="1">
      <c r="B319" s="244">
        <f t="shared" si="75"/>
        <v>6104.1</v>
      </c>
      <c r="C319" s="244"/>
      <c r="D319" s="244"/>
      <c r="E319" s="244"/>
      <c r="F319" s="200" t="s">
        <v>543</v>
      </c>
      <c r="G319" s="200"/>
      <c r="H319" s="530" t="e">
        <f>#REF!</f>
        <v>#REF!</v>
      </c>
      <c r="I319" t="str">
        <f t="shared" si="76"/>
        <v xml:space="preserve">  ...  MC READINGS ..</v>
      </c>
      <c r="J319" s="619" t="str">
        <f>$L$152</f>
        <v>…..........</v>
      </c>
      <c r="BJ319" s="619"/>
      <c r="BK319" s="244"/>
      <c r="BL319" s="200"/>
      <c r="BM319"/>
      <c r="BN319" s="530"/>
      <c r="BP319" s="619"/>
      <c r="BQ319" s="244"/>
      <c r="BR319" s="200"/>
      <c r="BT319" s="530"/>
      <c r="BV319" s="619"/>
      <c r="BW319" s="632"/>
      <c r="BX319" s="32"/>
      <c r="BY319" s="607"/>
      <c r="BZ319" s="602"/>
      <c r="CG319" s="200"/>
      <c r="CY319" s="734"/>
    </row>
    <row r="320" spans="2:103" ht="27" customHeight="1">
      <c r="B320" s="244">
        <f t="shared" si="75"/>
        <v>6105.1</v>
      </c>
      <c r="C320" s="244"/>
      <c r="D320" s="244"/>
      <c r="E320" s="244"/>
      <c r="F320" s="200" t="s">
        <v>543</v>
      </c>
      <c r="G320" s="200"/>
      <c r="H320" s="530" t="e">
        <f>#REF!</f>
        <v>#REF!</v>
      </c>
      <c r="I320" t="str">
        <f t="shared" si="76"/>
        <v xml:space="preserve">  ...  MC READINGS ..</v>
      </c>
      <c r="J320" s="619" t="str">
        <f>$L$153</f>
        <v>…..........</v>
      </c>
      <c r="BJ320" s="619"/>
      <c r="BK320" s="244"/>
      <c r="BL320" s="200"/>
      <c r="BM320"/>
      <c r="BN320" s="530"/>
      <c r="BP320" s="619"/>
      <c r="BQ320" s="244"/>
      <c r="BR320" s="200"/>
      <c r="BT320" s="530"/>
      <c r="BV320" s="619"/>
      <c r="BW320" s="632"/>
      <c r="BX320" s="32"/>
      <c r="BY320" s="607"/>
      <c r="BZ320" s="602"/>
      <c r="CG320" s="200"/>
      <c r="CY320" s="734"/>
    </row>
    <row r="321" spans="2:103" ht="27" customHeight="1">
      <c r="B321" s="244">
        <f t="shared" si="75"/>
        <v>6106.1</v>
      </c>
      <c r="C321" s="244"/>
      <c r="D321" s="244"/>
      <c r="E321" s="244"/>
      <c r="F321" s="200" t="s">
        <v>543</v>
      </c>
      <c r="G321" s="200"/>
      <c r="H321" s="530" t="e">
        <f>#REF!</f>
        <v>#REF!</v>
      </c>
      <c r="I321" t="str">
        <f t="shared" si="76"/>
        <v xml:space="preserve">  ...  MC READINGS ..</v>
      </c>
      <c r="J321" s="619" t="str">
        <f>$L$154</f>
        <v>…..........</v>
      </c>
      <c r="BJ321" s="619"/>
      <c r="BK321" s="244"/>
      <c r="BL321" s="200"/>
      <c r="BM321"/>
      <c r="BN321" s="530"/>
      <c r="BP321" s="619"/>
      <c r="BQ321" s="244"/>
      <c r="BR321" s="200"/>
      <c r="BT321" s="530"/>
      <c r="BV321" s="619"/>
      <c r="BW321" s="632"/>
      <c r="BX321" s="32"/>
      <c r="BY321" s="607"/>
      <c r="BZ321" s="602"/>
      <c r="CG321" s="200"/>
      <c r="CY321" s="734"/>
    </row>
    <row r="322" spans="2:103" ht="27" customHeight="1">
      <c r="B322" s="244">
        <f t="shared" si="75"/>
        <v>6107.1</v>
      </c>
      <c r="C322" s="244"/>
      <c r="D322" s="244"/>
      <c r="E322" s="244"/>
      <c r="F322" s="200" t="s">
        <v>543</v>
      </c>
      <c r="G322" s="200"/>
      <c r="H322" s="530" t="e">
        <f>#REF!</f>
        <v>#REF!</v>
      </c>
      <c r="I322" t="str">
        <f t="shared" si="76"/>
        <v xml:space="preserve">  ...  MC READINGS ..</v>
      </c>
      <c r="J322" s="619" t="str">
        <f>$L$155</f>
        <v>…..........</v>
      </c>
      <c r="BJ322" s="619"/>
      <c r="BK322" s="244"/>
      <c r="BL322" s="200"/>
      <c r="BM322"/>
      <c r="BN322" s="530"/>
      <c r="BP322" s="619"/>
      <c r="BQ322" s="244"/>
      <c r="BR322" s="200"/>
      <c r="BT322" s="530"/>
      <c r="BV322" s="619"/>
      <c r="BW322" s="632"/>
      <c r="BX322" s="32"/>
      <c r="BY322" s="607"/>
      <c r="BZ322" s="602"/>
      <c r="CG322" s="200"/>
      <c r="CY322" s="734"/>
    </row>
    <row r="323" spans="2:103" ht="27" customHeight="1">
      <c r="B323" s="244">
        <f t="shared" si="75"/>
        <v>6108.1</v>
      </c>
      <c r="C323" s="244"/>
      <c r="D323" s="244"/>
      <c r="E323" s="244"/>
      <c r="F323" s="200" t="s">
        <v>543</v>
      </c>
      <c r="G323" s="200"/>
      <c r="H323" s="530" t="e">
        <f>#REF!</f>
        <v>#REF!</v>
      </c>
      <c r="I323" t="str">
        <f t="shared" si="76"/>
        <v xml:space="preserve">  ...  MC READINGS ..</v>
      </c>
      <c r="J323" s="619" t="str">
        <f>$L$156</f>
        <v>…..........</v>
      </c>
      <c r="BJ323" s="619"/>
      <c r="BK323" s="244"/>
      <c r="BL323" s="200"/>
      <c r="BM323"/>
      <c r="BN323" s="530"/>
      <c r="BP323" s="619"/>
      <c r="BQ323" s="244"/>
      <c r="BR323" s="200"/>
      <c r="BT323" s="530"/>
      <c r="BV323" s="619"/>
      <c r="BW323" s="632"/>
      <c r="BX323" s="32"/>
      <c r="BY323" s="607"/>
      <c r="BZ323" s="602"/>
      <c r="CG323" s="200"/>
      <c r="CY323" s="734"/>
    </row>
    <row r="324" spans="2:103" ht="27" customHeight="1">
      <c r="B324" s="244">
        <f t="shared" si="75"/>
        <v>6109.1</v>
      </c>
      <c r="C324" s="244"/>
      <c r="D324" s="244"/>
      <c r="E324" s="244"/>
      <c r="F324" s="200" t="s">
        <v>543</v>
      </c>
      <c r="G324" s="200"/>
      <c r="H324" s="530" t="e">
        <f>#REF!</f>
        <v>#REF!</v>
      </c>
      <c r="I324" t="str">
        <f t="shared" si="76"/>
        <v xml:space="preserve">  ...  MC READINGS ..</v>
      </c>
      <c r="J324" s="619" t="str">
        <f>$L$157</f>
        <v>…..........</v>
      </c>
      <c r="BJ324" s="619"/>
      <c r="BK324" s="244"/>
      <c r="BL324" s="200"/>
      <c r="BM324"/>
      <c r="BN324" s="530"/>
      <c r="BP324" s="619"/>
      <c r="BQ324" s="244"/>
      <c r="BR324" s="200"/>
      <c r="BT324" s="530"/>
      <c r="BV324" s="619"/>
      <c r="BW324" s="632"/>
      <c r="BX324" s="32"/>
      <c r="BY324" s="607"/>
      <c r="BZ324" s="602"/>
      <c r="CG324" s="200"/>
      <c r="CY324" s="734"/>
    </row>
    <row r="325" spans="2:103" ht="27" customHeight="1">
      <c r="B325" s="244">
        <f t="shared" si="75"/>
        <v>6110.1</v>
      </c>
      <c r="C325" s="244"/>
      <c r="D325" s="244"/>
      <c r="E325" s="244"/>
      <c r="F325" s="200" t="s">
        <v>543</v>
      </c>
      <c r="G325" s="200"/>
      <c r="H325" s="530" t="e">
        <f>#REF!</f>
        <v>#REF!</v>
      </c>
      <c r="I325" t="str">
        <f t="shared" si="76"/>
        <v xml:space="preserve">  ...  MC READINGS ..</v>
      </c>
      <c r="J325" s="619" t="str">
        <f>$L$158</f>
        <v>LOS</v>
      </c>
      <c r="BJ325" s="619"/>
      <c r="BK325" s="244"/>
      <c r="BL325" s="200"/>
      <c r="BM325"/>
      <c r="BN325" s="530"/>
      <c r="BP325" s="619"/>
      <c r="BQ325" s="244"/>
      <c r="BR325" s="200"/>
      <c r="BT325" s="530"/>
      <c r="BV325" s="619"/>
      <c r="BW325" s="632"/>
      <c r="BX325" s="32"/>
      <c r="BY325" s="607"/>
      <c r="BZ325" s="602"/>
      <c r="CG325" s="200"/>
      <c r="CY325" s="734"/>
    </row>
    <row r="326" spans="2:103" ht="27" customHeight="1">
      <c r="B326" s="244">
        <f t="shared" si="75"/>
        <v>6111.1</v>
      </c>
      <c r="C326" s="244"/>
      <c r="D326" s="244"/>
      <c r="E326" s="244"/>
      <c r="F326" s="200" t="s">
        <v>543</v>
      </c>
      <c r="G326" s="200"/>
      <c r="H326" s="530" t="e">
        <f>#REF!</f>
        <v>#REF!</v>
      </c>
      <c r="I326" t="str">
        <f t="shared" si="76"/>
        <v xml:space="preserve">  ...  MC READINGS ..</v>
      </c>
      <c r="J326" s="619" t="str">
        <f>$L$159</f>
        <v>…..........</v>
      </c>
      <c r="BJ326" s="619"/>
      <c r="BK326" s="244"/>
      <c r="BL326" s="200"/>
      <c r="BM326"/>
      <c r="BN326" s="530"/>
      <c r="BP326" s="619"/>
      <c r="BQ326" s="244"/>
      <c r="BR326" s="200"/>
      <c r="BT326" s="530"/>
      <c r="BV326" s="619"/>
      <c r="BW326" s="632"/>
      <c r="BX326" s="32"/>
      <c r="BY326" s="607"/>
      <c r="BZ326" s="602"/>
      <c r="CG326" s="200"/>
      <c r="CY326" s="734"/>
    </row>
    <row r="327" spans="2:103" ht="27" customHeight="1">
      <c r="B327" s="244">
        <f t="shared" si="75"/>
        <v>6112.1</v>
      </c>
      <c r="C327" s="244"/>
      <c r="D327" s="244"/>
      <c r="E327" s="244"/>
      <c r="F327" s="200" t="s">
        <v>543</v>
      </c>
      <c r="G327" s="200"/>
      <c r="H327" s="530" t="e">
        <f>#REF!</f>
        <v>#REF!</v>
      </c>
      <c r="I327" t="str">
        <f t="shared" si="76"/>
        <v xml:space="preserve">  ...  MC READINGS ..</v>
      </c>
      <c r="J327" s="619" t="str">
        <f>$L$160</f>
        <v>LOS</v>
      </c>
      <c r="BJ327" s="619"/>
      <c r="BK327" s="244"/>
      <c r="BL327" s="200"/>
      <c r="BM327"/>
      <c r="BN327" s="530"/>
      <c r="BP327" s="619"/>
      <c r="BQ327" s="244"/>
      <c r="BR327" s="200"/>
      <c r="BT327" s="530"/>
      <c r="BV327" s="619"/>
      <c r="BW327" s="632"/>
      <c r="BX327" s="32"/>
      <c r="BY327" s="607"/>
      <c r="BZ327" s="602"/>
      <c r="CG327" s="200"/>
      <c r="CY327" s="734"/>
    </row>
    <row r="328" spans="2:103" ht="27" customHeight="1">
      <c r="B328" s="244">
        <f t="shared" si="75"/>
        <v>6113.1</v>
      </c>
      <c r="C328" s="244"/>
      <c r="D328" s="244"/>
      <c r="E328" s="244"/>
      <c r="F328" s="200" t="s">
        <v>543</v>
      </c>
      <c r="G328" s="200"/>
      <c r="H328" s="530" t="e">
        <f>#REF!</f>
        <v>#REF!</v>
      </c>
      <c r="I328" t="str">
        <f t="shared" si="76"/>
        <v xml:space="preserve">  ...  MC READINGS ..</v>
      </c>
      <c r="J328" s="619" t="str">
        <f>$L$161</f>
        <v>LOS</v>
      </c>
      <c r="BJ328" s="619"/>
      <c r="BK328" s="244"/>
      <c r="BL328" s="200"/>
      <c r="BM328"/>
      <c r="BN328" s="530"/>
      <c r="BP328" s="619"/>
      <c r="BQ328" s="244"/>
      <c r="BR328" s="200"/>
      <c r="BT328" s="530"/>
      <c r="BV328" s="619"/>
      <c r="BW328" s="632"/>
      <c r="BX328" s="32"/>
      <c r="BY328" s="607"/>
      <c r="BZ328" s="602"/>
      <c r="CG328" s="200"/>
      <c r="CY328" s="734"/>
    </row>
    <row r="329" spans="2:103" ht="27" customHeight="1">
      <c r="B329" s="244">
        <f t="shared" si="75"/>
        <v>6114.1</v>
      </c>
      <c r="C329" s="244"/>
      <c r="D329" s="244"/>
      <c r="E329" s="244"/>
      <c r="F329" s="200" t="s">
        <v>543</v>
      </c>
      <c r="G329" s="200"/>
      <c r="H329" s="530" t="e">
        <f>#REF!</f>
        <v>#REF!</v>
      </c>
      <c r="I329" t="str">
        <f t="shared" si="76"/>
        <v xml:space="preserve">  ...  MC READINGS ..</v>
      </c>
      <c r="J329" s="619" t="str">
        <f>$L$162</f>
        <v>LOS</v>
      </c>
      <c r="BJ329" s="619"/>
      <c r="BK329" s="244"/>
      <c r="BL329" s="200"/>
      <c r="BM329"/>
      <c r="BN329" s="530"/>
      <c r="BP329" s="619"/>
      <c r="BQ329" s="244"/>
      <c r="BR329" s="200"/>
      <c r="BT329" s="530"/>
      <c r="BV329" s="619"/>
      <c r="BW329" s="632"/>
      <c r="BX329" s="32"/>
      <c r="BY329" s="607"/>
      <c r="BZ329" s="602"/>
      <c r="CG329" s="200"/>
      <c r="CY329" s="734"/>
    </row>
    <row r="330" spans="2:103" ht="27" customHeight="1">
      <c r="B330" s="244">
        <f t="shared" si="75"/>
        <v>6115.1</v>
      </c>
      <c r="C330" s="244"/>
      <c r="D330" s="244"/>
      <c r="E330" s="244"/>
      <c r="F330" s="200" t="s">
        <v>543</v>
      </c>
      <c r="G330" s="200"/>
      <c r="H330" s="530" t="e">
        <f>#REF!</f>
        <v>#REF!</v>
      </c>
      <c r="I330" t="str">
        <f t="shared" si="76"/>
        <v xml:space="preserve">  ...  MC READINGS ..</v>
      </c>
      <c r="J330" s="619" t="str">
        <f>$L$163</f>
        <v>LOS</v>
      </c>
      <c r="BJ330" s="619"/>
      <c r="BK330" s="244"/>
      <c r="BL330" s="200"/>
      <c r="BM330"/>
      <c r="BN330" s="530"/>
      <c r="BP330" s="619"/>
      <c r="BQ330" s="244"/>
      <c r="BR330" s="200"/>
      <c r="BT330" s="530"/>
      <c r="BV330" s="619"/>
      <c r="BW330" s="632"/>
      <c r="BX330" s="32"/>
      <c r="BY330" s="607"/>
      <c r="BZ330" s="602"/>
      <c r="CG330" s="200"/>
      <c r="CY330" s="734"/>
    </row>
    <row r="331" spans="2:103" ht="27" customHeight="1">
      <c r="B331" s="244">
        <f t="shared" si="75"/>
        <v>6116.1</v>
      </c>
      <c r="C331" s="244"/>
      <c r="D331" s="244"/>
      <c r="E331" s="244"/>
      <c r="F331" s="200" t="s">
        <v>543</v>
      </c>
      <c r="G331" s="200"/>
      <c r="H331" s="530" t="e">
        <f>#REF!</f>
        <v>#REF!</v>
      </c>
      <c r="I331" t="str">
        <f t="shared" si="76"/>
        <v xml:space="preserve">  ...  MC READINGS ..</v>
      </c>
      <c r="J331" s="619" t="str">
        <f>$L$164</f>
        <v>LOS</v>
      </c>
      <c r="BJ331" s="619"/>
      <c r="BK331" s="244"/>
      <c r="BL331" s="200"/>
      <c r="BM331"/>
      <c r="BN331" s="530"/>
      <c r="BP331" s="619"/>
      <c r="BQ331" s="244"/>
      <c r="BR331" s="200"/>
      <c r="BT331" s="530"/>
      <c r="BV331" s="619"/>
      <c r="BW331" s="632"/>
      <c r="BX331" s="32"/>
      <c r="BY331" s="607"/>
      <c r="BZ331" s="602"/>
      <c r="CG331" s="200"/>
      <c r="CY331" s="734"/>
    </row>
    <row r="332" spans="2:103" ht="27" customHeight="1">
      <c r="B332" s="244">
        <f t="shared" si="75"/>
        <v>6117.1</v>
      </c>
      <c r="C332" s="244"/>
      <c r="D332" s="244"/>
      <c r="E332" s="244"/>
      <c r="F332" s="200" t="s">
        <v>543</v>
      </c>
      <c r="G332" s="200"/>
      <c r="H332" s="530" t="e">
        <f>#REF!</f>
        <v>#REF!</v>
      </c>
      <c r="I332" t="str">
        <f t="shared" si="76"/>
        <v xml:space="preserve">  ...  MC READINGS ..</v>
      </c>
      <c r="J332" s="619" t="str">
        <f>$L$165</f>
        <v>LOS</v>
      </c>
      <c r="BJ332" s="619"/>
      <c r="BK332" s="244"/>
      <c r="BL332" s="200"/>
      <c r="BM332"/>
      <c r="BN332" s="530"/>
      <c r="BP332" s="619"/>
      <c r="BQ332" s="244"/>
      <c r="BR332" s="200"/>
      <c r="BT332" s="530"/>
      <c r="BV332" s="619"/>
      <c r="BW332" s="632"/>
      <c r="BX332" s="32"/>
      <c r="BY332" s="607"/>
      <c r="BZ332" s="602"/>
      <c r="CG332" s="200"/>
      <c r="CY332" s="734"/>
    </row>
    <row r="333" spans="2:103" ht="27" customHeight="1">
      <c r="B333" s="244">
        <f t="shared" si="75"/>
        <v>6118.1</v>
      </c>
      <c r="C333" s="244"/>
      <c r="D333" s="244"/>
      <c r="E333" s="244"/>
      <c r="F333" s="200" t="s">
        <v>543</v>
      </c>
      <c r="G333" s="200"/>
      <c r="H333" s="530" t="e">
        <f>#REF!</f>
        <v>#REF!</v>
      </c>
      <c r="I333" t="str">
        <f t="shared" si="76"/>
        <v xml:space="preserve">  ...  MC READINGS ..</v>
      </c>
      <c r="J333" s="619" t="str">
        <f>$L$166</f>
        <v>LOS</v>
      </c>
      <c r="BJ333" s="619"/>
      <c r="BK333" s="244"/>
      <c r="BL333" s="200"/>
      <c r="BM333"/>
      <c r="BN333" s="530"/>
      <c r="BP333" s="619"/>
      <c r="BQ333" s="244"/>
      <c r="BR333" s="200"/>
      <c r="BT333" s="530"/>
      <c r="BV333" s="619"/>
      <c r="BW333" s="632"/>
      <c r="BX333" s="32"/>
      <c r="BY333" s="607"/>
      <c r="BZ333" s="602"/>
      <c r="CG333" s="200"/>
      <c r="CY333" s="734"/>
    </row>
    <row r="334" spans="2:103" ht="27" customHeight="1">
      <c r="B334" s="244">
        <f t="shared" si="75"/>
        <v>6119.1</v>
      </c>
      <c r="C334" s="244"/>
      <c r="D334" s="244"/>
      <c r="E334" s="244"/>
      <c r="F334" s="200" t="s">
        <v>543</v>
      </c>
      <c r="G334" s="200"/>
      <c r="H334" s="530" t="e">
        <f>#REF!</f>
        <v>#REF!</v>
      </c>
      <c r="I334" t="str">
        <f t="shared" si="76"/>
        <v xml:space="preserve">  ...  MC READINGS ..</v>
      </c>
      <c r="J334" s="619" t="str">
        <f>$L$167</f>
        <v>LOS</v>
      </c>
      <c r="BJ334" s="619"/>
      <c r="BK334" s="244"/>
      <c r="BL334" s="200"/>
      <c r="BM334"/>
      <c r="BN334" s="530"/>
      <c r="BP334" s="619"/>
      <c r="BQ334" s="244"/>
      <c r="BR334" s="200"/>
      <c r="BT334" s="530"/>
      <c r="BV334" s="619"/>
      <c r="BW334" s="632"/>
      <c r="BX334" s="32"/>
      <c r="BY334" s="607"/>
      <c r="BZ334" s="602"/>
      <c r="CG334" s="200"/>
      <c r="CY334" s="734"/>
    </row>
    <row r="335" spans="2:103" ht="27" customHeight="1">
      <c r="B335" s="244">
        <f t="shared" si="75"/>
        <v>6120.1</v>
      </c>
      <c r="C335" s="244"/>
      <c r="D335" s="244"/>
      <c r="E335" s="244"/>
      <c r="F335" s="200" t="s">
        <v>543</v>
      </c>
      <c r="G335" s="200"/>
      <c r="H335" s="530" t="e">
        <f>#REF!</f>
        <v>#REF!</v>
      </c>
      <c r="I335" t="str">
        <f t="shared" si="76"/>
        <v xml:space="preserve">  ...  MC READINGS ..</v>
      </c>
      <c r="J335" s="619" t="str">
        <f>$L$168</f>
        <v>…..........</v>
      </c>
      <c r="BJ335" s="619"/>
      <c r="BK335" s="244"/>
      <c r="BL335" s="200"/>
      <c r="BM335"/>
      <c r="BN335" s="530"/>
      <c r="BP335" s="619"/>
      <c r="BQ335" s="244"/>
      <c r="BR335" s="200"/>
      <c r="BT335" s="530"/>
      <c r="BV335" s="619"/>
      <c r="BW335" s="632"/>
      <c r="BX335" s="32"/>
      <c r="BY335" s="607"/>
      <c r="BZ335" s="602"/>
      <c r="CG335" s="200"/>
      <c r="CY335" s="734"/>
    </row>
    <row r="336" spans="2:103" ht="27" customHeight="1">
      <c r="B336" s="244">
        <f t="shared" si="75"/>
        <v>6121.1</v>
      </c>
      <c r="C336" s="244"/>
      <c r="D336" s="244"/>
      <c r="E336" s="244"/>
      <c r="F336" s="200" t="s">
        <v>543</v>
      </c>
      <c r="G336" s="200"/>
      <c r="H336" s="530" t="e">
        <f>#REF!</f>
        <v>#REF!</v>
      </c>
      <c r="I336" t="str">
        <f t="shared" si="76"/>
        <v xml:space="preserve">  ...  MC READINGS ..</v>
      </c>
      <c r="J336" s="619" t="str">
        <f>$L$169</f>
        <v>…..........</v>
      </c>
      <c r="BJ336" s="619"/>
      <c r="BK336" s="244"/>
      <c r="BL336" s="200"/>
      <c r="BM336"/>
      <c r="BN336" s="530"/>
      <c r="BP336" s="619"/>
      <c r="BQ336" s="244"/>
      <c r="BR336" s="200"/>
      <c r="BT336" s="530"/>
      <c r="BV336" s="619"/>
      <c r="BW336" s="632"/>
      <c r="BX336" s="32"/>
      <c r="BY336" s="607"/>
      <c r="BZ336" s="602"/>
      <c r="CG336" s="200"/>
      <c r="CY336" s="734"/>
    </row>
    <row r="337" spans="2:103" ht="27" customHeight="1">
      <c r="B337" s="244">
        <f t="shared" si="75"/>
        <v>6122.1</v>
      </c>
      <c r="C337" s="244"/>
      <c r="D337" s="244"/>
      <c r="E337" s="244"/>
      <c r="F337" s="200" t="s">
        <v>543</v>
      </c>
      <c r="G337" s="200"/>
      <c r="H337" s="530" t="e">
        <f>#REF!</f>
        <v>#REF!</v>
      </c>
      <c r="I337" t="str">
        <f t="shared" si="76"/>
        <v xml:space="preserve">  ...  MC READINGS ..</v>
      </c>
      <c r="J337" s="619" t="str">
        <f>$L$170</f>
        <v>…..........</v>
      </c>
      <c r="BJ337" s="619"/>
      <c r="BK337" s="244"/>
      <c r="BL337" s="200"/>
      <c r="BM337"/>
      <c r="BN337" s="530"/>
      <c r="BP337" s="619"/>
      <c r="BQ337" s="244"/>
      <c r="BR337" s="200"/>
      <c r="BT337" s="530"/>
      <c r="BV337" s="619"/>
      <c r="BW337" s="632"/>
      <c r="BX337" s="32"/>
      <c r="BY337" s="607"/>
      <c r="BZ337" s="602"/>
      <c r="CG337" s="200"/>
      <c r="CY337" s="734"/>
    </row>
    <row r="338" spans="2:103" ht="27" customHeight="1">
      <c r="B338" s="244">
        <f t="shared" si="75"/>
        <v>6123.1</v>
      </c>
      <c r="C338" s="244"/>
      <c r="D338" s="244"/>
      <c r="E338" s="244"/>
      <c r="F338" s="200" t="s">
        <v>543</v>
      </c>
      <c r="G338" s="200"/>
      <c r="H338" s="530" t="e">
        <f>#REF!</f>
        <v>#REF!</v>
      </c>
      <c r="I338" t="str">
        <f t="shared" si="76"/>
        <v xml:space="preserve">  ...  MC READINGS ..</v>
      </c>
      <c r="J338" s="619" t="str">
        <f>$L$171</f>
        <v>…..........</v>
      </c>
      <c r="BJ338" s="619"/>
      <c r="BK338" s="244"/>
      <c r="BL338" s="200"/>
      <c r="BM338"/>
      <c r="BN338" s="530"/>
      <c r="BP338" s="619"/>
      <c r="BQ338" s="244"/>
      <c r="BR338" s="200"/>
      <c r="BT338" s="530"/>
      <c r="BV338" s="619"/>
      <c r="BW338" s="632"/>
      <c r="BX338" s="32"/>
      <c r="BY338" s="607"/>
      <c r="BZ338" s="602"/>
      <c r="CG338" s="200"/>
      <c r="CY338" s="734"/>
    </row>
    <row r="339" spans="2:103" ht="27" customHeight="1">
      <c r="B339" s="244">
        <f t="shared" si="75"/>
        <v>6124.1</v>
      </c>
      <c r="C339" s="244"/>
      <c r="D339" s="244"/>
      <c r="E339" s="244"/>
      <c r="F339" s="200" t="s">
        <v>543</v>
      </c>
      <c r="G339" s="200"/>
      <c r="H339" s="530" t="e">
        <f>#REF!</f>
        <v>#REF!</v>
      </c>
      <c r="I339" t="str">
        <f t="shared" si="76"/>
        <v xml:space="preserve">  ...  MC READINGS ..</v>
      </c>
      <c r="J339" s="619" t="str">
        <f>$L$172</f>
        <v>…..........</v>
      </c>
      <c r="BJ339" s="619"/>
      <c r="BK339" s="244"/>
      <c r="BL339" s="200"/>
      <c r="BM339"/>
      <c r="BN339" s="530"/>
      <c r="BP339" s="619"/>
      <c r="BQ339" s="244"/>
      <c r="BR339" s="200"/>
      <c r="BT339" s="530"/>
      <c r="BV339" s="619"/>
      <c r="BW339" s="632"/>
      <c r="BX339" s="32"/>
      <c r="BY339" s="607"/>
      <c r="BZ339" s="602"/>
      <c r="CG339" s="200"/>
      <c r="CY339" s="734"/>
    </row>
    <row r="340" spans="2:103" ht="27" customHeight="1">
      <c r="B340" s="244">
        <f t="shared" si="75"/>
        <v>6125.1</v>
      </c>
      <c r="C340" s="244"/>
      <c r="D340" s="244"/>
      <c r="E340" s="244"/>
      <c r="F340" s="200" t="s">
        <v>543</v>
      </c>
      <c r="G340" s="200"/>
      <c r="H340" s="530" t="e">
        <f>#REF!</f>
        <v>#REF!</v>
      </c>
      <c r="I340" t="str">
        <f t="shared" si="76"/>
        <v xml:space="preserve">  ...  MC READINGS ..</v>
      </c>
      <c r="J340" s="619" t="e">
        <f>#REF!</f>
        <v>#REF!</v>
      </c>
      <c r="BJ340" s="619"/>
      <c r="BK340" s="244"/>
      <c r="BL340" s="200"/>
      <c r="BM340"/>
      <c r="BN340" s="530"/>
      <c r="BP340" s="619"/>
      <c r="BQ340" s="244"/>
      <c r="BR340" s="200"/>
      <c r="BT340" s="530"/>
      <c r="BV340" s="619"/>
      <c r="BW340" s="632"/>
      <c r="BX340" s="32"/>
      <c r="BY340" s="607"/>
      <c r="BZ340" s="602"/>
      <c r="CG340" s="200"/>
      <c r="CY340" s="734"/>
    </row>
    <row r="341" spans="2:103" ht="27" customHeight="1">
      <c r="B341" s="560" t="str">
        <f>B313</f>
        <v xml:space="preserve">  ...  MC READINGS ..</v>
      </c>
      <c r="C341" s="560"/>
      <c r="D341" s="560"/>
      <c r="E341" s="560"/>
      <c r="F341" s="560"/>
      <c r="G341" s="560"/>
      <c r="H341" s="601"/>
      <c r="I341" s="883" t="s">
        <v>508</v>
      </c>
      <c r="R341" s="904" t="s">
        <v>520</v>
      </c>
      <c r="S341" s="904"/>
      <c r="T341" s="904"/>
      <c r="U341" s="904"/>
      <c r="BA341" s="200"/>
      <c r="BB341" s="530"/>
      <c r="BE341" s="619"/>
      <c r="BF341" s="244"/>
      <c r="BG341" s="200"/>
      <c r="BH341" s="530"/>
      <c r="BJ341" s="619"/>
      <c r="BK341" s="244"/>
      <c r="BL341" s="200"/>
      <c r="BM341"/>
      <c r="BN341" s="530"/>
      <c r="BP341" s="619"/>
      <c r="BQ341" s="244"/>
      <c r="BR341" s="200"/>
      <c r="BT341" s="530"/>
      <c r="BV341" s="619"/>
      <c r="BW341" s="632"/>
      <c r="BX341" s="32"/>
      <c r="BY341" s="607"/>
      <c r="BZ341" s="602"/>
      <c r="CG341" s="200"/>
      <c r="CY341" s="734"/>
    </row>
    <row r="342" spans="2:103" ht="27" customHeight="1">
      <c r="B342" s="603" t="s">
        <v>530</v>
      </c>
      <c r="C342" s="603"/>
      <c r="D342" s="603"/>
      <c r="E342" s="603"/>
      <c r="F342" s="603"/>
      <c r="G342" s="603"/>
      <c r="H342" s="832"/>
      <c r="I342" s="883"/>
      <c r="R342" s="832" t="s">
        <v>613</v>
      </c>
      <c r="S342" s="833" t="s">
        <v>614</v>
      </c>
      <c r="T342" s="832" t="s">
        <v>615</v>
      </c>
      <c r="U342" s="833" t="s">
        <v>616</v>
      </c>
      <c r="BA342" s="200"/>
      <c r="BB342" s="530"/>
      <c r="BE342" s="619"/>
      <c r="BF342" s="244"/>
      <c r="BG342" s="200"/>
      <c r="BH342" s="530"/>
      <c r="BJ342" s="619"/>
      <c r="BK342" s="244"/>
      <c r="BL342" s="200"/>
      <c r="BM342"/>
      <c r="BN342" s="530"/>
      <c r="BP342" s="619"/>
      <c r="BQ342" s="244"/>
      <c r="BR342" s="200"/>
      <c r="BT342" s="530"/>
      <c r="BV342" s="619"/>
      <c r="BW342" s="632"/>
      <c r="BX342" s="32"/>
      <c r="BY342" s="607"/>
      <c r="BZ342" s="602"/>
      <c r="CG342" s="200"/>
      <c r="CY342" s="734"/>
    </row>
    <row r="343" spans="2:103" ht="27" customHeight="1">
      <c r="B343" s="604">
        <f>B344-0.2</f>
        <v>6201</v>
      </c>
      <c r="C343" s="604"/>
      <c r="D343" s="604"/>
      <c r="E343" s="604"/>
      <c r="F343" s="200" t="s">
        <v>543</v>
      </c>
      <c r="G343" s="200"/>
      <c r="H343" s="564" t="s">
        <v>548</v>
      </c>
      <c r="I343" s="183" t="str">
        <f>B342</f>
        <v xml:space="preserve">….. DAY 2 ….. </v>
      </c>
      <c r="BA343" s="200"/>
      <c r="BB343" s="530"/>
      <c r="BE343" s="619"/>
      <c r="BF343" s="244"/>
      <c r="BG343" s="200"/>
      <c r="BH343" s="530"/>
      <c r="BJ343" s="619"/>
      <c r="BK343" s="244"/>
      <c r="BL343" s="200"/>
      <c r="BM343"/>
      <c r="BN343" s="530"/>
      <c r="BP343" s="619"/>
      <c r="BQ343" s="244"/>
      <c r="BR343" s="200"/>
      <c r="BT343" s="530"/>
      <c r="BV343" s="619"/>
      <c r="BW343" s="632"/>
      <c r="BX343" s="32"/>
      <c r="BY343" s="607"/>
      <c r="BZ343" s="602"/>
      <c r="CG343" s="200"/>
      <c r="CY343" s="734"/>
    </row>
    <row r="344" spans="2:103" ht="27" customHeight="1">
      <c r="B344" s="244">
        <f t="shared" ref="B344:B368" si="77">H512</f>
        <v>6201.2</v>
      </c>
      <c r="C344" s="244"/>
      <c r="D344" s="244"/>
      <c r="E344" s="244"/>
      <c r="F344" s="200" t="s">
        <v>543</v>
      </c>
      <c r="G344" s="200"/>
      <c r="H344" t="str">
        <f>B341</f>
        <v xml:space="preserve">  ...  MC READINGS ..</v>
      </c>
      <c r="I344" s="619" t="str">
        <f>$L$149</f>
        <v>LOS</v>
      </c>
      <c r="BA344" s="200"/>
      <c r="BB344" s="530"/>
      <c r="BE344" s="619"/>
      <c r="BF344" s="244"/>
      <c r="BG344" s="200"/>
      <c r="BH344" s="530"/>
      <c r="BJ344" s="619"/>
      <c r="BK344" s="244"/>
      <c r="BL344" s="200"/>
      <c r="BM344"/>
      <c r="BN344" s="530"/>
      <c r="BP344" s="619"/>
      <c r="BQ344" s="244"/>
      <c r="BR344" s="200"/>
      <c r="BT344" s="530"/>
      <c r="BV344" s="619"/>
      <c r="BW344" s="632"/>
      <c r="BX344" s="32"/>
      <c r="BY344" s="607"/>
      <c r="BZ344" s="602"/>
      <c r="CG344" s="200"/>
      <c r="CY344" s="734"/>
    </row>
    <row r="345" spans="2:103" ht="27" customHeight="1">
      <c r="B345" s="244">
        <f t="shared" si="77"/>
        <v>6202.2</v>
      </c>
      <c r="C345" s="244"/>
      <c r="D345" s="244"/>
      <c r="E345" s="244"/>
      <c r="F345" s="200" t="s">
        <v>543</v>
      </c>
      <c r="G345" s="200"/>
      <c r="H345" t="str">
        <f>H344</f>
        <v xml:space="preserve">  ...  MC READINGS ..</v>
      </c>
      <c r="I345" s="619" t="str">
        <f>$L$150</f>
        <v>LOS</v>
      </c>
      <c r="R345" t="s">
        <v>617</v>
      </c>
      <c r="BA345" s="200"/>
      <c r="BB345" s="530"/>
      <c r="BE345" s="619"/>
      <c r="BF345" s="244"/>
      <c r="BG345" s="200"/>
      <c r="BH345" s="530"/>
      <c r="BJ345" s="619"/>
      <c r="BK345" s="244"/>
      <c r="BL345" s="200"/>
      <c r="BM345"/>
      <c r="BN345" s="530"/>
      <c r="BP345" s="619"/>
      <c r="BQ345" s="244"/>
      <c r="BR345" s="200"/>
      <c r="BT345" s="530"/>
      <c r="BV345" s="619"/>
      <c r="BW345" s="632"/>
      <c r="BX345" s="32"/>
      <c r="BY345" s="607"/>
      <c r="BZ345" s="602"/>
      <c r="CG345" s="200"/>
      <c r="CY345" s="734"/>
    </row>
    <row r="346" spans="2:103" ht="27" customHeight="1">
      <c r="B346" s="244">
        <f t="shared" si="77"/>
        <v>6203.2</v>
      </c>
      <c r="C346" s="244"/>
      <c r="D346" s="244"/>
      <c r="E346" s="244"/>
      <c r="F346" s="200" t="s">
        <v>543</v>
      </c>
      <c r="G346" s="200"/>
      <c r="H346" t="str">
        <f t="shared" ref="H346:H368" si="78">H345</f>
        <v xml:space="preserve">  ...  MC READINGS ..</v>
      </c>
      <c r="I346" s="619" t="str">
        <f>$L$151</f>
        <v>LOS</v>
      </c>
      <c r="R346" s="572">
        <f>R348-0.1</f>
        <v>7100</v>
      </c>
      <c r="S346" s="572">
        <f>S348-0.1</f>
        <v>7200.0999999999995</v>
      </c>
      <c r="BA346" s="200"/>
      <c r="BB346" s="530"/>
      <c r="BE346" s="619"/>
      <c r="BF346" s="244"/>
      <c r="BG346" s="200"/>
      <c r="BH346" s="530"/>
      <c r="BJ346" s="619"/>
      <c r="BK346" s="244"/>
      <c r="BL346" s="200"/>
      <c r="BM346"/>
      <c r="BN346" s="530"/>
      <c r="BP346" s="619"/>
      <c r="BQ346" s="244"/>
      <c r="BR346" s="200"/>
      <c r="BT346" s="530"/>
      <c r="BV346" s="619"/>
      <c r="BW346" s="632"/>
      <c r="BX346" s="32"/>
      <c r="BY346" s="607"/>
      <c r="BZ346" s="602"/>
      <c r="CG346" s="200"/>
      <c r="CY346" s="734"/>
    </row>
    <row r="347" spans="2:103" ht="27" customHeight="1">
      <c r="B347" s="244">
        <f t="shared" si="77"/>
        <v>6204.2</v>
      </c>
      <c r="C347" s="244"/>
      <c r="D347" s="244"/>
      <c r="E347" s="244"/>
      <c r="F347" s="200" t="s">
        <v>543</v>
      </c>
      <c r="G347" s="200"/>
      <c r="H347" t="str">
        <f t="shared" si="78"/>
        <v xml:space="preserve">  ...  MC READINGS ..</v>
      </c>
      <c r="I347" s="619" t="str">
        <f>$L$152</f>
        <v>…..........</v>
      </c>
      <c r="R347" s="902" t="s">
        <v>557</v>
      </c>
      <c r="S347" s="902"/>
      <c r="T347" s="902"/>
      <c r="U347" s="902"/>
      <c r="BA347" s="200"/>
      <c r="BB347" s="530"/>
      <c r="BE347" s="619"/>
      <c r="BF347" s="244"/>
      <c r="BG347" s="200"/>
      <c r="BH347" s="530"/>
      <c r="BJ347" s="619"/>
      <c r="BK347" s="244"/>
      <c r="BL347" s="200"/>
      <c r="BM347"/>
      <c r="BN347" s="530"/>
      <c r="BP347" s="619"/>
      <c r="BQ347" s="244"/>
      <c r="BR347" s="200"/>
      <c r="BT347" s="530"/>
      <c r="BV347" s="619"/>
      <c r="BW347" s="632"/>
      <c r="BX347" s="32"/>
      <c r="BY347" s="607"/>
      <c r="BZ347" s="602"/>
      <c r="CG347" s="200"/>
      <c r="CY347" s="734"/>
    </row>
    <row r="348" spans="2:103" ht="27" customHeight="1" thickBot="1">
      <c r="B348" s="244">
        <f t="shared" si="77"/>
        <v>6205.2</v>
      </c>
      <c r="C348" s="244"/>
      <c r="D348" s="244"/>
      <c r="E348" s="244"/>
      <c r="F348" s="200" t="s">
        <v>543</v>
      </c>
      <c r="G348" s="200"/>
      <c r="H348" t="str">
        <f t="shared" si="78"/>
        <v xml:space="preserve">  ...  MC READINGS ..</v>
      </c>
      <c r="I348" s="619" t="str">
        <f>$L$153</f>
        <v>…..........</v>
      </c>
      <c r="R348" s="735">
        <v>7100.1</v>
      </c>
      <c r="S348" s="735">
        <v>7200.2</v>
      </c>
      <c r="T348" s="735">
        <v>7300.3</v>
      </c>
      <c r="U348" s="735">
        <v>7400.4</v>
      </c>
      <c r="BA348" s="200"/>
      <c r="BB348" s="530"/>
      <c r="BE348" s="619"/>
      <c r="BF348" s="244"/>
      <c r="BG348" s="200"/>
      <c r="BH348" s="530"/>
      <c r="BJ348" s="619"/>
      <c r="BK348" s="244"/>
      <c r="BL348" s="200"/>
      <c r="BM348"/>
      <c r="BN348" s="530"/>
      <c r="BP348" s="619"/>
      <c r="BQ348" s="244"/>
      <c r="BR348" s="200"/>
      <c r="BT348" s="530"/>
      <c r="BV348" s="619"/>
      <c r="BW348" s="632"/>
      <c r="BX348" s="32"/>
      <c r="BY348" s="607"/>
      <c r="BZ348" s="602"/>
      <c r="CG348" s="200"/>
      <c r="CY348" s="734"/>
    </row>
    <row r="349" spans="2:103" ht="27" customHeight="1" thickTop="1">
      <c r="B349" s="244">
        <f t="shared" si="77"/>
        <v>6206.2</v>
      </c>
      <c r="C349" s="244"/>
      <c r="D349" s="244"/>
      <c r="E349" s="244"/>
      <c r="F349" s="200" t="s">
        <v>543</v>
      </c>
      <c r="G349" s="200"/>
      <c r="H349" t="str">
        <f t="shared" si="78"/>
        <v xml:space="preserve">  ...  MC READINGS ..</v>
      </c>
      <c r="I349" s="619" t="str">
        <f>$L$154</f>
        <v>…..........</v>
      </c>
      <c r="R349" s="903" t="s">
        <v>618</v>
      </c>
      <c r="S349" s="903"/>
      <c r="T349" s="903"/>
      <c r="U349" s="903"/>
      <c r="BA349" s="200"/>
      <c r="BB349" s="530"/>
      <c r="BE349" s="619"/>
      <c r="BF349" s="244"/>
      <c r="BG349" s="200"/>
      <c r="BH349" s="530"/>
      <c r="BJ349" s="619"/>
      <c r="BK349" s="244"/>
      <c r="BL349" s="200"/>
      <c r="BM349"/>
      <c r="BN349" s="530"/>
      <c r="BP349" s="619"/>
      <c r="BQ349" s="244"/>
      <c r="BR349" s="200"/>
      <c r="BT349" s="530"/>
      <c r="BV349" s="619"/>
      <c r="BW349" s="632"/>
      <c r="BX349" s="32"/>
      <c r="BY349" s="607"/>
      <c r="BZ349" s="602"/>
      <c r="CG349" s="200"/>
      <c r="CY349" s="734"/>
    </row>
    <row r="350" spans="2:103" ht="27" customHeight="1" thickBot="1">
      <c r="B350" s="244">
        <f t="shared" si="77"/>
        <v>6207.2</v>
      </c>
      <c r="C350" s="244"/>
      <c r="D350" s="244"/>
      <c r="E350" s="244"/>
      <c r="F350" s="200" t="s">
        <v>543</v>
      </c>
      <c r="G350" s="200"/>
      <c r="H350" t="str">
        <f t="shared" si="78"/>
        <v xml:space="preserve">  ...  MC READINGS ..</v>
      </c>
      <c r="I350" s="619" t="str">
        <f>$L$155</f>
        <v>…..........</v>
      </c>
      <c r="R350" s="568">
        <f>R348+1</f>
        <v>7101.1</v>
      </c>
      <c r="S350" s="568">
        <f>S348+1</f>
        <v>7201.2</v>
      </c>
      <c r="T350" s="568">
        <f>T348+1</f>
        <v>7301.3</v>
      </c>
      <c r="U350" s="568">
        <f>U348+1</f>
        <v>7401.4</v>
      </c>
      <c r="BA350" s="200"/>
      <c r="BB350" s="530"/>
      <c r="BE350" s="619"/>
      <c r="BF350" s="244"/>
      <c r="BG350" s="200"/>
      <c r="BH350" s="530"/>
      <c r="BJ350" s="619"/>
      <c r="BK350" s="244"/>
      <c r="BL350" s="200"/>
      <c r="BM350"/>
      <c r="BN350" s="530"/>
      <c r="BP350" s="619"/>
      <c r="BQ350" s="244"/>
      <c r="BR350" s="200"/>
      <c r="BT350" s="530"/>
      <c r="BV350" s="619"/>
      <c r="BW350" s="632"/>
      <c r="BX350" s="32"/>
      <c r="BY350" s="607"/>
      <c r="BZ350" s="602"/>
      <c r="CG350" s="200"/>
      <c r="CY350" s="734"/>
    </row>
    <row r="351" spans="2:103" ht="27" customHeight="1" thickTop="1">
      <c r="B351" s="244">
        <f t="shared" si="77"/>
        <v>6208.2</v>
      </c>
      <c r="C351" s="244"/>
      <c r="D351" s="244"/>
      <c r="E351" s="244"/>
      <c r="F351" s="200" t="s">
        <v>543</v>
      </c>
      <c r="G351" s="200"/>
      <c r="H351" t="str">
        <f t="shared" si="78"/>
        <v xml:space="preserve">  ...  MC READINGS ..</v>
      </c>
      <c r="I351" s="619" t="str">
        <f>$L$156</f>
        <v>…..........</v>
      </c>
      <c r="R351" s="905" t="s">
        <v>619</v>
      </c>
      <c r="S351" s="905"/>
      <c r="T351" s="905"/>
      <c r="U351" s="905"/>
      <c r="BA351" s="200"/>
      <c r="BB351" s="530"/>
      <c r="BE351" s="619"/>
      <c r="BF351" s="244"/>
      <c r="BG351" s="200"/>
      <c r="BH351" s="530"/>
      <c r="BJ351" s="619"/>
      <c r="BK351" s="244"/>
      <c r="BL351" s="200"/>
      <c r="BM351"/>
      <c r="BN351" s="530"/>
      <c r="BP351" s="619"/>
      <c r="BQ351" s="244"/>
      <c r="BR351" s="200"/>
      <c r="BT351" s="530"/>
      <c r="BV351" s="619"/>
      <c r="BW351" s="632"/>
      <c r="BX351" s="32"/>
      <c r="BY351" s="607"/>
      <c r="BZ351" s="602"/>
      <c r="CG351" s="200"/>
      <c r="CY351" s="734"/>
    </row>
    <row r="352" spans="2:103" ht="27" customHeight="1" thickBot="1">
      <c r="B352" s="244">
        <f t="shared" si="77"/>
        <v>6209.2</v>
      </c>
      <c r="C352" s="244"/>
      <c r="D352" s="244"/>
      <c r="E352" s="244"/>
      <c r="F352" s="200" t="s">
        <v>543</v>
      </c>
      <c r="G352" s="200"/>
      <c r="H352" t="str">
        <f t="shared" si="78"/>
        <v xml:space="preserve">  ...  MC READINGS ..</v>
      </c>
      <c r="I352" s="619" t="str">
        <f>$L$157</f>
        <v>…..........</v>
      </c>
      <c r="R352" s="735">
        <f>R350+1</f>
        <v>7102.1</v>
      </c>
      <c r="S352" s="735">
        <f>S350+1</f>
        <v>7202.2</v>
      </c>
      <c r="T352" s="735">
        <f>T350+1</f>
        <v>7302.3</v>
      </c>
      <c r="U352" s="735">
        <f>U350+1</f>
        <v>7402.4</v>
      </c>
      <c r="BA352" s="200"/>
      <c r="BB352" s="530"/>
      <c r="BE352" s="619"/>
      <c r="BF352" s="244"/>
      <c r="BG352" s="200"/>
      <c r="BH352" s="530"/>
      <c r="BJ352" s="619"/>
      <c r="BK352" s="244"/>
      <c r="BL352" s="200"/>
      <c r="BM352"/>
      <c r="BN352" s="530"/>
      <c r="BP352" s="619"/>
      <c r="BQ352" s="244"/>
      <c r="BR352" s="200"/>
      <c r="BT352" s="530"/>
      <c r="BV352" s="619"/>
      <c r="BW352" s="632"/>
      <c r="BX352" s="32"/>
      <c r="BY352" s="607"/>
      <c r="BZ352" s="602"/>
      <c r="CG352" s="200"/>
      <c r="CY352" s="734"/>
    </row>
    <row r="353" spans="2:103" ht="27" customHeight="1" thickTop="1">
      <c r="B353" s="244">
        <f t="shared" si="77"/>
        <v>6210.2</v>
      </c>
      <c r="C353" s="244"/>
      <c r="D353" s="244"/>
      <c r="E353" s="244"/>
      <c r="F353" s="200" t="s">
        <v>543</v>
      </c>
      <c r="G353" s="200"/>
      <c r="H353" t="str">
        <f t="shared" si="78"/>
        <v xml:space="preserve">  ...  MC READINGS ..</v>
      </c>
      <c r="I353" s="619" t="str">
        <f>$L$158</f>
        <v>LOS</v>
      </c>
      <c r="R353" s="905" t="s">
        <v>620</v>
      </c>
      <c r="S353" s="905"/>
      <c r="T353" s="905"/>
      <c r="U353" s="905"/>
      <c r="BA353" s="200"/>
      <c r="BB353" s="530"/>
      <c r="BE353" s="619"/>
      <c r="BF353" s="244"/>
      <c r="BG353" s="200"/>
      <c r="BH353" s="530"/>
      <c r="BJ353" s="619"/>
      <c r="BK353" s="244"/>
      <c r="BL353" s="200"/>
      <c r="BM353"/>
      <c r="BN353" s="530"/>
      <c r="BP353" s="619"/>
      <c r="BQ353" s="244"/>
      <c r="BR353" s="200"/>
      <c r="BT353" s="530"/>
      <c r="BV353" s="619"/>
      <c r="BW353" s="632"/>
      <c r="BX353" s="32"/>
      <c r="BY353" s="607"/>
      <c r="BZ353" s="602"/>
      <c r="CG353" s="200"/>
      <c r="CY353" s="734"/>
    </row>
    <row r="354" spans="2:103" ht="27" customHeight="1" thickBot="1">
      <c r="B354" s="244">
        <f t="shared" si="77"/>
        <v>6211.2</v>
      </c>
      <c r="C354" s="244"/>
      <c r="D354" s="244"/>
      <c r="E354" s="244"/>
      <c r="F354" s="200" t="s">
        <v>543</v>
      </c>
      <c r="G354" s="200"/>
      <c r="H354" t="str">
        <f t="shared" si="78"/>
        <v xml:space="preserve">  ...  MC READINGS ..</v>
      </c>
      <c r="I354" s="619" t="str">
        <f>$L$159</f>
        <v>…..........</v>
      </c>
      <c r="R354" s="568">
        <f>R352+1</f>
        <v>7103.1</v>
      </c>
      <c r="S354" s="568">
        <f>S352+1</f>
        <v>7203.2</v>
      </c>
      <c r="T354" s="568">
        <f>T352+1</f>
        <v>7303.3</v>
      </c>
      <c r="U354" s="568">
        <f>U352+1</f>
        <v>7403.4</v>
      </c>
      <c r="BA354" s="200"/>
      <c r="BB354" s="530"/>
      <c r="BE354" s="619"/>
      <c r="BF354" s="244"/>
      <c r="BG354" s="200"/>
      <c r="BH354" s="530"/>
      <c r="BJ354" s="619"/>
      <c r="BK354" s="244"/>
      <c r="BL354" s="200"/>
      <c r="BM354"/>
      <c r="BN354" s="530"/>
      <c r="BP354" s="619"/>
      <c r="BQ354" s="244"/>
      <c r="BR354" s="200"/>
      <c r="BT354" s="530"/>
      <c r="BV354" s="619"/>
      <c r="BW354" s="632"/>
      <c r="BX354" s="32"/>
      <c r="BY354" s="607"/>
      <c r="BZ354" s="602"/>
      <c r="CG354" s="200"/>
      <c r="CY354" s="734"/>
    </row>
    <row r="355" spans="2:103" ht="27" customHeight="1" thickTop="1">
      <c r="B355" s="244">
        <f t="shared" si="77"/>
        <v>6212.2</v>
      </c>
      <c r="C355" s="244"/>
      <c r="D355" s="244"/>
      <c r="E355" s="244"/>
      <c r="F355" s="200" t="s">
        <v>543</v>
      </c>
      <c r="G355" s="200"/>
      <c r="H355" t="str">
        <f t="shared" si="78"/>
        <v xml:space="preserve">  ...  MC READINGS ..</v>
      </c>
      <c r="I355" s="619" t="str">
        <f>$L$160</f>
        <v>LOS</v>
      </c>
      <c r="R355" s="905" t="s">
        <v>621</v>
      </c>
      <c r="S355" s="905"/>
      <c r="T355" s="905"/>
      <c r="U355" s="905"/>
      <c r="BA355" s="200"/>
      <c r="BB355" s="530"/>
      <c r="BE355" s="619"/>
      <c r="BF355" s="244"/>
      <c r="BG355" s="200"/>
      <c r="BH355" s="530"/>
      <c r="BJ355" s="619"/>
      <c r="BK355" s="244"/>
      <c r="BL355" s="200"/>
      <c r="BM355"/>
      <c r="BN355" s="530"/>
      <c r="BP355" s="619"/>
      <c r="BQ355" s="244"/>
      <c r="BR355" s="200"/>
      <c r="BT355" s="530"/>
      <c r="BV355" s="619"/>
      <c r="BW355" s="632"/>
      <c r="BX355" s="32"/>
      <c r="BY355" s="607"/>
      <c r="BZ355" s="602"/>
      <c r="CG355" s="200"/>
      <c r="CY355" s="734"/>
    </row>
    <row r="356" spans="2:103" ht="27" customHeight="1" thickBot="1">
      <c r="B356" s="244">
        <f t="shared" si="77"/>
        <v>6213.2</v>
      </c>
      <c r="C356" s="244"/>
      <c r="D356" s="244"/>
      <c r="E356" s="244"/>
      <c r="F356" s="200" t="s">
        <v>543</v>
      </c>
      <c r="G356" s="200"/>
      <c r="H356" t="str">
        <f t="shared" si="78"/>
        <v xml:space="preserve">  ...  MC READINGS ..</v>
      </c>
      <c r="I356" s="619" t="str">
        <f>$L$161</f>
        <v>LOS</v>
      </c>
      <c r="R356" s="735">
        <f>R354+1</f>
        <v>7104.1</v>
      </c>
      <c r="S356" s="735">
        <f>S354+1</f>
        <v>7204.2</v>
      </c>
      <c r="T356" s="735">
        <f>T354+1</f>
        <v>7304.3</v>
      </c>
      <c r="U356" s="735">
        <f>U354+1</f>
        <v>7404.4</v>
      </c>
      <c r="BA356" s="200"/>
      <c r="BB356" s="530"/>
      <c r="BE356" s="619"/>
      <c r="BF356" s="244"/>
      <c r="BG356" s="200"/>
      <c r="BH356" s="530"/>
      <c r="BJ356" s="619"/>
      <c r="BK356" s="244"/>
      <c r="BL356" s="200"/>
      <c r="BM356"/>
      <c r="BN356" s="530"/>
      <c r="BP356" s="619"/>
      <c r="BQ356" s="244"/>
      <c r="BR356" s="200"/>
      <c r="BT356" s="530"/>
      <c r="BV356" s="619"/>
      <c r="BW356" s="632"/>
      <c r="BX356" s="32"/>
      <c r="BY356" s="607"/>
      <c r="BZ356" s="602"/>
      <c r="CG356" s="200"/>
      <c r="CY356" s="734"/>
    </row>
    <row r="357" spans="2:103" ht="27" customHeight="1" thickTop="1">
      <c r="B357" s="244">
        <f t="shared" si="77"/>
        <v>6214.2</v>
      </c>
      <c r="C357" s="244"/>
      <c r="D357" s="244"/>
      <c r="E357" s="244"/>
      <c r="F357" s="200" t="s">
        <v>543</v>
      </c>
      <c r="G357" s="200"/>
      <c r="H357" t="str">
        <f t="shared" si="78"/>
        <v xml:space="preserve">  ...  MC READINGS ..</v>
      </c>
      <c r="I357" s="619" t="str">
        <f>$L$162</f>
        <v>LOS</v>
      </c>
      <c r="R357" s="905" t="s">
        <v>622</v>
      </c>
      <c r="S357" s="905"/>
      <c r="T357" s="905"/>
      <c r="U357" s="905"/>
      <c r="BA357" s="200"/>
      <c r="BB357" s="530"/>
      <c r="BE357" s="619"/>
      <c r="BF357" s="244"/>
      <c r="BG357" s="200"/>
      <c r="BH357" s="530"/>
      <c r="BJ357" s="619"/>
      <c r="BK357" s="244"/>
      <c r="BL357" s="200"/>
      <c r="BM357"/>
      <c r="BN357" s="530"/>
      <c r="BP357" s="619"/>
      <c r="BQ357" s="244"/>
      <c r="BR357" s="200"/>
      <c r="BT357" s="530"/>
      <c r="BV357" s="619"/>
      <c r="BW357" s="632"/>
      <c r="BX357" s="32"/>
      <c r="BY357" s="607"/>
      <c r="BZ357" s="602"/>
      <c r="CG357" s="200"/>
      <c r="CY357" s="734"/>
    </row>
    <row r="358" spans="2:103" ht="27" customHeight="1" thickBot="1">
      <c r="B358" s="244">
        <f t="shared" si="77"/>
        <v>6215.2</v>
      </c>
      <c r="C358" s="244"/>
      <c r="D358" s="244"/>
      <c r="E358" s="244"/>
      <c r="F358" s="200" t="s">
        <v>543</v>
      </c>
      <c r="G358" s="200"/>
      <c r="H358" t="str">
        <f t="shared" si="78"/>
        <v xml:space="preserve">  ...  MC READINGS ..</v>
      </c>
      <c r="I358" s="619" t="str">
        <f>$L$163</f>
        <v>LOS</v>
      </c>
      <c r="R358" s="568">
        <f>R356+1</f>
        <v>7105.1</v>
      </c>
      <c r="S358" s="568">
        <f>S356+1</f>
        <v>7205.2</v>
      </c>
      <c r="T358" s="568">
        <f>T356+1</f>
        <v>7305.3</v>
      </c>
      <c r="U358" s="568">
        <f>U356+1</f>
        <v>7405.4</v>
      </c>
      <c r="BA358" s="200"/>
      <c r="BB358" s="530"/>
      <c r="BE358" s="619"/>
      <c r="BF358" s="244"/>
      <c r="BG358" s="200"/>
      <c r="BH358" s="530"/>
      <c r="BJ358" s="619"/>
      <c r="BK358" s="244"/>
      <c r="BL358" s="200"/>
      <c r="BM358"/>
      <c r="BN358" s="530"/>
      <c r="BP358" s="619"/>
      <c r="BQ358" s="244"/>
      <c r="BR358" s="200"/>
      <c r="BT358" s="530"/>
      <c r="BV358" s="619"/>
      <c r="BW358" s="632"/>
      <c r="BX358" s="32"/>
      <c r="BY358" s="607"/>
      <c r="BZ358" s="602"/>
      <c r="CG358" s="200"/>
      <c r="CY358" s="734"/>
    </row>
    <row r="359" spans="2:103" ht="27" customHeight="1" thickTop="1">
      <c r="B359" s="244">
        <f t="shared" si="77"/>
        <v>6216.2</v>
      </c>
      <c r="C359" s="244"/>
      <c r="D359" s="244"/>
      <c r="E359" s="244"/>
      <c r="F359" s="200" t="s">
        <v>543</v>
      </c>
      <c r="G359" s="200"/>
      <c r="H359" t="str">
        <f t="shared" si="78"/>
        <v xml:space="preserve">  ...  MC READINGS ..</v>
      </c>
      <c r="I359" s="619" t="str">
        <f>$L$164</f>
        <v>LOS</v>
      </c>
      <c r="BA359" s="200"/>
      <c r="BB359" s="530"/>
      <c r="BE359" s="619"/>
      <c r="BF359" s="244"/>
      <c r="BG359" s="200"/>
      <c r="BH359" s="530"/>
      <c r="BJ359" s="619"/>
      <c r="BK359" s="244"/>
      <c r="BL359" s="200"/>
      <c r="BM359"/>
      <c r="BN359" s="530"/>
      <c r="BP359" s="619"/>
      <c r="BQ359" s="244"/>
      <c r="BR359" s="200"/>
      <c r="BT359" s="530"/>
      <c r="BV359" s="619"/>
      <c r="BW359" s="632"/>
      <c r="BX359" s="32"/>
      <c r="BY359" s="607"/>
      <c r="BZ359" s="602"/>
      <c r="CG359" s="200"/>
      <c r="CY359" s="734"/>
    </row>
    <row r="360" spans="2:103" ht="27" customHeight="1">
      <c r="B360" s="244">
        <f t="shared" si="77"/>
        <v>6217.2</v>
      </c>
      <c r="C360" s="244"/>
      <c r="D360" s="244"/>
      <c r="E360" s="244"/>
      <c r="F360" s="200" t="s">
        <v>543</v>
      </c>
      <c r="G360" s="200"/>
      <c r="H360" t="str">
        <f t="shared" si="78"/>
        <v xml:space="preserve">  ...  MC READINGS ..</v>
      </c>
      <c r="I360" s="619" t="str">
        <f>$L$165</f>
        <v>LOS</v>
      </c>
      <c r="BA360" s="200"/>
      <c r="BB360" s="530"/>
      <c r="BE360" s="619"/>
      <c r="BF360" s="244"/>
      <c r="BG360" s="200"/>
      <c r="BH360" s="530"/>
      <c r="BJ360" s="619"/>
      <c r="BK360" s="244"/>
      <c r="BL360" s="200"/>
      <c r="BM360"/>
      <c r="BN360" s="530"/>
      <c r="BP360" s="619"/>
      <c r="BQ360" s="244"/>
      <c r="BR360" s="200"/>
      <c r="BT360" s="530"/>
      <c r="BV360" s="619"/>
      <c r="BW360" s="632"/>
      <c r="BX360" s="32"/>
      <c r="BY360" s="607"/>
      <c r="BZ360" s="602"/>
      <c r="CG360" s="200"/>
      <c r="CY360" s="734"/>
    </row>
    <row r="361" spans="2:103" ht="27" customHeight="1">
      <c r="B361" s="244">
        <f t="shared" si="77"/>
        <v>6218.2</v>
      </c>
      <c r="C361" s="244"/>
      <c r="D361" s="244"/>
      <c r="E361" s="244"/>
      <c r="F361" s="200" t="s">
        <v>543</v>
      </c>
      <c r="G361" s="200"/>
      <c r="H361" t="str">
        <f t="shared" si="78"/>
        <v xml:space="preserve">  ...  MC READINGS ..</v>
      </c>
      <c r="I361" s="619" t="str">
        <f>$L$166</f>
        <v>LOS</v>
      </c>
      <c r="BA361" s="200"/>
      <c r="BB361" s="530"/>
      <c r="BE361" s="619"/>
      <c r="BF361" s="244"/>
      <c r="BG361" s="200"/>
      <c r="BH361" s="530"/>
      <c r="BJ361" s="619"/>
      <c r="BK361" s="244"/>
      <c r="BL361" s="200"/>
      <c r="BM361"/>
      <c r="BN361" s="530"/>
      <c r="BP361" s="619"/>
      <c r="BQ361" s="244"/>
      <c r="BR361" s="200"/>
      <c r="BT361" s="530"/>
      <c r="BV361" s="619"/>
      <c r="BW361" s="632"/>
      <c r="BX361" s="32"/>
      <c r="BY361" s="607"/>
      <c r="BZ361" s="602"/>
      <c r="CG361" s="200"/>
      <c r="CY361" s="734"/>
    </row>
    <row r="362" spans="2:103" ht="27" customHeight="1">
      <c r="B362" s="244">
        <f t="shared" si="77"/>
        <v>6219.2</v>
      </c>
      <c r="C362" s="244"/>
      <c r="D362" s="244"/>
      <c r="E362" s="244"/>
      <c r="F362" s="200" t="s">
        <v>543</v>
      </c>
      <c r="G362" s="200"/>
      <c r="H362" t="str">
        <f t="shared" si="78"/>
        <v xml:space="preserve">  ...  MC READINGS ..</v>
      </c>
      <c r="I362" s="619" t="str">
        <f>$L$167</f>
        <v>LOS</v>
      </c>
      <c r="BA362" s="200"/>
      <c r="BB362" s="530"/>
      <c r="BE362" s="619"/>
      <c r="BF362" s="244"/>
      <c r="BG362" s="200"/>
      <c r="BH362" s="530"/>
      <c r="BJ362" s="619"/>
      <c r="BK362" s="244"/>
      <c r="BL362" s="200"/>
      <c r="BM362"/>
      <c r="BN362" s="530"/>
      <c r="BP362" s="619"/>
      <c r="BQ362" s="244"/>
      <c r="BR362" s="200"/>
      <c r="BT362" s="530"/>
      <c r="BV362" s="619"/>
      <c r="BW362" s="632"/>
      <c r="BX362" s="32"/>
      <c r="BY362" s="607"/>
      <c r="BZ362" s="602"/>
      <c r="CG362" s="200"/>
      <c r="CY362" s="734"/>
    </row>
    <row r="363" spans="2:103" ht="27" customHeight="1">
      <c r="B363" s="244">
        <f t="shared" si="77"/>
        <v>6220.2</v>
      </c>
      <c r="C363" s="244"/>
      <c r="D363" s="244"/>
      <c r="E363" s="244"/>
      <c r="F363" s="200" t="s">
        <v>543</v>
      </c>
      <c r="G363" s="200"/>
      <c r="H363" t="str">
        <f t="shared" si="78"/>
        <v xml:space="preserve">  ...  MC READINGS ..</v>
      </c>
      <c r="I363" s="619" t="str">
        <f>$L$168</f>
        <v>…..........</v>
      </c>
      <c r="BA363" s="200"/>
      <c r="BB363" s="530"/>
      <c r="BE363" s="619"/>
      <c r="BF363" s="244"/>
      <c r="BG363" s="200"/>
      <c r="BH363" s="530"/>
      <c r="BJ363" s="619"/>
      <c r="BK363" s="244"/>
      <c r="BL363" s="200"/>
      <c r="BM363"/>
      <c r="BN363" s="530"/>
      <c r="BP363" s="619"/>
      <c r="BQ363" s="244"/>
      <c r="BR363" s="200"/>
      <c r="BT363" s="530"/>
      <c r="BV363" s="619"/>
      <c r="BW363" s="632"/>
      <c r="BX363" s="32"/>
      <c r="BY363" s="607"/>
      <c r="BZ363" s="602"/>
      <c r="CG363" s="200"/>
      <c r="CY363" s="734"/>
    </row>
    <row r="364" spans="2:103" ht="27" customHeight="1">
      <c r="B364" s="244">
        <f t="shared" si="77"/>
        <v>6221.2</v>
      </c>
      <c r="C364" s="244"/>
      <c r="D364" s="244"/>
      <c r="E364" s="244"/>
      <c r="F364" s="200" t="s">
        <v>543</v>
      </c>
      <c r="G364" s="200"/>
      <c r="H364" t="str">
        <f t="shared" si="78"/>
        <v xml:space="preserve">  ...  MC READINGS ..</v>
      </c>
      <c r="I364" s="619" t="str">
        <f>$L$169</f>
        <v>…..........</v>
      </c>
      <c r="BA364" s="200"/>
      <c r="BB364" s="530"/>
      <c r="BE364" s="619"/>
      <c r="BF364" s="244"/>
      <c r="BG364" s="200"/>
      <c r="BH364" s="530"/>
      <c r="BJ364" s="619"/>
      <c r="BK364" s="244"/>
      <c r="BL364" s="200"/>
      <c r="BM364"/>
      <c r="BN364" s="530"/>
      <c r="BP364" s="619"/>
      <c r="BQ364" s="244"/>
      <c r="BR364" s="200"/>
      <c r="BT364" s="530"/>
      <c r="BV364" s="619"/>
      <c r="BW364" s="632"/>
      <c r="BX364" s="32"/>
      <c r="BY364" s="607"/>
      <c r="BZ364" s="602"/>
      <c r="CG364" s="200"/>
      <c r="CY364" s="734"/>
    </row>
    <row r="365" spans="2:103" ht="27" customHeight="1">
      <c r="B365" s="244">
        <f t="shared" si="77"/>
        <v>6222.2</v>
      </c>
      <c r="C365" s="244"/>
      <c r="D365" s="244"/>
      <c r="E365" s="244"/>
      <c r="F365" s="200" t="s">
        <v>543</v>
      </c>
      <c r="G365" s="200"/>
      <c r="H365" t="str">
        <f t="shared" si="78"/>
        <v xml:space="preserve">  ...  MC READINGS ..</v>
      </c>
      <c r="I365" s="619" t="str">
        <f>$L$170</f>
        <v>…..........</v>
      </c>
      <c r="BA365" s="200"/>
      <c r="BB365" s="530"/>
      <c r="BE365" s="619"/>
      <c r="BF365" s="244"/>
      <c r="BG365" s="200"/>
      <c r="BH365" s="530"/>
      <c r="BJ365" s="619"/>
      <c r="BK365" s="244"/>
      <c r="BL365" s="200"/>
      <c r="BM365"/>
      <c r="BN365" s="530"/>
      <c r="BP365" s="619"/>
      <c r="BQ365" s="244"/>
      <c r="BR365" s="200"/>
      <c r="BT365" s="530"/>
      <c r="BV365" s="619"/>
      <c r="BW365" s="632"/>
      <c r="BX365" s="32"/>
      <c r="BY365" s="607"/>
      <c r="BZ365" s="602"/>
      <c r="CG365" s="200"/>
      <c r="CY365" s="734"/>
    </row>
    <row r="366" spans="2:103" ht="27" customHeight="1">
      <c r="B366" s="244">
        <f t="shared" si="77"/>
        <v>6223.2</v>
      </c>
      <c r="C366" s="244"/>
      <c r="D366" s="244"/>
      <c r="E366" s="244"/>
      <c r="F366" s="200" t="s">
        <v>543</v>
      </c>
      <c r="G366" s="200"/>
      <c r="H366" t="str">
        <f t="shared" si="78"/>
        <v xml:space="preserve">  ...  MC READINGS ..</v>
      </c>
      <c r="I366" s="619" t="str">
        <f>$L$171</f>
        <v>…..........</v>
      </c>
      <c r="BA366" s="200"/>
      <c r="BB366" s="530"/>
      <c r="BE366" s="619"/>
      <c r="BF366" s="244"/>
      <c r="BG366" s="200"/>
      <c r="BH366" s="530"/>
      <c r="BJ366" s="619"/>
      <c r="BK366" s="244"/>
      <c r="BL366" s="200"/>
      <c r="BM366"/>
      <c r="BN366" s="530"/>
      <c r="BP366" s="619"/>
      <c r="BQ366" s="244"/>
      <c r="BR366" s="200"/>
      <c r="BT366" s="530"/>
      <c r="BV366" s="619"/>
      <c r="BW366" s="632"/>
      <c r="BX366" s="32"/>
      <c r="BY366" s="607"/>
      <c r="BZ366" s="602"/>
      <c r="CG366" s="200"/>
      <c r="CY366" s="734"/>
    </row>
    <row r="367" spans="2:103" ht="27" customHeight="1">
      <c r="B367" s="244">
        <f t="shared" si="77"/>
        <v>6224.2</v>
      </c>
      <c r="C367" s="244"/>
      <c r="D367" s="244"/>
      <c r="E367" s="244"/>
      <c r="F367" s="200" t="s">
        <v>543</v>
      </c>
      <c r="G367" s="200"/>
      <c r="H367" t="str">
        <f t="shared" si="78"/>
        <v xml:space="preserve">  ...  MC READINGS ..</v>
      </c>
      <c r="I367" s="619" t="str">
        <f>$L$172</f>
        <v>…..........</v>
      </c>
      <c r="BA367" s="200"/>
      <c r="BB367" s="530"/>
      <c r="BE367" s="619"/>
      <c r="BF367" s="244"/>
      <c r="BG367" s="200"/>
      <c r="BH367" s="530"/>
      <c r="BJ367" s="619"/>
      <c r="BK367" s="244"/>
      <c r="BL367" s="200"/>
      <c r="BM367"/>
      <c r="BN367" s="530"/>
      <c r="BP367" s="619"/>
      <c r="BQ367" s="244"/>
      <c r="BR367" s="200"/>
      <c r="BT367" s="530"/>
      <c r="BV367" s="619"/>
      <c r="BW367" s="632"/>
      <c r="BX367" s="32"/>
      <c r="BY367" s="607"/>
      <c r="BZ367" s="602"/>
      <c r="CG367" s="200"/>
      <c r="CY367" s="734"/>
    </row>
    <row r="368" spans="2:103" ht="27" customHeight="1">
      <c r="B368" s="244">
        <f t="shared" si="77"/>
        <v>6225.2</v>
      </c>
      <c r="C368" s="244"/>
      <c r="D368" s="244"/>
      <c r="E368" s="244"/>
      <c r="F368" s="200" t="s">
        <v>543</v>
      </c>
      <c r="G368" s="200"/>
      <c r="H368" t="str">
        <f t="shared" si="78"/>
        <v xml:space="preserve">  ...  MC READINGS ..</v>
      </c>
      <c r="I368" s="619" t="e">
        <f>#REF!</f>
        <v>#REF!</v>
      </c>
      <c r="BA368" s="200"/>
      <c r="BB368" s="530"/>
      <c r="BE368" s="619"/>
      <c r="BF368" s="244"/>
      <c r="BG368" s="200"/>
      <c r="BH368" s="530"/>
      <c r="BJ368" s="619"/>
      <c r="BK368" s="244"/>
      <c r="BL368" s="200"/>
      <c r="BM368"/>
      <c r="BN368" s="530"/>
      <c r="BP368" s="619"/>
      <c r="BQ368" s="244"/>
      <c r="BR368" s="200"/>
      <c r="BT368" s="530"/>
      <c r="BV368" s="619"/>
      <c r="BW368" s="632"/>
      <c r="BX368" s="32"/>
      <c r="BY368" s="607"/>
      <c r="BZ368" s="602"/>
      <c r="CG368" s="200"/>
      <c r="CY368" s="734"/>
    </row>
    <row r="369" spans="2:103" ht="27" customHeight="1">
      <c r="B369" s="560" t="str">
        <f>B313</f>
        <v xml:space="preserve">  ...  MC READINGS ..</v>
      </c>
      <c r="C369" s="560"/>
      <c r="D369" s="560"/>
      <c r="E369" s="560"/>
      <c r="F369" s="560"/>
      <c r="G369" s="560"/>
      <c r="H369" s="601"/>
      <c r="I369" s="601"/>
      <c r="J369" s="883" t="s">
        <v>508</v>
      </c>
      <c r="AT369" s="619"/>
      <c r="AU369" s="530"/>
      <c r="AV369" s="200"/>
      <c r="AW369" s="530"/>
      <c r="AX369" s="575"/>
      <c r="AY369" s="619"/>
      <c r="BA369" s="200"/>
      <c r="BC369" s="530"/>
      <c r="BE369" s="619"/>
      <c r="BF369" s="244"/>
      <c r="BG369" s="200"/>
      <c r="BH369" s="530"/>
      <c r="BJ369" s="619"/>
      <c r="BK369" s="244"/>
      <c r="BL369" s="200"/>
      <c r="BM369"/>
      <c r="BN369" s="530"/>
      <c r="BP369" s="619"/>
      <c r="BQ369" s="244"/>
      <c r="BR369" s="200"/>
      <c r="BT369" s="530"/>
      <c r="BV369" s="619"/>
      <c r="BW369" s="632"/>
      <c r="BX369" s="32"/>
      <c r="BY369" s="607"/>
      <c r="BZ369" s="602"/>
      <c r="CG369" s="200"/>
      <c r="CY369" s="734"/>
    </row>
    <row r="370" spans="2:103" ht="27" customHeight="1">
      <c r="B370" s="603" t="s">
        <v>531</v>
      </c>
      <c r="C370" s="603"/>
      <c r="D370" s="603"/>
      <c r="E370" s="603"/>
      <c r="F370" s="603"/>
      <c r="G370" s="603"/>
      <c r="H370" s="832"/>
      <c r="I370" s="832"/>
      <c r="J370" s="883"/>
      <c r="AT370" s="619"/>
      <c r="AU370" s="530"/>
      <c r="AV370" s="200"/>
      <c r="AW370" s="530"/>
      <c r="AX370" s="575"/>
      <c r="AY370" s="619"/>
      <c r="BA370" s="200"/>
      <c r="BC370" s="530"/>
      <c r="BE370" s="619"/>
      <c r="BF370" s="244"/>
      <c r="BG370" s="200"/>
      <c r="BH370" s="530"/>
      <c r="BJ370" s="619"/>
      <c r="BK370" s="244"/>
      <c r="BL370" s="200"/>
      <c r="BM370"/>
      <c r="BN370" s="530"/>
      <c r="BP370" s="619"/>
      <c r="BQ370" s="244"/>
      <c r="BR370" s="200"/>
      <c r="BT370" s="530"/>
      <c r="BV370" s="619"/>
      <c r="BW370" s="632"/>
      <c r="BX370" s="32"/>
      <c r="BY370" s="607"/>
      <c r="BZ370" s="602"/>
      <c r="CG370" s="200"/>
      <c r="CY370" s="734"/>
    </row>
    <row r="371" spans="2:103" ht="27" customHeight="1">
      <c r="B371" s="604">
        <f>B372-0.3</f>
        <v>6301</v>
      </c>
      <c r="C371" s="604"/>
      <c r="D371" s="604"/>
      <c r="E371" s="604"/>
      <c r="F371" s="200" t="s">
        <v>543</v>
      </c>
      <c r="G371" s="200"/>
      <c r="H371" t="s">
        <v>612</v>
      </c>
      <c r="I371" s="564" t="s">
        <v>548</v>
      </c>
      <c r="J371" s="183" t="str">
        <f>B370</f>
        <v xml:space="preserve">….. DAY 3 ….. </v>
      </c>
      <c r="AT371" s="619"/>
      <c r="AU371" s="530"/>
      <c r="AV371" s="200"/>
      <c r="AW371" s="530"/>
      <c r="AX371" s="575"/>
      <c r="AY371" s="619"/>
      <c r="BA371" s="200"/>
      <c r="BC371" s="530"/>
      <c r="BE371" s="619"/>
      <c r="BF371" s="244"/>
      <c r="BG371" s="200"/>
      <c r="BH371" s="530"/>
      <c r="BJ371" s="619"/>
      <c r="BK371" s="244"/>
      <c r="BL371" s="200"/>
      <c r="BM371"/>
      <c r="BN371" s="530"/>
      <c r="BP371" s="619"/>
      <c r="BQ371" s="244"/>
      <c r="BR371" s="200"/>
      <c r="BT371" s="530"/>
      <c r="BV371" s="619"/>
      <c r="BW371" s="632"/>
      <c r="BX371" s="32"/>
      <c r="BY371" s="607"/>
      <c r="BZ371" s="602"/>
      <c r="CG371" s="200"/>
      <c r="CY371" s="734"/>
    </row>
    <row r="372" spans="2:103" ht="27" customHeight="1">
      <c r="B372" s="244">
        <f t="shared" ref="B372:B396" si="79">K512</f>
        <v>6301.3</v>
      </c>
      <c r="C372" s="244"/>
      <c r="D372" s="244"/>
      <c r="E372" s="244"/>
      <c r="F372" s="200" t="s">
        <v>543</v>
      </c>
      <c r="G372" s="200"/>
      <c r="H372" s="530" t="e">
        <f>#REF!</f>
        <v>#REF!</v>
      </c>
      <c r="I372" t="str">
        <f>B369</f>
        <v xml:space="preserve">  ...  MC READINGS ..</v>
      </c>
      <c r="J372" s="619" t="str">
        <f>$L$149</f>
        <v>LOS</v>
      </c>
      <c r="AT372" s="619"/>
      <c r="AU372" s="530"/>
      <c r="AV372" s="200"/>
      <c r="AW372" s="530"/>
      <c r="AX372" s="575"/>
      <c r="AY372" s="619"/>
      <c r="BA372" s="200"/>
      <c r="BC372" s="530"/>
      <c r="BE372" s="619"/>
      <c r="BF372" s="244"/>
      <c r="BG372" s="200"/>
      <c r="BH372" s="530"/>
      <c r="BJ372" s="619"/>
      <c r="BK372" s="244"/>
      <c r="BL372" s="200"/>
      <c r="BM372"/>
      <c r="BN372" s="530"/>
      <c r="BP372" s="619"/>
      <c r="BQ372" s="244"/>
      <c r="BR372" s="200"/>
      <c r="BT372" s="530"/>
      <c r="BV372" s="619"/>
      <c r="BW372" s="632"/>
      <c r="BX372" s="32"/>
      <c r="BY372" s="607"/>
      <c r="BZ372" s="602"/>
      <c r="CG372" s="200"/>
      <c r="CY372" s="734"/>
    </row>
    <row r="373" spans="2:103" ht="27" customHeight="1">
      <c r="B373" s="244">
        <f t="shared" si="79"/>
        <v>6302.3</v>
      </c>
      <c r="C373" s="244"/>
      <c r="D373" s="244"/>
      <c r="E373" s="244"/>
      <c r="F373" s="200" t="s">
        <v>543</v>
      </c>
      <c r="G373" s="200"/>
      <c r="H373" s="530" t="e">
        <f>#REF!</f>
        <v>#REF!</v>
      </c>
      <c r="I373" t="str">
        <f>I372</f>
        <v xml:space="preserve">  ...  MC READINGS ..</v>
      </c>
      <c r="J373" s="619" t="str">
        <f>$L$150</f>
        <v>LOS</v>
      </c>
      <c r="AT373" s="619"/>
      <c r="AU373" s="530"/>
      <c r="AV373" s="200"/>
      <c r="AW373" s="530"/>
      <c r="AX373" s="575"/>
      <c r="AY373" s="619"/>
      <c r="BA373" s="200"/>
      <c r="BC373" s="530"/>
      <c r="BE373" s="619"/>
      <c r="BF373" s="244"/>
      <c r="BG373" s="200"/>
      <c r="BH373" s="530"/>
      <c r="BJ373" s="619"/>
      <c r="BK373" s="244"/>
      <c r="BL373" s="200"/>
      <c r="BM373"/>
      <c r="BN373" s="530"/>
      <c r="BP373" s="619"/>
      <c r="BQ373" s="244"/>
      <c r="BR373" s="200"/>
      <c r="BT373" s="530"/>
      <c r="BV373" s="619"/>
      <c r="BW373" s="632"/>
      <c r="BX373" s="32"/>
      <c r="BY373" s="607"/>
      <c r="BZ373" s="602"/>
      <c r="CG373" s="200"/>
      <c r="CY373" s="734"/>
    </row>
    <row r="374" spans="2:103" ht="27" customHeight="1">
      <c r="B374" s="244">
        <f t="shared" si="79"/>
        <v>6303.3</v>
      </c>
      <c r="C374" s="244"/>
      <c r="D374" s="244"/>
      <c r="E374" s="244"/>
      <c r="F374" s="200" t="s">
        <v>543</v>
      </c>
      <c r="G374" s="200"/>
      <c r="H374" s="530" t="e">
        <f>#REF!</f>
        <v>#REF!</v>
      </c>
      <c r="I374" t="str">
        <f t="shared" ref="I374:I396" si="80">I373</f>
        <v xml:space="preserve">  ...  MC READINGS ..</v>
      </c>
      <c r="J374" s="619" t="str">
        <f>$L$151</f>
        <v>LOS</v>
      </c>
      <c r="AT374" s="619"/>
      <c r="AU374" s="530"/>
      <c r="AV374" s="200"/>
      <c r="AW374" s="530"/>
      <c r="AX374" s="575"/>
      <c r="AY374" s="619"/>
      <c r="BA374" s="200"/>
      <c r="BC374" s="530"/>
      <c r="BE374" s="619"/>
      <c r="BF374" s="244"/>
      <c r="BG374" s="200"/>
      <c r="BH374" s="530"/>
      <c r="BJ374" s="619"/>
      <c r="BK374" s="244"/>
      <c r="BL374" s="200"/>
      <c r="BM374"/>
      <c r="BN374" s="530"/>
      <c r="BP374" s="619"/>
      <c r="BQ374" s="244"/>
      <c r="BR374" s="200"/>
      <c r="BT374" s="530"/>
      <c r="BV374" s="619"/>
      <c r="BW374" s="632"/>
      <c r="BX374" s="32"/>
      <c r="BY374" s="607"/>
      <c r="BZ374" s="602"/>
      <c r="CG374" s="200"/>
      <c r="CY374" s="734"/>
    </row>
    <row r="375" spans="2:103" ht="27" customHeight="1">
      <c r="B375" s="244">
        <f t="shared" si="79"/>
        <v>6304.3</v>
      </c>
      <c r="C375" s="244"/>
      <c r="D375" s="244"/>
      <c r="E375" s="244"/>
      <c r="F375" s="200" t="s">
        <v>543</v>
      </c>
      <c r="G375" s="200"/>
      <c r="H375" s="530" t="e">
        <f>#REF!</f>
        <v>#REF!</v>
      </c>
      <c r="I375" t="str">
        <f t="shared" si="80"/>
        <v xml:space="preserve">  ...  MC READINGS ..</v>
      </c>
      <c r="J375" s="619" t="str">
        <f>$L$152</f>
        <v>…..........</v>
      </c>
      <c r="AT375" s="619"/>
      <c r="AU375" s="530"/>
      <c r="AV375" s="200"/>
      <c r="AW375" s="530"/>
      <c r="AX375" s="575"/>
      <c r="AY375" s="619"/>
      <c r="BA375" s="200"/>
      <c r="BC375" s="530"/>
      <c r="BE375" s="619"/>
      <c r="BF375" s="244"/>
      <c r="BG375" s="200"/>
      <c r="BH375" s="530"/>
      <c r="BJ375" s="619"/>
      <c r="BK375" s="244"/>
      <c r="BL375" s="200"/>
      <c r="BM375"/>
      <c r="BN375" s="530"/>
      <c r="BP375" s="619"/>
      <c r="BQ375" s="244"/>
      <c r="BR375" s="200"/>
      <c r="BT375" s="530"/>
      <c r="BV375" s="619"/>
      <c r="BW375" s="632"/>
      <c r="BX375" s="32"/>
      <c r="BY375" s="607"/>
      <c r="BZ375" s="602"/>
      <c r="CG375" s="200"/>
      <c r="CY375" s="734"/>
    </row>
    <row r="376" spans="2:103" ht="27" customHeight="1">
      <c r="B376" s="244">
        <f t="shared" si="79"/>
        <v>6305.3</v>
      </c>
      <c r="C376" s="244"/>
      <c r="D376" s="244"/>
      <c r="E376" s="244"/>
      <c r="F376" s="200" t="s">
        <v>543</v>
      </c>
      <c r="G376" s="200"/>
      <c r="H376" s="530" t="e">
        <f>#REF!</f>
        <v>#REF!</v>
      </c>
      <c r="I376" t="str">
        <f t="shared" si="80"/>
        <v xml:space="preserve">  ...  MC READINGS ..</v>
      </c>
      <c r="J376" s="619" t="str">
        <f>$L$153</f>
        <v>…..........</v>
      </c>
      <c r="AT376" s="619"/>
      <c r="AU376" s="530"/>
      <c r="AV376" s="200"/>
      <c r="AW376" s="530"/>
      <c r="AX376" s="575"/>
      <c r="AY376" s="619"/>
      <c r="BA376" s="200"/>
      <c r="BC376" s="530"/>
      <c r="BE376" s="619"/>
      <c r="BF376" s="244"/>
      <c r="BG376" s="200"/>
      <c r="BH376" s="530"/>
      <c r="BJ376" s="619"/>
      <c r="BK376" s="244"/>
      <c r="BL376" s="200"/>
      <c r="BM376"/>
      <c r="BN376" s="530"/>
      <c r="BP376" s="619"/>
      <c r="BQ376" s="244"/>
      <c r="BR376" s="200"/>
      <c r="BT376" s="530"/>
      <c r="BV376" s="619"/>
      <c r="BW376" s="632"/>
      <c r="BX376" s="32"/>
      <c r="BY376" s="607"/>
      <c r="BZ376" s="602"/>
      <c r="CG376" s="200"/>
      <c r="CY376" s="734"/>
    </row>
    <row r="377" spans="2:103" ht="27" customHeight="1">
      <c r="B377" s="244">
        <f t="shared" si="79"/>
        <v>6306.3</v>
      </c>
      <c r="C377" s="244"/>
      <c r="D377" s="244"/>
      <c r="E377" s="244"/>
      <c r="F377" s="200" t="s">
        <v>543</v>
      </c>
      <c r="G377" s="200"/>
      <c r="H377" s="530" t="e">
        <f>#REF!</f>
        <v>#REF!</v>
      </c>
      <c r="I377" t="str">
        <f t="shared" si="80"/>
        <v xml:space="preserve">  ...  MC READINGS ..</v>
      </c>
      <c r="J377" s="619" t="str">
        <f>$L$154</f>
        <v>…..........</v>
      </c>
      <c r="AT377" s="619"/>
      <c r="AU377" s="530"/>
      <c r="AV377" s="200"/>
      <c r="AW377" s="530"/>
      <c r="AX377" s="575"/>
      <c r="AY377" s="619"/>
      <c r="BA377" s="200"/>
      <c r="BC377" s="530"/>
      <c r="BE377" s="619"/>
      <c r="BF377" s="244"/>
      <c r="BG377" s="200"/>
      <c r="BH377" s="530"/>
      <c r="BJ377" s="619"/>
      <c r="BK377" s="244"/>
      <c r="BL377" s="200"/>
      <c r="BM377"/>
      <c r="BN377" s="530"/>
      <c r="BP377" s="619"/>
      <c r="BQ377" s="244"/>
      <c r="BR377" s="200"/>
      <c r="BT377" s="530"/>
      <c r="BV377" s="619"/>
      <c r="BW377" s="632"/>
      <c r="BX377" s="32"/>
      <c r="BY377" s="607"/>
      <c r="BZ377" s="602"/>
      <c r="CG377" s="200"/>
      <c r="CY377" s="734"/>
    </row>
    <row r="378" spans="2:103" ht="27" customHeight="1">
      <c r="B378" s="244">
        <f t="shared" si="79"/>
        <v>6307.3</v>
      </c>
      <c r="C378" s="244"/>
      <c r="D378" s="244"/>
      <c r="E378" s="244"/>
      <c r="F378" s="200" t="s">
        <v>543</v>
      </c>
      <c r="G378" s="200"/>
      <c r="H378" s="530" t="e">
        <f>#REF!</f>
        <v>#REF!</v>
      </c>
      <c r="I378" t="str">
        <f t="shared" si="80"/>
        <v xml:space="preserve">  ...  MC READINGS ..</v>
      </c>
      <c r="J378" s="619" t="str">
        <f>$L$155</f>
        <v>…..........</v>
      </c>
      <c r="AT378" s="619"/>
      <c r="AU378" s="530"/>
      <c r="AV378" s="200"/>
      <c r="AW378" s="530"/>
      <c r="AX378" s="575"/>
      <c r="AY378" s="619"/>
      <c r="BA378" s="200"/>
      <c r="BC378" s="530"/>
      <c r="BE378" s="619"/>
      <c r="BF378" s="244"/>
      <c r="BG378" s="200"/>
      <c r="BH378" s="530"/>
      <c r="BJ378" s="619"/>
      <c r="BK378" s="244"/>
      <c r="BL378" s="200"/>
      <c r="BM378"/>
      <c r="BN378" s="530"/>
      <c r="BP378" s="619"/>
      <c r="BQ378" s="244"/>
      <c r="BR378" s="200"/>
      <c r="BT378" s="530"/>
      <c r="BV378" s="619"/>
      <c r="BW378" s="632"/>
      <c r="BX378" s="32"/>
      <c r="BY378" s="607"/>
      <c r="BZ378" s="602"/>
      <c r="CG378" s="200"/>
      <c r="CY378" s="734"/>
    </row>
    <row r="379" spans="2:103" ht="27" customHeight="1">
      <c r="B379" s="244">
        <f t="shared" si="79"/>
        <v>6308.3</v>
      </c>
      <c r="C379" s="244"/>
      <c r="D379" s="244"/>
      <c r="E379" s="244"/>
      <c r="F379" s="200" t="s">
        <v>543</v>
      </c>
      <c r="G379" s="200"/>
      <c r="H379" s="530" t="e">
        <f>#REF!</f>
        <v>#REF!</v>
      </c>
      <c r="I379" t="str">
        <f t="shared" si="80"/>
        <v xml:space="preserve">  ...  MC READINGS ..</v>
      </c>
      <c r="J379" s="619" t="str">
        <f>$L$156</f>
        <v>…..........</v>
      </c>
      <c r="AT379" s="619"/>
      <c r="AU379" s="530"/>
      <c r="AV379" s="200"/>
      <c r="AW379" s="530"/>
      <c r="AX379" s="575"/>
      <c r="AY379" s="619"/>
      <c r="BA379" s="200"/>
      <c r="BC379" s="530"/>
      <c r="BE379" s="619"/>
      <c r="BF379" s="244"/>
      <c r="BG379" s="200"/>
      <c r="BH379" s="530"/>
      <c r="BJ379" s="619"/>
      <c r="BK379" s="244"/>
      <c r="BL379" s="200"/>
      <c r="BM379"/>
      <c r="BN379" s="530"/>
      <c r="BP379" s="619"/>
      <c r="BQ379" s="244"/>
      <c r="BR379" s="200"/>
      <c r="BT379" s="530"/>
      <c r="BV379" s="619"/>
      <c r="BW379" s="632"/>
      <c r="BX379" s="32"/>
      <c r="BY379" s="607"/>
      <c r="BZ379" s="602"/>
      <c r="CG379" s="200"/>
      <c r="CY379" s="734"/>
    </row>
    <row r="380" spans="2:103" ht="27" customHeight="1">
      <c r="B380" s="244">
        <f t="shared" si="79"/>
        <v>6309.3</v>
      </c>
      <c r="C380" s="244"/>
      <c r="D380" s="244"/>
      <c r="E380" s="244"/>
      <c r="F380" s="200" t="s">
        <v>543</v>
      </c>
      <c r="G380" s="200"/>
      <c r="H380" s="530" t="e">
        <f>#REF!</f>
        <v>#REF!</v>
      </c>
      <c r="I380" t="str">
        <f t="shared" si="80"/>
        <v xml:space="preserve">  ...  MC READINGS ..</v>
      </c>
      <c r="J380" s="619" t="str">
        <f>$L$157</f>
        <v>…..........</v>
      </c>
      <c r="AT380" s="619"/>
      <c r="AU380" s="530"/>
      <c r="AV380" s="200"/>
      <c r="AW380" s="530"/>
      <c r="AX380" s="575"/>
      <c r="AY380" s="619"/>
      <c r="BA380" s="200"/>
      <c r="BC380" s="530"/>
      <c r="BE380" s="619"/>
      <c r="BF380" s="244"/>
      <c r="BG380" s="200"/>
      <c r="BH380" s="530"/>
      <c r="BJ380" s="619"/>
      <c r="BK380" s="244"/>
      <c r="BL380" s="200"/>
      <c r="BM380"/>
      <c r="BN380" s="530"/>
      <c r="BP380" s="619"/>
      <c r="BQ380" s="244"/>
      <c r="BR380" s="200"/>
      <c r="BT380" s="530"/>
      <c r="BV380" s="619"/>
      <c r="BW380" s="632"/>
      <c r="BX380" s="32"/>
      <c r="BY380" s="607"/>
      <c r="BZ380" s="602"/>
      <c r="CG380" s="200"/>
      <c r="CY380" s="734"/>
    </row>
    <row r="381" spans="2:103" ht="27" customHeight="1">
      <c r="B381" s="244">
        <f t="shared" si="79"/>
        <v>6310.3</v>
      </c>
      <c r="C381" s="244"/>
      <c r="D381" s="244"/>
      <c r="E381" s="244"/>
      <c r="F381" s="200" t="s">
        <v>543</v>
      </c>
      <c r="G381" s="200"/>
      <c r="H381" s="530" t="e">
        <f>#REF!</f>
        <v>#REF!</v>
      </c>
      <c r="I381" t="str">
        <f t="shared" si="80"/>
        <v xml:space="preserve">  ...  MC READINGS ..</v>
      </c>
      <c r="J381" s="619" t="str">
        <f>$L$158</f>
        <v>LOS</v>
      </c>
      <c r="AT381" s="619"/>
      <c r="AU381" s="530"/>
      <c r="AV381" s="200"/>
      <c r="AW381" s="530"/>
      <c r="AX381" s="575"/>
      <c r="AY381" s="619"/>
      <c r="BA381" s="200"/>
      <c r="BC381" s="530"/>
      <c r="BE381" s="619"/>
      <c r="BF381" s="244"/>
      <c r="BG381" s="200"/>
      <c r="BH381" s="530"/>
      <c r="BJ381" s="619"/>
      <c r="BK381" s="244"/>
      <c r="BL381" s="200"/>
      <c r="BM381"/>
      <c r="BN381" s="530"/>
      <c r="BP381" s="619"/>
      <c r="BQ381" s="244"/>
      <c r="BR381" s="200"/>
      <c r="BT381" s="530"/>
      <c r="BV381" s="619"/>
      <c r="BW381" s="632"/>
      <c r="BX381" s="32"/>
      <c r="BY381" s="607"/>
      <c r="BZ381" s="602"/>
      <c r="CG381" s="200"/>
      <c r="CY381" s="734"/>
    </row>
    <row r="382" spans="2:103" ht="27" customHeight="1">
      <c r="B382" s="244">
        <f t="shared" si="79"/>
        <v>6311.3</v>
      </c>
      <c r="C382" s="244"/>
      <c r="D382" s="244"/>
      <c r="E382" s="244"/>
      <c r="F382" s="200" t="s">
        <v>543</v>
      </c>
      <c r="G382" s="200"/>
      <c r="H382" s="530" t="e">
        <f>#REF!</f>
        <v>#REF!</v>
      </c>
      <c r="I382" t="str">
        <f t="shared" si="80"/>
        <v xml:space="preserve">  ...  MC READINGS ..</v>
      </c>
      <c r="J382" s="619" t="str">
        <f>$L$159</f>
        <v>…..........</v>
      </c>
      <c r="AT382" s="619"/>
      <c r="AU382" s="530"/>
      <c r="AV382" s="200"/>
      <c r="AW382" s="530"/>
      <c r="AX382" s="575"/>
      <c r="AY382" s="619"/>
      <c r="BA382" s="200"/>
      <c r="BC382" s="530"/>
      <c r="BE382" s="619"/>
      <c r="BF382" s="244"/>
      <c r="BG382" s="200"/>
      <c r="BH382" s="530"/>
      <c r="BJ382" s="619"/>
      <c r="BK382" s="244"/>
      <c r="BL382" s="200"/>
      <c r="BM382"/>
      <c r="BN382" s="530"/>
      <c r="BP382" s="619"/>
      <c r="BQ382" s="244"/>
      <c r="BR382" s="200"/>
      <c r="BT382" s="530"/>
      <c r="BV382" s="619"/>
      <c r="BW382" s="632"/>
      <c r="BX382" s="32"/>
      <c r="BY382" s="607"/>
      <c r="BZ382" s="602"/>
      <c r="CG382" s="200"/>
      <c r="CY382" s="734"/>
    </row>
    <row r="383" spans="2:103" ht="27" customHeight="1">
      <c r="B383" s="244">
        <f t="shared" si="79"/>
        <v>6312.3</v>
      </c>
      <c r="C383" s="244"/>
      <c r="D383" s="244"/>
      <c r="E383" s="244"/>
      <c r="F383" s="200" t="s">
        <v>543</v>
      </c>
      <c r="G383" s="200"/>
      <c r="H383" s="530" t="e">
        <f>#REF!</f>
        <v>#REF!</v>
      </c>
      <c r="I383" t="str">
        <f t="shared" si="80"/>
        <v xml:space="preserve">  ...  MC READINGS ..</v>
      </c>
      <c r="J383" s="619" t="str">
        <f>$L$160</f>
        <v>LOS</v>
      </c>
      <c r="AT383" s="619"/>
      <c r="AU383" s="530"/>
      <c r="AV383" s="200"/>
      <c r="AW383" s="530"/>
      <c r="AX383" s="575"/>
      <c r="AY383" s="619"/>
      <c r="BA383" s="200"/>
      <c r="BC383" s="530"/>
      <c r="BE383" s="619"/>
      <c r="BF383" s="244"/>
      <c r="BG383" s="200"/>
      <c r="BH383" s="530"/>
      <c r="BJ383" s="619"/>
      <c r="BK383" s="244"/>
      <c r="BL383" s="200"/>
      <c r="BM383"/>
      <c r="BN383" s="530"/>
      <c r="BP383" s="619"/>
      <c r="BQ383" s="244"/>
      <c r="BR383" s="200"/>
      <c r="BT383" s="530"/>
      <c r="BV383" s="619"/>
      <c r="BW383" s="632"/>
      <c r="BX383" s="32"/>
      <c r="BY383" s="607"/>
      <c r="BZ383" s="602"/>
      <c r="CG383" s="200"/>
      <c r="CY383" s="734"/>
    </row>
    <row r="384" spans="2:103" ht="27" customHeight="1">
      <c r="B384" s="244">
        <f t="shared" si="79"/>
        <v>6313.3</v>
      </c>
      <c r="C384" s="244"/>
      <c r="D384" s="244"/>
      <c r="E384" s="244"/>
      <c r="F384" s="200" t="s">
        <v>543</v>
      </c>
      <c r="G384" s="200"/>
      <c r="H384" s="530" t="e">
        <f>#REF!</f>
        <v>#REF!</v>
      </c>
      <c r="I384" t="str">
        <f t="shared" si="80"/>
        <v xml:space="preserve">  ...  MC READINGS ..</v>
      </c>
      <c r="J384" s="619" t="str">
        <f>$L$161</f>
        <v>LOS</v>
      </c>
      <c r="AT384" s="619"/>
      <c r="AU384" s="530"/>
      <c r="AV384" s="200"/>
      <c r="AW384" s="530"/>
      <c r="AX384" s="575"/>
      <c r="AY384" s="619"/>
      <c r="BA384" s="200"/>
      <c r="BC384" s="530"/>
      <c r="BE384" s="619"/>
      <c r="BF384" s="244"/>
      <c r="BG384" s="200"/>
      <c r="BH384" s="530"/>
      <c r="BJ384" s="619"/>
      <c r="BK384" s="244"/>
      <c r="BL384" s="200"/>
      <c r="BM384"/>
      <c r="BN384" s="530"/>
      <c r="BP384" s="619"/>
      <c r="BQ384" s="244"/>
      <c r="BR384" s="200"/>
      <c r="BT384" s="530"/>
      <c r="BV384" s="619"/>
      <c r="BW384" s="632"/>
      <c r="BX384" s="32"/>
      <c r="BY384" s="607"/>
      <c r="BZ384" s="602"/>
      <c r="CG384" s="200"/>
      <c r="CY384" s="734"/>
    </row>
    <row r="385" spans="2:103" ht="27" customHeight="1">
      <c r="B385" s="244">
        <f t="shared" si="79"/>
        <v>6314.3</v>
      </c>
      <c r="C385" s="244"/>
      <c r="D385" s="244"/>
      <c r="E385" s="244"/>
      <c r="F385" s="200" t="s">
        <v>543</v>
      </c>
      <c r="G385" s="200"/>
      <c r="H385" s="530" t="e">
        <f>#REF!</f>
        <v>#REF!</v>
      </c>
      <c r="I385" t="str">
        <f t="shared" si="80"/>
        <v xml:space="preserve">  ...  MC READINGS ..</v>
      </c>
      <c r="J385" s="619" t="str">
        <f>$L$162</f>
        <v>LOS</v>
      </c>
      <c r="AT385" s="619"/>
      <c r="AU385" s="530"/>
      <c r="AV385" s="200"/>
      <c r="AW385" s="530"/>
      <c r="AX385" s="575"/>
      <c r="AY385" s="619"/>
      <c r="BA385" s="200"/>
      <c r="BC385" s="530"/>
      <c r="BE385" s="619"/>
      <c r="BF385" s="244"/>
      <c r="BG385" s="200"/>
      <c r="BH385" s="530"/>
      <c r="BJ385" s="619"/>
      <c r="BK385" s="244"/>
      <c r="BL385" s="200"/>
      <c r="BM385"/>
      <c r="BN385" s="530"/>
      <c r="BP385" s="619"/>
      <c r="BQ385" s="244"/>
      <c r="BR385" s="200"/>
      <c r="BT385" s="530"/>
      <c r="BV385" s="619"/>
      <c r="BW385" s="632"/>
      <c r="BX385" s="32"/>
      <c r="BY385" s="607"/>
      <c r="BZ385" s="602"/>
      <c r="CG385" s="200"/>
      <c r="CY385" s="734"/>
    </row>
    <row r="386" spans="2:103" ht="27" customHeight="1">
      <c r="B386" s="244">
        <f t="shared" si="79"/>
        <v>6315.3</v>
      </c>
      <c r="C386" s="244"/>
      <c r="D386" s="244"/>
      <c r="E386" s="244"/>
      <c r="F386" s="200" t="s">
        <v>543</v>
      </c>
      <c r="G386" s="200"/>
      <c r="H386" s="530" t="e">
        <f>#REF!</f>
        <v>#REF!</v>
      </c>
      <c r="I386" t="str">
        <f t="shared" si="80"/>
        <v xml:space="preserve">  ...  MC READINGS ..</v>
      </c>
      <c r="J386" s="619" t="str">
        <f>$L$163</f>
        <v>LOS</v>
      </c>
      <c r="AT386" s="619"/>
      <c r="AU386" s="530"/>
      <c r="AV386" s="200"/>
      <c r="AW386" s="530"/>
      <c r="AX386" s="575"/>
      <c r="AY386" s="619"/>
      <c r="BA386" s="200"/>
      <c r="BC386" s="530"/>
      <c r="BE386" s="619"/>
      <c r="BF386" s="244"/>
      <c r="BG386" s="200"/>
      <c r="BH386" s="530"/>
      <c r="BJ386" s="619"/>
      <c r="BK386" s="244"/>
      <c r="BL386" s="200"/>
      <c r="BM386"/>
      <c r="BN386" s="530"/>
      <c r="BP386" s="619"/>
      <c r="BQ386" s="244"/>
      <c r="BR386" s="200"/>
      <c r="BT386" s="530"/>
      <c r="BV386" s="619"/>
      <c r="BW386" s="632"/>
      <c r="BX386" s="32"/>
      <c r="BY386" s="607"/>
      <c r="BZ386" s="602"/>
      <c r="CG386" s="200"/>
      <c r="CY386" s="734"/>
    </row>
    <row r="387" spans="2:103" ht="27" customHeight="1">
      <c r="B387" s="244">
        <f t="shared" si="79"/>
        <v>6316.3</v>
      </c>
      <c r="C387" s="244"/>
      <c r="D387" s="244"/>
      <c r="E387" s="244"/>
      <c r="F387" s="200" t="s">
        <v>543</v>
      </c>
      <c r="G387" s="200"/>
      <c r="H387" s="530" t="e">
        <f>#REF!</f>
        <v>#REF!</v>
      </c>
      <c r="I387" t="str">
        <f t="shared" si="80"/>
        <v xml:space="preserve">  ...  MC READINGS ..</v>
      </c>
      <c r="J387" s="619" t="str">
        <f>$L$164</f>
        <v>LOS</v>
      </c>
      <c r="AT387" s="619"/>
      <c r="AU387" s="530"/>
      <c r="AV387" s="200"/>
      <c r="AW387" s="530"/>
      <c r="AX387" s="575"/>
      <c r="AY387" s="619"/>
      <c r="BA387" s="200"/>
      <c r="BC387" s="530"/>
      <c r="BE387" s="619"/>
      <c r="BF387" s="244"/>
      <c r="BG387" s="200"/>
      <c r="BH387" s="530"/>
      <c r="BJ387" s="619"/>
      <c r="BK387" s="244"/>
      <c r="BL387" s="200"/>
      <c r="BM387"/>
      <c r="BN387" s="530"/>
      <c r="BP387" s="619"/>
      <c r="BQ387" s="244"/>
      <c r="BR387" s="200"/>
      <c r="BT387" s="530"/>
      <c r="BV387" s="619"/>
      <c r="BW387" s="632"/>
      <c r="BX387" s="32"/>
      <c r="BY387" s="607"/>
      <c r="BZ387" s="602"/>
      <c r="CG387" s="200"/>
      <c r="CY387" s="734"/>
    </row>
    <row r="388" spans="2:103" ht="27" customHeight="1">
      <c r="B388" s="244">
        <f t="shared" si="79"/>
        <v>6317.3</v>
      </c>
      <c r="C388" s="244"/>
      <c r="D388" s="244"/>
      <c r="E388" s="244"/>
      <c r="F388" s="200" t="s">
        <v>543</v>
      </c>
      <c r="G388" s="200"/>
      <c r="H388" s="530" t="e">
        <f>#REF!</f>
        <v>#REF!</v>
      </c>
      <c r="I388" t="str">
        <f t="shared" si="80"/>
        <v xml:space="preserve">  ...  MC READINGS ..</v>
      </c>
      <c r="J388" s="619" t="str">
        <f>$L$165</f>
        <v>LOS</v>
      </c>
      <c r="AT388" s="619"/>
      <c r="AU388" s="530"/>
      <c r="AV388" s="200"/>
      <c r="AW388" s="530"/>
      <c r="AX388" s="575"/>
      <c r="AY388" s="619"/>
      <c r="BA388" s="200"/>
      <c r="BC388" s="530"/>
      <c r="BE388" s="619"/>
      <c r="BF388" s="244"/>
      <c r="BG388" s="200"/>
      <c r="BH388" s="530"/>
      <c r="BJ388" s="619"/>
      <c r="BK388" s="244"/>
      <c r="BL388" s="200"/>
      <c r="BM388"/>
      <c r="BN388" s="530"/>
      <c r="BP388" s="619"/>
      <c r="BQ388" s="244"/>
      <c r="BR388" s="200"/>
      <c r="BT388" s="530"/>
      <c r="BV388" s="619"/>
      <c r="BW388" s="632"/>
      <c r="BX388" s="32"/>
      <c r="BY388" s="607"/>
      <c r="BZ388" s="602"/>
      <c r="CG388" s="200"/>
      <c r="CY388" s="734"/>
    </row>
    <row r="389" spans="2:103" ht="27" customHeight="1">
      <c r="B389" s="244">
        <f t="shared" si="79"/>
        <v>6318.3</v>
      </c>
      <c r="C389" s="244"/>
      <c r="D389" s="244"/>
      <c r="E389" s="244"/>
      <c r="F389" s="200" t="s">
        <v>543</v>
      </c>
      <c r="G389" s="200"/>
      <c r="H389" s="530" t="e">
        <f>#REF!</f>
        <v>#REF!</v>
      </c>
      <c r="I389" t="str">
        <f t="shared" si="80"/>
        <v xml:space="preserve">  ...  MC READINGS ..</v>
      </c>
      <c r="J389" s="619" t="str">
        <f>$L$166</f>
        <v>LOS</v>
      </c>
      <c r="AT389" s="619"/>
      <c r="AU389" s="530"/>
      <c r="AV389" s="200"/>
      <c r="AW389" s="530"/>
      <c r="AX389" s="575"/>
      <c r="AY389" s="619"/>
      <c r="BA389" s="200"/>
      <c r="BC389" s="530"/>
      <c r="BE389" s="619"/>
      <c r="BF389" s="244"/>
      <c r="BG389" s="200"/>
      <c r="BH389" s="530"/>
      <c r="BJ389" s="619"/>
      <c r="BK389" s="244"/>
      <c r="BL389" s="200"/>
      <c r="BM389"/>
      <c r="BN389" s="530"/>
      <c r="BP389" s="619"/>
      <c r="BQ389" s="244"/>
      <c r="BR389" s="200"/>
      <c r="BT389" s="530"/>
      <c r="BV389" s="619"/>
      <c r="BW389" s="632"/>
      <c r="BX389" s="32"/>
      <c r="BY389" s="607"/>
      <c r="BZ389" s="602"/>
      <c r="CG389" s="200"/>
      <c r="CY389" s="734"/>
    </row>
    <row r="390" spans="2:103" ht="27" customHeight="1">
      <c r="B390" s="244">
        <f t="shared" si="79"/>
        <v>6319.3</v>
      </c>
      <c r="C390" s="244"/>
      <c r="D390" s="244"/>
      <c r="E390" s="244"/>
      <c r="F390" s="200" t="s">
        <v>543</v>
      </c>
      <c r="G390" s="200"/>
      <c r="H390" s="530" t="e">
        <f>#REF!</f>
        <v>#REF!</v>
      </c>
      <c r="I390" t="str">
        <f t="shared" si="80"/>
        <v xml:space="preserve">  ...  MC READINGS ..</v>
      </c>
      <c r="J390" s="619" t="str">
        <f>$L$167</f>
        <v>LOS</v>
      </c>
      <c r="AT390" s="619"/>
      <c r="AU390" s="530"/>
      <c r="AV390" s="200"/>
      <c r="AW390" s="530"/>
      <c r="AX390" s="575"/>
      <c r="AY390" s="619"/>
      <c r="BA390" s="200"/>
      <c r="BC390" s="530"/>
      <c r="BE390" s="619"/>
      <c r="BF390" s="244"/>
      <c r="BG390" s="200"/>
      <c r="BH390" s="530"/>
      <c r="BJ390" s="619"/>
      <c r="BK390" s="244"/>
      <c r="BL390" s="200"/>
      <c r="BM390"/>
      <c r="BN390" s="530"/>
      <c r="BP390" s="619"/>
      <c r="BQ390" s="244"/>
      <c r="BR390" s="200"/>
      <c r="BT390" s="530"/>
      <c r="BV390" s="619"/>
      <c r="BW390" s="632"/>
      <c r="BX390" s="32"/>
      <c r="BY390" s="607"/>
      <c r="BZ390" s="602"/>
      <c r="CG390" s="200"/>
      <c r="CY390" s="734"/>
    </row>
    <row r="391" spans="2:103" ht="27" customHeight="1">
      <c r="B391" s="244">
        <f t="shared" si="79"/>
        <v>6320.3</v>
      </c>
      <c r="C391" s="244"/>
      <c r="D391" s="244"/>
      <c r="E391" s="244"/>
      <c r="F391" s="200" t="s">
        <v>543</v>
      </c>
      <c r="G391" s="200"/>
      <c r="H391" s="530" t="e">
        <f>#REF!</f>
        <v>#REF!</v>
      </c>
      <c r="I391" t="str">
        <f t="shared" si="80"/>
        <v xml:space="preserve">  ...  MC READINGS ..</v>
      </c>
      <c r="J391" s="619" t="str">
        <f>$L$168</f>
        <v>…..........</v>
      </c>
      <c r="AT391" s="619"/>
      <c r="AU391" s="530"/>
      <c r="AV391" s="200"/>
      <c r="AW391" s="530"/>
      <c r="AX391" s="575"/>
      <c r="AY391" s="619"/>
      <c r="BA391" s="200"/>
      <c r="BC391" s="530"/>
      <c r="BE391" s="619"/>
      <c r="BF391" s="244"/>
      <c r="BG391" s="200"/>
      <c r="BH391" s="530"/>
      <c r="BJ391" s="619"/>
      <c r="BK391" s="244"/>
      <c r="BL391" s="200"/>
      <c r="BM391"/>
      <c r="BN391" s="530"/>
      <c r="BP391" s="619"/>
      <c r="BQ391" s="244"/>
      <c r="BR391" s="200"/>
      <c r="BT391" s="530"/>
      <c r="BV391" s="619"/>
      <c r="BW391" s="632"/>
      <c r="BX391" s="32"/>
      <c r="BY391" s="607"/>
      <c r="BZ391" s="602"/>
      <c r="CG391" s="200"/>
      <c r="CY391" s="734"/>
    </row>
    <row r="392" spans="2:103" ht="27" customHeight="1">
      <c r="B392" s="244">
        <f t="shared" si="79"/>
        <v>6321.3</v>
      </c>
      <c r="C392" s="244"/>
      <c r="D392" s="244"/>
      <c r="E392" s="244"/>
      <c r="F392" s="200" t="s">
        <v>543</v>
      </c>
      <c r="G392" s="200"/>
      <c r="H392" s="530" t="e">
        <f>#REF!</f>
        <v>#REF!</v>
      </c>
      <c r="I392" t="str">
        <f t="shared" si="80"/>
        <v xml:space="preserve">  ...  MC READINGS ..</v>
      </c>
      <c r="J392" s="619" t="str">
        <f>$L$169</f>
        <v>…..........</v>
      </c>
      <c r="AT392" s="619"/>
      <c r="AU392" s="530"/>
      <c r="AV392" s="200"/>
      <c r="AW392" s="530"/>
      <c r="AX392" s="575"/>
      <c r="AY392" s="619"/>
      <c r="BA392" s="200"/>
      <c r="BC392" s="530"/>
      <c r="BE392" s="619"/>
      <c r="BF392" s="244"/>
      <c r="BG392" s="200"/>
      <c r="BH392" s="530"/>
      <c r="BJ392" s="619"/>
      <c r="BK392" s="244"/>
      <c r="BL392" s="200"/>
      <c r="BM392"/>
      <c r="BN392" s="530"/>
      <c r="BP392" s="619"/>
      <c r="BQ392" s="244"/>
      <c r="BR392" s="200"/>
      <c r="BT392" s="530"/>
      <c r="BV392" s="619"/>
      <c r="BW392" s="632"/>
      <c r="BX392" s="32"/>
      <c r="BY392" s="607"/>
      <c r="BZ392" s="602"/>
      <c r="CG392" s="200"/>
      <c r="CY392" s="734"/>
    </row>
    <row r="393" spans="2:103" ht="27" customHeight="1">
      <c r="B393" s="244">
        <f t="shared" si="79"/>
        <v>6322.3</v>
      </c>
      <c r="C393" s="244"/>
      <c r="D393" s="244"/>
      <c r="E393" s="244"/>
      <c r="F393" s="200" t="s">
        <v>543</v>
      </c>
      <c r="G393" s="200"/>
      <c r="H393" s="530" t="e">
        <f>#REF!</f>
        <v>#REF!</v>
      </c>
      <c r="I393" t="str">
        <f t="shared" si="80"/>
        <v xml:space="preserve">  ...  MC READINGS ..</v>
      </c>
      <c r="J393" s="619" t="str">
        <f>$L$170</f>
        <v>…..........</v>
      </c>
      <c r="AT393" s="619"/>
      <c r="AU393" s="530"/>
      <c r="AV393" s="200"/>
      <c r="AW393" s="530"/>
      <c r="AX393" s="575"/>
      <c r="AY393" s="619"/>
      <c r="BA393" s="200"/>
      <c r="BC393" s="530"/>
      <c r="BE393" s="619"/>
      <c r="BF393" s="244"/>
      <c r="BG393" s="200"/>
      <c r="BH393" s="530"/>
      <c r="BJ393" s="619"/>
      <c r="BK393" s="244"/>
      <c r="BL393" s="200"/>
      <c r="BM393"/>
      <c r="BN393" s="530"/>
      <c r="BP393" s="619"/>
      <c r="BQ393" s="244"/>
      <c r="BR393" s="200"/>
      <c r="BT393" s="530"/>
      <c r="BV393" s="619"/>
      <c r="BW393" s="632"/>
      <c r="BX393" s="32"/>
      <c r="BY393" s="607"/>
      <c r="BZ393" s="602"/>
      <c r="CG393" s="200"/>
      <c r="CY393" s="734"/>
    </row>
    <row r="394" spans="2:103" ht="27" customHeight="1">
      <c r="B394" s="244">
        <f t="shared" si="79"/>
        <v>6323.3</v>
      </c>
      <c r="C394" s="244"/>
      <c r="D394" s="244"/>
      <c r="E394" s="244"/>
      <c r="F394" s="200" t="s">
        <v>543</v>
      </c>
      <c r="G394" s="200"/>
      <c r="H394" s="530" t="e">
        <f>#REF!</f>
        <v>#REF!</v>
      </c>
      <c r="I394" t="str">
        <f t="shared" si="80"/>
        <v xml:space="preserve">  ...  MC READINGS ..</v>
      </c>
      <c r="J394" s="619" t="str">
        <f>$L$171</f>
        <v>…..........</v>
      </c>
      <c r="AT394" s="619"/>
      <c r="AU394" s="530"/>
      <c r="AV394" s="200"/>
      <c r="AW394" s="530"/>
      <c r="AX394" s="575"/>
      <c r="AY394" s="619"/>
      <c r="BA394" s="200"/>
      <c r="BC394" s="530"/>
      <c r="BE394" s="619"/>
      <c r="BF394" s="244"/>
      <c r="BG394" s="200"/>
      <c r="BH394" s="530"/>
      <c r="BJ394" s="619"/>
      <c r="BK394" s="244"/>
      <c r="BL394" s="200"/>
      <c r="BM394"/>
      <c r="BN394" s="530"/>
      <c r="BP394" s="619"/>
      <c r="BQ394" s="244"/>
      <c r="BR394" s="200"/>
      <c r="BT394" s="530"/>
      <c r="BV394" s="619"/>
      <c r="BW394" s="632"/>
      <c r="BX394" s="32"/>
      <c r="BY394" s="607"/>
      <c r="BZ394" s="602"/>
      <c r="CG394" s="200"/>
      <c r="CY394" s="734"/>
    </row>
    <row r="395" spans="2:103" ht="27" customHeight="1">
      <c r="B395" s="244">
        <f t="shared" si="79"/>
        <v>6324.3</v>
      </c>
      <c r="C395" s="244"/>
      <c r="D395" s="244"/>
      <c r="E395" s="244"/>
      <c r="F395" s="200" t="s">
        <v>543</v>
      </c>
      <c r="G395" s="200"/>
      <c r="H395" s="530" t="e">
        <f>#REF!</f>
        <v>#REF!</v>
      </c>
      <c r="I395" t="str">
        <f t="shared" si="80"/>
        <v xml:space="preserve">  ...  MC READINGS ..</v>
      </c>
      <c r="J395" s="619" t="str">
        <f>$L$172</f>
        <v>…..........</v>
      </c>
      <c r="AT395" s="619"/>
      <c r="AU395" s="530"/>
      <c r="AV395" s="200"/>
      <c r="AW395" s="530"/>
      <c r="AX395" s="575"/>
      <c r="AY395" s="619"/>
      <c r="BA395" s="200"/>
      <c r="BC395" s="530"/>
      <c r="BE395" s="619"/>
      <c r="BF395" s="244"/>
      <c r="BG395" s="200"/>
      <c r="BH395" s="530"/>
      <c r="BJ395" s="619"/>
      <c r="BK395" s="244"/>
      <c r="BL395" s="200"/>
      <c r="BM395"/>
      <c r="BN395" s="530"/>
      <c r="BP395" s="619"/>
      <c r="BQ395" s="244"/>
      <c r="BR395" s="200"/>
      <c r="BT395" s="530"/>
      <c r="BV395" s="619"/>
      <c r="BW395" s="632"/>
      <c r="BX395" s="32"/>
      <c r="BY395" s="607"/>
      <c r="BZ395" s="602"/>
      <c r="CG395" s="200"/>
      <c r="CY395" s="734"/>
    </row>
    <row r="396" spans="2:103" ht="27" customHeight="1">
      <c r="B396" s="244">
        <f t="shared" si="79"/>
        <v>6325.3</v>
      </c>
      <c r="C396" s="244"/>
      <c r="D396" s="244"/>
      <c r="E396" s="244"/>
      <c r="F396" s="200" t="s">
        <v>543</v>
      </c>
      <c r="G396" s="200"/>
      <c r="H396" s="530" t="e">
        <f>#REF!</f>
        <v>#REF!</v>
      </c>
      <c r="I396" t="str">
        <f t="shared" si="80"/>
        <v xml:space="preserve">  ...  MC READINGS ..</v>
      </c>
      <c r="J396" s="619" t="e">
        <f>#REF!</f>
        <v>#REF!</v>
      </c>
      <c r="AT396" s="619"/>
      <c r="AU396" s="530"/>
      <c r="AV396" s="200"/>
      <c r="AW396" s="530"/>
      <c r="AX396" s="575"/>
      <c r="AY396" s="619"/>
      <c r="BA396" s="200"/>
      <c r="BC396" s="530"/>
      <c r="BE396" s="619"/>
      <c r="BF396" s="244"/>
      <c r="BG396" s="200"/>
      <c r="BH396" s="530"/>
      <c r="BJ396" s="619"/>
      <c r="BK396" s="244"/>
      <c r="BL396" s="200"/>
      <c r="BM396"/>
      <c r="BN396" s="530"/>
      <c r="BP396" s="619"/>
      <c r="BQ396" s="244"/>
      <c r="BR396" s="200"/>
      <c r="BT396" s="530"/>
      <c r="BV396" s="619"/>
      <c r="BW396" s="632"/>
      <c r="BX396" s="32"/>
      <c r="BY396" s="607"/>
      <c r="BZ396" s="602"/>
      <c r="CG396" s="200"/>
      <c r="CY396" s="734"/>
    </row>
    <row r="397" spans="2:103" ht="27" customHeight="1">
      <c r="B397" s="560" t="str">
        <f>B341</f>
        <v xml:space="preserve">  ...  MC READINGS ..</v>
      </c>
      <c r="C397" s="560"/>
      <c r="D397" s="560"/>
      <c r="E397" s="560"/>
      <c r="F397" s="560"/>
      <c r="G397" s="560"/>
      <c r="H397" s="601"/>
      <c r="I397" s="601"/>
      <c r="J397" s="883" t="s">
        <v>508</v>
      </c>
      <c r="AN397" s="619"/>
      <c r="AO397" s="431"/>
      <c r="AP397" s="530"/>
      <c r="AQ397" s="200"/>
      <c r="AR397" s="530"/>
      <c r="AS397" s="530"/>
      <c r="AT397" s="619"/>
      <c r="AU397" s="530"/>
      <c r="AV397" s="200"/>
      <c r="AW397" s="530"/>
      <c r="AX397" s="575"/>
      <c r="AY397" s="619"/>
      <c r="BA397" s="200"/>
      <c r="BC397" s="530"/>
      <c r="BE397" s="619"/>
      <c r="BF397" s="244"/>
      <c r="BG397" s="200"/>
      <c r="BH397" s="530"/>
      <c r="BJ397" s="619"/>
      <c r="BK397" s="244"/>
      <c r="BL397" s="200"/>
      <c r="BM397"/>
      <c r="BN397" s="530"/>
      <c r="BP397" s="619"/>
      <c r="BQ397" s="244"/>
      <c r="BR397" s="200"/>
      <c r="BT397" s="530"/>
      <c r="BV397" s="619"/>
      <c r="BW397" s="632"/>
      <c r="BX397" s="32"/>
      <c r="BY397" s="607"/>
      <c r="BZ397" s="602"/>
      <c r="CG397" s="200"/>
      <c r="CY397" s="734"/>
    </row>
    <row r="398" spans="2:103" ht="27" customHeight="1">
      <c r="B398" s="603" t="s">
        <v>532</v>
      </c>
      <c r="C398" s="603"/>
      <c r="D398" s="603"/>
      <c r="E398" s="603"/>
      <c r="F398" s="603"/>
      <c r="G398" s="603"/>
      <c r="H398" s="832"/>
      <c r="I398" s="832"/>
      <c r="J398" s="883"/>
      <c r="AN398" s="619"/>
      <c r="AO398" s="431"/>
      <c r="AP398" s="530"/>
      <c r="AQ398" s="200"/>
      <c r="AR398" s="530"/>
      <c r="AS398" s="530"/>
      <c r="AT398" s="619"/>
      <c r="AU398" s="530"/>
      <c r="AV398" s="200"/>
      <c r="AW398" s="530"/>
      <c r="AX398" s="575"/>
      <c r="AY398" s="619"/>
      <c r="BA398" s="200"/>
      <c r="BC398" s="530"/>
      <c r="BE398" s="619"/>
      <c r="BF398" s="244"/>
      <c r="BG398" s="200"/>
      <c r="BH398" s="530"/>
      <c r="BJ398" s="619"/>
      <c r="BK398" s="244"/>
      <c r="BL398" s="200"/>
      <c r="BM398"/>
      <c r="BN398" s="530"/>
      <c r="BP398" s="619"/>
      <c r="BQ398" s="244"/>
      <c r="BR398" s="200"/>
      <c r="BT398" s="530"/>
      <c r="BV398" s="619"/>
      <c r="BW398" s="632"/>
      <c r="BX398" s="32"/>
      <c r="BY398" s="607"/>
      <c r="BZ398" s="602"/>
      <c r="CG398" s="200"/>
      <c r="CY398" s="734"/>
    </row>
    <row r="399" spans="2:103" ht="27" customHeight="1">
      <c r="B399" s="604" t="e">
        <f>B400-0.4</f>
        <v>#REF!</v>
      </c>
      <c r="C399" s="604"/>
      <c r="D399" s="604"/>
      <c r="E399" s="604"/>
      <c r="F399" s="200" t="s">
        <v>543</v>
      </c>
      <c r="G399" s="200"/>
      <c r="H399" t="s">
        <v>612</v>
      </c>
      <c r="I399" s="564" t="s">
        <v>548</v>
      </c>
      <c r="J399" s="183" t="str">
        <f>B398</f>
        <v xml:space="preserve">….. DAY 4 ….. </v>
      </c>
      <c r="AN399" s="619"/>
      <c r="AO399" s="431"/>
      <c r="AP399" s="530"/>
      <c r="AQ399" s="200"/>
      <c r="AR399" s="530"/>
      <c r="AS399" s="530"/>
      <c r="AT399" s="619"/>
      <c r="AU399" s="530"/>
      <c r="AV399" s="200"/>
      <c r="AW399" s="530"/>
      <c r="AX399" s="575"/>
      <c r="AY399" s="619"/>
      <c r="BA399" s="200"/>
      <c r="BC399" s="530"/>
      <c r="BE399" s="619"/>
      <c r="BF399" s="244"/>
      <c r="BG399" s="200"/>
      <c r="BH399" s="530"/>
      <c r="BJ399" s="619"/>
      <c r="BK399" s="244"/>
      <c r="BL399" s="200"/>
      <c r="BM399"/>
      <c r="BN399" s="530"/>
      <c r="BP399" s="619"/>
      <c r="BQ399" s="244"/>
      <c r="BR399" s="200"/>
      <c r="BT399" s="530"/>
      <c r="BV399" s="619"/>
      <c r="BW399" s="632"/>
      <c r="BX399" s="32"/>
      <c r="BY399" s="607"/>
      <c r="BZ399" s="602"/>
      <c r="CG399" s="200"/>
      <c r="CY399" s="734"/>
    </row>
    <row r="400" spans="2:103" ht="27" customHeight="1">
      <c r="B400" s="244" t="e">
        <f>#REF!</f>
        <v>#REF!</v>
      </c>
      <c r="C400" s="244"/>
      <c r="D400" s="244"/>
      <c r="E400" s="244"/>
      <c r="F400" s="200" t="s">
        <v>543</v>
      </c>
      <c r="G400" s="200"/>
      <c r="H400" s="530" t="e">
        <f t="shared" ref="H400:H424" si="81">H372</f>
        <v>#REF!</v>
      </c>
      <c r="I400" t="str">
        <f>B397</f>
        <v xml:space="preserve">  ...  MC READINGS ..</v>
      </c>
      <c r="J400" s="619" t="str">
        <f>$L$149</f>
        <v>LOS</v>
      </c>
      <c r="AN400" s="619"/>
      <c r="AO400" s="431"/>
      <c r="AP400" s="530"/>
      <c r="AQ400" s="200"/>
      <c r="AR400" s="530"/>
      <c r="AS400" s="530"/>
      <c r="AT400" s="619"/>
      <c r="AU400" s="530"/>
      <c r="AV400" s="200"/>
      <c r="AW400" s="530"/>
      <c r="AX400" s="575"/>
      <c r="AY400" s="619"/>
      <c r="BA400" s="200"/>
      <c r="BC400" s="530"/>
      <c r="BE400" s="619"/>
      <c r="BF400" s="244"/>
      <c r="BG400" s="200"/>
      <c r="BH400" s="530"/>
      <c r="BJ400" s="619"/>
      <c r="BK400" s="244"/>
      <c r="BL400" s="200"/>
      <c r="BM400"/>
      <c r="BN400" s="530"/>
      <c r="BP400" s="619"/>
      <c r="BQ400" s="244"/>
      <c r="BR400" s="200"/>
      <c r="BT400" s="530"/>
      <c r="BV400" s="619"/>
      <c r="BW400" s="632"/>
      <c r="BX400" s="32"/>
      <c r="BY400" s="607"/>
      <c r="BZ400" s="602"/>
      <c r="CG400" s="200"/>
      <c r="CY400" s="734"/>
    </row>
    <row r="401" spans="2:103" ht="27" customHeight="1">
      <c r="B401" s="244" t="e">
        <f>#REF!</f>
        <v>#REF!</v>
      </c>
      <c r="C401" s="244"/>
      <c r="D401" s="244"/>
      <c r="E401" s="244"/>
      <c r="F401" s="200" t="s">
        <v>543</v>
      </c>
      <c r="G401" s="200"/>
      <c r="H401" s="530" t="e">
        <f t="shared" si="81"/>
        <v>#REF!</v>
      </c>
      <c r="I401" t="str">
        <f>I400</f>
        <v xml:space="preserve">  ...  MC READINGS ..</v>
      </c>
      <c r="J401" s="619" t="str">
        <f>$L$150</f>
        <v>LOS</v>
      </c>
      <c r="AN401" s="619"/>
      <c r="AO401" s="431"/>
      <c r="AP401" s="530"/>
      <c r="AQ401" s="200"/>
      <c r="AR401" s="530"/>
      <c r="AS401" s="530"/>
      <c r="AT401" s="619"/>
      <c r="AU401" s="530"/>
      <c r="AV401" s="200"/>
      <c r="AW401" s="530"/>
      <c r="AX401" s="575"/>
      <c r="AY401" s="619"/>
      <c r="BA401" s="200"/>
      <c r="BC401" s="530"/>
      <c r="BE401" s="619"/>
      <c r="BF401" s="244"/>
      <c r="BG401" s="200"/>
      <c r="BH401" s="530"/>
      <c r="BJ401" s="619"/>
      <c r="BK401" s="244"/>
      <c r="BL401" s="200"/>
      <c r="BM401"/>
      <c r="BN401" s="530"/>
      <c r="BP401" s="619"/>
      <c r="BQ401" s="244"/>
      <c r="BR401" s="200"/>
      <c r="BT401" s="530"/>
      <c r="BV401" s="619"/>
      <c r="BW401" s="632"/>
      <c r="BX401" s="32"/>
      <c r="BY401" s="607"/>
      <c r="BZ401" s="602"/>
      <c r="CG401" s="200"/>
      <c r="CY401" s="734"/>
    </row>
    <row r="402" spans="2:103" ht="27" customHeight="1">
      <c r="B402" s="244" t="e">
        <f>#REF!</f>
        <v>#REF!</v>
      </c>
      <c r="C402" s="244"/>
      <c r="D402" s="244"/>
      <c r="E402" s="244"/>
      <c r="F402" s="200" t="s">
        <v>543</v>
      </c>
      <c r="G402" s="200"/>
      <c r="H402" s="530" t="e">
        <f t="shared" si="81"/>
        <v>#REF!</v>
      </c>
      <c r="I402" t="str">
        <f t="shared" ref="I402:I424" si="82">I401</f>
        <v xml:space="preserve">  ...  MC READINGS ..</v>
      </c>
      <c r="J402" s="619" t="str">
        <f>$L$151</f>
        <v>LOS</v>
      </c>
      <c r="AN402" s="619"/>
      <c r="AO402" s="431"/>
      <c r="AP402" s="530"/>
      <c r="AQ402" s="200"/>
      <c r="AR402" s="530"/>
      <c r="AS402" s="530"/>
      <c r="AT402" s="619"/>
      <c r="AU402" s="530"/>
      <c r="AV402" s="200"/>
      <c r="AW402" s="530"/>
      <c r="AX402" s="575"/>
      <c r="AY402" s="619"/>
      <c r="BA402" s="200"/>
      <c r="BC402" s="530"/>
      <c r="BE402" s="619"/>
      <c r="BF402" s="244"/>
      <c r="BG402" s="200"/>
      <c r="BH402" s="530"/>
      <c r="BJ402" s="619"/>
      <c r="BK402" s="244"/>
      <c r="BL402" s="200"/>
      <c r="BM402"/>
      <c r="BN402" s="530"/>
      <c r="BP402" s="619"/>
      <c r="BQ402" s="244"/>
      <c r="BR402" s="200"/>
      <c r="BT402" s="530"/>
      <c r="BV402" s="619"/>
      <c r="BW402" s="632"/>
      <c r="BX402" s="32"/>
      <c r="BY402" s="607"/>
      <c r="BZ402" s="602"/>
      <c r="CG402" s="200"/>
      <c r="CY402" s="734"/>
    </row>
    <row r="403" spans="2:103" ht="27" customHeight="1">
      <c r="B403" s="244" t="e">
        <f>#REF!</f>
        <v>#REF!</v>
      </c>
      <c r="C403" s="244"/>
      <c r="D403" s="244"/>
      <c r="E403" s="244"/>
      <c r="F403" s="200" t="s">
        <v>543</v>
      </c>
      <c r="G403" s="200"/>
      <c r="H403" s="530" t="e">
        <f t="shared" si="81"/>
        <v>#REF!</v>
      </c>
      <c r="I403" t="str">
        <f t="shared" si="82"/>
        <v xml:space="preserve">  ...  MC READINGS ..</v>
      </c>
      <c r="J403" s="619" t="str">
        <f>$L$152</f>
        <v>…..........</v>
      </c>
      <c r="AN403" s="619"/>
      <c r="AO403" s="431"/>
      <c r="AP403" s="530"/>
      <c r="AQ403" s="200"/>
      <c r="AR403" s="530"/>
      <c r="AS403" s="530"/>
      <c r="AT403" s="619"/>
      <c r="AU403" s="530"/>
      <c r="AV403" s="200"/>
      <c r="AW403" s="530"/>
      <c r="AX403" s="575"/>
      <c r="AY403" s="619"/>
      <c r="BA403" s="200"/>
      <c r="BC403" s="530"/>
      <c r="BE403" s="619"/>
      <c r="BF403" s="244"/>
      <c r="BG403" s="200"/>
      <c r="BH403" s="530"/>
      <c r="BJ403" s="619"/>
      <c r="BK403" s="244"/>
      <c r="BL403" s="200"/>
      <c r="BM403"/>
      <c r="BN403" s="530"/>
      <c r="BP403" s="619"/>
      <c r="BQ403" s="244"/>
      <c r="BR403" s="200"/>
      <c r="BT403" s="530"/>
      <c r="BV403" s="619"/>
      <c r="BW403" s="632"/>
      <c r="BX403" s="32"/>
      <c r="BY403" s="607"/>
      <c r="BZ403" s="602"/>
      <c r="CG403" s="200"/>
      <c r="CY403" s="734"/>
    </row>
    <row r="404" spans="2:103" ht="27" customHeight="1">
      <c r="B404" s="244" t="e">
        <f>#REF!</f>
        <v>#REF!</v>
      </c>
      <c r="C404" s="244"/>
      <c r="D404" s="244"/>
      <c r="E404" s="244"/>
      <c r="F404" s="200" t="s">
        <v>543</v>
      </c>
      <c r="G404" s="200"/>
      <c r="H404" s="530" t="e">
        <f t="shared" si="81"/>
        <v>#REF!</v>
      </c>
      <c r="I404" t="str">
        <f t="shared" si="82"/>
        <v xml:space="preserve">  ...  MC READINGS ..</v>
      </c>
      <c r="J404" s="619" t="str">
        <f>$L$153</f>
        <v>…..........</v>
      </c>
      <c r="AN404" s="619"/>
      <c r="AO404" s="431"/>
      <c r="AP404" s="530"/>
      <c r="AQ404" s="200"/>
      <c r="AR404" s="530"/>
      <c r="AS404" s="530"/>
      <c r="AT404" s="619"/>
      <c r="AU404" s="530"/>
      <c r="AV404" s="200"/>
      <c r="AW404" s="530"/>
      <c r="AX404" s="575"/>
      <c r="AY404" s="619"/>
      <c r="BA404" s="200"/>
      <c r="BC404" s="530"/>
      <c r="BE404" s="619"/>
      <c r="BF404" s="244"/>
      <c r="BG404" s="200"/>
      <c r="BH404" s="530"/>
      <c r="BJ404" s="619"/>
      <c r="BK404" s="244"/>
      <c r="BL404" s="200"/>
      <c r="BM404"/>
      <c r="BN404" s="530"/>
      <c r="BP404" s="619"/>
      <c r="BQ404" s="244"/>
      <c r="BR404" s="200"/>
      <c r="BT404" s="530"/>
      <c r="BV404" s="619"/>
      <c r="BW404" s="632"/>
      <c r="BX404" s="32"/>
      <c r="BY404" s="607"/>
      <c r="BZ404" s="602"/>
      <c r="CG404" s="200"/>
      <c r="CY404" s="734"/>
    </row>
    <row r="405" spans="2:103" ht="27" customHeight="1">
      <c r="B405" s="244" t="e">
        <f>#REF!</f>
        <v>#REF!</v>
      </c>
      <c r="C405" s="244"/>
      <c r="D405" s="244"/>
      <c r="E405" s="244"/>
      <c r="F405" s="200" t="s">
        <v>543</v>
      </c>
      <c r="G405" s="200"/>
      <c r="H405" s="530" t="e">
        <f t="shared" si="81"/>
        <v>#REF!</v>
      </c>
      <c r="I405" t="str">
        <f t="shared" si="82"/>
        <v xml:space="preserve">  ...  MC READINGS ..</v>
      </c>
      <c r="J405" s="619" t="str">
        <f>$L$154</f>
        <v>…..........</v>
      </c>
      <c r="AN405" s="619"/>
      <c r="AO405" s="431"/>
      <c r="AP405" s="530"/>
      <c r="AQ405" s="200"/>
      <c r="AR405" s="530"/>
      <c r="AS405" s="530"/>
      <c r="AT405" s="619"/>
      <c r="AU405" s="530"/>
      <c r="AV405" s="200"/>
      <c r="AW405" s="530"/>
      <c r="AX405" s="575"/>
      <c r="AY405" s="619"/>
      <c r="BA405" s="200"/>
      <c r="BC405" s="530"/>
      <c r="BE405" s="619"/>
      <c r="BF405" s="244"/>
      <c r="BG405" s="200"/>
      <c r="BH405" s="530"/>
      <c r="BJ405" s="619"/>
      <c r="BK405" s="244"/>
      <c r="BL405" s="200"/>
      <c r="BM405"/>
      <c r="BN405" s="530"/>
      <c r="BP405" s="619"/>
      <c r="BQ405" s="244"/>
      <c r="BR405" s="200"/>
      <c r="BT405" s="530"/>
      <c r="BV405" s="619"/>
      <c r="BW405" s="632"/>
      <c r="BX405" s="32"/>
      <c r="BY405" s="607"/>
      <c r="BZ405" s="602"/>
      <c r="CG405" s="200"/>
      <c r="CY405" s="734"/>
    </row>
    <row r="406" spans="2:103" ht="27" customHeight="1">
      <c r="B406" s="244" t="e">
        <f>#REF!</f>
        <v>#REF!</v>
      </c>
      <c r="C406" s="244"/>
      <c r="D406" s="244"/>
      <c r="E406" s="244"/>
      <c r="F406" s="200" t="s">
        <v>543</v>
      </c>
      <c r="G406" s="200"/>
      <c r="H406" s="530" t="e">
        <f t="shared" si="81"/>
        <v>#REF!</v>
      </c>
      <c r="I406" t="str">
        <f t="shared" si="82"/>
        <v xml:space="preserve">  ...  MC READINGS ..</v>
      </c>
      <c r="J406" s="619" t="str">
        <f>$L$155</f>
        <v>…..........</v>
      </c>
      <c r="AN406" s="619"/>
      <c r="AO406" s="431"/>
      <c r="AP406" s="530"/>
      <c r="AQ406" s="200"/>
      <c r="AR406" s="530"/>
      <c r="AS406" s="530"/>
      <c r="AT406" s="619"/>
      <c r="AU406" s="530"/>
      <c r="AV406" s="200"/>
      <c r="AW406" s="530"/>
      <c r="AX406" s="575"/>
      <c r="AY406" s="619"/>
      <c r="BA406" s="200"/>
      <c r="BC406" s="530"/>
      <c r="BE406" s="619"/>
      <c r="BF406" s="244"/>
      <c r="BG406" s="200"/>
      <c r="BH406" s="530"/>
      <c r="BJ406" s="619"/>
      <c r="BK406" s="244"/>
      <c r="BL406" s="200"/>
      <c r="BM406"/>
      <c r="BN406" s="530"/>
      <c r="BP406" s="619"/>
      <c r="BQ406" s="244"/>
      <c r="BR406" s="200"/>
      <c r="BT406" s="530"/>
      <c r="BV406" s="619"/>
      <c r="BW406" s="632"/>
      <c r="BX406" s="32"/>
      <c r="BY406" s="607"/>
      <c r="BZ406" s="602"/>
      <c r="CG406" s="200"/>
      <c r="CY406" s="734"/>
    </row>
    <row r="407" spans="2:103" ht="27" customHeight="1">
      <c r="B407" s="244" t="e">
        <f>#REF!</f>
        <v>#REF!</v>
      </c>
      <c r="C407" s="244"/>
      <c r="D407" s="244"/>
      <c r="E407" s="244"/>
      <c r="F407" s="200" t="s">
        <v>543</v>
      </c>
      <c r="G407" s="200"/>
      <c r="H407" s="530" t="e">
        <f t="shared" si="81"/>
        <v>#REF!</v>
      </c>
      <c r="I407" t="str">
        <f t="shared" si="82"/>
        <v xml:space="preserve">  ...  MC READINGS ..</v>
      </c>
      <c r="J407" s="619" t="str">
        <f>$L$156</f>
        <v>…..........</v>
      </c>
      <c r="AN407" s="619"/>
      <c r="AO407" s="431"/>
      <c r="AP407" s="530"/>
      <c r="AQ407" s="200"/>
      <c r="AR407" s="530"/>
      <c r="AS407" s="530"/>
      <c r="AT407" s="619"/>
      <c r="AU407" s="530"/>
      <c r="AV407" s="200"/>
      <c r="AW407" s="530"/>
      <c r="AX407" s="575"/>
      <c r="AY407" s="619"/>
      <c r="BA407" s="200"/>
      <c r="BC407" s="530"/>
      <c r="BE407" s="619"/>
      <c r="BF407" s="244"/>
      <c r="BG407" s="200"/>
      <c r="BH407" s="530"/>
      <c r="BJ407" s="619"/>
      <c r="BK407" s="244"/>
      <c r="BL407" s="200"/>
      <c r="BM407"/>
      <c r="BN407" s="530"/>
      <c r="BP407" s="619"/>
      <c r="BQ407" s="244"/>
      <c r="BR407" s="200"/>
      <c r="BT407" s="530"/>
      <c r="BV407" s="619"/>
      <c r="BW407" s="632"/>
      <c r="BX407" s="32"/>
      <c r="BY407" s="607"/>
      <c r="BZ407" s="602"/>
      <c r="CG407" s="200"/>
      <c r="CY407" s="734"/>
    </row>
    <row r="408" spans="2:103" ht="27" customHeight="1">
      <c r="B408" s="244" t="e">
        <f>#REF!</f>
        <v>#REF!</v>
      </c>
      <c r="C408" s="244"/>
      <c r="D408" s="244"/>
      <c r="E408" s="244"/>
      <c r="F408" s="200" t="s">
        <v>543</v>
      </c>
      <c r="G408" s="200"/>
      <c r="H408" s="530" t="e">
        <f t="shared" si="81"/>
        <v>#REF!</v>
      </c>
      <c r="I408" t="str">
        <f t="shared" si="82"/>
        <v xml:space="preserve">  ...  MC READINGS ..</v>
      </c>
      <c r="J408" s="619" t="str">
        <f>$L$157</f>
        <v>…..........</v>
      </c>
      <c r="AN408" s="619"/>
      <c r="AO408" s="431"/>
      <c r="AP408" s="530"/>
      <c r="AQ408" s="200"/>
      <c r="AR408" s="530"/>
      <c r="AS408" s="530"/>
      <c r="AT408" s="619"/>
      <c r="AU408" s="530"/>
      <c r="AV408" s="200"/>
      <c r="AW408" s="530"/>
      <c r="AX408" s="575"/>
      <c r="AY408" s="619"/>
      <c r="BA408" s="200"/>
      <c r="BC408" s="530"/>
      <c r="BE408" s="619"/>
      <c r="BF408" s="244"/>
      <c r="BG408" s="200"/>
      <c r="BH408" s="530"/>
      <c r="BJ408" s="619"/>
      <c r="BK408" s="244"/>
      <c r="BL408" s="200"/>
      <c r="BM408"/>
      <c r="BN408" s="530"/>
      <c r="BP408" s="619"/>
      <c r="BQ408" s="244"/>
      <c r="BR408" s="200"/>
      <c r="BT408" s="530"/>
      <c r="BV408" s="619"/>
      <c r="BW408" s="632"/>
      <c r="BX408" s="32"/>
      <c r="BY408" s="607"/>
      <c r="BZ408" s="602"/>
      <c r="CG408" s="200"/>
      <c r="CY408" s="734"/>
    </row>
    <row r="409" spans="2:103" ht="27" customHeight="1">
      <c r="B409" s="244" t="e">
        <f>#REF!</f>
        <v>#REF!</v>
      </c>
      <c r="C409" s="244"/>
      <c r="D409" s="244"/>
      <c r="E409" s="244"/>
      <c r="F409" s="200" t="s">
        <v>543</v>
      </c>
      <c r="G409" s="200"/>
      <c r="H409" s="530" t="e">
        <f t="shared" si="81"/>
        <v>#REF!</v>
      </c>
      <c r="I409" t="str">
        <f t="shared" si="82"/>
        <v xml:space="preserve">  ...  MC READINGS ..</v>
      </c>
      <c r="J409" s="619" t="str">
        <f>$L$158</f>
        <v>LOS</v>
      </c>
      <c r="AN409" s="619"/>
      <c r="AO409" s="431"/>
      <c r="AP409" s="530"/>
      <c r="AQ409" s="200"/>
      <c r="AR409" s="530"/>
      <c r="AS409" s="530"/>
      <c r="AT409" s="619"/>
      <c r="AU409" s="530"/>
      <c r="AV409" s="200"/>
      <c r="AW409" s="530"/>
      <c r="AX409" s="575"/>
      <c r="AY409" s="619"/>
      <c r="BA409" s="200"/>
      <c r="BC409" s="530"/>
      <c r="BE409" s="619"/>
      <c r="BF409" s="244"/>
      <c r="BG409" s="200"/>
      <c r="BH409" s="530"/>
      <c r="BJ409" s="619"/>
      <c r="BK409" s="244"/>
      <c r="BL409" s="200"/>
      <c r="BM409"/>
      <c r="BN409" s="530"/>
      <c r="BP409" s="619"/>
      <c r="BQ409" s="244"/>
      <c r="BR409" s="200"/>
      <c r="BT409" s="530"/>
      <c r="BV409" s="619"/>
      <c r="BW409" s="632"/>
      <c r="BX409" s="32"/>
      <c r="BY409" s="607"/>
      <c r="BZ409" s="602"/>
      <c r="CG409" s="200"/>
      <c r="CY409" s="734"/>
    </row>
    <row r="410" spans="2:103" ht="27" customHeight="1">
      <c r="B410" s="244" t="e">
        <f>#REF!</f>
        <v>#REF!</v>
      </c>
      <c r="C410" s="244"/>
      <c r="D410" s="244"/>
      <c r="E410" s="244"/>
      <c r="F410" s="200" t="s">
        <v>543</v>
      </c>
      <c r="G410" s="200"/>
      <c r="H410" s="530" t="e">
        <f t="shared" si="81"/>
        <v>#REF!</v>
      </c>
      <c r="I410" t="str">
        <f t="shared" si="82"/>
        <v xml:space="preserve">  ...  MC READINGS ..</v>
      </c>
      <c r="J410" s="619" t="str">
        <f>$L$159</f>
        <v>…..........</v>
      </c>
      <c r="AN410" s="619"/>
      <c r="AO410" s="431"/>
      <c r="AP410" s="530"/>
      <c r="AQ410" s="200"/>
      <c r="AR410" s="530"/>
      <c r="AS410" s="530"/>
      <c r="AT410" s="619"/>
      <c r="AU410" s="530"/>
      <c r="AV410" s="200"/>
      <c r="AW410" s="530"/>
      <c r="AX410" s="575"/>
      <c r="AY410" s="619"/>
      <c r="BA410" s="200"/>
      <c r="BC410" s="530"/>
      <c r="BE410" s="619"/>
      <c r="BF410" s="244"/>
      <c r="BG410" s="200"/>
      <c r="BH410" s="530"/>
      <c r="BJ410" s="619"/>
      <c r="BK410" s="244"/>
      <c r="BL410" s="200"/>
      <c r="BM410"/>
      <c r="BN410" s="530"/>
      <c r="BP410" s="619"/>
      <c r="BQ410" s="244"/>
      <c r="BR410" s="200"/>
      <c r="BT410" s="530"/>
      <c r="BV410" s="619"/>
      <c r="BW410" s="632"/>
      <c r="BX410" s="32"/>
      <c r="BY410" s="607"/>
      <c r="BZ410" s="602"/>
      <c r="CG410" s="200"/>
      <c r="CY410" s="734"/>
    </row>
    <row r="411" spans="2:103" ht="27" customHeight="1">
      <c r="B411" s="244" t="e">
        <f>#REF!</f>
        <v>#REF!</v>
      </c>
      <c r="C411" s="244"/>
      <c r="D411" s="244"/>
      <c r="E411" s="244"/>
      <c r="F411" s="200" t="s">
        <v>543</v>
      </c>
      <c r="G411" s="200"/>
      <c r="H411" s="530" t="e">
        <f t="shared" si="81"/>
        <v>#REF!</v>
      </c>
      <c r="I411" t="str">
        <f t="shared" si="82"/>
        <v xml:space="preserve">  ...  MC READINGS ..</v>
      </c>
      <c r="J411" s="619" t="str">
        <f>$L$160</f>
        <v>LOS</v>
      </c>
      <c r="AN411" s="619"/>
      <c r="AO411" s="431"/>
      <c r="AP411" s="530"/>
      <c r="AQ411" s="200"/>
      <c r="AR411" s="530"/>
      <c r="AS411" s="530"/>
      <c r="AT411" s="619"/>
      <c r="AU411" s="530"/>
      <c r="AV411" s="200"/>
      <c r="AW411" s="530"/>
      <c r="AX411" s="575"/>
      <c r="AY411" s="619"/>
      <c r="BA411" s="200"/>
      <c r="BC411" s="530"/>
      <c r="BE411" s="619"/>
      <c r="BF411" s="244"/>
      <c r="BG411" s="200"/>
      <c r="BH411" s="530"/>
      <c r="BJ411" s="619"/>
      <c r="BK411" s="244"/>
      <c r="BL411" s="200"/>
      <c r="BM411"/>
      <c r="BN411" s="530"/>
      <c r="BP411" s="619"/>
      <c r="BQ411" s="244"/>
      <c r="BR411" s="200"/>
      <c r="BT411" s="530"/>
      <c r="BV411" s="619"/>
      <c r="BW411" s="632"/>
      <c r="BX411" s="32"/>
      <c r="BY411" s="607"/>
      <c r="BZ411" s="602"/>
      <c r="CG411" s="200"/>
      <c r="CY411" s="734"/>
    </row>
    <row r="412" spans="2:103" ht="27" customHeight="1">
      <c r="B412" s="244" t="e">
        <f>#REF!</f>
        <v>#REF!</v>
      </c>
      <c r="C412" s="244"/>
      <c r="D412" s="244"/>
      <c r="E412" s="244"/>
      <c r="F412" s="200" t="s">
        <v>543</v>
      </c>
      <c r="G412" s="200"/>
      <c r="H412" s="530" t="e">
        <f t="shared" si="81"/>
        <v>#REF!</v>
      </c>
      <c r="I412" t="str">
        <f t="shared" si="82"/>
        <v xml:space="preserve">  ...  MC READINGS ..</v>
      </c>
      <c r="J412" s="619" t="str">
        <f>$L$161</f>
        <v>LOS</v>
      </c>
      <c r="AN412" s="619"/>
      <c r="AO412" s="431"/>
      <c r="AP412" s="530"/>
      <c r="AQ412" s="200"/>
      <c r="AR412" s="530"/>
      <c r="AS412" s="530"/>
      <c r="AT412" s="619"/>
      <c r="AU412" s="530"/>
      <c r="AV412" s="200"/>
      <c r="AW412" s="530"/>
      <c r="AX412" s="575"/>
      <c r="AY412" s="619"/>
      <c r="BA412" s="200"/>
      <c r="BC412" s="530"/>
      <c r="BE412" s="619"/>
      <c r="BF412" s="244"/>
      <c r="BG412" s="200"/>
      <c r="BH412" s="530"/>
      <c r="BJ412" s="619"/>
      <c r="BK412" s="244"/>
      <c r="BL412" s="200"/>
      <c r="BM412"/>
      <c r="BN412" s="530"/>
      <c r="BP412" s="619"/>
      <c r="BQ412" s="244"/>
      <c r="BR412" s="200"/>
      <c r="BT412" s="530"/>
      <c r="BV412" s="619"/>
      <c r="BW412" s="632"/>
      <c r="BX412" s="32"/>
      <c r="BY412" s="607"/>
      <c r="BZ412" s="602"/>
      <c r="CG412" s="200"/>
      <c r="CY412" s="734"/>
    </row>
    <row r="413" spans="2:103" ht="27" customHeight="1">
      <c r="B413" s="244" t="e">
        <f>#REF!</f>
        <v>#REF!</v>
      </c>
      <c r="C413" s="244"/>
      <c r="D413" s="244"/>
      <c r="E413" s="244"/>
      <c r="F413" s="200" t="s">
        <v>543</v>
      </c>
      <c r="G413" s="200"/>
      <c r="H413" s="530" t="e">
        <f t="shared" si="81"/>
        <v>#REF!</v>
      </c>
      <c r="I413" t="str">
        <f t="shared" si="82"/>
        <v xml:space="preserve">  ...  MC READINGS ..</v>
      </c>
      <c r="J413" s="619" t="str">
        <f>$L$162</f>
        <v>LOS</v>
      </c>
      <c r="AN413" s="619"/>
      <c r="AO413" s="431"/>
      <c r="AP413" s="530"/>
      <c r="AQ413" s="200"/>
      <c r="AR413" s="530"/>
      <c r="AS413" s="530"/>
      <c r="AT413" s="619"/>
      <c r="AU413" s="530"/>
      <c r="AV413" s="200"/>
      <c r="AW413" s="530"/>
      <c r="AX413" s="575"/>
      <c r="AY413" s="619"/>
      <c r="BA413" s="200"/>
      <c r="BC413" s="530"/>
      <c r="BE413" s="619"/>
      <c r="BF413" s="244"/>
      <c r="BG413" s="200"/>
      <c r="BH413" s="530"/>
      <c r="BJ413" s="619"/>
      <c r="BK413" s="244"/>
      <c r="BL413" s="200"/>
      <c r="BM413"/>
      <c r="BN413" s="530"/>
      <c r="BP413" s="619"/>
      <c r="BQ413" s="244"/>
      <c r="BR413" s="200"/>
      <c r="BT413" s="530"/>
      <c r="BV413" s="619"/>
      <c r="BW413" s="632"/>
      <c r="BX413" s="32"/>
      <c r="BY413" s="607"/>
      <c r="BZ413" s="602"/>
      <c r="CG413" s="200"/>
      <c r="CY413" s="734"/>
    </row>
    <row r="414" spans="2:103" ht="27" customHeight="1">
      <c r="B414" s="244" t="e">
        <f>#REF!</f>
        <v>#REF!</v>
      </c>
      <c r="C414" s="244"/>
      <c r="D414" s="244"/>
      <c r="E414" s="244"/>
      <c r="F414" s="200" t="s">
        <v>543</v>
      </c>
      <c r="G414" s="200"/>
      <c r="H414" s="530" t="e">
        <f t="shared" si="81"/>
        <v>#REF!</v>
      </c>
      <c r="I414" t="str">
        <f t="shared" si="82"/>
        <v xml:space="preserve">  ...  MC READINGS ..</v>
      </c>
      <c r="J414" s="619" t="str">
        <f>$L$163</f>
        <v>LOS</v>
      </c>
      <c r="AN414" s="619"/>
      <c r="AO414" s="431"/>
      <c r="AP414" s="530"/>
      <c r="AQ414" s="200"/>
      <c r="AR414" s="530"/>
      <c r="AS414" s="530"/>
      <c r="AT414" s="619"/>
      <c r="AU414" s="530"/>
      <c r="AV414" s="200"/>
      <c r="AW414" s="530"/>
      <c r="AX414" s="575"/>
      <c r="AY414" s="619"/>
      <c r="BA414" s="200"/>
      <c r="BC414" s="530"/>
      <c r="BE414" s="619"/>
      <c r="BF414" s="244"/>
      <c r="BG414" s="200"/>
      <c r="BH414" s="530"/>
      <c r="BJ414" s="619"/>
      <c r="BK414" s="244"/>
      <c r="BL414" s="200"/>
      <c r="BM414"/>
      <c r="BN414" s="530"/>
      <c r="BP414" s="619"/>
      <c r="BQ414" s="244"/>
      <c r="BR414" s="200"/>
      <c r="BT414" s="530"/>
      <c r="BV414" s="619"/>
      <c r="BW414" s="632"/>
      <c r="BX414" s="32"/>
      <c r="BY414" s="607"/>
      <c r="BZ414" s="602"/>
      <c r="CG414" s="200"/>
      <c r="CY414" s="734"/>
    </row>
    <row r="415" spans="2:103" ht="27" customHeight="1">
      <c r="B415" s="244" t="e">
        <f>#REF!</f>
        <v>#REF!</v>
      </c>
      <c r="C415" s="244"/>
      <c r="D415" s="244"/>
      <c r="E415" s="244"/>
      <c r="F415" s="200" t="s">
        <v>543</v>
      </c>
      <c r="G415" s="200"/>
      <c r="H415" s="530" t="e">
        <f t="shared" si="81"/>
        <v>#REF!</v>
      </c>
      <c r="I415" t="str">
        <f t="shared" si="82"/>
        <v xml:space="preserve">  ...  MC READINGS ..</v>
      </c>
      <c r="J415" s="619" t="str">
        <f>$L$164</f>
        <v>LOS</v>
      </c>
      <c r="AN415" s="619"/>
      <c r="AO415" s="431"/>
      <c r="AP415" s="530"/>
      <c r="AQ415" s="200"/>
      <c r="AR415" s="530"/>
      <c r="AS415" s="530"/>
      <c r="AT415" s="619"/>
      <c r="AU415" s="530"/>
      <c r="AV415" s="200"/>
      <c r="AW415" s="530"/>
      <c r="AX415" s="575"/>
      <c r="AY415" s="619"/>
      <c r="BA415" s="200"/>
      <c r="BC415" s="530"/>
      <c r="BE415" s="619"/>
      <c r="BF415" s="244"/>
      <c r="BG415" s="200"/>
      <c r="BH415" s="530"/>
      <c r="BJ415" s="619"/>
      <c r="BK415" s="244"/>
      <c r="BL415" s="200"/>
      <c r="BM415"/>
      <c r="BN415" s="530"/>
      <c r="BP415" s="619"/>
      <c r="BQ415" s="244"/>
      <c r="BR415" s="200"/>
      <c r="BT415" s="530"/>
      <c r="BV415" s="619"/>
      <c r="BW415" s="632"/>
      <c r="BX415" s="32"/>
      <c r="BY415" s="607"/>
      <c r="BZ415" s="602"/>
      <c r="CG415" s="200"/>
      <c r="CY415" s="734"/>
    </row>
    <row r="416" spans="2:103" ht="27" customHeight="1">
      <c r="B416" s="244" t="e">
        <f>#REF!</f>
        <v>#REF!</v>
      </c>
      <c r="C416" s="244"/>
      <c r="D416" s="244"/>
      <c r="E416" s="244"/>
      <c r="F416" s="200" t="s">
        <v>543</v>
      </c>
      <c r="G416" s="200"/>
      <c r="H416" s="530" t="e">
        <f t="shared" si="81"/>
        <v>#REF!</v>
      </c>
      <c r="I416" t="str">
        <f t="shared" si="82"/>
        <v xml:space="preserve">  ...  MC READINGS ..</v>
      </c>
      <c r="J416" s="619" t="str">
        <f>$L$165</f>
        <v>LOS</v>
      </c>
      <c r="AN416" s="619"/>
      <c r="AO416" s="431"/>
      <c r="AP416" s="530"/>
      <c r="AQ416" s="200"/>
      <c r="AR416" s="530"/>
      <c r="AS416" s="530"/>
      <c r="AT416" s="619"/>
      <c r="AU416" s="530"/>
      <c r="AV416" s="200"/>
      <c r="AW416" s="530"/>
      <c r="AX416" s="575"/>
      <c r="AY416" s="619"/>
      <c r="BA416" s="200"/>
      <c r="BC416" s="530"/>
      <c r="BE416" s="619"/>
      <c r="BF416" s="244"/>
      <c r="BG416" s="200"/>
      <c r="BH416" s="530"/>
      <c r="BJ416" s="619"/>
      <c r="BK416" s="244"/>
      <c r="BL416" s="200"/>
      <c r="BM416"/>
      <c r="BN416" s="530"/>
      <c r="BP416" s="619"/>
      <c r="BQ416" s="244"/>
      <c r="BR416" s="200"/>
      <c r="BT416" s="530"/>
      <c r="BV416" s="619"/>
      <c r="BW416" s="632"/>
      <c r="BX416" s="32"/>
      <c r="BY416" s="607"/>
      <c r="BZ416" s="602"/>
      <c r="CG416" s="200"/>
      <c r="CY416" s="734"/>
    </row>
    <row r="417" spans="2:103" ht="27" customHeight="1">
      <c r="B417" s="244" t="e">
        <f>#REF!</f>
        <v>#REF!</v>
      </c>
      <c r="C417" s="244"/>
      <c r="D417" s="244"/>
      <c r="E417" s="244"/>
      <c r="F417" s="200" t="s">
        <v>543</v>
      </c>
      <c r="G417" s="200"/>
      <c r="H417" s="530" t="e">
        <f t="shared" si="81"/>
        <v>#REF!</v>
      </c>
      <c r="I417" t="str">
        <f t="shared" si="82"/>
        <v xml:space="preserve">  ...  MC READINGS ..</v>
      </c>
      <c r="J417" s="619" t="str">
        <f>$L$166</f>
        <v>LOS</v>
      </c>
      <c r="AN417" s="619"/>
      <c r="AO417" s="431"/>
      <c r="AP417" s="530"/>
      <c r="AQ417" s="200"/>
      <c r="AR417" s="530"/>
      <c r="AS417" s="530"/>
      <c r="AT417" s="619"/>
      <c r="AU417" s="530"/>
      <c r="AV417" s="200"/>
      <c r="AW417" s="530"/>
      <c r="AX417" s="575"/>
      <c r="AY417" s="619"/>
      <c r="BA417" s="200"/>
      <c r="BC417" s="530"/>
      <c r="BE417" s="619"/>
      <c r="BF417" s="244"/>
      <c r="BG417" s="200"/>
      <c r="BH417" s="530"/>
      <c r="BJ417" s="619"/>
      <c r="BK417" s="244"/>
      <c r="BL417" s="200"/>
      <c r="BM417"/>
      <c r="BN417" s="530"/>
      <c r="BP417" s="619"/>
      <c r="BQ417" s="244"/>
      <c r="BR417" s="200"/>
      <c r="BT417" s="530"/>
      <c r="BV417" s="619"/>
      <c r="BW417" s="632"/>
      <c r="BX417" s="32"/>
      <c r="BY417" s="607"/>
      <c r="BZ417" s="602"/>
      <c r="CG417" s="200"/>
      <c r="CY417" s="734"/>
    </row>
    <row r="418" spans="2:103" ht="27" customHeight="1">
      <c r="B418" s="244" t="e">
        <f>#REF!</f>
        <v>#REF!</v>
      </c>
      <c r="C418" s="244"/>
      <c r="D418" s="244"/>
      <c r="E418" s="244"/>
      <c r="F418" s="200" t="s">
        <v>543</v>
      </c>
      <c r="G418" s="200"/>
      <c r="H418" s="530" t="e">
        <f t="shared" si="81"/>
        <v>#REF!</v>
      </c>
      <c r="I418" t="str">
        <f t="shared" si="82"/>
        <v xml:space="preserve">  ...  MC READINGS ..</v>
      </c>
      <c r="J418" s="619" t="str">
        <f>$L$167</f>
        <v>LOS</v>
      </c>
      <c r="AN418" s="619"/>
      <c r="AO418" s="431"/>
      <c r="AP418" s="530"/>
      <c r="AQ418" s="200"/>
      <c r="AR418" s="530"/>
      <c r="AS418" s="530"/>
      <c r="AT418" s="619"/>
      <c r="AU418" s="530"/>
      <c r="AV418" s="200"/>
      <c r="AW418" s="530"/>
      <c r="AX418" s="575"/>
      <c r="AY418" s="619"/>
      <c r="BA418" s="200"/>
      <c r="BC418" s="530"/>
      <c r="BE418" s="619"/>
      <c r="BF418" s="244"/>
      <c r="BG418" s="200"/>
      <c r="BH418" s="530"/>
      <c r="BJ418" s="619"/>
      <c r="BK418" s="244"/>
      <c r="BL418" s="200"/>
      <c r="BM418"/>
      <c r="BN418" s="530"/>
      <c r="BP418" s="619"/>
      <c r="BQ418" s="244"/>
      <c r="BR418" s="200"/>
      <c r="BT418" s="530"/>
      <c r="BV418" s="619"/>
      <c r="BW418" s="632"/>
      <c r="BX418" s="32"/>
      <c r="BY418" s="607"/>
      <c r="BZ418" s="602"/>
      <c r="CG418" s="200"/>
      <c r="CY418" s="734"/>
    </row>
    <row r="419" spans="2:103" ht="27" customHeight="1">
      <c r="B419" s="244" t="e">
        <f>#REF!</f>
        <v>#REF!</v>
      </c>
      <c r="C419" s="244"/>
      <c r="D419" s="244"/>
      <c r="E419" s="244"/>
      <c r="F419" s="200" t="s">
        <v>543</v>
      </c>
      <c r="G419" s="200"/>
      <c r="H419" s="530" t="e">
        <f t="shared" si="81"/>
        <v>#REF!</v>
      </c>
      <c r="I419" t="str">
        <f t="shared" si="82"/>
        <v xml:space="preserve">  ...  MC READINGS ..</v>
      </c>
      <c r="J419" s="619" t="str">
        <f>$L$168</f>
        <v>…..........</v>
      </c>
      <c r="AN419" s="619"/>
      <c r="AO419" s="431"/>
      <c r="AP419" s="530"/>
      <c r="AQ419" s="200"/>
      <c r="AR419" s="530"/>
      <c r="AS419" s="530"/>
      <c r="AT419" s="619"/>
      <c r="AU419" s="530"/>
      <c r="AV419" s="200"/>
      <c r="AW419" s="530"/>
      <c r="AX419" s="575"/>
      <c r="AY419" s="619"/>
      <c r="BA419" s="200"/>
      <c r="BC419" s="530"/>
      <c r="BE419" s="619"/>
      <c r="BF419" s="244"/>
      <c r="BG419" s="200"/>
      <c r="BH419" s="530"/>
      <c r="BJ419" s="619"/>
      <c r="BK419" s="244"/>
      <c r="BL419" s="200"/>
      <c r="BM419"/>
      <c r="BN419" s="530"/>
      <c r="BP419" s="619"/>
      <c r="BQ419" s="244"/>
      <c r="BR419" s="200"/>
      <c r="BT419" s="530"/>
      <c r="BV419" s="619"/>
      <c r="BW419" s="632"/>
      <c r="BX419" s="32"/>
      <c r="BY419" s="607"/>
      <c r="BZ419" s="602"/>
      <c r="CG419" s="200"/>
      <c r="CY419" s="734"/>
    </row>
    <row r="420" spans="2:103" ht="27" customHeight="1">
      <c r="B420" s="244" t="e">
        <f>#REF!</f>
        <v>#REF!</v>
      </c>
      <c r="C420" s="244"/>
      <c r="D420" s="244"/>
      <c r="E420" s="244"/>
      <c r="F420" s="200" t="s">
        <v>543</v>
      </c>
      <c r="G420" s="200"/>
      <c r="H420" s="530" t="e">
        <f t="shared" si="81"/>
        <v>#REF!</v>
      </c>
      <c r="I420" t="str">
        <f t="shared" si="82"/>
        <v xml:space="preserve">  ...  MC READINGS ..</v>
      </c>
      <c r="J420" s="619" t="str">
        <f>$L$169</f>
        <v>…..........</v>
      </c>
      <c r="AN420" s="619"/>
      <c r="AO420" s="431"/>
      <c r="AP420" s="530"/>
      <c r="AQ420" s="200"/>
      <c r="AR420" s="530"/>
      <c r="AS420" s="530"/>
      <c r="AT420" s="619"/>
      <c r="AU420" s="530"/>
      <c r="AV420" s="200"/>
      <c r="AW420" s="530"/>
      <c r="AX420" s="575"/>
      <c r="AY420" s="619"/>
      <c r="BA420" s="200"/>
      <c r="BC420" s="530"/>
      <c r="BE420" s="619"/>
      <c r="BF420" s="244"/>
      <c r="BG420" s="200"/>
      <c r="BH420" s="530"/>
      <c r="BJ420" s="619"/>
      <c r="BK420" s="244"/>
      <c r="BL420" s="200"/>
      <c r="BM420"/>
      <c r="BN420" s="530"/>
      <c r="BP420" s="619"/>
      <c r="BQ420" s="244"/>
      <c r="BR420" s="200"/>
      <c r="BT420" s="530"/>
      <c r="BV420" s="619"/>
      <c r="BW420" s="632"/>
      <c r="BX420" s="32"/>
      <c r="BY420" s="607"/>
      <c r="BZ420" s="602"/>
      <c r="CG420" s="200"/>
      <c r="CY420" s="734"/>
    </row>
    <row r="421" spans="2:103" ht="27" customHeight="1">
      <c r="B421" s="244" t="e">
        <f>#REF!</f>
        <v>#REF!</v>
      </c>
      <c r="C421" s="244"/>
      <c r="D421" s="244"/>
      <c r="E421" s="244"/>
      <c r="F421" s="200" t="s">
        <v>543</v>
      </c>
      <c r="G421" s="200"/>
      <c r="H421" s="530" t="e">
        <f t="shared" si="81"/>
        <v>#REF!</v>
      </c>
      <c r="I421" t="str">
        <f t="shared" si="82"/>
        <v xml:space="preserve">  ...  MC READINGS ..</v>
      </c>
      <c r="J421" s="619" t="str">
        <f>$L$170</f>
        <v>…..........</v>
      </c>
      <c r="AN421" s="619"/>
      <c r="AO421" s="431"/>
      <c r="AP421" s="530"/>
      <c r="AQ421" s="200"/>
      <c r="AR421" s="530"/>
      <c r="AS421" s="530"/>
      <c r="AT421" s="619"/>
      <c r="AU421" s="530"/>
      <c r="AV421" s="200"/>
      <c r="AW421" s="530"/>
      <c r="AX421" s="575"/>
      <c r="AY421" s="619"/>
      <c r="BA421" s="200"/>
      <c r="BC421" s="530"/>
      <c r="BE421" s="619"/>
      <c r="BF421" s="244"/>
      <c r="BG421" s="200"/>
      <c r="BH421" s="530"/>
      <c r="BJ421" s="619"/>
      <c r="BK421" s="244"/>
      <c r="BL421" s="200"/>
      <c r="BM421"/>
      <c r="BN421" s="530"/>
      <c r="BP421" s="619"/>
      <c r="BQ421" s="244"/>
      <c r="BR421" s="200"/>
      <c r="BT421" s="530"/>
      <c r="BV421" s="619"/>
      <c r="BW421" s="632"/>
      <c r="BX421" s="32"/>
      <c r="BY421" s="607"/>
      <c r="BZ421" s="602"/>
      <c r="CG421" s="200"/>
      <c r="CY421" s="734"/>
    </row>
    <row r="422" spans="2:103" ht="27" customHeight="1">
      <c r="B422" s="244" t="e">
        <f>#REF!</f>
        <v>#REF!</v>
      </c>
      <c r="C422" s="244"/>
      <c r="D422" s="244"/>
      <c r="E422" s="244"/>
      <c r="F422" s="200" t="s">
        <v>543</v>
      </c>
      <c r="G422" s="200"/>
      <c r="H422" s="530" t="e">
        <f t="shared" si="81"/>
        <v>#REF!</v>
      </c>
      <c r="I422" t="str">
        <f t="shared" si="82"/>
        <v xml:space="preserve">  ...  MC READINGS ..</v>
      </c>
      <c r="J422" s="619" t="str">
        <f>$L$171</f>
        <v>…..........</v>
      </c>
      <c r="AN422" s="619"/>
      <c r="AO422" s="431"/>
      <c r="AP422" s="530"/>
      <c r="AQ422" s="200"/>
      <c r="AR422" s="530"/>
      <c r="AS422" s="530"/>
      <c r="AT422" s="619"/>
      <c r="AU422" s="530"/>
      <c r="AV422" s="200"/>
      <c r="AW422" s="530"/>
      <c r="AX422" s="575"/>
      <c r="AY422" s="619"/>
      <c r="BA422" s="200"/>
      <c r="BC422" s="530"/>
      <c r="BE422" s="619"/>
      <c r="BF422" s="244"/>
      <c r="BG422" s="200"/>
      <c r="BH422" s="530"/>
      <c r="BJ422" s="619"/>
      <c r="BK422" s="244"/>
      <c r="BL422" s="200"/>
      <c r="BM422"/>
      <c r="BN422" s="530"/>
      <c r="BP422" s="619"/>
      <c r="BQ422" s="244"/>
      <c r="BR422" s="200"/>
      <c r="BT422" s="530"/>
      <c r="BV422" s="619"/>
      <c r="BW422" s="632"/>
      <c r="BX422" s="32"/>
      <c r="BY422" s="607"/>
      <c r="BZ422" s="602"/>
      <c r="CG422" s="200"/>
      <c r="CY422" s="734"/>
    </row>
    <row r="423" spans="2:103" ht="27" customHeight="1">
      <c r="B423" s="244" t="e">
        <f>#REF!</f>
        <v>#REF!</v>
      </c>
      <c r="C423" s="244"/>
      <c r="D423" s="244"/>
      <c r="E423" s="244"/>
      <c r="F423" s="200" t="s">
        <v>543</v>
      </c>
      <c r="G423" s="200"/>
      <c r="H423" s="530" t="e">
        <f t="shared" si="81"/>
        <v>#REF!</v>
      </c>
      <c r="I423" t="str">
        <f t="shared" si="82"/>
        <v xml:space="preserve">  ...  MC READINGS ..</v>
      </c>
      <c r="J423" s="619" t="str">
        <f>$L$172</f>
        <v>…..........</v>
      </c>
      <c r="AN423" s="619"/>
      <c r="AO423" s="431"/>
      <c r="AP423" s="530"/>
      <c r="AQ423" s="200"/>
      <c r="AR423" s="530"/>
      <c r="AS423" s="530"/>
      <c r="AT423" s="619"/>
      <c r="AU423" s="530"/>
      <c r="AV423" s="200"/>
      <c r="AW423" s="530"/>
      <c r="AX423" s="575"/>
      <c r="AY423" s="619"/>
      <c r="BA423" s="200"/>
      <c r="BC423" s="530"/>
      <c r="BE423" s="619"/>
      <c r="BF423" s="244"/>
      <c r="BG423" s="200"/>
      <c r="BH423" s="530"/>
      <c r="BJ423" s="619"/>
      <c r="BK423" s="244"/>
      <c r="BL423" s="200"/>
      <c r="BM423"/>
      <c r="BN423" s="530"/>
      <c r="BP423" s="619"/>
      <c r="BQ423" s="244"/>
      <c r="BR423" s="200"/>
      <c r="BT423" s="530"/>
      <c r="BV423" s="619"/>
      <c r="BW423" s="632"/>
      <c r="BX423" s="32"/>
      <c r="BY423" s="607"/>
      <c r="BZ423" s="602"/>
      <c r="CG423" s="200"/>
      <c r="CY423" s="734"/>
    </row>
    <row r="424" spans="2:103" ht="27" customHeight="1">
      <c r="B424" s="244" t="e">
        <f>#REF!</f>
        <v>#REF!</v>
      </c>
      <c r="C424" s="244"/>
      <c r="D424" s="244"/>
      <c r="E424" s="244"/>
      <c r="F424" s="200" t="s">
        <v>543</v>
      </c>
      <c r="G424" s="200"/>
      <c r="H424" s="530" t="e">
        <f t="shared" si="81"/>
        <v>#REF!</v>
      </c>
      <c r="I424" t="str">
        <f t="shared" si="82"/>
        <v xml:space="preserve">  ...  MC READINGS ..</v>
      </c>
      <c r="J424" s="619" t="e">
        <f>#REF!</f>
        <v>#REF!</v>
      </c>
      <c r="AN424" s="619"/>
      <c r="AO424" s="431"/>
      <c r="AP424" s="530"/>
      <c r="AQ424" s="200"/>
      <c r="AR424" s="530"/>
      <c r="AS424" s="530"/>
      <c r="AT424" s="619"/>
      <c r="AU424" s="530"/>
      <c r="AV424" s="200"/>
      <c r="AW424" s="530"/>
      <c r="AX424" s="575"/>
      <c r="AY424" s="619"/>
      <c r="BA424" s="200"/>
      <c r="BC424" s="530"/>
      <c r="BE424" s="619"/>
      <c r="BF424" s="244"/>
      <c r="BG424" s="200"/>
      <c r="BH424" s="530"/>
      <c r="BJ424" s="619"/>
      <c r="BK424" s="244"/>
      <c r="BL424" s="200"/>
      <c r="BM424"/>
      <c r="BN424" s="530"/>
      <c r="BP424" s="619"/>
      <c r="BQ424" s="244"/>
      <c r="BR424" s="200"/>
      <c r="BT424" s="530"/>
      <c r="BV424" s="619"/>
      <c r="BW424" s="632"/>
      <c r="BX424" s="32"/>
      <c r="BY424" s="607"/>
      <c r="BZ424" s="602"/>
      <c r="CG424" s="200"/>
      <c r="CY424" s="734"/>
    </row>
    <row r="425" spans="2:103" ht="27" customHeight="1">
      <c r="B425" s="602" t="s">
        <v>520</v>
      </c>
      <c r="C425" s="602"/>
      <c r="D425" s="602"/>
      <c r="E425" s="602"/>
      <c r="F425" s="602"/>
      <c r="G425" s="602"/>
      <c r="H425" s="602"/>
      <c r="AD425" s="619"/>
      <c r="AE425" s="200"/>
      <c r="AF425" s="530"/>
      <c r="AG425" s="530"/>
      <c r="AH425" s="530"/>
      <c r="AI425" s="619"/>
      <c r="AJ425" s="530"/>
      <c r="AK425" s="200"/>
      <c r="AL425" s="530"/>
      <c r="AM425" s="530"/>
      <c r="AN425" s="619"/>
      <c r="AO425" s="431"/>
      <c r="AP425" s="530"/>
      <c r="AQ425" s="200"/>
      <c r="AR425" s="530"/>
      <c r="AS425" s="530"/>
      <c r="AT425" s="619"/>
      <c r="AU425" s="530"/>
      <c r="AV425" s="200"/>
      <c r="AW425" s="530"/>
      <c r="AX425" s="575"/>
      <c r="AY425" s="619"/>
      <c r="BA425" s="200"/>
      <c r="BC425" s="530"/>
      <c r="BE425" s="619"/>
      <c r="BF425" s="244"/>
      <c r="BG425" s="200"/>
      <c r="BH425" s="530"/>
      <c r="BJ425" s="619"/>
      <c r="BK425" s="244"/>
      <c r="BL425" s="200"/>
      <c r="BM425"/>
      <c r="BN425" s="530"/>
      <c r="BP425" s="619"/>
      <c r="BQ425" s="244"/>
      <c r="BR425" s="200"/>
      <c r="BT425" s="530"/>
      <c r="BV425" s="619"/>
      <c r="BW425" s="632"/>
      <c r="BX425" s="32"/>
      <c r="BY425" s="607"/>
      <c r="BZ425" s="602"/>
      <c r="CG425" s="200"/>
      <c r="CY425" s="734"/>
    </row>
    <row r="426" spans="2:103" ht="27" customHeight="1">
      <c r="B426" s="603" t="s">
        <v>533</v>
      </c>
      <c r="C426" s="603"/>
      <c r="D426" s="603"/>
      <c r="E426" s="603"/>
      <c r="F426" s="603"/>
      <c r="G426" s="603"/>
      <c r="H426" s="832"/>
      <c r="AD426" s="619"/>
      <c r="AE426" s="200"/>
      <c r="AF426" s="530"/>
      <c r="AG426" s="530"/>
      <c r="AH426" s="530"/>
      <c r="AI426" s="619"/>
      <c r="AJ426" s="530"/>
      <c r="AK426" s="200"/>
      <c r="AL426" s="530"/>
      <c r="AM426" s="530"/>
      <c r="AN426" s="619"/>
      <c r="AO426" s="431"/>
      <c r="AP426" s="530"/>
      <c r="AQ426" s="200"/>
      <c r="AR426" s="530"/>
      <c r="AS426" s="530"/>
      <c r="AT426" s="619"/>
      <c r="AU426" s="530"/>
      <c r="AV426" s="200"/>
      <c r="AW426" s="530"/>
      <c r="AX426" s="575"/>
      <c r="AY426" s="619"/>
      <c r="BA426" s="200"/>
      <c r="BC426" s="530"/>
      <c r="BE426" s="619"/>
      <c r="BF426" s="244"/>
      <c r="BG426" s="200"/>
      <c r="BH426" s="530"/>
      <c r="BJ426" s="619"/>
      <c r="BK426" s="244"/>
      <c r="BL426" s="200"/>
      <c r="BM426"/>
      <c r="BN426" s="530"/>
      <c r="BP426" s="619"/>
      <c r="BQ426" s="244"/>
      <c r="BR426" s="200"/>
      <c r="BT426" s="530"/>
      <c r="BV426" s="619"/>
      <c r="BW426" s="632"/>
      <c r="BX426" s="32"/>
      <c r="BY426" s="607"/>
      <c r="BZ426" s="602"/>
      <c r="CG426" s="200"/>
      <c r="CY426" s="734"/>
    </row>
    <row r="427" spans="2:103" ht="27" customHeight="1">
      <c r="B427" s="632">
        <f>B429-0.1</f>
        <v>7099.9</v>
      </c>
      <c r="C427" s="632"/>
      <c r="D427" s="632"/>
      <c r="E427" s="632"/>
      <c r="F427" s="608" t="s">
        <v>551</v>
      </c>
      <c r="G427" s="608"/>
      <c r="H427" s="572"/>
      <c r="AD427" s="619"/>
      <c r="AE427" s="200"/>
      <c r="AF427" s="530"/>
      <c r="AG427" s="530"/>
      <c r="AH427" s="530"/>
      <c r="AI427" s="619"/>
      <c r="AJ427" s="530"/>
      <c r="AK427" s="200"/>
      <c r="AL427" s="530"/>
      <c r="AM427" s="530"/>
      <c r="AN427" s="619"/>
      <c r="AO427" s="431"/>
      <c r="AP427" s="530"/>
      <c r="AQ427" s="200"/>
      <c r="AR427" s="530"/>
      <c r="AS427" s="530"/>
      <c r="AT427" s="619"/>
      <c r="AU427" s="530"/>
      <c r="AV427" s="200"/>
      <c r="AW427" s="530"/>
      <c r="AX427" s="575"/>
      <c r="AY427" s="619"/>
      <c r="BA427" s="200"/>
      <c r="BC427" s="530"/>
      <c r="BE427" s="619"/>
      <c r="BF427" s="244"/>
      <c r="BG427" s="200"/>
      <c r="BH427" s="530"/>
      <c r="BJ427" s="619"/>
      <c r="BK427" s="244"/>
      <c r="BL427" s="200"/>
      <c r="BM427"/>
      <c r="BN427" s="530"/>
      <c r="BP427" s="619"/>
      <c r="BQ427" s="244"/>
      <c r="BR427" s="200"/>
      <c r="BT427" s="530"/>
      <c r="BV427" s="619"/>
      <c r="BW427" s="632"/>
      <c r="BX427" s="32"/>
      <c r="BY427" s="607"/>
      <c r="BZ427" s="602"/>
      <c r="CG427" s="200"/>
      <c r="CY427" s="734"/>
    </row>
    <row r="428" spans="2:103" ht="27" customHeight="1">
      <c r="B428" s="605">
        <v>7100</v>
      </c>
      <c r="C428" s="605"/>
      <c r="D428" s="605"/>
      <c r="E428" s="605"/>
      <c r="F428" s="605" t="str">
        <f>B426</f>
        <v xml:space="preserve">….. DAY 1 ….. </v>
      </c>
      <c r="G428" s="605"/>
      <c r="H428" s="606"/>
      <c r="AD428" s="619"/>
      <c r="AE428" s="200"/>
      <c r="AF428" s="530"/>
      <c r="AG428" s="530"/>
      <c r="AH428" s="530"/>
      <c r="AI428" s="619"/>
      <c r="AJ428" s="530"/>
      <c r="AK428" s="200"/>
      <c r="AL428" s="530"/>
      <c r="AM428" s="530"/>
      <c r="AN428" s="619"/>
      <c r="AO428" s="431"/>
      <c r="AP428" s="530"/>
      <c r="AQ428" s="200"/>
      <c r="AR428" s="530"/>
      <c r="AS428" s="530"/>
      <c r="AT428" s="619"/>
      <c r="AU428" s="530"/>
      <c r="AV428" s="200"/>
      <c r="AW428" s="530"/>
      <c r="AX428" s="575"/>
      <c r="AY428" s="619"/>
      <c r="BA428" s="200"/>
      <c r="BC428" s="530"/>
      <c r="BE428" s="619"/>
      <c r="BF428" s="244"/>
      <c r="BG428" s="200"/>
      <c r="BH428" s="530"/>
      <c r="BJ428" s="619"/>
      <c r="BK428" s="244"/>
      <c r="BL428" s="200"/>
      <c r="BM428"/>
      <c r="BN428" s="530"/>
      <c r="BP428" s="619"/>
      <c r="BQ428" s="244"/>
      <c r="BR428" s="200"/>
      <c r="BT428" s="530"/>
      <c r="BV428" s="619"/>
      <c r="BW428" s="632"/>
      <c r="BX428" s="32"/>
      <c r="BY428" s="607"/>
      <c r="BZ428" s="602"/>
      <c r="CG428" s="200"/>
      <c r="CY428" s="734"/>
    </row>
    <row r="429" spans="2:103" ht="27" customHeight="1" thickBot="1">
      <c r="B429" s="605">
        <v>7100</v>
      </c>
      <c r="C429" s="605"/>
      <c r="D429" s="605"/>
      <c r="E429" s="605"/>
      <c r="F429" s="735" t="str">
        <f>B426</f>
        <v xml:space="preserve">….. DAY 1 ….. </v>
      </c>
      <c r="G429" s="734"/>
      <c r="H429" s="606"/>
      <c r="AD429" s="619"/>
      <c r="AE429" s="200"/>
      <c r="AF429" s="530"/>
      <c r="AG429" s="530"/>
      <c r="AH429" s="530"/>
      <c r="AI429" s="619"/>
      <c r="AJ429" s="530"/>
      <c r="AK429" s="200"/>
      <c r="AL429" s="530"/>
      <c r="AM429" s="530"/>
      <c r="AN429" s="619"/>
      <c r="AO429" s="431"/>
      <c r="AP429" s="530"/>
      <c r="AQ429" s="200"/>
      <c r="AR429" s="530"/>
      <c r="AS429" s="530"/>
      <c r="AT429" s="619"/>
      <c r="AU429" s="530"/>
      <c r="AV429" s="200"/>
      <c r="AW429" s="530"/>
      <c r="AX429" s="575"/>
      <c r="AY429" s="619"/>
      <c r="BA429" s="200"/>
      <c r="BC429" s="530"/>
      <c r="BE429" s="619"/>
      <c r="BF429" s="244"/>
      <c r="BG429" s="200"/>
      <c r="BH429" s="530"/>
      <c r="BJ429" s="619"/>
      <c r="BK429" s="244"/>
      <c r="BL429" s="200"/>
      <c r="BM429"/>
      <c r="BN429" s="530"/>
      <c r="BP429" s="619"/>
      <c r="BQ429" s="244"/>
      <c r="BR429" s="200"/>
      <c r="BT429" s="530"/>
      <c r="BV429" s="619"/>
      <c r="BW429" s="632"/>
      <c r="BX429" s="32"/>
      <c r="BY429" s="607"/>
      <c r="BZ429" s="602"/>
      <c r="CG429" s="200"/>
      <c r="CY429" s="734"/>
    </row>
    <row r="430" spans="2:103" ht="27" customHeight="1" thickTop="1" thickBot="1">
      <c r="B430" s="624">
        <f>B429+1</f>
        <v>7101</v>
      </c>
      <c r="C430" s="746"/>
      <c r="D430" s="746"/>
      <c r="E430" s="746"/>
      <c r="F430" s="8" t="str">
        <f>F429</f>
        <v xml:space="preserve">….. DAY 1 ….. </v>
      </c>
      <c r="G430" s="8"/>
      <c r="H430" s="602" t="s">
        <v>558</v>
      </c>
      <c r="AD430" s="619"/>
      <c r="AE430" s="200"/>
      <c r="AF430" s="530"/>
      <c r="AG430" s="530"/>
      <c r="AH430" s="530"/>
      <c r="AI430" s="619"/>
      <c r="AJ430" s="530"/>
      <c r="AK430" s="200"/>
      <c r="AL430" s="530"/>
      <c r="AM430" s="530"/>
      <c r="AN430" s="619"/>
      <c r="AO430" s="431"/>
      <c r="AP430" s="530"/>
      <c r="AQ430" s="200"/>
      <c r="AR430" s="530"/>
      <c r="AS430" s="530"/>
      <c r="AT430" s="619"/>
      <c r="AU430" s="530"/>
      <c r="AV430" s="200"/>
      <c r="AW430" s="530"/>
      <c r="AX430" s="575"/>
      <c r="AY430" s="619"/>
      <c r="BA430" s="200"/>
      <c r="BC430" s="530"/>
      <c r="BE430" s="619"/>
      <c r="BF430" s="244"/>
      <c r="BG430" s="200"/>
      <c r="BH430" s="530"/>
      <c r="BJ430" s="619"/>
      <c r="BK430" s="244"/>
      <c r="BL430" s="200"/>
      <c r="BM430"/>
      <c r="BN430" s="530"/>
      <c r="BP430" s="619"/>
      <c r="BQ430" s="244"/>
      <c r="BR430" s="200"/>
      <c r="BT430" s="530"/>
      <c r="BV430" s="619"/>
      <c r="BW430" s="632"/>
      <c r="BX430" s="32"/>
      <c r="BY430" s="607"/>
      <c r="BZ430" s="602"/>
      <c r="CG430" s="200"/>
      <c r="CY430" s="734"/>
    </row>
    <row r="431" spans="2:103" ht="27" customHeight="1" thickTop="1" thickBot="1">
      <c r="B431" s="625">
        <f>B430+1</f>
        <v>7102</v>
      </c>
      <c r="C431" s="632"/>
      <c r="D431" s="632"/>
      <c r="E431" s="632"/>
      <c r="F431" s="32" t="str">
        <f>F430</f>
        <v xml:space="preserve">….. DAY 1 ….. </v>
      </c>
      <c r="G431" s="32"/>
      <c r="H431" s="602" t="s">
        <v>558</v>
      </c>
      <c r="AD431" s="619"/>
      <c r="AE431" s="200"/>
      <c r="AF431" s="530"/>
      <c r="AG431" s="530"/>
      <c r="AH431" s="530"/>
      <c r="AI431" s="619"/>
      <c r="AJ431" s="530"/>
      <c r="AK431" s="200"/>
      <c r="AL431" s="530"/>
      <c r="AM431" s="530"/>
      <c r="AN431" s="619"/>
      <c r="AO431" s="431"/>
      <c r="AP431" s="530"/>
      <c r="AQ431" s="200"/>
      <c r="AR431" s="530"/>
      <c r="AS431" s="530"/>
      <c r="AT431" s="619"/>
      <c r="AU431" s="530"/>
      <c r="AV431" s="200"/>
      <c r="AW431" s="530"/>
      <c r="AX431" s="575"/>
      <c r="AY431" s="619"/>
      <c r="BA431" s="200"/>
      <c r="BC431" s="530"/>
      <c r="BE431" s="619"/>
      <c r="BF431" s="244"/>
      <c r="BG431" s="200"/>
      <c r="BH431" s="530"/>
      <c r="BJ431" s="619"/>
      <c r="BK431" s="244"/>
      <c r="BL431" s="200"/>
      <c r="BM431"/>
      <c r="BN431" s="530"/>
      <c r="BP431" s="619"/>
      <c r="BQ431" s="244"/>
      <c r="BR431" s="200"/>
      <c r="BT431" s="530"/>
      <c r="BV431" s="619"/>
      <c r="BW431" s="632"/>
      <c r="BX431" s="32"/>
      <c r="BY431" s="607"/>
      <c r="BZ431" s="602"/>
      <c r="CG431" s="200"/>
      <c r="CY431" s="734"/>
    </row>
    <row r="432" spans="2:103" ht="27" customHeight="1" thickTop="1" thickBot="1">
      <c r="B432" s="624">
        <f>B431+1</f>
        <v>7103</v>
      </c>
      <c r="C432" s="746"/>
      <c r="D432" s="746"/>
      <c r="E432" s="746"/>
      <c r="F432" s="32" t="str">
        <f>F431</f>
        <v xml:space="preserve">….. DAY 1 ….. </v>
      </c>
      <c r="G432" s="32"/>
      <c r="H432" s="602" t="s">
        <v>558</v>
      </c>
      <c r="AD432" s="619"/>
      <c r="AE432" s="200"/>
      <c r="AF432" s="530"/>
      <c r="AG432" s="530"/>
      <c r="AH432" s="530"/>
      <c r="AI432" s="619"/>
      <c r="AJ432" s="530"/>
      <c r="AK432" s="200"/>
      <c r="AL432" s="530"/>
      <c r="AM432" s="530"/>
      <c r="AN432" s="619"/>
      <c r="AO432" s="431"/>
      <c r="AP432" s="530"/>
      <c r="AQ432" s="200"/>
      <c r="AR432" s="530"/>
      <c r="AS432" s="530"/>
      <c r="AT432" s="619"/>
      <c r="AU432" s="530"/>
      <c r="AV432" s="200"/>
      <c r="AW432" s="530"/>
      <c r="AX432" s="575"/>
      <c r="AY432" s="619"/>
      <c r="BA432" s="200"/>
      <c r="BC432" s="530"/>
      <c r="BE432" s="619"/>
      <c r="BF432" s="244"/>
      <c r="BG432" s="200"/>
      <c r="BH432" s="530"/>
      <c r="BJ432" s="619"/>
      <c r="BK432" s="244"/>
      <c r="BL432" s="200"/>
      <c r="BM432"/>
      <c r="BN432" s="530"/>
      <c r="BP432" s="619"/>
      <c r="BQ432" s="244"/>
      <c r="BR432" s="200"/>
      <c r="BT432" s="530"/>
      <c r="BV432" s="619"/>
      <c r="BW432" s="632"/>
      <c r="BX432" s="32"/>
      <c r="BY432" s="607"/>
      <c r="BZ432" s="602"/>
      <c r="CG432" s="200"/>
      <c r="CY432" s="734"/>
    </row>
    <row r="433" spans="2:103" ht="27" customHeight="1" thickTop="1" thickBot="1">
      <c r="B433" s="625">
        <f>B432+1</f>
        <v>7104</v>
      </c>
      <c r="C433" s="632"/>
      <c r="D433" s="632"/>
      <c r="E433" s="632"/>
      <c r="F433" s="32" t="str">
        <f>F432</f>
        <v xml:space="preserve">….. DAY 1 ….. </v>
      </c>
      <c r="G433" s="32"/>
      <c r="H433" s="602" t="s">
        <v>558</v>
      </c>
      <c r="AD433" s="619"/>
      <c r="AE433" s="200"/>
      <c r="AF433" s="530"/>
      <c r="AG433" s="530"/>
      <c r="AH433" s="530"/>
      <c r="AI433" s="619"/>
      <c r="AJ433" s="530"/>
      <c r="AK433" s="200"/>
      <c r="AL433" s="530"/>
      <c r="AM433" s="530"/>
      <c r="AN433" s="619"/>
      <c r="AO433" s="431"/>
      <c r="AP433" s="530"/>
      <c r="AQ433" s="200"/>
      <c r="AR433" s="530"/>
      <c r="AS433" s="530"/>
      <c r="AT433" s="619"/>
      <c r="AU433" s="530"/>
      <c r="AV433" s="200"/>
      <c r="AW433" s="530"/>
      <c r="AX433" s="575"/>
      <c r="AY433" s="619"/>
      <c r="BA433" s="200"/>
      <c r="BC433" s="530"/>
      <c r="BE433" s="619"/>
      <c r="BF433" s="244"/>
      <c r="BG433" s="200"/>
      <c r="BH433" s="530"/>
      <c r="BJ433" s="619"/>
      <c r="BK433" s="244"/>
      <c r="BL433" s="200"/>
      <c r="BM433"/>
      <c r="BN433" s="530"/>
      <c r="BP433" s="619"/>
      <c r="BQ433" s="244"/>
      <c r="BR433" s="200"/>
      <c r="BT433" s="530"/>
      <c r="BV433" s="619"/>
      <c r="BW433" s="632"/>
      <c r="BX433" s="32"/>
      <c r="BY433" s="607"/>
      <c r="BZ433" s="602"/>
      <c r="CG433" s="200"/>
      <c r="CY433" s="734"/>
    </row>
    <row r="434" spans="2:103" ht="27" customHeight="1" thickTop="1" thickBot="1">
      <c r="B434" s="624">
        <f>B435-0.2</f>
        <v>7200</v>
      </c>
      <c r="C434" s="746"/>
      <c r="D434" s="746"/>
      <c r="E434" s="746"/>
      <c r="F434" s="623" t="s">
        <v>530</v>
      </c>
      <c r="G434" s="623"/>
      <c r="H434" s="606"/>
      <c r="AD434" s="619"/>
      <c r="AE434" s="200"/>
      <c r="AF434" s="530"/>
      <c r="AG434" s="530"/>
      <c r="AH434" s="530"/>
      <c r="AI434" s="619"/>
      <c r="AJ434" s="530"/>
      <c r="AK434" s="200"/>
      <c r="AL434" s="530"/>
      <c r="AM434" s="530"/>
      <c r="AN434" s="619"/>
      <c r="AO434" s="431"/>
      <c r="AP434" s="530"/>
      <c r="AQ434" s="200"/>
      <c r="AR434" s="530"/>
      <c r="AS434" s="530"/>
      <c r="AT434" s="619"/>
      <c r="AU434" s="530"/>
      <c r="AV434" s="200"/>
      <c r="AW434" s="530"/>
      <c r="AX434" s="575"/>
      <c r="AY434" s="619"/>
      <c r="BA434" s="200"/>
      <c r="BC434" s="530"/>
      <c r="BE434" s="619"/>
      <c r="BF434" s="244"/>
      <c r="BG434" s="200"/>
      <c r="BH434" s="530"/>
      <c r="BJ434" s="619"/>
      <c r="BK434" s="244"/>
      <c r="BL434" s="200"/>
      <c r="BM434"/>
      <c r="BN434" s="530"/>
      <c r="BP434" s="619"/>
      <c r="BQ434" s="244"/>
      <c r="BR434" s="200"/>
      <c r="BT434" s="530"/>
      <c r="BV434" s="619"/>
      <c r="BW434" s="632"/>
      <c r="BX434" s="32"/>
      <c r="BY434" s="607"/>
      <c r="BZ434" s="602"/>
      <c r="CG434" s="200"/>
      <c r="CY434" s="734"/>
    </row>
    <row r="435" spans="2:103" ht="27" customHeight="1" thickTop="1" thickBot="1">
      <c r="B435" s="633">
        <v>7200.2</v>
      </c>
      <c r="C435" s="32"/>
      <c r="D435" s="32"/>
      <c r="E435" s="32"/>
      <c r="F435" s="622" t="str">
        <f>F434</f>
        <v xml:space="preserve">….. DAY 2 ….. </v>
      </c>
      <c r="G435" s="622"/>
      <c r="AD435" s="619"/>
      <c r="AE435" s="200"/>
      <c r="AF435" s="530"/>
      <c r="AG435" s="530"/>
      <c r="AH435" s="530"/>
      <c r="AI435" s="619"/>
      <c r="AJ435" s="530"/>
      <c r="AK435" s="200"/>
      <c r="AL435" s="530"/>
      <c r="AM435" s="530"/>
      <c r="AN435" s="619"/>
      <c r="AO435" s="431"/>
      <c r="AP435" s="530"/>
      <c r="AQ435" s="200"/>
      <c r="AR435" s="530"/>
      <c r="AS435" s="530"/>
      <c r="AT435" s="619"/>
      <c r="AU435" s="530"/>
      <c r="AV435" s="200"/>
      <c r="AW435" s="530"/>
      <c r="AX435" s="575"/>
      <c r="AY435" s="619"/>
      <c r="BA435" s="200"/>
      <c r="BC435" s="530"/>
      <c r="BE435" s="619"/>
      <c r="BF435" s="244"/>
      <c r="BG435" s="200"/>
      <c r="BH435" s="530"/>
      <c r="BJ435" s="619"/>
      <c r="BK435" s="244"/>
      <c r="BL435" s="200"/>
      <c r="BM435"/>
      <c r="BN435" s="530"/>
      <c r="BP435" s="619"/>
      <c r="BQ435" s="244"/>
      <c r="BR435" s="200"/>
      <c r="BT435" s="530"/>
      <c r="BV435" s="619"/>
      <c r="BW435" s="632"/>
      <c r="BX435" s="32"/>
      <c r="BY435" s="607"/>
      <c r="BZ435" s="602"/>
      <c r="CG435" s="200"/>
      <c r="CY435" s="734"/>
    </row>
    <row r="436" spans="2:103" ht="27" customHeight="1" thickTop="1" thickBot="1">
      <c r="B436" s="634">
        <f>B435+1</f>
        <v>7201.2</v>
      </c>
      <c r="C436" s="747"/>
      <c r="D436" s="747"/>
      <c r="E436" s="747"/>
      <c r="F436" s="8" t="str">
        <f>F435</f>
        <v xml:space="preserve">….. DAY 2 ….. </v>
      </c>
      <c r="G436" s="8"/>
      <c r="H436" s="602" t="s">
        <v>558</v>
      </c>
      <c r="AD436" s="619"/>
      <c r="AE436" s="200"/>
      <c r="AF436" s="530"/>
      <c r="AG436" s="530"/>
      <c r="AH436" s="530"/>
      <c r="AI436" s="619"/>
      <c r="AJ436" s="530"/>
      <c r="AK436" s="200"/>
      <c r="AL436" s="530"/>
      <c r="AM436" s="530"/>
      <c r="AN436" s="619"/>
      <c r="AO436" s="431"/>
      <c r="AP436" s="530"/>
      <c r="AQ436" s="200"/>
      <c r="AR436" s="530"/>
      <c r="AS436" s="530"/>
      <c r="AT436" s="619"/>
      <c r="AU436" s="530"/>
      <c r="AV436" s="200"/>
      <c r="AW436" s="530"/>
      <c r="AX436" s="575"/>
      <c r="AY436" s="619"/>
      <c r="BA436" s="200"/>
      <c r="BC436" s="530"/>
      <c r="BE436" s="619"/>
      <c r="BF436" s="244"/>
      <c r="BG436" s="200"/>
      <c r="BH436" s="530"/>
      <c r="BJ436" s="619"/>
      <c r="BK436" s="244"/>
      <c r="BL436" s="200"/>
      <c r="BM436"/>
      <c r="BN436" s="530"/>
      <c r="BP436" s="619"/>
      <c r="BQ436" s="244"/>
      <c r="BR436" s="200"/>
      <c r="BT436" s="530"/>
      <c r="BV436" s="619"/>
      <c r="BW436" s="632"/>
      <c r="BX436" s="32"/>
      <c r="BY436" s="607"/>
      <c r="BZ436" s="602"/>
      <c r="CG436" s="200"/>
      <c r="CY436" s="734"/>
    </row>
    <row r="437" spans="2:103" ht="27" customHeight="1" thickTop="1" thickBot="1">
      <c r="B437" s="633">
        <f>B436+1</f>
        <v>7202.2</v>
      </c>
      <c r="C437" s="32"/>
      <c r="D437" s="32"/>
      <c r="E437" s="32"/>
      <c r="F437" s="32" t="str">
        <f>F436</f>
        <v xml:space="preserve">….. DAY 2 ….. </v>
      </c>
      <c r="G437" s="32"/>
      <c r="H437" s="602" t="s">
        <v>558</v>
      </c>
      <c r="AD437" s="619"/>
      <c r="AE437" s="200"/>
      <c r="AF437" s="530"/>
      <c r="AG437" s="530"/>
      <c r="AH437" s="530"/>
      <c r="AI437" s="619"/>
      <c r="AJ437" s="530"/>
      <c r="AK437" s="200"/>
      <c r="AL437" s="530"/>
      <c r="AM437" s="530"/>
      <c r="AN437" s="619"/>
      <c r="AO437" s="431"/>
      <c r="AP437" s="530"/>
      <c r="AQ437" s="200"/>
      <c r="AR437" s="530"/>
      <c r="AS437" s="530"/>
      <c r="AT437" s="619"/>
      <c r="AU437" s="530"/>
      <c r="AV437" s="200"/>
      <c r="AW437" s="530"/>
      <c r="AX437" s="575"/>
      <c r="AY437" s="619"/>
      <c r="BA437" s="200"/>
      <c r="BC437" s="530"/>
      <c r="BE437" s="619"/>
      <c r="BF437" s="244"/>
      <c r="BG437" s="200"/>
      <c r="BH437" s="530"/>
      <c r="BJ437" s="619"/>
      <c r="BK437" s="244"/>
      <c r="BL437" s="200"/>
      <c r="BM437"/>
      <c r="BN437" s="530"/>
      <c r="BP437" s="619"/>
      <c r="BQ437" s="244"/>
      <c r="BR437" s="200"/>
      <c r="BT437" s="530"/>
      <c r="BV437" s="619"/>
      <c r="BW437" s="632"/>
      <c r="BX437" s="32"/>
      <c r="BY437" s="607"/>
      <c r="BZ437" s="602"/>
      <c r="CG437" s="200"/>
      <c r="CY437" s="734"/>
    </row>
    <row r="438" spans="2:103" ht="27" customHeight="1" thickTop="1" thickBot="1">
      <c r="B438" s="634">
        <f>B437+1</f>
        <v>7203.2</v>
      </c>
      <c r="C438" s="747"/>
      <c r="D438" s="747"/>
      <c r="E438" s="747"/>
      <c r="F438" s="32" t="str">
        <f t="shared" ref="F438:F440" si="83">F436</f>
        <v xml:space="preserve">….. DAY 2 ….. </v>
      </c>
      <c r="G438" s="32"/>
      <c r="H438" s="602" t="s">
        <v>558</v>
      </c>
      <c r="AD438" s="619"/>
      <c r="AE438" s="200"/>
      <c r="AF438" s="530"/>
      <c r="AG438" s="530"/>
      <c r="AH438" s="530"/>
      <c r="AI438" s="619"/>
      <c r="AJ438" s="530"/>
      <c r="AK438" s="200"/>
      <c r="AL438" s="530"/>
      <c r="AM438" s="530"/>
      <c r="AN438" s="619"/>
      <c r="AO438" s="431"/>
      <c r="AP438" s="530"/>
      <c r="AQ438" s="200"/>
      <c r="AR438" s="530"/>
      <c r="AS438" s="530"/>
      <c r="AT438" s="619"/>
      <c r="AU438" s="530"/>
      <c r="AV438" s="200"/>
      <c r="AW438" s="530"/>
      <c r="AX438" s="575"/>
      <c r="AY438" s="619"/>
      <c r="BA438" s="200"/>
      <c r="BC438" s="530"/>
      <c r="BE438" s="619"/>
      <c r="BF438" s="244"/>
      <c r="BG438" s="200"/>
      <c r="BH438" s="530"/>
      <c r="BJ438" s="619"/>
      <c r="BK438" s="244"/>
      <c r="BL438" s="200"/>
      <c r="BM438"/>
      <c r="BN438" s="530"/>
      <c r="BP438" s="619"/>
      <c r="BQ438" s="244"/>
      <c r="BR438" s="200"/>
      <c r="BT438" s="530"/>
      <c r="BV438" s="619"/>
      <c r="BW438" s="632"/>
      <c r="BX438" s="32"/>
      <c r="BY438" s="607"/>
      <c r="BZ438" s="602"/>
      <c r="CG438" s="200"/>
      <c r="CY438" s="734"/>
    </row>
    <row r="439" spans="2:103" ht="27" customHeight="1" thickTop="1" thickBot="1">
      <c r="B439" s="633">
        <f>B438+1</f>
        <v>7204.2</v>
      </c>
      <c r="C439" s="32"/>
      <c r="D439" s="32"/>
      <c r="E439" s="32"/>
      <c r="F439" s="32" t="str">
        <f t="shared" si="83"/>
        <v xml:space="preserve">….. DAY 2 ….. </v>
      </c>
      <c r="G439" s="32"/>
      <c r="H439" s="602" t="s">
        <v>558</v>
      </c>
      <c r="AD439" s="619"/>
      <c r="AE439" s="200"/>
      <c r="AF439" s="530"/>
      <c r="AG439" s="530"/>
      <c r="AH439" s="530"/>
      <c r="AI439" s="619"/>
      <c r="AJ439" s="530"/>
      <c r="AK439" s="200"/>
      <c r="AL439" s="530"/>
      <c r="AM439" s="530"/>
      <c r="AN439" s="619"/>
      <c r="AO439" s="431"/>
      <c r="AP439" s="530"/>
      <c r="AQ439" s="200"/>
      <c r="AR439" s="530"/>
      <c r="AS439" s="530"/>
      <c r="AT439" s="619"/>
      <c r="AU439" s="530"/>
      <c r="AV439" s="200"/>
      <c r="AW439" s="530"/>
      <c r="AX439" s="575"/>
      <c r="AY439" s="619"/>
      <c r="BA439" s="200"/>
      <c r="BC439" s="530"/>
      <c r="BE439" s="619"/>
      <c r="BF439" s="244"/>
      <c r="BG439" s="200"/>
      <c r="BH439" s="530"/>
      <c r="BJ439" s="619"/>
      <c r="BK439" s="244"/>
      <c r="BL439" s="200"/>
      <c r="BM439"/>
      <c r="BN439" s="530"/>
      <c r="BP439" s="619"/>
      <c r="BQ439" s="244"/>
      <c r="BR439" s="200"/>
      <c r="BT439" s="530"/>
      <c r="BV439" s="619"/>
      <c r="BW439" s="632"/>
      <c r="BX439" s="32"/>
      <c r="BY439" s="607"/>
      <c r="BZ439" s="602"/>
      <c r="CG439" s="200"/>
      <c r="CY439" s="734"/>
    </row>
    <row r="440" spans="2:103" ht="27" customHeight="1" thickTop="1" thickBot="1">
      <c r="B440" s="634">
        <f>B439+1</f>
        <v>7205.2</v>
      </c>
      <c r="C440" s="747"/>
      <c r="D440" s="747"/>
      <c r="E440" s="747"/>
      <c r="F440" s="32" t="str">
        <f t="shared" si="83"/>
        <v xml:space="preserve">….. DAY 2 ….. </v>
      </c>
      <c r="G440" s="32"/>
      <c r="H440" s="602" t="s">
        <v>558</v>
      </c>
      <c r="AD440" s="619"/>
      <c r="AE440" s="200"/>
      <c r="AF440" s="530"/>
      <c r="AG440" s="530"/>
      <c r="AH440" s="530"/>
      <c r="AI440" s="619"/>
      <c r="AJ440" s="530"/>
      <c r="AK440" s="200"/>
      <c r="AL440" s="530"/>
      <c r="AM440" s="530"/>
      <c r="AN440" s="619"/>
      <c r="AO440" s="431"/>
      <c r="AP440" s="530"/>
      <c r="AQ440" s="200"/>
      <c r="AR440" s="530"/>
      <c r="AS440" s="530"/>
      <c r="AT440" s="619"/>
      <c r="AU440" s="530"/>
      <c r="AV440" s="200"/>
      <c r="AW440" s="530"/>
      <c r="AX440" s="575"/>
      <c r="AY440" s="619"/>
      <c r="BA440" s="200"/>
      <c r="BC440" s="530"/>
      <c r="BE440" s="619"/>
      <c r="BF440" s="244"/>
      <c r="BG440" s="200"/>
      <c r="BH440" s="530"/>
      <c r="BJ440" s="619"/>
      <c r="BK440" s="244"/>
      <c r="BL440" s="200"/>
      <c r="BM440"/>
      <c r="BN440" s="530"/>
      <c r="BP440" s="619"/>
      <c r="BQ440" s="244"/>
      <c r="BR440" s="200"/>
      <c r="BT440" s="530"/>
      <c r="BV440" s="619"/>
      <c r="BW440" s="632"/>
      <c r="BX440" s="32"/>
      <c r="BY440" s="607"/>
      <c r="BZ440" s="602"/>
      <c r="CG440" s="200"/>
      <c r="CY440" s="734"/>
    </row>
    <row r="441" spans="2:103" ht="27" customHeight="1" thickTop="1">
      <c r="B441" s="632">
        <v>7300</v>
      </c>
      <c r="C441" s="632"/>
      <c r="D441" s="632"/>
      <c r="E441" s="632"/>
      <c r="F441" s="603" t="s">
        <v>531</v>
      </c>
      <c r="G441" s="603"/>
      <c r="H441" s="606"/>
      <c r="AD441" s="619"/>
      <c r="AE441" s="200"/>
      <c r="AF441" s="530"/>
      <c r="AG441" s="530"/>
      <c r="AH441" s="530"/>
      <c r="AI441" s="619"/>
      <c r="AJ441" s="530"/>
      <c r="AK441" s="200"/>
      <c r="AL441" s="530"/>
      <c r="AM441" s="530"/>
      <c r="AN441" s="619"/>
      <c r="AO441" s="431"/>
      <c r="AP441" s="530"/>
      <c r="AQ441" s="200"/>
      <c r="AR441" s="530"/>
      <c r="AS441" s="530"/>
      <c r="AT441" s="619"/>
      <c r="AU441" s="530"/>
      <c r="AV441" s="200"/>
      <c r="AW441" s="530"/>
      <c r="AX441" s="575"/>
      <c r="AY441" s="619"/>
      <c r="BA441" s="200"/>
      <c r="BC441" s="530"/>
      <c r="BE441" s="619"/>
      <c r="BF441" s="244"/>
      <c r="BG441" s="200"/>
      <c r="BH441" s="530"/>
      <c r="BJ441" s="619"/>
      <c r="BK441" s="244"/>
      <c r="BL441" s="200"/>
      <c r="BM441"/>
      <c r="BN441" s="530"/>
      <c r="BP441" s="619"/>
      <c r="BQ441" s="244"/>
      <c r="BR441" s="200"/>
      <c r="BT441" s="530"/>
      <c r="BV441" s="619"/>
      <c r="BW441" s="632"/>
      <c r="BX441" s="32"/>
      <c r="BY441" s="607"/>
      <c r="BZ441" s="602"/>
      <c r="CG441" s="200"/>
      <c r="CY441" s="734"/>
    </row>
    <row r="442" spans="2:103" ht="27" customHeight="1" thickBot="1">
      <c r="B442" s="624">
        <f>B441</f>
        <v>7300</v>
      </c>
      <c r="C442" s="746"/>
      <c r="D442" s="746"/>
      <c r="E442" s="746"/>
      <c r="F442" s="605" t="str">
        <f>F441</f>
        <v xml:space="preserve">….. DAY 3 ….. </v>
      </c>
      <c r="G442" s="605"/>
      <c r="AD442" s="619"/>
      <c r="AE442" s="200"/>
      <c r="AF442" s="530"/>
      <c r="AG442" s="530"/>
      <c r="AH442" s="530"/>
      <c r="AI442" s="619"/>
      <c r="AJ442" s="530"/>
      <c r="AK442" s="200"/>
      <c r="AL442" s="530"/>
      <c r="AM442" s="530"/>
      <c r="AN442" s="619"/>
      <c r="AO442" s="431"/>
      <c r="AP442" s="530"/>
      <c r="AQ442" s="200"/>
      <c r="AR442" s="530"/>
      <c r="AS442" s="530"/>
      <c r="AT442" s="619"/>
      <c r="AU442" s="530"/>
      <c r="AV442" s="200"/>
      <c r="AW442" s="530"/>
      <c r="AX442" s="575"/>
      <c r="AY442" s="619"/>
      <c r="BA442" s="200"/>
      <c r="BC442" s="530"/>
      <c r="BE442" s="619"/>
      <c r="BF442" s="244"/>
      <c r="BG442" s="200"/>
      <c r="BH442" s="530"/>
      <c r="BJ442" s="619"/>
      <c r="BK442" s="244"/>
      <c r="BL442" s="200"/>
      <c r="BM442"/>
      <c r="BN442" s="530"/>
      <c r="BP442" s="619"/>
      <c r="BQ442" s="244"/>
      <c r="BR442" s="200"/>
      <c r="BT442" s="530"/>
      <c r="BV442" s="619"/>
      <c r="BW442" s="632"/>
      <c r="BX442" s="32"/>
      <c r="BY442" s="607"/>
      <c r="BZ442" s="602"/>
      <c r="CG442" s="200"/>
      <c r="CY442" s="734"/>
    </row>
    <row r="443" spans="2:103" ht="27" customHeight="1" thickTop="1" thickBot="1">
      <c r="B443" s="625">
        <f>B442+1</f>
        <v>7301</v>
      </c>
      <c r="C443" s="632"/>
      <c r="D443" s="632"/>
      <c r="E443" s="632"/>
      <c r="F443" s="622" t="str">
        <f>F442</f>
        <v xml:space="preserve">….. DAY 3 ….. </v>
      </c>
      <c r="G443" s="622"/>
      <c r="H443" s="602" t="s">
        <v>558</v>
      </c>
      <c r="AD443" s="619"/>
      <c r="AE443" s="200"/>
      <c r="AF443" s="530"/>
      <c r="AG443" s="530"/>
      <c r="AH443" s="530"/>
      <c r="AI443" s="619"/>
      <c r="AJ443" s="530"/>
      <c r="AK443" s="200"/>
      <c r="AL443" s="530"/>
      <c r="AM443" s="530"/>
      <c r="AN443" s="619"/>
      <c r="AO443" s="431"/>
      <c r="AP443" s="530"/>
      <c r="AQ443" s="200"/>
      <c r="AR443" s="530"/>
      <c r="AS443" s="530"/>
      <c r="AT443" s="619"/>
      <c r="AU443" s="530"/>
      <c r="AV443" s="200"/>
      <c r="AW443" s="530"/>
      <c r="AX443" s="575"/>
      <c r="AY443" s="619"/>
      <c r="BA443" s="200"/>
      <c r="BC443" s="530"/>
      <c r="BE443" s="619"/>
      <c r="BF443" s="244"/>
      <c r="BG443" s="200"/>
      <c r="BH443" s="530"/>
      <c r="BJ443" s="619"/>
      <c r="BK443" s="244"/>
      <c r="BL443" s="200"/>
      <c r="BM443"/>
      <c r="BN443" s="530"/>
      <c r="BP443" s="619"/>
      <c r="BQ443" s="244"/>
      <c r="BR443" s="200"/>
      <c r="BT443" s="530"/>
      <c r="BV443" s="619"/>
      <c r="BW443" s="632"/>
      <c r="BX443" s="32"/>
      <c r="BY443" s="607"/>
      <c r="BZ443" s="602"/>
      <c r="CG443" s="200"/>
      <c r="CY443" s="734"/>
    </row>
    <row r="444" spans="2:103" ht="27" customHeight="1" thickTop="1" thickBot="1">
      <c r="B444" s="625">
        <f t="shared" ref="B444:B446" si="84">B443+1</f>
        <v>7302</v>
      </c>
      <c r="C444" s="632"/>
      <c r="D444" s="632"/>
      <c r="E444" s="632"/>
      <c r="F444" s="32" t="str">
        <f>F443</f>
        <v xml:space="preserve">….. DAY 3 ….. </v>
      </c>
      <c r="G444" s="32"/>
      <c r="H444" s="602" t="s">
        <v>558</v>
      </c>
      <c r="AD444" s="619"/>
      <c r="AE444" s="200"/>
      <c r="AF444" s="530"/>
      <c r="AG444" s="530"/>
      <c r="AH444" s="530"/>
      <c r="AI444" s="619"/>
      <c r="AJ444" s="530"/>
      <c r="AK444" s="200"/>
      <c r="AL444" s="530"/>
      <c r="AM444" s="530"/>
      <c r="AN444" s="619"/>
      <c r="AO444" s="431"/>
      <c r="AP444" s="530"/>
      <c r="AQ444" s="200"/>
      <c r="AR444" s="530"/>
      <c r="AS444" s="530"/>
      <c r="AT444" s="619"/>
      <c r="AU444" s="530"/>
      <c r="AV444" s="200"/>
      <c r="AW444" s="530"/>
      <c r="AX444" s="575"/>
      <c r="AY444" s="619"/>
      <c r="BA444" s="200"/>
      <c r="BC444" s="530"/>
      <c r="BE444" s="619"/>
      <c r="BF444" s="244"/>
      <c r="BG444" s="200"/>
      <c r="BH444" s="530"/>
      <c r="BJ444" s="619"/>
      <c r="BK444" s="244"/>
      <c r="BL444" s="200"/>
      <c r="BM444"/>
      <c r="BN444" s="530"/>
      <c r="BP444" s="619"/>
      <c r="BQ444" s="244"/>
      <c r="BR444" s="200"/>
      <c r="BT444" s="530"/>
      <c r="BV444" s="619"/>
      <c r="BW444" s="632"/>
      <c r="BX444" s="32"/>
      <c r="BY444" s="607"/>
      <c r="BZ444" s="602"/>
      <c r="CG444" s="200"/>
      <c r="CY444" s="734"/>
    </row>
    <row r="445" spans="2:103" ht="27" customHeight="1" thickTop="1" thickBot="1">
      <c r="B445" s="625">
        <f t="shared" si="84"/>
        <v>7303</v>
      </c>
      <c r="C445" s="632"/>
      <c r="D445" s="632"/>
      <c r="E445" s="632"/>
      <c r="F445" s="32" t="str">
        <f t="shared" ref="F445:F446" si="85">F443</f>
        <v xml:space="preserve">….. DAY 3 ….. </v>
      </c>
      <c r="G445" s="32"/>
      <c r="H445" s="602" t="s">
        <v>558</v>
      </c>
      <c r="AD445" s="619"/>
      <c r="AE445" s="200"/>
      <c r="AF445" s="530"/>
      <c r="AG445" s="530"/>
      <c r="AH445" s="530"/>
      <c r="AI445" s="619"/>
      <c r="AJ445" s="530"/>
      <c r="AK445" s="200"/>
      <c r="AL445" s="530"/>
      <c r="AM445" s="530"/>
      <c r="AN445" s="619"/>
      <c r="AO445" s="431"/>
      <c r="AP445" s="530"/>
      <c r="AQ445" s="200"/>
      <c r="AR445" s="530"/>
      <c r="AS445" s="530"/>
      <c r="AT445" s="619"/>
      <c r="AU445" s="530"/>
      <c r="AV445" s="200"/>
      <c r="AW445" s="530"/>
      <c r="AX445" s="575"/>
      <c r="AY445" s="619"/>
      <c r="BA445" s="200"/>
      <c r="BC445" s="530"/>
      <c r="BE445" s="619"/>
      <c r="BF445" s="244"/>
      <c r="BG445" s="200"/>
      <c r="BH445" s="530"/>
      <c r="BJ445" s="619"/>
      <c r="BK445" s="244"/>
      <c r="BL445" s="200"/>
      <c r="BM445"/>
      <c r="BN445" s="530"/>
      <c r="BP445" s="619"/>
      <c r="BQ445" s="244"/>
      <c r="BR445" s="200"/>
      <c r="BT445" s="530"/>
      <c r="BV445" s="619"/>
      <c r="BW445" s="632"/>
      <c r="BX445" s="32"/>
      <c r="BY445" s="607"/>
      <c r="BZ445" s="602"/>
      <c r="CG445" s="200"/>
      <c r="CY445" s="734"/>
    </row>
    <row r="446" spans="2:103" ht="27" customHeight="1" thickTop="1" thickBot="1">
      <c r="B446" s="625">
        <f t="shared" si="84"/>
        <v>7304</v>
      </c>
      <c r="C446" s="632"/>
      <c r="D446" s="632"/>
      <c r="E446" s="632"/>
      <c r="F446" s="32" t="str">
        <f t="shared" si="85"/>
        <v xml:space="preserve">….. DAY 3 ….. </v>
      </c>
      <c r="G446" s="32"/>
      <c r="H446" s="602" t="s">
        <v>558</v>
      </c>
      <c r="AD446" s="619"/>
      <c r="AE446" s="200"/>
      <c r="AF446" s="530"/>
      <c r="AG446" s="530"/>
      <c r="AH446" s="530"/>
      <c r="AI446" s="619"/>
      <c r="AJ446" s="530"/>
      <c r="AK446" s="200"/>
      <c r="AL446" s="530"/>
      <c r="AM446" s="530"/>
      <c r="AN446" s="619"/>
      <c r="AO446" s="431"/>
      <c r="AP446" s="530"/>
      <c r="AQ446" s="200"/>
      <c r="AR446" s="530"/>
      <c r="AS446" s="530"/>
      <c r="AT446" s="619"/>
      <c r="AU446" s="530"/>
      <c r="AV446" s="200"/>
      <c r="AW446" s="530"/>
      <c r="AX446" s="575"/>
      <c r="AY446" s="619"/>
      <c r="BA446" s="200"/>
      <c r="BC446" s="530"/>
      <c r="BE446" s="619"/>
      <c r="BF446" s="244"/>
      <c r="BG446" s="200"/>
      <c r="BH446" s="530"/>
      <c r="BJ446" s="619"/>
      <c r="BK446" s="244"/>
      <c r="BL446" s="200"/>
      <c r="BM446"/>
      <c r="BN446" s="530"/>
      <c r="BP446" s="619"/>
      <c r="BQ446" s="244"/>
      <c r="BR446" s="200"/>
      <c r="BT446" s="530"/>
      <c r="BV446" s="619"/>
      <c r="BW446" s="632"/>
      <c r="BX446" s="32"/>
      <c r="BY446" s="607"/>
      <c r="BZ446" s="602"/>
      <c r="CG446" s="200"/>
      <c r="CY446" s="734"/>
    </row>
    <row r="447" spans="2:103" ht="27" customHeight="1" thickTop="1">
      <c r="B447" s="632">
        <v>7400</v>
      </c>
      <c r="C447" s="632"/>
      <c r="D447" s="632"/>
      <c r="E447" s="632"/>
      <c r="F447" s="621" t="s">
        <v>532</v>
      </c>
      <c r="G447" s="621"/>
      <c r="AD447" s="619"/>
      <c r="AE447" s="200"/>
      <c r="AF447" s="530"/>
      <c r="AG447" s="530"/>
      <c r="AH447" s="530"/>
      <c r="AI447" s="619"/>
      <c r="AJ447" s="530"/>
      <c r="AK447" s="200"/>
      <c r="AL447" s="530"/>
      <c r="AM447" s="530"/>
      <c r="AN447" s="619"/>
      <c r="AO447" s="431"/>
      <c r="AP447" s="530"/>
      <c r="AQ447" s="200"/>
      <c r="AR447" s="530"/>
      <c r="AS447" s="530"/>
      <c r="AT447" s="619"/>
      <c r="AU447" s="530"/>
      <c r="AV447" s="200"/>
      <c r="AW447" s="530"/>
      <c r="AX447" s="575"/>
      <c r="AY447" s="619"/>
      <c r="BA447" s="200"/>
      <c r="BC447" s="530"/>
      <c r="BE447" s="619"/>
      <c r="BF447" s="244"/>
      <c r="BG447" s="200"/>
      <c r="BH447" s="530"/>
      <c r="BJ447" s="619"/>
      <c r="BK447" s="244"/>
      <c r="BL447" s="200"/>
      <c r="BM447"/>
      <c r="BN447" s="530"/>
      <c r="BP447" s="619"/>
      <c r="BQ447" s="244"/>
      <c r="BR447" s="200"/>
      <c r="BT447" s="530"/>
      <c r="BV447" s="619"/>
      <c r="BW447" s="632"/>
      <c r="BX447" s="32"/>
      <c r="BY447" s="607"/>
      <c r="BZ447" s="602"/>
      <c r="CG447" s="200"/>
      <c r="CY447" s="734"/>
    </row>
    <row r="448" spans="2:103" ht="27" customHeight="1">
      <c r="B448" s="632">
        <v>7400</v>
      </c>
      <c r="C448" s="632"/>
      <c r="D448" s="632"/>
      <c r="E448" s="632"/>
      <c r="F448" s="622" t="s">
        <v>532</v>
      </c>
      <c r="G448" s="622"/>
      <c r="AD448" s="619"/>
      <c r="AE448" s="200"/>
      <c r="AF448" s="530"/>
      <c r="AG448" s="530"/>
      <c r="AH448" s="530"/>
      <c r="AI448" s="619"/>
      <c r="AJ448" s="530"/>
      <c r="AK448" s="200"/>
      <c r="AL448" s="530"/>
      <c r="AM448" s="530"/>
      <c r="AN448" s="619"/>
      <c r="AO448" s="431"/>
      <c r="AP448" s="530"/>
      <c r="AQ448" s="200"/>
      <c r="AR448" s="530"/>
      <c r="AS448" s="530"/>
      <c r="AT448" s="619"/>
      <c r="AU448" s="530"/>
      <c r="AV448" s="200"/>
      <c r="AW448" s="530"/>
      <c r="AX448" s="575"/>
      <c r="AY448" s="619"/>
      <c r="BA448" s="200"/>
      <c r="BC448" s="530"/>
      <c r="BE448" s="619"/>
      <c r="BF448" s="244"/>
      <c r="BG448" s="200"/>
      <c r="BH448" s="530"/>
      <c r="BJ448" s="619"/>
      <c r="BK448" s="244"/>
      <c r="BL448" s="200"/>
      <c r="BM448"/>
      <c r="BN448" s="530"/>
      <c r="BP448" s="619"/>
      <c r="BQ448" s="244"/>
      <c r="BR448" s="200"/>
      <c r="BT448" s="530"/>
      <c r="BV448" s="619"/>
      <c r="BW448" s="632"/>
      <c r="BX448" s="32"/>
      <c r="BY448" s="607"/>
      <c r="BZ448" s="602"/>
      <c r="CG448" s="200"/>
      <c r="CY448" s="734"/>
    </row>
    <row r="449" spans="2:103" ht="27" customHeight="1" thickBot="1">
      <c r="B449" s="625">
        <f>B448+1</f>
        <v>7401</v>
      </c>
      <c r="C449" s="632"/>
      <c r="D449" s="632"/>
      <c r="E449" s="632"/>
      <c r="F449" s="8" t="str">
        <f>F448</f>
        <v xml:space="preserve">….. DAY 4 ….. </v>
      </c>
      <c r="G449" s="8"/>
      <c r="H449" s="602" t="s">
        <v>558</v>
      </c>
      <c r="AD449" s="619"/>
      <c r="AE449" s="200"/>
      <c r="AF449" s="530"/>
      <c r="AG449" s="530"/>
      <c r="AH449" s="530"/>
      <c r="AI449" s="619"/>
      <c r="AJ449" s="530"/>
      <c r="AK449" s="200"/>
      <c r="AL449" s="530"/>
      <c r="AM449" s="530"/>
      <c r="AN449" s="619"/>
      <c r="AO449" s="431"/>
      <c r="AP449" s="530"/>
      <c r="AQ449" s="200"/>
      <c r="AR449" s="530"/>
      <c r="AS449" s="530"/>
      <c r="AT449" s="619"/>
      <c r="AU449" s="530"/>
      <c r="AV449" s="200"/>
      <c r="AW449" s="530"/>
      <c r="AX449" s="575"/>
      <c r="AY449" s="619"/>
      <c r="BA449" s="200"/>
      <c r="BC449" s="530"/>
      <c r="BE449" s="619"/>
      <c r="BF449" s="244"/>
      <c r="BG449" s="200"/>
      <c r="BH449" s="530"/>
      <c r="BJ449" s="619"/>
      <c r="BK449" s="244"/>
      <c r="BL449" s="200"/>
      <c r="BM449"/>
      <c r="BN449" s="530"/>
      <c r="BP449" s="619"/>
      <c r="BQ449" s="244"/>
      <c r="BR449" s="200"/>
      <c r="BT449" s="530"/>
      <c r="BV449" s="619"/>
      <c r="BW449" s="632"/>
      <c r="BX449" s="32"/>
      <c r="BY449" s="607"/>
      <c r="BZ449" s="602"/>
      <c r="CG449" s="200"/>
      <c r="CY449" s="734"/>
    </row>
    <row r="450" spans="2:103" ht="27" customHeight="1" thickTop="1" thickBot="1">
      <c r="B450" s="624">
        <f>B449+1</f>
        <v>7402</v>
      </c>
      <c r="C450" s="746"/>
      <c r="D450" s="746"/>
      <c r="E450" s="746"/>
      <c r="F450" s="32" t="str">
        <f>F449</f>
        <v xml:space="preserve">….. DAY 4 ….. </v>
      </c>
      <c r="G450" s="32"/>
      <c r="H450" s="602" t="s">
        <v>558</v>
      </c>
      <c r="AD450" s="619"/>
      <c r="AE450" s="200"/>
      <c r="AF450" s="530"/>
      <c r="AG450" s="530"/>
      <c r="AH450" s="530"/>
      <c r="AI450" s="619"/>
      <c r="AJ450" s="530"/>
      <c r="AK450" s="200"/>
      <c r="AL450" s="530"/>
      <c r="AM450" s="530"/>
      <c r="AN450" s="619"/>
      <c r="AO450" s="431"/>
      <c r="AP450" s="530"/>
      <c r="AQ450" s="200"/>
      <c r="AR450" s="530"/>
      <c r="AS450" s="530"/>
      <c r="AT450" s="619"/>
      <c r="AU450" s="530"/>
      <c r="AV450" s="200"/>
      <c r="AW450" s="530"/>
      <c r="AX450" s="575"/>
      <c r="AY450" s="619"/>
      <c r="BA450" s="200"/>
      <c r="BC450" s="530"/>
      <c r="BE450" s="619"/>
      <c r="BF450" s="244"/>
      <c r="BG450" s="200"/>
      <c r="BH450" s="530"/>
      <c r="BJ450" s="619"/>
      <c r="BK450" s="244"/>
      <c r="BL450" s="200"/>
      <c r="BM450"/>
      <c r="BN450" s="530"/>
      <c r="BP450" s="619"/>
      <c r="BQ450" s="244"/>
      <c r="BR450" s="200"/>
      <c r="BT450" s="530"/>
      <c r="BV450" s="619"/>
      <c r="BW450" s="632"/>
      <c r="BX450" s="32"/>
      <c r="BY450" s="607"/>
      <c r="BZ450" s="602"/>
      <c r="CG450" s="200"/>
      <c r="CY450" s="734"/>
    </row>
    <row r="451" spans="2:103" ht="27" customHeight="1" thickTop="1" thickBot="1">
      <c r="B451" s="625">
        <f>B450+1</f>
        <v>7403</v>
      </c>
      <c r="C451" s="632"/>
      <c r="D451" s="632"/>
      <c r="E451" s="632"/>
      <c r="F451" s="32" t="str">
        <f>F449</f>
        <v xml:space="preserve">….. DAY 4 ….. </v>
      </c>
      <c r="G451" s="32"/>
      <c r="H451" s="602" t="s">
        <v>558</v>
      </c>
      <c r="AD451" s="619"/>
      <c r="AE451" s="200"/>
      <c r="AF451" s="530"/>
      <c r="AG451" s="530"/>
      <c r="AH451" s="530"/>
      <c r="AI451" s="619"/>
      <c r="AJ451" s="530"/>
      <c r="AK451" s="200"/>
      <c r="AL451" s="530"/>
      <c r="AM451" s="530"/>
      <c r="AN451" s="619"/>
      <c r="AO451" s="431"/>
      <c r="AP451" s="530"/>
      <c r="AQ451" s="200"/>
      <c r="AR451" s="530"/>
      <c r="AS451" s="530"/>
      <c r="AT451" s="619"/>
      <c r="AU451" s="530"/>
      <c r="AV451" s="200"/>
      <c r="AW451" s="530"/>
      <c r="AX451" s="575"/>
      <c r="AY451" s="619"/>
      <c r="BA451" s="200"/>
      <c r="BC451" s="530"/>
      <c r="BE451" s="619"/>
      <c r="BF451" s="244"/>
      <c r="BG451" s="200"/>
      <c r="BH451" s="530"/>
      <c r="BJ451" s="619"/>
      <c r="BK451" s="244"/>
      <c r="BL451" s="200"/>
      <c r="BM451"/>
      <c r="BN451" s="530"/>
      <c r="BP451" s="619"/>
      <c r="BQ451" s="244"/>
      <c r="BR451" s="200"/>
      <c r="BT451" s="530"/>
      <c r="BV451" s="619"/>
      <c r="BW451" s="632"/>
      <c r="BX451" s="32"/>
      <c r="BY451" s="607"/>
      <c r="BZ451" s="602"/>
      <c r="CG451" s="200"/>
      <c r="CY451" s="734"/>
    </row>
    <row r="452" spans="2:103" ht="27" customHeight="1" thickTop="1" thickBot="1">
      <c r="B452" s="625">
        <f>B451+1</f>
        <v>7404</v>
      </c>
      <c r="C452" s="632"/>
      <c r="D452" s="632"/>
      <c r="E452" s="632"/>
      <c r="F452" s="32" t="str">
        <f>F450</f>
        <v xml:space="preserve">….. DAY 4 ….. </v>
      </c>
      <c r="G452" s="32"/>
      <c r="H452" s="602" t="s">
        <v>558</v>
      </c>
      <c r="AD452" s="619"/>
      <c r="AE452" s="200"/>
      <c r="AF452" s="530"/>
      <c r="AG452" s="530"/>
      <c r="AH452" s="530"/>
      <c r="AI452" s="619"/>
      <c r="AJ452" s="530"/>
      <c r="AK452" s="200"/>
      <c r="AL452" s="530"/>
      <c r="AM452" s="530"/>
      <c r="AN452" s="619"/>
      <c r="AO452" s="431"/>
      <c r="AP452" s="530"/>
      <c r="AQ452" s="200"/>
      <c r="AR452" s="530"/>
      <c r="AS452" s="530"/>
      <c r="AT452" s="619"/>
      <c r="AU452" s="530"/>
      <c r="AV452" s="200"/>
      <c r="AW452" s="530"/>
      <c r="AX452" s="575"/>
      <c r="AY452" s="619"/>
      <c r="BA452" s="200"/>
      <c r="BC452" s="530"/>
      <c r="BE452" s="619"/>
      <c r="BF452" s="244"/>
      <c r="BG452" s="200"/>
      <c r="BH452" s="530"/>
      <c r="BJ452" s="619"/>
      <c r="BK452" s="244"/>
      <c r="BL452" s="200"/>
      <c r="BM452"/>
      <c r="BN452" s="530"/>
      <c r="BP452" s="619"/>
      <c r="BQ452" s="244"/>
      <c r="BR452" s="200"/>
      <c r="BT452" s="530"/>
      <c r="BV452" s="619"/>
      <c r="BW452" s="632"/>
      <c r="BX452" s="32"/>
      <c r="BY452" s="607"/>
      <c r="BZ452" s="602"/>
      <c r="CG452" s="200"/>
      <c r="CY452" s="734"/>
    </row>
    <row r="453" spans="2:103" ht="27" customHeight="1" thickTop="1">
      <c r="B453" s="602"/>
      <c r="C453" s="602"/>
      <c r="D453" s="602"/>
      <c r="E453" s="602"/>
      <c r="F453" s="602"/>
      <c r="G453" s="602"/>
      <c r="I453" s="628"/>
      <c r="K453" s="628"/>
      <c r="L453" s="628"/>
      <c r="R453" s="619"/>
      <c r="S453" s="200"/>
      <c r="U453" s="530"/>
      <c r="V453" s="484"/>
      <c r="W453" s="200"/>
      <c r="X453" s="631"/>
      <c r="Y453" s="1"/>
      <c r="Z453" s="484"/>
      <c r="AA453" s="200"/>
      <c r="AB453" s="530"/>
      <c r="AC453" s="530"/>
      <c r="AD453" s="619"/>
      <c r="AE453" s="575"/>
      <c r="AF453" s="200"/>
      <c r="AG453" s="530"/>
      <c r="AH453" s="530"/>
      <c r="AI453" s="619"/>
      <c r="AJ453" s="530"/>
      <c r="AK453" s="200"/>
      <c r="AL453" s="530"/>
      <c r="AM453" s="530"/>
      <c r="AN453" s="619"/>
      <c r="AO453" s="431"/>
      <c r="AP453" s="530"/>
      <c r="AQ453" s="200"/>
      <c r="AR453" s="530"/>
      <c r="AS453" s="530"/>
      <c r="AT453" s="619"/>
      <c r="AU453" s="530"/>
      <c r="AV453" s="200"/>
      <c r="AW453" s="530"/>
      <c r="AX453" s="575"/>
      <c r="AY453" s="619"/>
      <c r="BA453" s="200"/>
      <c r="BC453" s="530"/>
      <c r="BE453" s="619"/>
      <c r="BF453" s="244"/>
      <c r="BG453" s="200"/>
      <c r="BH453" s="530"/>
      <c r="BJ453" s="619"/>
      <c r="BK453" s="244"/>
      <c r="BL453" s="200"/>
      <c r="BM453"/>
      <c r="BN453" s="530"/>
      <c r="BP453" s="619"/>
      <c r="BQ453" s="244"/>
      <c r="BR453" s="200"/>
      <c r="BT453" s="530"/>
      <c r="BV453" s="619"/>
      <c r="BW453" s="632"/>
      <c r="BX453" s="32"/>
      <c r="BY453" s="607"/>
      <c r="BZ453" s="602"/>
      <c r="CG453" s="200"/>
      <c r="CY453" s="734"/>
    </row>
    <row r="454" spans="2:103" ht="27" customHeight="1">
      <c r="B454" t="s">
        <v>524</v>
      </c>
      <c r="F454" s="832"/>
      <c r="G454" s="832"/>
      <c r="H454" s="138"/>
      <c r="J454" s="629" t="s">
        <v>535</v>
      </c>
      <c r="K454" s="628"/>
      <c r="L454" s="628"/>
      <c r="R454" s="619"/>
      <c r="S454" s="200"/>
      <c r="U454" s="530"/>
      <c r="V454" s="484"/>
      <c r="W454" s="200"/>
      <c r="X454" s="631"/>
      <c r="Y454" s="1"/>
      <c r="Z454" s="484"/>
      <c r="AA454" s="200"/>
      <c r="AB454" s="530"/>
      <c r="AC454" s="530"/>
      <c r="AD454" s="619"/>
      <c r="AE454" s="575"/>
      <c r="AF454" s="200"/>
      <c r="AG454" s="530"/>
      <c r="AH454" s="530"/>
      <c r="AI454" s="619"/>
      <c r="AJ454" s="530"/>
      <c r="AK454" s="200"/>
      <c r="AL454" s="530"/>
      <c r="AM454" s="530"/>
      <c r="AN454" s="619"/>
      <c r="AO454" s="431"/>
      <c r="AP454" s="530"/>
      <c r="AQ454" s="200"/>
      <c r="AR454" s="530"/>
      <c r="AS454" s="530"/>
      <c r="AT454" s="619"/>
      <c r="AU454" s="530"/>
      <c r="AV454" s="200"/>
      <c r="AW454" s="530"/>
      <c r="AX454" s="575"/>
      <c r="AY454" s="619"/>
      <c r="BA454" s="200"/>
      <c r="BC454" s="530"/>
      <c r="BE454" s="619"/>
      <c r="BF454" s="244"/>
      <c r="BG454" s="200"/>
      <c r="BH454" s="530"/>
      <c r="BJ454" s="619"/>
      <c r="BK454" s="244"/>
      <c r="BL454" s="200"/>
      <c r="BM454"/>
      <c r="BN454" s="530"/>
      <c r="BP454" s="619"/>
      <c r="BQ454" s="244"/>
      <c r="BR454" s="200"/>
      <c r="BT454" s="530"/>
      <c r="BV454" s="619"/>
      <c r="BW454" s="632"/>
      <c r="BX454" s="32"/>
      <c r="BY454" s="607"/>
      <c r="BZ454" s="602"/>
      <c r="CG454" s="200"/>
      <c r="CY454" s="734"/>
    </row>
    <row r="455" spans="2:103" ht="27" customHeight="1">
      <c r="B455" t="e">
        <f>#REF!</f>
        <v>#REF!</v>
      </c>
      <c r="F455" t="str">
        <f t="shared" ref="F455:F478" si="86">L149</f>
        <v>LOS</v>
      </c>
      <c r="H455" s="200" t="s">
        <v>543</v>
      </c>
      <c r="I455" s="381" t="s">
        <v>572</v>
      </c>
      <c r="J455" s="138" t="s">
        <v>573</v>
      </c>
      <c r="K455" s="564" t="s">
        <v>539</v>
      </c>
      <c r="L455" s="564" t="s">
        <v>539</v>
      </c>
      <c r="R455" s="619"/>
      <c r="S455" s="200"/>
      <c r="U455" s="530"/>
      <c r="V455" s="484"/>
      <c r="W455" s="200"/>
      <c r="X455" s="631"/>
      <c r="Y455" s="1"/>
      <c r="Z455" s="484"/>
      <c r="AA455" s="200"/>
      <c r="AB455" s="530"/>
      <c r="AC455" s="530"/>
      <c r="AD455" s="619"/>
      <c r="AE455" s="575"/>
      <c r="AF455" s="200"/>
      <c r="AG455" s="530"/>
      <c r="AH455" s="530"/>
      <c r="AI455" s="619"/>
      <c r="AJ455" s="530"/>
      <c r="AK455" s="200"/>
      <c r="AL455" s="530"/>
      <c r="AM455" s="530"/>
      <c r="AN455" s="619"/>
      <c r="AO455" s="431"/>
      <c r="AP455" s="530"/>
      <c r="AQ455" s="200"/>
      <c r="AR455" s="530"/>
      <c r="AS455" s="530"/>
      <c r="AT455" s="619"/>
      <c r="AU455" s="530"/>
      <c r="AV455" s="200"/>
      <c r="AW455" s="530"/>
      <c r="AX455" s="575"/>
      <c r="AY455" s="619"/>
      <c r="BA455" s="200"/>
      <c r="BC455" s="530"/>
      <c r="BE455" s="619"/>
      <c r="BF455" s="244"/>
      <c r="BG455" s="200"/>
      <c r="BH455" s="530"/>
      <c r="BJ455" s="619"/>
      <c r="BK455" s="244"/>
      <c r="BL455" s="200"/>
      <c r="BM455"/>
      <c r="BN455" s="530"/>
      <c r="BP455" s="619"/>
      <c r="BQ455" s="244"/>
      <c r="BR455" s="200"/>
      <c r="BT455" s="530"/>
      <c r="BV455" s="619"/>
      <c r="BW455" s="632"/>
      <c r="BX455" s="32"/>
      <c r="BY455" s="607"/>
      <c r="BZ455" s="602"/>
      <c r="CG455" s="200"/>
      <c r="CY455" s="734"/>
    </row>
    <row r="456" spans="2:103" ht="27" customHeight="1">
      <c r="B456" t="e">
        <f>#REF!</f>
        <v>#REF!</v>
      </c>
      <c r="F456" t="str">
        <f t="shared" si="86"/>
        <v>LOS</v>
      </c>
      <c r="H456" s="200" t="s">
        <v>543</v>
      </c>
      <c r="I456" s="381" t="s">
        <v>574</v>
      </c>
      <c r="J456" s="138" t="s">
        <v>575</v>
      </c>
      <c r="R456" s="619"/>
      <c r="S456" s="200"/>
      <c r="U456" s="530"/>
      <c r="V456" s="484"/>
      <c r="W456" s="200"/>
      <c r="X456" s="631"/>
      <c r="Y456" s="1"/>
      <c r="Z456" s="484"/>
      <c r="AA456" s="200"/>
      <c r="AB456" s="530"/>
      <c r="AC456" s="530"/>
      <c r="AD456" s="619"/>
      <c r="AE456" s="575"/>
      <c r="AF456" s="200"/>
      <c r="AG456" s="530"/>
      <c r="AH456" s="530"/>
      <c r="AI456" s="619"/>
      <c r="AJ456" s="530"/>
      <c r="AK456" s="200"/>
      <c r="AL456" s="530"/>
      <c r="AM456" s="530"/>
      <c r="AN456" s="619"/>
      <c r="AO456" s="431"/>
      <c r="AP456" s="530"/>
      <c r="AQ456" s="200"/>
      <c r="AR456" s="530"/>
      <c r="AS456" s="530"/>
      <c r="AT456" s="619"/>
      <c r="AU456" s="530"/>
      <c r="AV456" s="200"/>
      <c r="AW456" s="530"/>
      <c r="AX456" s="575"/>
      <c r="AY456" s="619"/>
      <c r="BA456" s="200"/>
      <c r="BC456" s="530"/>
      <c r="BE456" s="619"/>
      <c r="BF456" s="244"/>
      <c r="BG456" s="200"/>
      <c r="BH456" s="530"/>
      <c r="BJ456" s="619"/>
      <c r="BK456" s="244"/>
      <c r="BL456" s="200"/>
      <c r="BM456"/>
      <c r="BN456" s="530"/>
      <c r="BP456" s="619"/>
      <c r="BQ456" s="244"/>
      <c r="BR456" s="200"/>
      <c r="BT456" s="530"/>
      <c r="BV456" s="619"/>
      <c r="BW456" s="632"/>
      <c r="BX456" s="32"/>
      <c r="BY456" s="607"/>
      <c r="BZ456" s="602"/>
      <c r="CG456" s="200"/>
      <c r="CY456" s="734"/>
    </row>
    <row r="457" spans="2:103" ht="27" customHeight="1">
      <c r="B457" t="e">
        <f>#REF!</f>
        <v>#REF!</v>
      </c>
      <c r="F457" t="str">
        <f t="shared" si="86"/>
        <v>LOS</v>
      </c>
      <c r="H457" s="200" t="s">
        <v>543</v>
      </c>
      <c r="I457" s="381" t="s">
        <v>576</v>
      </c>
      <c r="J457" s="138" t="s">
        <v>577</v>
      </c>
      <c r="R457" s="619"/>
      <c r="S457" s="200"/>
      <c r="U457" s="530"/>
      <c r="V457" s="484"/>
      <c r="W457" s="200"/>
      <c r="X457" s="631"/>
      <c r="Y457" s="1"/>
      <c r="Z457" s="484"/>
      <c r="AA457" s="200"/>
      <c r="AB457" s="530"/>
      <c r="AC457" s="530"/>
      <c r="AD457" s="619"/>
      <c r="AE457" s="575"/>
      <c r="AF457" s="200"/>
      <c r="AG457" s="530"/>
      <c r="AH457" s="530"/>
      <c r="AI457" s="619"/>
      <c r="AJ457" s="530"/>
      <c r="AK457" s="200"/>
      <c r="AL457" s="530"/>
      <c r="AM457" s="530"/>
      <c r="AN457" s="619"/>
      <c r="AO457" s="431"/>
      <c r="AP457" s="530"/>
      <c r="AQ457" s="200"/>
      <c r="AR457" s="530"/>
      <c r="AS457" s="530"/>
      <c r="AT457" s="619"/>
      <c r="AU457" s="530"/>
      <c r="AV457" s="200"/>
      <c r="AW457" s="530"/>
      <c r="AX457" s="575"/>
      <c r="AY457" s="619"/>
      <c r="BA457" s="200"/>
      <c r="BC457" s="530"/>
      <c r="BE457" s="619"/>
      <c r="BF457" s="244"/>
      <c r="BG457" s="200"/>
      <c r="BH457" s="530"/>
      <c r="BJ457" s="619"/>
      <c r="BK457" s="244"/>
      <c r="BL457" s="200"/>
      <c r="BM457"/>
      <c r="BN457" s="530"/>
      <c r="BP457" s="619"/>
      <c r="BQ457" s="244"/>
      <c r="BR457" s="200"/>
      <c r="BT457" s="530"/>
      <c r="BV457" s="619"/>
      <c r="BW457" s="632"/>
      <c r="BX457" s="32"/>
      <c r="BY457" s="607"/>
      <c r="BZ457" s="602"/>
      <c r="CG457" s="200"/>
      <c r="CY457" s="734"/>
    </row>
    <row r="458" spans="2:103" ht="27" customHeight="1">
      <c r="B458" t="e">
        <f>#REF!</f>
        <v>#REF!</v>
      </c>
      <c r="F458" t="str">
        <f t="shared" si="86"/>
        <v>…..........</v>
      </c>
      <c r="H458" s="200" t="s">
        <v>543</v>
      </c>
      <c r="I458" s="138" t="s">
        <v>534</v>
      </c>
      <c r="J458" s="138" t="s">
        <v>569</v>
      </c>
      <c r="K458" s="564" t="s">
        <v>539</v>
      </c>
      <c r="L458" s="564" t="s">
        <v>539</v>
      </c>
      <c r="R458" s="619"/>
      <c r="S458" s="200"/>
      <c r="U458" s="530"/>
      <c r="V458" s="484"/>
      <c r="W458" s="200"/>
      <c r="X458" s="631"/>
      <c r="Y458" s="1"/>
      <c r="Z458" s="484"/>
      <c r="AA458" s="200"/>
      <c r="AB458" s="530"/>
      <c r="AC458" s="530"/>
      <c r="AD458" s="619"/>
      <c r="AE458" s="575"/>
      <c r="AF458" s="200"/>
      <c r="AG458" s="530"/>
      <c r="AH458" s="530"/>
      <c r="AI458" s="619"/>
      <c r="AJ458" s="530"/>
      <c r="AK458" s="200"/>
      <c r="AL458" s="530"/>
      <c r="AM458" s="530"/>
      <c r="AN458" s="619"/>
      <c r="AO458" s="431"/>
      <c r="AP458" s="530"/>
      <c r="AQ458" s="200"/>
      <c r="AR458" s="530"/>
      <c r="AS458" s="530"/>
      <c r="AT458" s="619"/>
      <c r="AU458" s="530"/>
      <c r="AV458" s="200"/>
      <c r="AW458" s="530"/>
      <c r="AX458" s="575"/>
      <c r="AY458" s="619"/>
      <c r="BA458" s="200"/>
      <c r="BC458" s="530"/>
      <c r="BE458" s="619"/>
      <c r="BF458" s="244"/>
      <c r="BG458" s="200"/>
      <c r="BH458" s="530"/>
      <c r="BJ458" s="619"/>
      <c r="BK458" s="244"/>
      <c r="BL458" s="200"/>
      <c r="BM458"/>
      <c r="BN458" s="530"/>
      <c r="BP458" s="619"/>
      <c r="BQ458" s="244"/>
      <c r="BR458" s="200"/>
      <c r="BT458" s="530"/>
      <c r="BV458" s="619"/>
      <c r="BW458" s="632"/>
      <c r="BX458" s="32"/>
      <c r="BY458" s="607"/>
      <c r="BZ458" s="602"/>
      <c r="CG458" s="200"/>
      <c r="CY458" s="734"/>
    </row>
    <row r="459" spans="2:103" ht="27" customHeight="1">
      <c r="B459" t="e">
        <f>#REF!</f>
        <v>#REF!</v>
      </c>
      <c r="F459" t="str">
        <f t="shared" si="86"/>
        <v>…..........</v>
      </c>
      <c r="H459" s="200" t="s">
        <v>543</v>
      </c>
      <c r="I459" s="138" t="s">
        <v>570</v>
      </c>
      <c r="J459" s="138" t="s">
        <v>571</v>
      </c>
      <c r="K459" s="564" t="s">
        <v>539</v>
      </c>
      <c r="L459" s="564" t="s">
        <v>539</v>
      </c>
      <c r="R459" s="619"/>
      <c r="S459" s="200"/>
      <c r="U459" s="530"/>
      <c r="V459" s="484"/>
      <c r="W459" s="200"/>
      <c r="X459" s="631"/>
      <c r="Y459" s="1"/>
      <c r="Z459" s="484"/>
      <c r="AA459" s="200"/>
      <c r="AB459" s="530"/>
      <c r="AC459" s="530"/>
      <c r="AD459" s="619"/>
      <c r="AE459" s="575"/>
      <c r="AF459" s="200"/>
      <c r="AG459" s="530"/>
      <c r="AH459" s="530"/>
      <c r="AI459" s="619"/>
      <c r="AJ459" s="530"/>
      <c r="AK459" s="200"/>
      <c r="AL459" s="530"/>
      <c r="AM459" s="530"/>
      <c r="AN459" s="619"/>
      <c r="AO459" s="431"/>
      <c r="AP459" s="530"/>
      <c r="AQ459" s="200"/>
      <c r="AR459" s="530"/>
      <c r="AS459" s="530"/>
      <c r="AT459" s="619"/>
      <c r="AU459" s="530"/>
      <c r="AV459" s="200"/>
      <c r="AW459" s="530"/>
      <c r="AX459" s="575"/>
      <c r="AY459" s="619"/>
      <c r="BA459" s="200"/>
      <c r="BC459" s="530"/>
      <c r="BE459" s="619"/>
      <c r="BF459" s="244"/>
      <c r="BG459" s="200"/>
      <c r="BH459" s="530"/>
      <c r="BJ459" s="619"/>
      <c r="BK459" s="244"/>
      <c r="BL459" s="200"/>
      <c r="BM459"/>
      <c r="BN459" s="530"/>
      <c r="BP459" s="619"/>
      <c r="BQ459" s="244"/>
      <c r="BR459" s="200"/>
      <c r="BT459" s="530"/>
      <c r="BV459" s="619"/>
      <c r="BW459" s="632"/>
      <c r="BX459" s="32"/>
      <c r="BY459" s="607"/>
      <c r="BZ459" s="602"/>
      <c r="CG459" s="200"/>
      <c r="CY459" s="734"/>
    </row>
    <row r="460" spans="2:103" ht="27" customHeight="1">
      <c r="B460" t="e">
        <f>#REF!</f>
        <v>#REF!</v>
      </c>
      <c r="F460" t="str">
        <f t="shared" si="86"/>
        <v>…..........</v>
      </c>
      <c r="H460" s="200" t="s">
        <v>543</v>
      </c>
      <c r="I460" s="209"/>
      <c r="J460" s="209"/>
      <c r="R460" s="619"/>
      <c r="S460" s="200"/>
      <c r="U460" s="530"/>
      <c r="V460" s="484"/>
      <c r="W460" s="200"/>
      <c r="X460" s="631"/>
      <c r="Y460" s="1"/>
      <c r="Z460" s="484"/>
      <c r="AA460" s="200"/>
      <c r="AB460" s="530"/>
      <c r="AC460" s="530"/>
      <c r="AD460" s="619"/>
      <c r="AE460" s="575"/>
      <c r="AF460" s="200"/>
      <c r="AG460" s="530"/>
      <c r="AH460" s="530"/>
      <c r="AI460" s="619"/>
      <c r="AJ460" s="530"/>
      <c r="AK460" s="200"/>
      <c r="AL460" s="530"/>
      <c r="AM460" s="530"/>
      <c r="AN460" s="619"/>
      <c r="AO460" s="431"/>
      <c r="AP460" s="530"/>
      <c r="AQ460" s="200"/>
      <c r="AR460" s="530"/>
      <c r="AS460" s="530"/>
      <c r="AT460" s="619"/>
      <c r="AU460" s="530"/>
      <c r="AV460" s="200"/>
      <c r="AW460" s="530"/>
      <c r="AX460" s="575"/>
      <c r="AY460" s="619"/>
      <c r="BA460" s="200"/>
      <c r="BC460" s="530"/>
      <c r="BE460" s="619"/>
      <c r="BF460" s="244"/>
      <c r="BG460" s="200"/>
      <c r="BH460" s="530"/>
      <c r="BJ460" s="619"/>
      <c r="BK460" s="244"/>
      <c r="BL460" s="200"/>
      <c r="BM460"/>
      <c r="BN460" s="530"/>
      <c r="BP460" s="619"/>
      <c r="BQ460" s="244"/>
      <c r="BR460" s="200"/>
      <c r="BT460" s="530"/>
      <c r="BV460" s="619"/>
      <c r="BW460" s="632"/>
      <c r="BX460" s="32"/>
      <c r="BY460" s="607"/>
      <c r="BZ460" s="602"/>
      <c r="CG460" s="200"/>
      <c r="CY460" s="734"/>
    </row>
    <row r="461" spans="2:103" ht="27" customHeight="1">
      <c r="B461" t="e">
        <f>#REF!</f>
        <v>#REF!</v>
      </c>
      <c r="F461" t="str">
        <f t="shared" si="86"/>
        <v>…..........</v>
      </c>
      <c r="H461" s="200" t="s">
        <v>543</v>
      </c>
      <c r="R461" s="619"/>
      <c r="S461" s="200"/>
      <c r="U461" s="530"/>
      <c r="V461" s="484"/>
      <c r="W461" s="200"/>
      <c r="X461" s="631"/>
      <c r="Y461" s="1"/>
      <c r="Z461" s="484"/>
      <c r="AA461" s="200"/>
      <c r="AB461" s="530"/>
      <c r="AC461" s="530"/>
      <c r="AD461" s="619"/>
      <c r="AE461" s="575"/>
      <c r="AF461" s="200"/>
      <c r="AG461" s="530"/>
      <c r="AH461" s="530"/>
      <c r="AI461" s="619"/>
      <c r="AJ461" s="530"/>
      <c r="AK461" s="200"/>
      <c r="AL461" s="530"/>
      <c r="AM461" s="530"/>
      <c r="AN461" s="619"/>
      <c r="AO461" s="431"/>
      <c r="AP461" s="530"/>
      <c r="AQ461" s="200"/>
      <c r="AR461" s="530"/>
      <c r="AS461" s="530"/>
      <c r="AT461" s="619"/>
      <c r="AU461" s="530"/>
      <c r="AV461" s="200"/>
      <c r="AW461" s="530"/>
      <c r="AX461" s="575"/>
      <c r="AY461" s="619"/>
      <c r="BA461" s="200"/>
      <c r="BC461" s="530"/>
      <c r="BE461" s="619"/>
      <c r="BF461" s="244"/>
      <c r="BG461" s="200"/>
      <c r="BH461" s="530"/>
      <c r="BJ461" s="619"/>
      <c r="BK461" s="244"/>
      <c r="BL461" s="200"/>
      <c r="BM461"/>
      <c r="BN461" s="530"/>
      <c r="BP461" s="619"/>
      <c r="BQ461" s="244"/>
      <c r="BR461" s="200"/>
      <c r="BT461" s="530"/>
      <c r="BV461" s="619"/>
      <c r="BW461" s="632"/>
      <c r="BX461" s="32"/>
      <c r="BY461" s="607"/>
      <c r="BZ461" s="602"/>
      <c r="CG461" s="200"/>
      <c r="CY461" s="734"/>
    </row>
    <row r="462" spans="2:103" ht="27" customHeight="1">
      <c r="B462" t="e">
        <f>#REF!</f>
        <v>#REF!</v>
      </c>
      <c r="F462" t="str">
        <f t="shared" si="86"/>
        <v>…..........</v>
      </c>
      <c r="H462" s="200" t="s">
        <v>543</v>
      </c>
      <c r="R462" s="619"/>
      <c r="S462" s="200"/>
      <c r="U462" s="530"/>
      <c r="V462" s="484"/>
      <c r="W462" s="200"/>
      <c r="X462" s="631"/>
      <c r="Y462" s="1"/>
      <c r="Z462" s="484"/>
      <c r="AA462" s="200"/>
      <c r="AB462" s="530"/>
      <c r="AC462" s="530"/>
      <c r="AD462" s="619"/>
      <c r="AE462" s="575"/>
      <c r="AF462" s="200"/>
      <c r="AG462" s="530"/>
      <c r="AH462" s="530"/>
      <c r="AI462" s="619"/>
      <c r="AJ462" s="530"/>
      <c r="AK462" s="200"/>
      <c r="AL462" s="530"/>
      <c r="AM462" s="530"/>
      <c r="AN462" s="619"/>
      <c r="AO462" s="431"/>
      <c r="AP462" s="530"/>
      <c r="AQ462" s="200"/>
      <c r="AR462" s="530"/>
      <c r="AS462" s="530"/>
      <c r="AT462" s="619"/>
      <c r="AU462" s="530"/>
      <c r="AV462" s="200"/>
      <c r="AW462" s="530"/>
      <c r="AX462" s="575"/>
      <c r="AY462" s="619"/>
      <c r="BA462" s="200"/>
      <c r="BC462" s="530"/>
      <c r="BE462" s="619"/>
      <c r="BF462" s="244"/>
      <c r="BG462" s="200"/>
      <c r="BH462" s="530"/>
      <c r="BJ462" s="619"/>
      <c r="BK462" s="244"/>
      <c r="BL462" s="200"/>
      <c r="BM462"/>
      <c r="BN462" s="530"/>
      <c r="BP462" s="619"/>
      <c r="BQ462" s="244"/>
      <c r="BR462" s="200"/>
      <c r="BT462" s="530"/>
      <c r="BV462" s="619"/>
      <c r="BW462" s="632"/>
      <c r="BX462" s="32"/>
      <c r="BY462" s="607"/>
      <c r="BZ462" s="602"/>
      <c r="CG462" s="200"/>
      <c r="CY462" s="734"/>
    </row>
    <row r="463" spans="2:103" ht="27" customHeight="1">
      <c r="B463" t="e">
        <f>#REF!</f>
        <v>#REF!</v>
      </c>
      <c r="F463" t="str">
        <f t="shared" si="86"/>
        <v>…..........</v>
      </c>
      <c r="H463" s="200" t="s">
        <v>543</v>
      </c>
      <c r="L463" s="606"/>
      <c r="R463" s="619"/>
      <c r="S463" s="200"/>
      <c r="U463" s="530"/>
      <c r="V463" s="484"/>
      <c r="W463" s="200"/>
      <c r="X463" s="631"/>
      <c r="Y463" s="1"/>
      <c r="Z463" s="484"/>
      <c r="AA463" s="200"/>
      <c r="AB463" s="530"/>
      <c r="AC463" s="530"/>
      <c r="AD463" s="619"/>
      <c r="AE463" s="575"/>
      <c r="AF463" s="200"/>
      <c r="AG463" s="530"/>
      <c r="AH463" s="530"/>
      <c r="AI463" s="619"/>
      <c r="AJ463" s="530"/>
      <c r="AK463" s="200"/>
      <c r="AL463" s="530"/>
      <c r="AM463" s="530"/>
      <c r="AN463" s="619"/>
      <c r="AO463" s="431"/>
      <c r="AP463" s="530"/>
      <c r="AQ463" s="200"/>
      <c r="AR463" s="530"/>
      <c r="AS463" s="530"/>
      <c r="AT463" s="619"/>
      <c r="AU463" s="530"/>
      <c r="AV463" s="200"/>
      <c r="AW463" s="530"/>
      <c r="AX463" s="575"/>
      <c r="AY463" s="619"/>
      <c r="BA463" s="200"/>
      <c r="BC463" s="530"/>
      <c r="BE463" s="619"/>
      <c r="BF463" s="244"/>
      <c r="BG463" s="200"/>
      <c r="BH463" s="530"/>
      <c r="BJ463" s="619"/>
      <c r="BK463" s="244"/>
      <c r="BL463" s="200"/>
      <c r="BM463"/>
      <c r="BN463" s="530"/>
      <c r="BP463" s="619"/>
      <c r="BQ463" s="244"/>
      <c r="BR463" s="200"/>
      <c r="BT463" s="530"/>
      <c r="BV463" s="619"/>
      <c r="BW463" s="632"/>
      <c r="BX463" s="32"/>
      <c r="BY463" s="607"/>
      <c r="BZ463" s="602"/>
      <c r="CG463" s="200"/>
      <c r="CY463" s="734"/>
    </row>
    <row r="464" spans="2:103" ht="27" customHeight="1">
      <c r="B464" t="e">
        <f>#REF!</f>
        <v>#REF!</v>
      </c>
      <c r="F464" t="str">
        <f t="shared" si="86"/>
        <v>LOS</v>
      </c>
      <c r="H464" s="200" t="s">
        <v>543</v>
      </c>
      <c r="K464" s="602"/>
      <c r="R464" s="619"/>
      <c r="S464" s="200"/>
      <c r="U464" s="530"/>
      <c r="V464" s="484"/>
      <c r="W464" s="200"/>
      <c r="X464" s="631"/>
      <c r="Y464" s="1"/>
      <c r="Z464" s="484"/>
      <c r="AA464" s="200"/>
      <c r="AB464" s="530"/>
      <c r="AC464" s="530"/>
      <c r="AD464" s="619"/>
      <c r="AE464" s="575"/>
      <c r="AF464" s="200"/>
      <c r="AG464" s="530"/>
      <c r="AH464" s="530"/>
      <c r="AI464" s="619"/>
      <c r="AJ464" s="530"/>
      <c r="AK464" s="200"/>
      <c r="AL464" s="530"/>
      <c r="AM464" s="530"/>
      <c r="AN464" s="619"/>
      <c r="AO464" s="431"/>
      <c r="AP464" s="530"/>
      <c r="AQ464" s="200"/>
      <c r="AR464" s="530"/>
      <c r="AS464" s="530"/>
      <c r="AT464" s="619"/>
      <c r="AU464" s="530"/>
      <c r="AV464" s="200"/>
      <c r="AW464" s="530"/>
      <c r="AX464" s="575"/>
      <c r="AY464" s="619"/>
      <c r="BA464" s="200"/>
      <c r="BC464" s="530"/>
      <c r="BE464" s="619"/>
      <c r="BF464" s="244"/>
      <c r="BG464" s="200"/>
      <c r="BH464" s="530"/>
      <c r="BJ464" s="619"/>
      <c r="BK464" s="244"/>
      <c r="BL464" s="200"/>
      <c r="BM464"/>
      <c r="BN464" s="530"/>
      <c r="BP464" s="619"/>
      <c r="BQ464" s="244"/>
      <c r="BR464" s="200"/>
      <c r="BT464" s="530"/>
      <c r="BV464" s="619"/>
      <c r="BW464" s="632"/>
      <c r="BX464" s="32"/>
      <c r="BY464" s="607"/>
      <c r="BZ464" s="602"/>
      <c r="CG464" s="200"/>
      <c r="CY464" s="734"/>
    </row>
    <row r="465" spans="2:103" ht="27" customHeight="1">
      <c r="B465" t="e">
        <f>#REF!</f>
        <v>#REF!</v>
      </c>
      <c r="F465" t="str">
        <f t="shared" si="86"/>
        <v>…..........</v>
      </c>
      <c r="H465" s="200" t="s">
        <v>543</v>
      </c>
      <c r="K465" s="627"/>
      <c r="R465" s="619"/>
      <c r="S465" s="200"/>
      <c r="U465" s="530"/>
      <c r="V465" s="484"/>
      <c r="W465" s="200"/>
      <c r="X465" s="631"/>
      <c r="Y465" s="1"/>
      <c r="Z465" s="484"/>
      <c r="AA465" s="200"/>
      <c r="AB465" s="530"/>
      <c r="AC465" s="530"/>
      <c r="AD465" s="619"/>
      <c r="AE465" s="575"/>
      <c r="AF465" s="200"/>
      <c r="AG465" s="530"/>
      <c r="AH465" s="530"/>
      <c r="AI465" s="619"/>
      <c r="AJ465" s="530"/>
      <c r="AK465" s="200"/>
      <c r="AL465" s="530"/>
      <c r="AM465" s="530"/>
      <c r="AN465" s="619"/>
      <c r="AO465" s="431"/>
      <c r="AP465" s="530"/>
      <c r="AQ465" s="200"/>
      <c r="AR465" s="530"/>
      <c r="AS465" s="530"/>
      <c r="AT465" s="619"/>
      <c r="AU465" s="530"/>
      <c r="AV465" s="200"/>
      <c r="AW465" s="530"/>
      <c r="AX465" s="575"/>
      <c r="AY465" s="619"/>
      <c r="BA465" s="200"/>
      <c r="BC465" s="530"/>
      <c r="BE465" s="619"/>
      <c r="BF465" s="244"/>
      <c r="BG465" s="200"/>
      <c r="BH465" s="530"/>
      <c r="BJ465" s="619"/>
      <c r="BK465" s="244"/>
      <c r="BL465" s="200"/>
      <c r="BM465"/>
      <c r="BN465" s="530"/>
      <c r="BP465" s="619"/>
      <c r="BQ465" s="244"/>
      <c r="BR465" s="200"/>
      <c r="BT465" s="530"/>
      <c r="BV465" s="619"/>
      <c r="BW465" s="632"/>
      <c r="BX465" s="32"/>
      <c r="BY465" s="607"/>
      <c r="BZ465" s="602"/>
      <c r="CG465" s="200"/>
      <c r="CY465" s="734"/>
    </row>
    <row r="466" spans="2:103" ht="27" customHeight="1">
      <c r="B466" t="e">
        <f>#REF!</f>
        <v>#REF!</v>
      </c>
      <c r="F466" t="str">
        <f t="shared" si="86"/>
        <v>LOS</v>
      </c>
      <c r="H466" s="200" t="s">
        <v>543</v>
      </c>
      <c r="L466" s="602"/>
      <c r="R466" s="619"/>
      <c r="S466" s="200"/>
      <c r="U466" s="530"/>
      <c r="V466" s="484"/>
      <c r="W466" s="200"/>
      <c r="X466" s="631"/>
      <c r="Y466" s="1"/>
      <c r="Z466" s="484"/>
      <c r="AA466" s="200"/>
      <c r="AB466" s="530"/>
      <c r="AC466" s="530"/>
      <c r="AD466" s="619"/>
      <c r="AE466" s="575"/>
      <c r="AF466" s="200"/>
      <c r="AG466" s="530"/>
      <c r="AH466" s="530"/>
      <c r="AI466" s="619"/>
      <c r="AJ466" s="530"/>
      <c r="AK466" s="200"/>
      <c r="AL466" s="530"/>
      <c r="AM466" s="530"/>
      <c r="AN466" s="619"/>
      <c r="AO466" s="431"/>
      <c r="AP466" s="530"/>
      <c r="AQ466" s="200"/>
      <c r="AR466" s="530"/>
      <c r="AS466" s="530"/>
      <c r="AT466" s="619"/>
      <c r="AU466" s="530"/>
      <c r="AV466" s="200"/>
      <c r="AW466" s="530"/>
      <c r="AX466" s="575"/>
      <c r="AY466" s="619"/>
      <c r="BA466" s="200"/>
      <c r="BC466" s="530"/>
      <c r="BE466" s="619"/>
      <c r="BF466" s="244"/>
      <c r="BG466" s="200"/>
      <c r="BH466" s="530"/>
      <c r="BJ466" s="619"/>
      <c r="BK466" s="244"/>
      <c r="BL466" s="200"/>
      <c r="BM466"/>
      <c r="BN466" s="530"/>
      <c r="BP466" s="619"/>
      <c r="BQ466" s="244"/>
      <c r="BR466" s="200"/>
      <c r="BT466" s="530"/>
      <c r="BV466" s="619"/>
      <c r="BW466" s="632"/>
      <c r="BX466" s="32"/>
      <c r="BY466" s="607"/>
      <c r="BZ466" s="602"/>
      <c r="CG466" s="200"/>
      <c r="CY466" s="734"/>
    </row>
    <row r="467" spans="2:103" ht="27" customHeight="1">
      <c r="B467" t="e">
        <f>#REF!</f>
        <v>#REF!</v>
      </c>
      <c r="F467" t="str">
        <f t="shared" si="86"/>
        <v>LOS</v>
      </c>
      <c r="H467" s="200" t="s">
        <v>543</v>
      </c>
      <c r="R467" s="619"/>
      <c r="S467" s="200"/>
      <c r="U467" s="530"/>
      <c r="V467" s="484"/>
      <c r="W467" s="200"/>
      <c r="X467" s="631"/>
      <c r="Y467" s="1"/>
      <c r="Z467" s="484"/>
      <c r="AA467" s="200"/>
      <c r="AB467" s="530"/>
      <c r="AC467" s="530"/>
      <c r="AD467" s="619"/>
      <c r="AE467" s="575"/>
      <c r="AF467" s="200"/>
      <c r="AG467" s="530"/>
      <c r="AH467" s="530"/>
      <c r="AI467" s="619"/>
      <c r="AJ467" s="530"/>
      <c r="AK467" s="200"/>
      <c r="AL467" s="530"/>
      <c r="AM467" s="530"/>
      <c r="AN467" s="619"/>
      <c r="AO467" s="431"/>
      <c r="AP467" s="530"/>
      <c r="AQ467" s="200"/>
      <c r="AR467" s="530"/>
      <c r="AS467" s="530"/>
      <c r="AT467" s="619"/>
      <c r="AU467" s="530"/>
      <c r="AV467" s="200"/>
      <c r="AW467" s="530"/>
      <c r="AX467" s="575"/>
      <c r="AY467" s="619"/>
      <c r="BA467" s="200"/>
      <c r="BC467" s="530"/>
      <c r="BE467" s="619"/>
      <c r="BF467" s="244"/>
      <c r="BG467" s="200"/>
      <c r="BH467" s="530"/>
      <c r="BJ467" s="619"/>
      <c r="BK467" s="244"/>
      <c r="BL467" s="200"/>
      <c r="BM467"/>
      <c r="BN467" s="530"/>
      <c r="BP467" s="619"/>
      <c r="BQ467" s="244"/>
      <c r="BR467" s="200"/>
      <c r="BT467" s="530"/>
      <c r="BV467" s="619"/>
      <c r="BW467" s="632"/>
      <c r="BX467" s="32"/>
      <c r="BY467" s="607"/>
      <c r="BZ467" s="602"/>
      <c r="CG467" s="200"/>
      <c r="CY467" s="734"/>
    </row>
    <row r="468" spans="2:103" ht="27" customHeight="1">
      <c r="B468" t="e">
        <f>#REF!</f>
        <v>#REF!</v>
      </c>
      <c r="F468" t="str">
        <f t="shared" si="86"/>
        <v>LOS</v>
      </c>
      <c r="H468" s="200" t="s">
        <v>543</v>
      </c>
      <c r="R468" s="619"/>
      <c r="S468" s="200"/>
      <c r="U468" s="530"/>
      <c r="V468" s="484"/>
      <c r="W468" s="200"/>
      <c r="X468" s="631"/>
      <c r="Y468" s="1"/>
      <c r="Z468" s="484"/>
      <c r="AA468" s="200"/>
      <c r="AB468" s="530"/>
      <c r="AC468" s="530"/>
      <c r="AD468" s="619"/>
      <c r="AE468" s="575"/>
      <c r="AF468" s="200"/>
      <c r="AG468" s="530"/>
      <c r="AH468" s="530"/>
      <c r="AI468" s="619"/>
      <c r="AJ468" s="530"/>
      <c r="AK468" s="200"/>
      <c r="AL468" s="530"/>
      <c r="AM468" s="530"/>
      <c r="AN468" s="619"/>
      <c r="AO468" s="431"/>
      <c r="AP468" s="530"/>
      <c r="AQ468" s="200"/>
      <c r="AR468" s="530"/>
      <c r="AS468" s="530"/>
      <c r="AT468" s="619"/>
      <c r="AU468" s="530"/>
      <c r="AV468" s="200"/>
      <c r="AW468" s="530"/>
      <c r="AX468" s="575"/>
      <c r="AY468" s="619"/>
      <c r="BA468" s="200"/>
      <c r="BC468" s="530"/>
      <c r="BE468" s="619"/>
      <c r="BF468" s="244"/>
      <c r="BG468" s="200"/>
      <c r="BH468" s="530"/>
      <c r="BJ468" s="619"/>
      <c r="BK468" s="244"/>
      <c r="BL468" s="200"/>
      <c r="BM468"/>
      <c r="BN468" s="530"/>
      <c r="BP468" s="619"/>
      <c r="BQ468" s="244"/>
      <c r="BR468" s="200"/>
      <c r="BT468" s="530"/>
      <c r="BV468" s="619"/>
      <c r="BW468" s="632"/>
      <c r="BX468" s="32"/>
      <c r="BY468" s="607"/>
      <c r="BZ468" s="602"/>
      <c r="CG468" s="200"/>
      <c r="CY468" s="734"/>
    </row>
    <row r="469" spans="2:103" ht="27" customHeight="1">
      <c r="B469" t="e">
        <f>#REF!</f>
        <v>#REF!</v>
      </c>
      <c r="F469" t="str">
        <f t="shared" si="86"/>
        <v>LOS</v>
      </c>
      <c r="H469" s="200" t="s">
        <v>543</v>
      </c>
      <c r="R469" s="619"/>
      <c r="S469" s="200"/>
      <c r="U469" s="530"/>
      <c r="V469" s="484"/>
      <c r="W469" s="200"/>
      <c r="X469" s="631"/>
      <c r="Y469" s="1"/>
      <c r="Z469" s="484"/>
      <c r="AA469" s="200"/>
      <c r="AB469" s="530"/>
      <c r="AC469" s="530"/>
      <c r="AD469" s="619"/>
      <c r="AE469" s="575"/>
      <c r="AF469" s="200"/>
      <c r="AG469" s="530"/>
      <c r="AH469" s="530"/>
      <c r="AI469" s="619"/>
      <c r="AJ469" s="530"/>
      <c r="AK469" s="200"/>
      <c r="AL469" s="530"/>
      <c r="AM469" s="530"/>
      <c r="AN469" s="619"/>
      <c r="AO469" s="431"/>
      <c r="AP469" s="530"/>
      <c r="AQ469" s="200"/>
      <c r="AR469" s="530"/>
      <c r="AS469" s="530"/>
      <c r="AT469" s="619"/>
      <c r="AU469" s="530"/>
      <c r="AV469" s="200"/>
      <c r="AW469" s="530"/>
      <c r="AX469" s="575"/>
      <c r="AY469" s="619"/>
      <c r="BA469" s="200"/>
      <c r="BC469" s="530"/>
      <c r="BE469" s="619"/>
      <c r="BF469" s="244"/>
      <c r="BG469" s="200"/>
      <c r="BH469" s="530"/>
      <c r="BJ469" s="619"/>
      <c r="BK469" s="244"/>
      <c r="BL469" s="200"/>
      <c r="BM469"/>
      <c r="BN469" s="530"/>
      <c r="BP469" s="619"/>
      <c r="BQ469" s="244"/>
      <c r="BR469" s="200"/>
      <c r="BT469" s="530"/>
      <c r="BV469" s="619"/>
      <c r="BW469" s="632"/>
      <c r="BX469" s="32"/>
      <c r="BY469" s="607"/>
      <c r="BZ469" s="602"/>
      <c r="CG469" s="200"/>
      <c r="CY469" s="734"/>
    </row>
    <row r="470" spans="2:103" ht="27" customHeight="1">
      <c r="B470" t="e">
        <f>#REF!</f>
        <v>#REF!</v>
      </c>
      <c r="F470" t="str">
        <f t="shared" si="86"/>
        <v>LOS</v>
      </c>
      <c r="H470" s="200" t="s">
        <v>543</v>
      </c>
      <c r="R470" s="619"/>
      <c r="S470" s="200"/>
      <c r="U470" s="530"/>
      <c r="V470" s="484"/>
      <c r="W470" s="200"/>
      <c r="X470" s="631"/>
      <c r="Y470" s="1"/>
      <c r="Z470" s="484"/>
      <c r="AA470" s="200"/>
      <c r="AB470" s="530"/>
      <c r="AC470" s="530"/>
      <c r="AD470" s="619"/>
      <c r="AE470" s="575"/>
      <c r="AF470" s="200"/>
      <c r="AG470" s="530"/>
      <c r="AH470" s="530"/>
      <c r="AI470" s="619"/>
      <c r="AJ470" s="530"/>
      <c r="AK470" s="200"/>
      <c r="AL470" s="530"/>
      <c r="AM470" s="530"/>
      <c r="AN470" s="619"/>
      <c r="AO470" s="431"/>
      <c r="AP470" s="530"/>
      <c r="AQ470" s="200"/>
      <c r="AR470" s="530"/>
      <c r="AS470" s="530"/>
      <c r="AT470" s="619"/>
      <c r="AU470" s="530"/>
      <c r="AV470" s="200"/>
      <c r="AW470" s="530"/>
      <c r="AX470" s="575"/>
      <c r="AY470" s="619"/>
      <c r="BA470" s="200"/>
      <c r="BC470" s="530"/>
      <c r="BE470" s="619"/>
      <c r="BF470" s="244"/>
      <c r="BG470" s="200"/>
      <c r="BH470" s="530"/>
      <c r="BJ470" s="619"/>
      <c r="BK470" s="244"/>
      <c r="BL470" s="200"/>
      <c r="BM470"/>
      <c r="BN470" s="530"/>
      <c r="BP470" s="619"/>
      <c r="BQ470" s="244"/>
      <c r="BR470" s="200"/>
      <c r="BT470" s="530"/>
      <c r="BV470" s="619"/>
      <c r="BW470" s="632"/>
      <c r="BX470" s="32"/>
      <c r="BY470" s="607"/>
      <c r="BZ470" s="602"/>
      <c r="CG470" s="200"/>
      <c r="CY470" s="734"/>
    </row>
    <row r="471" spans="2:103" ht="27" customHeight="1">
      <c r="B471" t="e">
        <f>#REF!</f>
        <v>#REF!</v>
      </c>
      <c r="F471" t="str">
        <f t="shared" si="86"/>
        <v>LOS</v>
      </c>
      <c r="H471" s="200" t="s">
        <v>543</v>
      </c>
      <c r="R471" s="619"/>
      <c r="S471" s="200"/>
      <c r="U471" s="530"/>
      <c r="V471" s="484"/>
      <c r="W471" s="200"/>
      <c r="X471" s="631"/>
      <c r="Y471" s="1"/>
      <c r="Z471" s="484"/>
      <c r="AA471" s="200"/>
      <c r="AB471" s="530"/>
      <c r="AC471" s="530"/>
      <c r="AD471" s="619"/>
      <c r="AE471" s="575"/>
      <c r="AF471" s="200"/>
      <c r="AG471" s="530"/>
      <c r="AH471" s="530"/>
      <c r="AI471" s="619"/>
      <c r="AJ471" s="530"/>
      <c r="AK471" s="200"/>
      <c r="AL471" s="530"/>
      <c r="AM471" s="530"/>
      <c r="AN471" s="619"/>
      <c r="AO471" s="431"/>
      <c r="AP471" s="530"/>
      <c r="AQ471" s="200"/>
      <c r="AR471" s="530"/>
      <c r="AS471" s="530"/>
      <c r="AT471" s="619"/>
      <c r="AU471" s="530"/>
      <c r="AV471" s="200"/>
      <c r="AW471" s="530"/>
      <c r="AX471" s="575"/>
      <c r="AY471" s="619"/>
      <c r="BA471" s="200"/>
      <c r="BC471" s="530"/>
      <c r="BE471" s="619"/>
      <c r="BF471" s="244"/>
      <c r="BG471" s="200"/>
      <c r="BH471" s="530"/>
      <c r="BJ471" s="619"/>
      <c r="BK471" s="244"/>
      <c r="BL471" s="200"/>
      <c r="BM471"/>
      <c r="BN471" s="530"/>
      <c r="BP471" s="619"/>
      <c r="BQ471" s="244"/>
      <c r="BR471" s="200"/>
      <c r="BT471" s="530"/>
      <c r="BV471" s="619"/>
      <c r="BW471" s="632"/>
      <c r="BX471" s="32"/>
      <c r="BY471" s="607"/>
      <c r="BZ471" s="602"/>
      <c r="CG471" s="200"/>
      <c r="CY471" s="734"/>
    </row>
    <row r="472" spans="2:103" ht="27" customHeight="1">
      <c r="B472" t="e">
        <f>#REF!</f>
        <v>#REF!</v>
      </c>
      <c r="F472" t="str">
        <f t="shared" si="86"/>
        <v>LOS</v>
      </c>
      <c r="H472" s="200" t="s">
        <v>543</v>
      </c>
      <c r="R472" s="619"/>
      <c r="S472" s="200"/>
      <c r="U472" s="530"/>
      <c r="V472" s="484"/>
      <c r="W472" s="200"/>
      <c r="X472" s="631"/>
      <c r="Y472" s="1"/>
      <c r="Z472" s="484"/>
      <c r="AA472" s="200"/>
      <c r="AB472" s="530"/>
      <c r="AC472" s="530"/>
      <c r="AD472" s="619"/>
      <c r="AE472" s="575"/>
      <c r="AF472" s="200"/>
      <c r="AG472" s="530"/>
      <c r="AH472" s="530"/>
      <c r="AI472" s="619"/>
      <c r="AJ472" s="530"/>
      <c r="AK472" s="200"/>
      <c r="AL472" s="530"/>
      <c r="AM472" s="530"/>
      <c r="AN472" s="619"/>
      <c r="AO472" s="431"/>
      <c r="AP472" s="530"/>
      <c r="AQ472" s="200"/>
      <c r="AR472" s="530"/>
      <c r="AS472" s="530"/>
      <c r="AT472" s="619"/>
      <c r="AU472" s="530"/>
      <c r="AV472" s="200"/>
      <c r="AW472" s="530"/>
      <c r="AX472" s="575"/>
      <c r="AY472" s="619"/>
      <c r="BA472" s="200"/>
      <c r="BC472" s="530"/>
      <c r="BE472" s="619"/>
      <c r="BF472" s="244"/>
      <c r="BG472" s="200"/>
      <c r="BH472" s="530"/>
      <c r="BJ472" s="619"/>
      <c r="BK472" s="244"/>
      <c r="BL472" s="200"/>
      <c r="BM472"/>
      <c r="BN472" s="530"/>
      <c r="BP472" s="619"/>
      <c r="BQ472" s="244"/>
      <c r="BR472" s="200"/>
      <c r="BT472" s="530"/>
      <c r="BV472" s="619"/>
      <c r="BW472" s="632"/>
      <c r="BX472" s="32"/>
      <c r="BY472" s="607"/>
      <c r="BZ472" s="602"/>
      <c r="CG472" s="200"/>
      <c r="CY472" s="734"/>
    </row>
    <row r="473" spans="2:103" ht="27" customHeight="1">
      <c r="B473" t="e">
        <f>#REF!</f>
        <v>#REF!</v>
      </c>
      <c r="F473" t="str">
        <f t="shared" si="86"/>
        <v>LOS</v>
      </c>
      <c r="H473" s="200" t="s">
        <v>543</v>
      </c>
      <c r="R473" s="619"/>
      <c r="S473" s="200"/>
      <c r="U473" s="530"/>
      <c r="V473" s="484"/>
      <c r="W473" s="200"/>
      <c r="X473" s="631"/>
      <c r="Y473" s="1"/>
      <c r="Z473" s="484"/>
      <c r="AA473" s="200"/>
      <c r="AB473" s="530"/>
      <c r="AC473" s="530"/>
      <c r="AD473" s="619"/>
      <c r="AE473" s="575"/>
      <c r="AF473" s="200"/>
      <c r="AG473" s="530"/>
      <c r="AH473" s="530"/>
      <c r="AI473" s="619"/>
      <c r="AJ473" s="530"/>
      <c r="AK473" s="200"/>
      <c r="AL473" s="530"/>
      <c r="AM473" s="530"/>
      <c r="AN473" s="619"/>
      <c r="AO473" s="431"/>
      <c r="AP473" s="530"/>
      <c r="AQ473" s="200"/>
      <c r="AR473" s="530"/>
      <c r="AS473" s="530"/>
      <c r="AT473" s="619"/>
      <c r="AU473" s="530"/>
      <c r="AV473" s="200"/>
      <c r="AW473" s="530"/>
      <c r="AX473" s="575"/>
      <c r="AY473" s="619"/>
      <c r="BA473" s="200"/>
      <c r="BC473" s="530"/>
      <c r="BE473" s="619"/>
      <c r="BF473" s="244"/>
      <c r="BG473" s="200"/>
      <c r="BH473" s="530"/>
      <c r="BJ473" s="619"/>
      <c r="BK473" s="244"/>
      <c r="BL473" s="200"/>
      <c r="BM473"/>
      <c r="BN473" s="530"/>
      <c r="BP473" s="619"/>
      <c r="BQ473" s="244"/>
      <c r="BR473" s="200"/>
      <c r="BT473" s="530"/>
      <c r="BV473" s="619"/>
      <c r="BW473" s="632"/>
      <c r="BX473" s="32"/>
      <c r="BY473" s="607"/>
      <c r="BZ473" s="602"/>
      <c r="CG473" s="200"/>
      <c r="CY473" s="734"/>
    </row>
    <row r="474" spans="2:103" ht="27" customHeight="1">
      <c r="B474" t="e">
        <f>#REF!</f>
        <v>#REF!</v>
      </c>
      <c r="F474" t="str">
        <f t="shared" si="86"/>
        <v>…..........</v>
      </c>
      <c r="H474" s="200" t="s">
        <v>543</v>
      </c>
      <c r="R474" s="619"/>
      <c r="S474" s="200"/>
      <c r="U474" s="530"/>
      <c r="V474" s="484"/>
      <c r="W474" s="200"/>
      <c r="X474" s="631"/>
      <c r="Y474" s="1"/>
      <c r="Z474" s="484"/>
      <c r="AA474" s="200"/>
      <c r="AB474" s="530"/>
      <c r="AC474" s="530"/>
      <c r="AD474" s="619"/>
      <c r="AE474" s="575"/>
      <c r="AF474" s="200"/>
      <c r="AG474" s="530"/>
      <c r="AH474" s="530"/>
      <c r="AI474" s="619"/>
      <c r="AJ474" s="530"/>
      <c r="AK474" s="200"/>
      <c r="AL474" s="530"/>
      <c r="AM474" s="530"/>
      <c r="AN474" s="619"/>
      <c r="AO474" s="431"/>
      <c r="AP474" s="530"/>
      <c r="AQ474" s="200"/>
      <c r="AR474" s="530"/>
      <c r="AS474" s="530"/>
      <c r="AT474" s="619"/>
      <c r="AU474" s="530"/>
      <c r="AV474" s="200"/>
      <c r="AW474" s="530"/>
      <c r="AX474" s="575"/>
      <c r="AY474" s="619"/>
      <c r="BA474" s="200"/>
      <c r="BC474" s="530"/>
      <c r="BE474" s="619"/>
      <c r="BF474" s="244"/>
      <c r="BG474" s="200"/>
      <c r="BH474" s="530"/>
      <c r="BJ474" s="619"/>
      <c r="BK474" s="244"/>
      <c r="BL474" s="200"/>
      <c r="BM474"/>
      <c r="BN474" s="530"/>
      <c r="BP474" s="619"/>
      <c r="BQ474" s="244"/>
      <c r="BR474" s="200"/>
      <c r="BT474" s="530"/>
      <c r="BV474" s="619"/>
      <c r="BW474" s="632"/>
      <c r="BX474" s="32"/>
      <c r="BY474" s="607"/>
      <c r="BZ474" s="602"/>
      <c r="CG474" s="200"/>
      <c r="CY474" s="734"/>
    </row>
    <row r="475" spans="2:103" ht="27" customHeight="1">
      <c r="B475" t="e">
        <f>#REF!</f>
        <v>#REF!</v>
      </c>
      <c r="F475" t="str">
        <f t="shared" si="86"/>
        <v>…..........</v>
      </c>
      <c r="H475" s="200" t="s">
        <v>543</v>
      </c>
      <c r="R475" s="619"/>
      <c r="S475" s="200"/>
      <c r="U475" s="530"/>
      <c r="V475" s="484"/>
      <c r="W475" s="200"/>
      <c r="X475" s="631"/>
      <c r="Y475" s="1"/>
      <c r="Z475" s="484"/>
      <c r="AA475" s="200"/>
      <c r="AB475" s="530"/>
      <c r="AC475" s="530"/>
      <c r="AD475" s="619"/>
      <c r="AE475" s="575"/>
      <c r="AF475" s="200"/>
      <c r="AG475" s="530"/>
      <c r="AH475" s="530"/>
      <c r="AI475" s="619"/>
      <c r="AJ475" s="530"/>
      <c r="AK475" s="200"/>
      <c r="AL475" s="530"/>
      <c r="AM475" s="530"/>
      <c r="AN475" s="619"/>
      <c r="AO475" s="431"/>
      <c r="AP475" s="530"/>
      <c r="AQ475" s="200"/>
      <c r="AR475" s="530"/>
      <c r="AS475" s="530"/>
      <c r="AT475" s="619"/>
      <c r="AU475" s="530"/>
      <c r="AV475" s="200"/>
      <c r="AW475" s="530"/>
      <c r="AX475" s="575"/>
      <c r="AY475" s="619"/>
      <c r="BA475" s="200"/>
      <c r="BC475" s="530"/>
      <c r="BE475" s="619"/>
      <c r="BF475" s="244"/>
      <c r="BG475" s="200"/>
      <c r="BH475" s="530"/>
      <c r="BJ475" s="619"/>
      <c r="BK475" s="244"/>
      <c r="BL475" s="200"/>
      <c r="BM475"/>
      <c r="BN475" s="530"/>
      <c r="BP475" s="619"/>
      <c r="BQ475" s="244"/>
      <c r="BR475" s="200"/>
      <c r="BT475" s="530"/>
      <c r="BV475" s="619"/>
      <c r="BW475" s="632"/>
      <c r="BX475" s="32"/>
      <c r="BY475" s="607"/>
      <c r="BZ475" s="602"/>
      <c r="CG475" s="200"/>
      <c r="CY475" s="734"/>
    </row>
    <row r="476" spans="2:103" ht="27" customHeight="1">
      <c r="B476" t="e">
        <f>#REF!</f>
        <v>#REF!</v>
      </c>
      <c r="F476" t="str">
        <f t="shared" si="86"/>
        <v>…..........</v>
      </c>
      <c r="H476" s="200" t="s">
        <v>543</v>
      </c>
      <c r="R476" s="619"/>
      <c r="S476" s="200"/>
      <c r="U476" s="530"/>
      <c r="V476" s="484"/>
      <c r="W476" s="200"/>
      <c r="X476" s="631"/>
      <c r="Y476" s="1"/>
      <c r="Z476" s="484"/>
      <c r="AA476" s="200"/>
      <c r="AB476" s="530"/>
      <c r="AC476" s="530"/>
      <c r="AD476" s="619"/>
      <c r="AE476" s="575"/>
      <c r="AF476" s="200"/>
      <c r="AG476" s="530"/>
      <c r="AH476" s="530"/>
      <c r="AI476" s="619"/>
      <c r="AJ476" s="530"/>
      <c r="AK476" s="200"/>
      <c r="AL476" s="530"/>
      <c r="AM476" s="530"/>
      <c r="AN476" s="619"/>
      <c r="AO476" s="431"/>
      <c r="AP476" s="530"/>
      <c r="AQ476" s="200"/>
      <c r="AR476" s="530"/>
      <c r="AS476" s="530"/>
      <c r="AT476" s="619"/>
      <c r="AU476" s="530"/>
      <c r="AV476" s="200"/>
      <c r="AW476" s="530"/>
      <c r="AX476" s="575"/>
      <c r="AY476" s="619"/>
      <c r="BA476" s="200"/>
      <c r="BC476" s="530"/>
      <c r="BE476" s="619"/>
      <c r="BF476" s="244"/>
      <c r="BG476" s="200"/>
      <c r="BH476" s="530"/>
      <c r="BJ476" s="619"/>
      <c r="BK476" s="244"/>
      <c r="BL476" s="200"/>
      <c r="BM476"/>
      <c r="BN476" s="530"/>
      <c r="BP476" s="619"/>
      <c r="BQ476" s="244"/>
      <c r="BR476" s="200"/>
      <c r="BT476" s="530"/>
      <c r="BV476" s="619"/>
      <c r="BW476" s="632"/>
      <c r="BX476" s="32"/>
      <c r="BY476" s="607"/>
      <c r="BZ476" s="602"/>
      <c r="CG476" s="200"/>
      <c r="CY476" s="734"/>
    </row>
    <row r="477" spans="2:103" ht="27" customHeight="1">
      <c r="B477" t="e">
        <f>#REF!</f>
        <v>#REF!</v>
      </c>
      <c r="F477" t="str">
        <f t="shared" si="86"/>
        <v>…..........</v>
      </c>
      <c r="H477" s="200" t="s">
        <v>543</v>
      </c>
      <c r="R477" s="619"/>
      <c r="S477" s="200"/>
      <c r="U477" s="530"/>
      <c r="V477" s="484"/>
      <c r="W477" s="200"/>
      <c r="X477" s="631"/>
      <c r="Y477" s="1"/>
      <c r="Z477" s="484"/>
      <c r="AA477" s="200"/>
      <c r="AB477" s="530"/>
      <c r="AC477" s="530"/>
      <c r="AD477" s="619"/>
      <c r="AE477" s="575"/>
      <c r="AF477" s="200"/>
      <c r="AG477" s="530"/>
      <c r="AH477" s="530"/>
      <c r="AI477" s="619"/>
      <c r="AJ477" s="530"/>
      <c r="AK477" s="200"/>
      <c r="AL477" s="530"/>
      <c r="AM477" s="530"/>
      <c r="AN477" s="619"/>
      <c r="AO477" s="431"/>
      <c r="AP477" s="530"/>
      <c r="AQ477" s="200"/>
      <c r="AR477" s="530"/>
      <c r="AS477" s="530"/>
      <c r="AT477" s="619"/>
      <c r="AU477" s="530"/>
      <c r="AV477" s="200"/>
      <c r="AW477" s="530"/>
      <c r="AX477" s="575"/>
      <c r="AY477" s="619"/>
      <c r="BA477" s="200"/>
      <c r="BC477" s="530"/>
      <c r="BE477" s="619"/>
      <c r="BF477" s="244"/>
      <c r="BG477" s="200"/>
      <c r="BH477" s="530"/>
      <c r="BJ477" s="619"/>
      <c r="BK477" s="244"/>
      <c r="BL477" s="200"/>
      <c r="BM477"/>
      <c r="BN477" s="530"/>
      <c r="BP477" s="619"/>
      <c r="BQ477" s="244"/>
      <c r="BR477" s="200"/>
      <c r="BT477" s="530"/>
      <c r="BV477" s="619"/>
      <c r="BW477" s="632"/>
      <c r="BX477" s="32"/>
      <c r="BY477" s="607"/>
      <c r="BZ477" s="602"/>
      <c r="CG477" s="200"/>
      <c r="CY477" s="734"/>
    </row>
    <row r="478" spans="2:103" ht="27" customHeight="1">
      <c r="B478" t="e">
        <f>#REF!</f>
        <v>#REF!</v>
      </c>
      <c r="F478" t="str">
        <f t="shared" si="86"/>
        <v>…..........</v>
      </c>
      <c r="H478" s="200" t="s">
        <v>543</v>
      </c>
      <c r="R478" s="619"/>
      <c r="S478" s="200"/>
      <c r="U478" s="530"/>
      <c r="V478" s="484"/>
      <c r="W478" s="200"/>
      <c r="X478" s="631"/>
      <c r="Y478" s="1"/>
      <c r="Z478" s="484"/>
      <c r="AA478" s="200"/>
      <c r="AB478" s="530"/>
      <c r="AC478" s="530"/>
      <c r="AD478" s="619"/>
      <c r="AE478" s="575"/>
      <c r="AF478" s="200"/>
      <c r="AG478" s="530"/>
      <c r="AH478" s="530"/>
      <c r="AI478" s="619"/>
      <c r="AJ478" s="530"/>
      <c r="AK478" s="200"/>
      <c r="AL478" s="530"/>
      <c r="AM478" s="530"/>
      <c r="AN478" s="619"/>
      <c r="AO478" s="431"/>
      <c r="AP478" s="530"/>
      <c r="AQ478" s="200"/>
      <c r="AR478" s="530"/>
      <c r="AS478" s="530"/>
      <c r="AT478" s="619"/>
      <c r="AU478" s="530"/>
      <c r="AV478" s="200"/>
      <c r="AW478" s="530"/>
      <c r="AX478" s="575"/>
      <c r="AY478" s="619"/>
      <c r="BA478" s="200"/>
      <c r="BC478" s="530"/>
      <c r="BE478" s="619"/>
      <c r="BF478" s="244"/>
      <c r="BG478" s="200"/>
      <c r="BH478" s="530"/>
      <c r="BJ478" s="619"/>
      <c r="BK478" s="244"/>
      <c r="BL478" s="200"/>
      <c r="BM478"/>
      <c r="BN478" s="530"/>
      <c r="BP478" s="619"/>
      <c r="BQ478" s="244"/>
      <c r="BR478" s="200"/>
      <c r="BT478" s="530"/>
      <c r="BV478" s="619"/>
      <c r="BW478" s="632"/>
      <c r="BX478" s="32"/>
      <c r="BY478" s="607"/>
      <c r="BZ478" s="602"/>
      <c r="CG478" s="200"/>
      <c r="CY478" s="734"/>
    </row>
    <row r="479" spans="2:103" ht="27" customHeight="1">
      <c r="B479" t="e">
        <f>#REF!</f>
        <v>#REF!</v>
      </c>
      <c r="F479" t="e">
        <f>#REF!</f>
        <v>#REF!</v>
      </c>
      <c r="H479" s="200" t="s">
        <v>543</v>
      </c>
      <c r="R479" s="619"/>
      <c r="S479" s="200"/>
      <c r="U479" s="530"/>
      <c r="V479" s="484"/>
      <c r="W479" s="200"/>
      <c r="X479" s="631"/>
      <c r="Y479" s="1"/>
      <c r="Z479" s="484"/>
      <c r="AA479" s="200"/>
      <c r="AB479" s="530"/>
      <c r="AC479" s="530"/>
      <c r="AD479" s="619"/>
      <c r="AE479" s="575"/>
      <c r="AF479" s="200"/>
      <c r="AG479" s="530"/>
      <c r="AH479" s="530"/>
      <c r="AI479" s="619"/>
      <c r="AJ479" s="530"/>
      <c r="AK479" s="200"/>
      <c r="AL479" s="530"/>
      <c r="AM479" s="530"/>
      <c r="AN479" s="619"/>
      <c r="AO479" s="431"/>
      <c r="AP479" s="530"/>
      <c r="AQ479" s="200"/>
      <c r="AR479" s="530"/>
      <c r="AS479" s="530"/>
      <c r="AT479" s="619"/>
      <c r="AU479" s="530"/>
      <c r="AV479" s="200"/>
      <c r="AW479" s="530"/>
      <c r="AX479" s="575"/>
      <c r="AY479" s="619"/>
      <c r="BA479" s="200"/>
      <c r="BC479" s="530"/>
      <c r="BE479" s="619"/>
      <c r="BF479" s="244"/>
      <c r="BG479" s="200"/>
      <c r="BH479" s="530"/>
      <c r="BJ479" s="619"/>
      <c r="BK479" s="244"/>
      <c r="BL479" s="200"/>
      <c r="BM479"/>
      <c r="BN479" s="530"/>
      <c r="BP479" s="619"/>
      <c r="BQ479" s="244"/>
      <c r="BR479" s="200"/>
      <c r="BT479" s="530"/>
      <c r="BV479" s="619"/>
      <c r="BW479" s="632"/>
      <c r="BX479" s="32"/>
      <c r="BY479" s="607"/>
      <c r="BZ479" s="602"/>
      <c r="CG479" s="200"/>
      <c r="CY479" s="734"/>
    </row>
    <row r="480" spans="2:103" ht="27" customHeight="1">
      <c r="B480" t="e">
        <f>#REF!</f>
        <v>#REF!</v>
      </c>
      <c r="F480" t="e">
        <f>#REF!</f>
        <v>#REF!</v>
      </c>
      <c r="H480" s="200" t="s">
        <v>543</v>
      </c>
      <c r="R480" s="619"/>
      <c r="S480" s="200"/>
      <c r="U480" s="530"/>
      <c r="V480" s="484"/>
      <c r="W480" s="200"/>
      <c r="X480" s="631"/>
      <c r="Y480" s="1"/>
      <c r="Z480" s="484"/>
      <c r="AA480" s="200"/>
      <c r="AB480" s="530"/>
      <c r="AC480" s="530"/>
      <c r="AD480" s="619"/>
      <c r="AE480" s="575"/>
      <c r="AF480" s="200"/>
      <c r="AG480" s="530"/>
      <c r="AH480" s="530"/>
      <c r="AI480" s="619"/>
      <c r="AJ480" s="530"/>
      <c r="AK480" s="200"/>
      <c r="AL480" s="530"/>
      <c r="AM480" s="530"/>
      <c r="AN480" s="619"/>
      <c r="AO480" s="431"/>
      <c r="AP480" s="530"/>
      <c r="AQ480" s="200"/>
      <c r="AR480" s="530"/>
      <c r="AS480" s="530"/>
      <c r="AT480" s="619"/>
      <c r="AU480" s="530"/>
      <c r="AV480" s="200"/>
      <c r="AW480" s="530"/>
      <c r="AX480" s="575"/>
      <c r="AY480" s="619"/>
      <c r="BA480" s="200"/>
      <c r="BC480" s="530"/>
      <c r="BE480" s="619"/>
      <c r="BF480" s="244"/>
      <c r="BG480" s="200"/>
      <c r="BH480" s="530"/>
      <c r="BJ480" s="619"/>
      <c r="BK480" s="244"/>
      <c r="BL480" s="200"/>
      <c r="BM480"/>
      <c r="BN480" s="530"/>
      <c r="BP480" s="619"/>
      <c r="BQ480" s="244"/>
      <c r="BR480" s="200"/>
      <c r="BT480" s="530"/>
      <c r="BV480" s="619"/>
      <c r="BW480" s="632"/>
      <c r="BX480" s="32"/>
      <c r="BY480" s="607"/>
      <c r="BZ480" s="602"/>
      <c r="CG480" s="200"/>
      <c r="CY480" s="734"/>
    </row>
    <row r="481" spans="2:103" ht="27" customHeight="1">
      <c r="B481" s="431"/>
      <c r="C481" s="431"/>
      <c r="D481" s="431"/>
      <c r="E481" s="431"/>
      <c r="F481" s="641"/>
      <c r="G481" s="641"/>
      <c r="H481" s="641"/>
      <c r="I481" s="734"/>
      <c r="J481" s="641"/>
      <c r="K481" s="734"/>
      <c r="L481" s="641"/>
      <c r="M481" s="734"/>
      <c r="N481" s="641"/>
      <c r="O481" s="734"/>
      <c r="P481" s="641"/>
      <c r="Q481" s="734"/>
      <c r="R481" s="734"/>
      <c r="S481" s="734"/>
      <c r="T481" s="734"/>
      <c r="U481" s="734"/>
      <c r="V481" s="484"/>
      <c r="W481" s="200"/>
      <c r="X481" s="631"/>
      <c r="Y481" s="1"/>
      <c r="Z481" s="484"/>
      <c r="AA481" s="200"/>
      <c r="AB481" s="530"/>
      <c r="AC481" s="530"/>
      <c r="AD481" s="619"/>
      <c r="AE481" s="575"/>
      <c r="AF481" s="200"/>
      <c r="AG481" s="530"/>
      <c r="AH481" s="530"/>
      <c r="AI481" s="619"/>
      <c r="AJ481" s="530"/>
      <c r="AK481" s="200"/>
      <c r="AL481" s="530"/>
      <c r="AM481" s="530"/>
      <c r="AN481" s="619"/>
      <c r="AO481" s="431"/>
      <c r="AP481" s="530"/>
      <c r="AQ481" s="200"/>
      <c r="AR481" s="530"/>
      <c r="AS481" s="530"/>
      <c r="AT481" s="619"/>
      <c r="AU481" s="530"/>
      <c r="AV481" s="200"/>
      <c r="AW481" s="530"/>
      <c r="AX481" s="575"/>
      <c r="AY481" s="619"/>
      <c r="BA481" s="200"/>
      <c r="BC481" s="530"/>
      <c r="BE481" s="619"/>
      <c r="BF481" s="244"/>
      <c r="BG481" s="200"/>
      <c r="BH481" s="530"/>
      <c r="BJ481" s="619"/>
      <c r="BK481" s="244"/>
      <c r="BL481" s="200"/>
      <c r="BM481"/>
      <c r="BN481" s="530"/>
      <c r="BP481" s="619"/>
      <c r="BQ481" s="244"/>
      <c r="BR481" s="200"/>
      <c r="BT481" s="530"/>
      <c r="BV481" s="619"/>
      <c r="BW481" s="632"/>
      <c r="BX481" s="32"/>
      <c r="BY481" s="607"/>
      <c r="BZ481" s="602"/>
      <c r="CG481" s="200"/>
      <c r="CY481" s="734"/>
    </row>
    <row r="482" spans="2:103" ht="27" customHeight="1">
      <c r="B482" s="431"/>
      <c r="C482" s="431"/>
      <c r="D482" s="431"/>
      <c r="E482" s="431"/>
      <c r="F482" s="641"/>
      <c r="G482" s="641"/>
      <c r="H482" s="641"/>
      <c r="I482" s="734"/>
      <c r="J482" s="641"/>
      <c r="K482" s="734"/>
      <c r="L482" s="641"/>
      <c r="M482" s="734"/>
      <c r="N482" s="641"/>
      <c r="O482" s="734"/>
      <c r="P482" s="641"/>
      <c r="Q482" s="734"/>
      <c r="R482" s="734"/>
      <c r="S482" s="734"/>
      <c r="T482" s="734"/>
      <c r="U482" s="734"/>
      <c r="V482" s="484"/>
      <c r="W482" s="200"/>
      <c r="X482" s="631"/>
      <c r="Y482" s="1"/>
      <c r="Z482" s="484"/>
      <c r="AA482" s="200"/>
      <c r="AB482" s="530"/>
      <c r="AC482" s="530"/>
      <c r="AD482" s="619"/>
      <c r="AE482" s="575"/>
      <c r="AF482" s="200"/>
      <c r="AG482" s="530"/>
      <c r="AH482" s="530"/>
      <c r="AI482" s="619"/>
      <c r="AJ482" s="530"/>
      <c r="AK482" s="200"/>
      <c r="AL482" s="530"/>
      <c r="AM482" s="530"/>
      <c r="AN482" s="619"/>
      <c r="AO482" s="431"/>
      <c r="AP482" s="530"/>
      <c r="AQ482" s="200"/>
      <c r="AR482" s="530"/>
      <c r="AS482" s="530"/>
      <c r="AT482" s="619"/>
      <c r="AU482" s="530"/>
      <c r="AV482" s="200"/>
      <c r="AW482" s="530"/>
      <c r="AX482" s="575"/>
      <c r="AY482" s="619"/>
      <c r="BA482" s="200"/>
      <c r="BC482" s="530"/>
      <c r="BE482" s="619"/>
      <c r="BF482" s="244"/>
      <c r="BG482" s="200"/>
      <c r="BH482" s="530"/>
      <c r="BJ482" s="619"/>
      <c r="BK482" s="244"/>
      <c r="BL482" s="200"/>
      <c r="BM482"/>
      <c r="BN482" s="530"/>
      <c r="BP482" s="619"/>
      <c r="BQ482" s="244"/>
      <c r="BR482" s="200"/>
      <c r="BT482" s="530"/>
      <c r="BV482" s="619"/>
      <c r="BW482" s="632"/>
      <c r="BX482" s="32"/>
      <c r="BY482" s="607"/>
      <c r="BZ482" s="602"/>
      <c r="CG482" s="200"/>
      <c r="CY482" s="734"/>
    </row>
    <row r="483" spans="2:103" ht="27" customHeight="1">
      <c r="B483" s="431"/>
      <c r="C483" s="431"/>
      <c r="D483" s="431"/>
      <c r="E483" s="431"/>
      <c r="F483" s="641"/>
      <c r="G483" s="641"/>
      <c r="H483" s="641"/>
      <c r="I483" s="734"/>
      <c r="J483" s="641"/>
      <c r="K483" s="734"/>
      <c r="L483" s="641"/>
      <c r="M483" s="734"/>
      <c r="N483" s="641"/>
      <c r="O483" s="734"/>
      <c r="P483" s="641"/>
      <c r="Q483" s="734"/>
      <c r="R483" s="734"/>
      <c r="S483" s="734"/>
      <c r="T483" s="734"/>
      <c r="U483" s="734"/>
      <c r="V483" s="484"/>
      <c r="W483" s="200"/>
      <c r="X483" s="631"/>
      <c r="Y483" s="1"/>
      <c r="Z483" s="484"/>
      <c r="AA483" s="200"/>
      <c r="AB483" s="530"/>
      <c r="AC483" s="530"/>
      <c r="AD483" s="619"/>
      <c r="AE483" s="575"/>
      <c r="AF483" s="200"/>
      <c r="AG483" s="530"/>
      <c r="AH483" s="530"/>
      <c r="AI483" s="619"/>
      <c r="AJ483" s="530"/>
      <c r="AK483" s="200"/>
      <c r="AL483" s="530"/>
      <c r="AM483" s="530"/>
      <c r="AN483" s="619"/>
      <c r="AO483" s="431"/>
      <c r="AP483" s="530"/>
      <c r="AQ483" s="200"/>
      <c r="AR483" s="530"/>
      <c r="AS483" s="530"/>
      <c r="AT483" s="619"/>
      <c r="AU483" s="530"/>
      <c r="AV483" s="200"/>
      <c r="AW483" s="530"/>
      <c r="AX483" s="575"/>
      <c r="AY483" s="619"/>
      <c r="BA483" s="200"/>
      <c r="BC483" s="530"/>
      <c r="BE483" s="619"/>
      <c r="BF483" s="244"/>
      <c r="BG483" s="200"/>
      <c r="BH483" s="530"/>
      <c r="BJ483" s="619"/>
      <c r="BK483" s="244"/>
      <c r="BL483" s="200"/>
      <c r="BM483"/>
      <c r="BN483" s="530"/>
      <c r="BP483" s="619"/>
      <c r="BQ483" s="244"/>
      <c r="BR483" s="200"/>
      <c r="BT483" s="530"/>
      <c r="BV483" s="619"/>
      <c r="BW483" s="632"/>
      <c r="BX483" s="32"/>
      <c r="BY483" s="607"/>
      <c r="BZ483" s="602"/>
      <c r="CG483" s="200"/>
      <c r="CY483" s="734"/>
    </row>
    <row r="484" spans="2:103" ht="27" customHeight="1">
      <c r="B484" s="431"/>
      <c r="C484" s="431"/>
      <c r="D484" s="431"/>
      <c r="E484" s="431"/>
      <c r="F484" s="641"/>
      <c r="G484" s="641"/>
      <c r="H484" s="641"/>
      <c r="I484" s="734"/>
      <c r="J484" s="641"/>
      <c r="K484" s="734"/>
      <c r="L484" s="641"/>
      <c r="M484" s="734"/>
      <c r="N484" s="641"/>
      <c r="O484" s="734"/>
      <c r="P484" s="641"/>
      <c r="Q484" s="734"/>
      <c r="R484" s="734"/>
      <c r="S484" s="734"/>
      <c r="T484" s="734"/>
      <c r="U484" s="734"/>
      <c r="V484" s="484"/>
      <c r="W484" s="200"/>
      <c r="X484" s="631"/>
      <c r="Y484" s="1"/>
      <c r="Z484" s="484"/>
      <c r="AA484" s="200"/>
      <c r="AB484" s="530"/>
      <c r="AC484" s="530"/>
      <c r="AD484" s="619"/>
      <c r="AE484" s="575"/>
      <c r="AF484" s="200"/>
      <c r="AG484" s="530"/>
      <c r="AH484" s="530"/>
      <c r="AI484" s="619"/>
      <c r="AJ484" s="530"/>
      <c r="AK484" s="200"/>
      <c r="AL484" s="530"/>
      <c r="AM484" s="530"/>
      <c r="AN484" s="619"/>
      <c r="AO484" s="431"/>
      <c r="AP484" s="530"/>
      <c r="AQ484" s="200"/>
      <c r="AR484" s="530"/>
      <c r="AS484" s="530"/>
      <c r="AT484" s="619"/>
      <c r="AU484" s="530"/>
      <c r="AV484" s="200"/>
      <c r="AW484" s="530"/>
      <c r="AX484" s="575"/>
      <c r="AY484" s="619"/>
      <c r="BA484" s="200"/>
      <c r="BC484" s="530"/>
      <c r="BE484" s="619"/>
      <c r="BF484" s="244"/>
      <c r="BG484" s="200"/>
      <c r="BH484" s="530"/>
      <c r="BJ484" s="619"/>
      <c r="BK484" s="244"/>
      <c r="BL484" s="200"/>
      <c r="BM484"/>
      <c r="BN484" s="530"/>
      <c r="BP484" s="619"/>
      <c r="BQ484" s="244"/>
      <c r="BR484" s="200"/>
      <c r="BT484" s="530"/>
      <c r="BV484" s="619"/>
      <c r="BW484" s="632"/>
      <c r="BX484" s="32"/>
      <c r="BY484" s="607"/>
      <c r="BZ484" s="602"/>
      <c r="CG484" s="200"/>
      <c r="CY484" s="734"/>
    </row>
    <row r="485" spans="2:103" ht="27" customHeight="1">
      <c r="B485" s="431"/>
      <c r="C485" s="431"/>
      <c r="D485" s="431"/>
      <c r="E485" s="431"/>
      <c r="F485" s="641"/>
      <c r="G485" s="641"/>
      <c r="H485" s="641"/>
      <c r="I485" s="734"/>
      <c r="J485" s="641"/>
      <c r="K485" s="734"/>
      <c r="L485" s="641"/>
      <c r="M485" s="734"/>
      <c r="N485" s="641"/>
      <c r="O485" s="734"/>
      <c r="P485" s="641"/>
      <c r="Q485" s="734"/>
      <c r="R485" s="734"/>
      <c r="S485" s="734"/>
      <c r="T485" s="734"/>
      <c r="U485" s="734"/>
      <c r="V485" s="484"/>
      <c r="W485" s="200"/>
      <c r="X485" s="631"/>
      <c r="Y485" s="1"/>
      <c r="Z485" s="484"/>
      <c r="AA485" s="200"/>
      <c r="AB485" s="530"/>
      <c r="AC485" s="530"/>
      <c r="AD485" s="619"/>
      <c r="AE485" s="575"/>
      <c r="AF485" s="200"/>
      <c r="AG485" s="530"/>
      <c r="AH485" s="530"/>
      <c r="AI485" s="619"/>
      <c r="AJ485" s="530"/>
      <c r="AK485" s="200"/>
      <c r="AL485" s="530"/>
      <c r="AM485" s="530"/>
      <c r="AN485" s="619"/>
      <c r="AO485" s="431"/>
      <c r="AP485" s="530"/>
      <c r="AQ485" s="200"/>
      <c r="AR485" s="530"/>
      <c r="AS485" s="530"/>
      <c r="AT485" s="619"/>
      <c r="AU485" s="530"/>
      <c r="AV485" s="200"/>
      <c r="AW485" s="530"/>
      <c r="AX485" s="575"/>
      <c r="AY485" s="619"/>
      <c r="BA485" s="200"/>
      <c r="BC485" s="530"/>
      <c r="BE485" s="619"/>
      <c r="BF485" s="244"/>
      <c r="BG485" s="200"/>
      <c r="BH485" s="530"/>
      <c r="BJ485" s="619"/>
      <c r="BK485" s="244"/>
      <c r="BL485" s="200"/>
      <c r="BM485"/>
      <c r="BN485" s="530"/>
      <c r="BP485" s="619"/>
      <c r="BQ485" s="244"/>
      <c r="BR485" s="200"/>
      <c r="BT485" s="530"/>
      <c r="BV485" s="619"/>
      <c r="BW485" s="632"/>
      <c r="BX485" s="32"/>
      <c r="BY485" s="607"/>
      <c r="BZ485" s="602"/>
      <c r="CG485" s="200"/>
      <c r="CY485" s="734"/>
    </row>
    <row r="486" spans="2:103" ht="27" customHeight="1">
      <c r="B486" s="431"/>
      <c r="C486" s="431"/>
      <c r="D486" s="431"/>
      <c r="E486" s="431"/>
      <c r="F486" s="641"/>
      <c r="G486" s="641"/>
      <c r="H486" s="641"/>
      <c r="I486" s="734"/>
      <c r="J486" s="641"/>
      <c r="K486" s="734"/>
      <c r="L486" s="641"/>
      <c r="M486" s="734"/>
      <c r="N486" s="641"/>
      <c r="O486" s="734"/>
      <c r="P486" s="641"/>
      <c r="Q486" s="734"/>
      <c r="R486" s="734"/>
      <c r="S486" s="734"/>
      <c r="T486" s="734"/>
      <c r="U486" s="734"/>
      <c r="V486" s="484"/>
      <c r="W486" s="200"/>
      <c r="X486" s="631"/>
      <c r="Y486" s="1"/>
      <c r="Z486" s="484"/>
      <c r="AA486" s="200"/>
      <c r="AB486" s="530"/>
      <c r="AC486" s="530"/>
      <c r="AD486" s="619"/>
      <c r="AE486" s="575"/>
      <c r="AF486" s="200"/>
      <c r="AG486" s="530"/>
      <c r="AH486" s="530"/>
      <c r="AI486" s="619"/>
      <c r="AJ486" s="530"/>
      <c r="AK486" s="200"/>
      <c r="AL486" s="530"/>
      <c r="AM486" s="530"/>
      <c r="AN486" s="619"/>
      <c r="AO486" s="431"/>
      <c r="AP486" s="530"/>
      <c r="AQ486" s="200"/>
      <c r="AR486" s="530"/>
      <c r="AS486" s="530"/>
      <c r="AT486" s="619"/>
      <c r="AU486" s="530"/>
      <c r="AV486" s="200"/>
      <c r="AW486" s="530"/>
      <c r="AX486" s="575"/>
      <c r="AY486" s="619"/>
      <c r="BA486" s="200"/>
      <c r="BC486" s="530"/>
      <c r="BE486" s="619"/>
      <c r="BF486" s="244"/>
      <c r="BG486" s="200"/>
      <c r="BH486" s="530"/>
      <c r="BJ486" s="619"/>
      <c r="BK486" s="244"/>
      <c r="BL486" s="200"/>
      <c r="BM486"/>
      <c r="BN486" s="530"/>
      <c r="BP486" s="619"/>
      <c r="BQ486" s="244"/>
      <c r="BR486" s="200"/>
      <c r="BT486" s="530"/>
      <c r="BV486" s="619"/>
      <c r="BW486" s="632"/>
      <c r="BX486" s="32"/>
      <c r="BY486" s="607"/>
      <c r="BZ486" s="602"/>
      <c r="CG486" s="200"/>
      <c r="CY486" s="734"/>
    </row>
    <row r="487" spans="2:103" ht="27" customHeight="1">
      <c r="B487" s="431"/>
      <c r="C487" s="431"/>
      <c r="D487" s="431"/>
      <c r="E487" s="431"/>
      <c r="F487" s="641"/>
      <c r="G487" s="641"/>
      <c r="H487" s="641"/>
      <c r="I487" s="734"/>
      <c r="J487" s="641"/>
      <c r="K487" s="734"/>
      <c r="L487" s="641"/>
      <c r="M487" s="734"/>
      <c r="N487" s="641"/>
      <c r="O487" s="734"/>
      <c r="P487" s="641"/>
      <c r="Q487" s="734"/>
      <c r="R487" s="734"/>
      <c r="S487" s="734"/>
      <c r="T487" s="734"/>
      <c r="U487" s="734"/>
      <c r="V487" s="484"/>
      <c r="W487" s="200"/>
      <c r="X487" s="631"/>
      <c r="Y487" s="1"/>
      <c r="Z487" s="484"/>
      <c r="AA487" s="200"/>
      <c r="AB487" s="530"/>
      <c r="AC487" s="530"/>
      <c r="AD487" s="619"/>
      <c r="AE487" s="575"/>
      <c r="AF487" s="200"/>
      <c r="AG487" s="530"/>
      <c r="AH487" s="530"/>
      <c r="AI487" s="619"/>
      <c r="AJ487" s="530"/>
      <c r="AK487" s="200"/>
      <c r="AL487" s="530"/>
      <c r="AM487" s="530"/>
      <c r="AN487" s="619"/>
      <c r="AO487" s="431"/>
      <c r="AP487" s="530"/>
      <c r="AQ487" s="200"/>
      <c r="AR487" s="530"/>
      <c r="AS487" s="530"/>
      <c r="AT487" s="619"/>
      <c r="AU487" s="530"/>
      <c r="AV487" s="200"/>
      <c r="AW487" s="530"/>
      <c r="AX487" s="575"/>
      <c r="AY487" s="619"/>
      <c r="BA487" s="200"/>
      <c r="BC487" s="530"/>
      <c r="BE487" s="619"/>
      <c r="BF487" s="244"/>
      <c r="BG487" s="200"/>
      <c r="BH487" s="530"/>
      <c r="BJ487" s="619"/>
      <c r="BK487" s="244"/>
      <c r="BL487" s="200"/>
      <c r="BM487"/>
      <c r="BN487" s="530"/>
      <c r="BP487" s="619"/>
      <c r="BQ487" s="244"/>
      <c r="BR487" s="200"/>
      <c r="BT487" s="530"/>
      <c r="BV487" s="619"/>
      <c r="BW487" s="632"/>
      <c r="BX487" s="32"/>
      <c r="BY487" s="607"/>
      <c r="BZ487" s="602"/>
      <c r="CG487" s="200"/>
      <c r="CY487" s="734"/>
    </row>
    <row r="488" spans="2:103" ht="27" customHeight="1">
      <c r="B488" s="431"/>
      <c r="C488" s="431"/>
      <c r="D488" s="431"/>
      <c r="E488" s="431"/>
      <c r="F488" s="641"/>
      <c r="G488" s="641"/>
      <c r="H488" s="641"/>
      <c r="I488" s="734"/>
      <c r="J488" s="641"/>
      <c r="K488" s="734"/>
      <c r="L488" s="641"/>
      <c r="M488" s="734"/>
      <c r="N488" s="641"/>
      <c r="O488" s="734"/>
      <c r="P488" s="641"/>
      <c r="Q488" s="734"/>
      <c r="R488" s="734"/>
      <c r="S488" s="734"/>
      <c r="T488" s="734"/>
      <c r="U488" s="734"/>
      <c r="V488" s="484"/>
      <c r="W488" s="200"/>
      <c r="X488" s="631"/>
      <c r="Y488" s="1"/>
      <c r="Z488" s="484"/>
      <c r="AA488" s="200"/>
      <c r="AB488" s="530"/>
      <c r="AC488" s="530"/>
      <c r="AD488" s="619"/>
      <c r="AE488" s="575"/>
      <c r="AF488" s="200"/>
      <c r="AG488" s="530"/>
      <c r="AH488" s="530"/>
      <c r="AI488" s="619"/>
      <c r="AJ488" s="530"/>
      <c r="AK488" s="200"/>
      <c r="AL488" s="530"/>
      <c r="AM488" s="530"/>
      <c r="AN488" s="619"/>
      <c r="AO488" s="431"/>
      <c r="AP488" s="530"/>
      <c r="AQ488" s="200"/>
      <c r="AR488" s="530"/>
      <c r="AS488" s="530"/>
      <c r="AT488" s="619"/>
      <c r="AU488" s="530"/>
      <c r="AV488" s="200"/>
      <c r="AW488" s="530"/>
      <c r="AX488" s="575"/>
      <c r="AY488" s="619"/>
      <c r="BA488" s="200"/>
      <c r="BC488" s="530"/>
      <c r="BE488" s="619"/>
      <c r="BF488" s="244"/>
      <c r="BG488" s="200"/>
      <c r="BH488" s="530"/>
      <c r="BJ488" s="619"/>
      <c r="BK488" s="244"/>
      <c r="BL488" s="200"/>
      <c r="BM488"/>
      <c r="BN488" s="530"/>
      <c r="BP488" s="619"/>
      <c r="BQ488" s="244"/>
      <c r="BR488" s="200"/>
      <c r="BT488" s="530"/>
      <c r="BV488" s="619"/>
      <c r="BW488" s="632"/>
      <c r="BX488" s="32"/>
      <c r="BY488" s="607"/>
      <c r="BZ488" s="602"/>
      <c r="CG488" s="200"/>
      <c r="CY488" s="734"/>
    </row>
    <row r="489" spans="2:103" ht="27" customHeight="1">
      <c r="B489" s="431"/>
      <c r="C489" s="431"/>
      <c r="D489" s="431"/>
      <c r="E489" s="431"/>
      <c r="F489" s="641"/>
      <c r="G489" s="641"/>
      <c r="H489" s="641"/>
      <c r="I489" s="734"/>
      <c r="J489" s="641"/>
      <c r="K489" s="734"/>
      <c r="L489" s="641"/>
      <c r="M489" s="734"/>
      <c r="N489" s="641"/>
      <c r="O489" s="734"/>
      <c r="P489" s="641"/>
      <c r="Q489" s="734"/>
      <c r="R489" s="734"/>
      <c r="S489" s="734"/>
      <c r="T489" s="734"/>
      <c r="U489" s="734"/>
      <c r="V489" s="484"/>
      <c r="W489" s="200"/>
      <c r="X489" s="631"/>
      <c r="Y489" s="1"/>
      <c r="Z489" s="484"/>
      <c r="AA489" s="200"/>
      <c r="AB489" s="530"/>
      <c r="AC489" s="530"/>
      <c r="AD489" s="619"/>
      <c r="AE489" s="575"/>
      <c r="AF489" s="200"/>
      <c r="AG489" s="530"/>
      <c r="AH489" s="530"/>
      <c r="AI489" s="619"/>
      <c r="AJ489" s="530"/>
      <c r="AK489" s="200"/>
      <c r="AL489" s="530"/>
      <c r="AM489" s="530"/>
      <c r="AN489" s="619"/>
      <c r="AO489" s="431"/>
      <c r="AP489" s="530"/>
      <c r="AQ489" s="200"/>
      <c r="AR489" s="530"/>
      <c r="AS489" s="530"/>
      <c r="AT489" s="619"/>
      <c r="AU489" s="530"/>
      <c r="AV489" s="200"/>
      <c r="AW489" s="530"/>
      <c r="AX489" s="575"/>
      <c r="AY489" s="619"/>
      <c r="BA489" s="200"/>
      <c r="BC489" s="530"/>
      <c r="BE489" s="619"/>
      <c r="BF489" s="244"/>
      <c r="BG489" s="200"/>
      <c r="BH489" s="530"/>
      <c r="BJ489" s="619"/>
      <c r="BK489" s="244"/>
      <c r="BL489" s="200"/>
      <c r="BM489"/>
      <c r="BN489" s="530"/>
      <c r="BP489" s="619"/>
      <c r="BQ489" s="244"/>
      <c r="BR489" s="200"/>
      <c r="BT489" s="530"/>
      <c r="BV489" s="619"/>
      <c r="BW489" s="632"/>
      <c r="BX489" s="32"/>
      <c r="BY489" s="607"/>
      <c r="BZ489" s="602"/>
      <c r="CG489" s="200"/>
      <c r="CY489" s="734"/>
    </row>
    <row r="490" spans="2:103" ht="27" customHeight="1">
      <c r="B490" s="431"/>
      <c r="C490" s="431"/>
      <c r="D490" s="431"/>
      <c r="E490" s="431"/>
      <c r="F490" s="641"/>
      <c r="G490" s="641"/>
      <c r="H490" s="641"/>
      <c r="I490" s="734"/>
      <c r="J490" s="641"/>
      <c r="K490" s="734"/>
      <c r="L490" s="641"/>
      <c r="M490" s="734"/>
      <c r="N490" s="641"/>
      <c r="O490" s="734"/>
      <c r="P490" s="641"/>
      <c r="Q490" s="734"/>
      <c r="R490" s="734"/>
      <c r="S490" s="734"/>
      <c r="T490" s="734"/>
      <c r="U490" s="734"/>
      <c r="V490" s="484"/>
      <c r="W490" s="200"/>
      <c r="X490" s="631"/>
      <c r="Y490" s="1"/>
      <c r="Z490" s="484"/>
      <c r="AA490" s="200"/>
      <c r="AB490" s="530"/>
      <c r="AC490" s="530"/>
      <c r="AD490" s="619"/>
      <c r="AE490" s="575"/>
      <c r="AF490" s="200"/>
      <c r="AG490" s="530"/>
      <c r="AH490" s="530"/>
      <c r="AI490" s="619"/>
      <c r="AJ490" s="530"/>
      <c r="AK490" s="200"/>
      <c r="AL490" s="530"/>
      <c r="AM490" s="530"/>
      <c r="AN490" s="619"/>
      <c r="AO490" s="431"/>
      <c r="AP490" s="530"/>
      <c r="AQ490" s="200"/>
      <c r="AR490" s="530"/>
      <c r="AS490" s="530"/>
      <c r="AT490" s="619"/>
      <c r="AU490" s="530"/>
      <c r="AV490" s="200"/>
      <c r="AW490" s="530"/>
      <c r="AX490" s="575"/>
      <c r="AY490" s="619"/>
      <c r="BA490" s="200"/>
      <c r="BC490" s="530"/>
      <c r="BE490" s="619"/>
      <c r="BF490" s="244"/>
      <c r="BG490" s="200"/>
      <c r="BH490" s="530"/>
      <c r="BJ490" s="619"/>
      <c r="BK490" s="244"/>
      <c r="BL490" s="200"/>
      <c r="BM490"/>
      <c r="BN490" s="530"/>
      <c r="BP490" s="619"/>
      <c r="BQ490" s="244"/>
      <c r="BR490" s="200"/>
      <c r="BT490" s="530"/>
      <c r="BV490" s="619"/>
      <c r="BW490" s="632"/>
      <c r="BX490" s="32"/>
      <c r="BY490" s="607"/>
      <c r="BZ490" s="602"/>
      <c r="CG490" s="200"/>
      <c r="CY490" s="734"/>
    </row>
    <row r="491" spans="2:103" ht="27" customHeight="1">
      <c r="B491" s="431"/>
      <c r="C491" s="431"/>
      <c r="D491" s="431"/>
      <c r="E491" s="431"/>
      <c r="F491" s="641"/>
      <c r="G491" s="641"/>
      <c r="H491" s="641"/>
      <c r="I491" s="734"/>
      <c r="J491" s="641"/>
      <c r="K491" s="734"/>
      <c r="L491" s="641"/>
      <c r="M491" s="734"/>
      <c r="N491" s="641"/>
      <c r="O491" s="734"/>
      <c r="P491" s="641"/>
      <c r="Q491" s="734"/>
      <c r="R491" s="734"/>
      <c r="S491" s="734"/>
      <c r="T491" s="734"/>
      <c r="U491" s="734"/>
      <c r="V491" s="484"/>
      <c r="W491" s="200"/>
      <c r="X491" s="631"/>
      <c r="Y491" s="1"/>
      <c r="Z491" s="484"/>
      <c r="AA491" s="200"/>
      <c r="AB491" s="530"/>
      <c r="AC491" s="530"/>
      <c r="AD491" s="619"/>
      <c r="AE491" s="575"/>
      <c r="AF491" s="200"/>
      <c r="AG491" s="530"/>
      <c r="AH491" s="530"/>
      <c r="AI491" s="619"/>
      <c r="AJ491" s="530"/>
      <c r="AK491" s="200"/>
      <c r="AL491" s="530"/>
      <c r="AM491" s="530"/>
      <c r="AN491" s="619"/>
      <c r="AO491" s="431"/>
      <c r="AP491" s="530"/>
      <c r="AQ491" s="200"/>
      <c r="AR491" s="530"/>
      <c r="AS491" s="530"/>
      <c r="AT491" s="619"/>
      <c r="AU491" s="530"/>
      <c r="AV491" s="200"/>
      <c r="AW491" s="530"/>
      <c r="AX491" s="575"/>
      <c r="AY491" s="619"/>
      <c r="BA491" s="200"/>
      <c r="BC491" s="530"/>
      <c r="BE491" s="619"/>
      <c r="BF491" s="244"/>
      <c r="BG491" s="200"/>
      <c r="BH491" s="530"/>
      <c r="BJ491" s="619"/>
      <c r="BK491" s="244"/>
      <c r="BL491" s="200"/>
      <c r="BM491"/>
      <c r="BN491" s="530"/>
      <c r="BP491" s="619"/>
      <c r="BQ491" s="244"/>
      <c r="BR491" s="200"/>
      <c r="BT491" s="530"/>
      <c r="BV491" s="619"/>
      <c r="BW491" s="632"/>
      <c r="BX491" s="32"/>
      <c r="BY491" s="607"/>
      <c r="BZ491" s="602"/>
      <c r="CG491" s="200"/>
      <c r="CY491" s="734"/>
    </row>
    <row r="492" spans="2:103" ht="27" customHeight="1">
      <c r="B492" s="431"/>
      <c r="C492" s="431"/>
      <c r="D492" s="431"/>
      <c r="E492" s="431"/>
      <c r="F492" s="641"/>
      <c r="G492" s="641"/>
      <c r="H492" s="641"/>
      <c r="I492" s="734"/>
      <c r="J492" s="641"/>
      <c r="K492" s="734"/>
      <c r="L492" s="641"/>
      <c r="M492" s="734"/>
      <c r="N492" s="641"/>
      <c r="O492" s="734"/>
      <c r="P492" s="641"/>
      <c r="Q492" s="734"/>
      <c r="R492" s="734"/>
      <c r="S492" s="734"/>
      <c r="T492" s="734"/>
      <c r="U492" s="734"/>
      <c r="V492" s="484"/>
      <c r="W492" s="200"/>
      <c r="X492" s="631"/>
      <c r="Y492" s="1"/>
      <c r="Z492" s="484"/>
      <c r="AA492" s="200"/>
      <c r="AB492" s="530"/>
      <c r="AC492" s="530"/>
      <c r="AD492" s="619"/>
      <c r="AE492" s="575"/>
      <c r="AF492" s="200"/>
      <c r="AG492" s="530"/>
      <c r="AH492" s="530"/>
      <c r="AI492" s="619"/>
      <c r="AJ492" s="530"/>
      <c r="AK492" s="200"/>
      <c r="AL492" s="530"/>
      <c r="AM492" s="530"/>
      <c r="AN492" s="619"/>
      <c r="AO492" s="431"/>
      <c r="AP492" s="530"/>
      <c r="AQ492" s="200"/>
      <c r="AR492" s="530"/>
      <c r="AS492" s="530"/>
      <c r="AT492" s="619"/>
      <c r="AU492" s="530"/>
      <c r="AV492" s="200"/>
      <c r="AW492" s="530"/>
      <c r="AX492" s="575"/>
      <c r="AY492" s="619"/>
      <c r="BA492" s="200"/>
      <c r="BC492" s="530"/>
      <c r="BE492" s="619"/>
      <c r="BF492" s="244"/>
      <c r="BG492" s="200"/>
      <c r="BH492" s="530"/>
      <c r="BJ492" s="619"/>
      <c r="BK492" s="244"/>
      <c r="BL492" s="200"/>
      <c r="BM492"/>
      <c r="BN492" s="530"/>
      <c r="BP492" s="619"/>
      <c r="BQ492" s="244"/>
      <c r="BR492" s="200"/>
      <c r="BT492" s="530"/>
      <c r="BV492" s="619"/>
      <c r="BW492" s="632"/>
      <c r="BX492" s="32"/>
      <c r="BY492" s="607"/>
      <c r="BZ492" s="602"/>
      <c r="CG492" s="200"/>
      <c r="CY492" s="734"/>
    </row>
    <row r="493" spans="2:103" ht="27" customHeight="1">
      <c r="B493" s="431"/>
      <c r="C493" s="431"/>
      <c r="D493" s="431"/>
      <c r="E493" s="431"/>
      <c r="F493" s="641"/>
      <c r="G493" s="641"/>
      <c r="H493" s="641"/>
      <c r="I493" s="734"/>
      <c r="J493" s="641"/>
      <c r="K493" s="734"/>
      <c r="L493" s="641"/>
      <c r="M493" s="734"/>
      <c r="N493" s="641"/>
      <c r="O493" s="734"/>
      <c r="P493" s="641"/>
      <c r="Q493" s="734"/>
      <c r="R493" s="734"/>
      <c r="S493" s="734"/>
      <c r="T493" s="734"/>
      <c r="U493" s="734"/>
      <c r="V493" s="484"/>
      <c r="W493" s="200"/>
      <c r="X493" s="631"/>
      <c r="Y493" s="1"/>
      <c r="Z493" s="484"/>
      <c r="AA493" s="200"/>
      <c r="AB493" s="530"/>
      <c r="AC493" s="530"/>
      <c r="AD493" s="619"/>
      <c r="AE493" s="575"/>
      <c r="AF493" s="200"/>
      <c r="AG493" s="530"/>
      <c r="AH493" s="530"/>
      <c r="AI493" s="619"/>
      <c r="AJ493" s="530"/>
      <c r="AK493" s="200"/>
      <c r="AL493" s="530"/>
      <c r="AM493" s="530"/>
      <c r="AN493" s="619"/>
      <c r="AO493" s="431"/>
      <c r="AP493" s="530"/>
      <c r="AQ493" s="200"/>
      <c r="AR493" s="530"/>
      <c r="AS493" s="530"/>
      <c r="AT493" s="619"/>
      <c r="AU493" s="530"/>
      <c r="AV493" s="200"/>
      <c r="AW493" s="530"/>
      <c r="AX493" s="575"/>
      <c r="AY493" s="619"/>
      <c r="BA493" s="200"/>
      <c r="BC493" s="530"/>
      <c r="BE493" s="619"/>
      <c r="BF493" s="244"/>
      <c r="BG493" s="200"/>
      <c r="BH493" s="530"/>
      <c r="BJ493" s="619"/>
      <c r="BK493" s="244"/>
      <c r="BL493" s="200"/>
      <c r="BM493"/>
      <c r="BN493" s="530"/>
      <c r="BP493" s="619"/>
      <c r="BQ493" s="244"/>
      <c r="BR493" s="200"/>
      <c r="BT493" s="530"/>
      <c r="BV493" s="619"/>
      <c r="BW493" s="632"/>
      <c r="BX493" s="32"/>
      <c r="BY493" s="607"/>
      <c r="BZ493" s="602"/>
      <c r="CG493" s="200"/>
      <c r="CY493" s="734"/>
    </row>
    <row r="494" spans="2:103" ht="27" customHeight="1">
      <c r="B494" s="431"/>
      <c r="C494" s="431"/>
      <c r="D494" s="431"/>
      <c r="E494" s="431"/>
      <c r="F494" s="641"/>
      <c r="G494" s="641"/>
      <c r="H494" s="641"/>
      <c r="I494" s="734"/>
      <c r="J494" s="641"/>
      <c r="K494" s="734"/>
      <c r="L494" s="641"/>
      <c r="M494" s="734"/>
      <c r="N494" s="641"/>
      <c r="O494" s="734"/>
      <c r="P494" s="641"/>
      <c r="Q494" s="734"/>
      <c r="R494" s="734"/>
      <c r="S494" s="734"/>
      <c r="T494" s="734"/>
      <c r="U494" s="734"/>
      <c r="V494" s="484"/>
      <c r="W494" s="200"/>
      <c r="X494" s="631"/>
      <c r="Y494" s="1"/>
      <c r="Z494" s="484"/>
      <c r="AA494" s="200"/>
      <c r="AB494" s="530"/>
      <c r="AC494" s="530"/>
      <c r="AD494" s="619"/>
      <c r="AE494" s="575"/>
      <c r="AF494" s="200"/>
      <c r="AG494" s="530"/>
      <c r="AH494" s="530"/>
      <c r="AI494" s="619"/>
      <c r="AJ494" s="530"/>
      <c r="AK494" s="200"/>
      <c r="AL494" s="530"/>
      <c r="AM494" s="530"/>
      <c r="AN494" s="619"/>
      <c r="AO494" s="431"/>
      <c r="AP494" s="530"/>
      <c r="AQ494" s="200"/>
      <c r="AR494" s="530"/>
      <c r="AS494" s="530"/>
      <c r="AT494" s="619"/>
      <c r="AU494" s="530"/>
      <c r="AV494" s="200"/>
      <c r="AW494" s="530"/>
      <c r="AX494" s="575"/>
      <c r="AY494" s="619"/>
      <c r="BA494" s="200"/>
      <c r="BC494" s="530"/>
      <c r="BE494" s="619"/>
      <c r="BF494" s="244"/>
      <c r="BG494" s="200"/>
      <c r="BH494" s="530"/>
      <c r="BJ494" s="619"/>
      <c r="BK494" s="244"/>
      <c r="BL494" s="200"/>
      <c r="BM494"/>
      <c r="BN494" s="530"/>
      <c r="BP494" s="619"/>
      <c r="BQ494" s="244"/>
      <c r="BR494" s="200"/>
      <c r="BT494" s="530"/>
      <c r="BV494" s="619"/>
      <c r="BW494" s="632"/>
      <c r="BX494" s="32"/>
      <c r="BY494" s="607"/>
      <c r="BZ494" s="602"/>
      <c r="CG494" s="200"/>
      <c r="CY494" s="734"/>
    </row>
    <row r="495" spans="2:103" ht="27" customHeight="1">
      <c r="B495" s="431"/>
      <c r="C495" s="431"/>
      <c r="D495" s="431"/>
      <c r="E495" s="431"/>
      <c r="F495" s="641"/>
      <c r="G495" s="641"/>
      <c r="H495" s="641"/>
      <c r="I495" s="734"/>
      <c r="J495" s="641"/>
      <c r="K495" s="734"/>
      <c r="L495" s="641"/>
      <c r="M495" s="734"/>
      <c r="N495" s="641"/>
      <c r="O495" s="734"/>
      <c r="P495" s="641"/>
      <c r="Q495" s="734"/>
      <c r="R495" s="734"/>
      <c r="S495" s="734"/>
      <c r="T495" s="734"/>
      <c r="U495" s="734"/>
      <c r="V495" s="484"/>
      <c r="W495" s="200"/>
      <c r="X495" s="631"/>
      <c r="Y495" s="1"/>
      <c r="Z495" s="484"/>
      <c r="AA495" s="200"/>
      <c r="AB495" s="530"/>
      <c r="AC495" s="530"/>
      <c r="AD495" s="619"/>
      <c r="AE495" s="575"/>
      <c r="AF495" s="200"/>
      <c r="AG495" s="530"/>
      <c r="AH495" s="530"/>
      <c r="AI495" s="619"/>
      <c r="AJ495" s="530"/>
      <c r="AK495" s="200"/>
      <c r="AL495" s="530"/>
      <c r="AM495" s="530"/>
      <c r="AN495" s="619"/>
      <c r="AO495" s="431"/>
      <c r="AP495" s="530"/>
      <c r="AQ495" s="200"/>
      <c r="AR495" s="530"/>
      <c r="AS495" s="530"/>
      <c r="AT495" s="619"/>
      <c r="AU495" s="530"/>
      <c r="AV495" s="200"/>
      <c r="AW495" s="530"/>
      <c r="AX495" s="575"/>
      <c r="AY495" s="619"/>
      <c r="BA495" s="200"/>
      <c r="BC495" s="530"/>
      <c r="BE495" s="619"/>
      <c r="BF495" s="244"/>
      <c r="BG495" s="200"/>
      <c r="BH495" s="530"/>
      <c r="BJ495" s="619"/>
      <c r="BK495" s="244"/>
      <c r="BL495" s="200"/>
      <c r="BM495"/>
      <c r="BN495" s="530"/>
      <c r="BP495" s="619"/>
      <c r="BQ495" s="244"/>
      <c r="BR495" s="200"/>
      <c r="BT495" s="530"/>
      <c r="BV495" s="619"/>
      <c r="BW495" s="632"/>
      <c r="BX495" s="32"/>
      <c r="BY495" s="607"/>
      <c r="BZ495" s="602"/>
      <c r="CG495" s="200"/>
      <c r="CY495" s="734"/>
    </row>
    <row r="496" spans="2:103" ht="27" customHeight="1">
      <c r="B496" s="431"/>
      <c r="C496" s="431"/>
      <c r="D496" s="431"/>
      <c r="E496" s="431"/>
      <c r="F496" s="641"/>
      <c r="G496" s="641"/>
      <c r="H496" s="641"/>
      <c r="I496" s="734"/>
      <c r="J496" s="641"/>
      <c r="K496" s="734"/>
      <c r="L496" s="641"/>
      <c r="M496" s="734"/>
      <c r="N496" s="641"/>
      <c r="O496" s="734"/>
      <c r="P496" s="641"/>
      <c r="Q496" s="734"/>
      <c r="R496" s="734"/>
      <c r="S496" s="734"/>
      <c r="T496" s="734"/>
      <c r="U496" s="734"/>
      <c r="V496" s="484"/>
      <c r="W496" s="200"/>
      <c r="X496" s="631"/>
      <c r="Y496" s="1"/>
      <c r="Z496" s="484"/>
      <c r="AA496" s="200"/>
      <c r="AB496" s="530"/>
      <c r="AC496" s="530"/>
      <c r="AD496" s="619"/>
      <c r="AE496" s="575"/>
      <c r="AF496" s="200"/>
      <c r="AG496" s="530"/>
      <c r="AH496" s="530"/>
      <c r="AI496" s="619"/>
      <c r="AJ496" s="530"/>
      <c r="AK496" s="200"/>
      <c r="AL496" s="530"/>
      <c r="AM496" s="530"/>
      <c r="AN496" s="619"/>
      <c r="AO496" s="431"/>
      <c r="AP496" s="530"/>
      <c r="AQ496" s="200"/>
      <c r="AR496" s="530"/>
      <c r="AS496" s="530"/>
      <c r="AT496" s="619"/>
      <c r="AU496" s="530"/>
      <c r="AV496" s="200"/>
      <c r="AW496" s="530"/>
      <c r="AX496" s="575"/>
      <c r="AY496" s="619"/>
      <c r="BA496" s="200"/>
      <c r="BC496" s="530"/>
      <c r="BE496" s="619"/>
      <c r="BF496" s="244"/>
      <c r="BG496" s="200"/>
      <c r="BH496" s="530"/>
      <c r="BJ496" s="619"/>
      <c r="BK496" s="244"/>
      <c r="BL496" s="200"/>
      <c r="BM496"/>
      <c r="BN496" s="530"/>
      <c r="BP496" s="619"/>
      <c r="BQ496" s="244"/>
      <c r="BR496" s="200"/>
      <c r="BT496" s="530"/>
      <c r="BV496" s="619"/>
      <c r="BW496" s="632"/>
      <c r="BX496" s="32"/>
      <c r="BY496" s="607"/>
      <c r="BZ496" s="602"/>
      <c r="CG496" s="200"/>
      <c r="CY496" s="734"/>
    </row>
    <row r="497" spans="2:103" ht="27" customHeight="1">
      <c r="B497" s="431"/>
      <c r="C497" s="431"/>
      <c r="D497" s="431"/>
      <c r="E497" s="431"/>
      <c r="F497" s="641"/>
      <c r="G497" s="641"/>
      <c r="H497" s="641"/>
      <c r="I497" s="734"/>
      <c r="J497" s="641"/>
      <c r="K497" s="734"/>
      <c r="L497" s="641"/>
      <c r="M497" s="734"/>
      <c r="N497" s="641"/>
      <c r="O497" s="734"/>
      <c r="P497" s="641"/>
      <c r="Q497" s="734"/>
      <c r="R497" s="734"/>
      <c r="S497" s="734"/>
      <c r="T497" s="734"/>
      <c r="U497" s="734"/>
      <c r="V497" s="484"/>
      <c r="W497" s="200"/>
      <c r="X497" s="631"/>
      <c r="Y497" s="1"/>
      <c r="Z497" s="484"/>
      <c r="AA497" s="200"/>
      <c r="AB497" s="530"/>
      <c r="AC497" s="530"/>
      <c r="AD497" s="619"/>
      <c r="AE497" s="575"/>
      <c r="AF497" s="200"/>
      <c r="AG497" s="530"/>
      <c r="AH497" s="530"/>
      <c r="AI497" s="619"/>
      <c r="AJ497" s="530"/>
      <c r="AK497" s="200"/>
      <c r="AL497" s="530"/>
      <c r="AM497" s="530"/>
      <c r="AN497" s="619"/>
      <c r="AO497" s="431"/>
      <c r="AP497" s="530"/>
      <c r="AQ497" s="200"/>
      <c r="AR497" s="530"/>
      <c r="AS497" s="530"/>
      <c r="AT497" s="619"/>
      <c r="AU497" s="530"/>
      <c r="AV497" s="200"/>
      <c r="AW497" s="530"/>
      <c r="AX497" s="575"/>
      <c r="AY497" s="619"/>
      <c r="BA497" s="200"/>
      <c r="BC497" s="530"/>
      <c r="BE497" s="619"/>
      <c r="BF497" s="244"/>
      <c r="BG497" s="200"/>
      <c r="BH497" s="530"/>
      <c r="BJ497" s="619"/>
      <c r="BK497" s="244"/>
      <c r="BL497" s="200"/>
      <c r="BM497"/>
      <c r="BN497" s="530"/>
      <c r="BP497" s="619"/>
      <c r="BQ497" s="244"/>
      <c r="BR497" s="200"/>
      <c r="BT497" s="530"/>
      <c r="BV497" s="619"/>
      <c r="BW497" s="632"/>
      <c r="BX497" s="32"/>
      <c r="BY497" s="607"/>
      <c r="BZ497" s="602"/>
      <c r="CG497" s="200"/>
      <c r="CY497" s="734"/>
    </row>
    <row r="498" spans="2:103" ht="27" customHeight="1">
      <c r="B498" s="431"/>
      <c r="C498" s="431"/>
      <c r="D498" s="431"/>
      <c r="E498" s="431"/>
      <c r="F498" s="641"/>
      <c r="G498" s="641"/>
      <c r="H498" s="641"/>
      <c r="I498" s="734"/>
      <c r="J498" s="641"/>
      <c r="K498" s="734"/>
      <c r="L498" s="641"/>
      <c r="M498" s="734"/>
      <c r="N498" s="641"/>
      <c r="O498" s="734"/>
      <c r="P498" s="641"/>
      <c r="Q498" s="734"/>
      <c r="R498" s="734"/>
      <c r="S498" s="734"/>
      <c r="T498" s="734"/>
      <c r="U498" s="734"/>
      <c r="V498" s="484"/>
      <c r="W498" s="200"/>
      <c r="X498" s="631"/>
      <c r="Y498" s="1"/>
      <c r="Z498" s="484"/>
      <c r="AA498" s="200"/>
      <c r="AB498" s="530"/>
      <c r="AC498" s="530"/>
      <c r="AD498" s="619"/>
      <c r="AE498" s="575"/>
      <c r="AF498" s="200"/>
      <c r="AG498" s="530"/>
      <c r="AH498" s="530"/>
      <c r="AI498" s="619"/>
      <c r="AJ498" s="530"/>
      <c r="AK498" s="200"/>
      <c r="AL498" s="530"/>
      <c r="AM498" s="530"/>
      <c r="AN498" s="619"/>
      <c r="AO498" s="431"/>
      <c r="AP498" s="530"/>
      <c r="AQ498" s="200"/>
      <c r="AR498" s="530"/>
      <c r="AS498" s="530"/>
      <c r="AT498" s="619"/>
      <c r="AU498" s="530"/>
      <c r="AV498" s="200"/>
      <c r="AW498" s="530"/>
      <c r="AX498" s="575"/>
      <c r="AY498" s="619"/>
      <c r="BA498" s="200"/>
      <c r="BC498" s="530"/>
      <c r="BE498" s="619"/>
      <c r="BF498" s="244"/>
      <c r="BG498" s="200"/>
      <c r="BH498" s="530"/>
      <c r="BJ498" s="619"/>
      <c r="BK498" s="244"/>
      <c r="BL498" s="200"/>
      <c r="BM498"/>
      <c r="BN498" s="530"/>
      <c r="BP498" s="619"/>
      <c r="BQ498" s="244"/>
      <c r="BR498" s="200"/>
      <c r="BT498" s="530"/>
      <c r="BV498" s="619"/>
      <c r="BW498" s="632"/>
      <c r="BX498" s="32"/>
      <c r="BY498" s="607"/>
      <c r="BZ498" s="602"/>
      <c r="CG498" s="200"/>
      <c r="CY498" s="734"/>
    </row>
    <row r="499" spans="2:103" ht="27" customHeight="1">
      <c r="B499" s="431"/>
      <c r="C499" s="431"/>
      <c r="D499" s="431"/>
      <c r="E499" s="431"/>
      <c r="F499" s="641"/>
      <c r="G499" s="641"/>
      <c r="H499" s="641"/>
      <c r="I499" s="734"/>
      <c r="J499" s="641"/>
      <c r="K499" s="734"/>
      <c r="L499" s="641"/>
      <c r="M499" s="734"/>
      <c r="N499" s="641"/>
      <c r="O499" s="734"/>
      <c r="P499" s="641"/>
      <c r="Q499" s="734"/>
      <c r="R499" s="734"/>
      <c r="S499" s="734"/>
      <c r="T499" s="734"/>
      <c r="U499" s="734"/>
      <c r="V499" s="484"/>
      <c r="W499" s="200"/>
      <c r="X499" s="631"/>
      <c r="Y499" s="1"/>
      <c r="Z499" s="484"/>
      <c r="AA499" s="200"/>
      <c r="AB499" s="530"/>
      <c r="AC499" s="530"/>
      <c r="AD499" s="619"/>
      <c r="AE499" s="575"/>
      <c r="AF499" s="200"/>
      <c r="AG499" s="530"/>
      <c r="AH499" s="530"/>
      <c r="AI499" s="619"/>
      <c r="AJ499" s="530"/>
      <c r="AK499" s="200"/>
      <c r="AL499" s="530"/>
      <c r="AM499" s="530"/>
      <c r="AN499" s="619"/>
      <c r="AO499" s="431"/>
      <c r="AP499" s="530"/>
      <c r="AQ499" s="200"/>
      <c r="AR499" s="530"/>
      <c r="AS499" s="530"/>
      <c r="AT499" s="619"/>
      <c r="AU499" s="530"/>
      <c r="AV499" s="200"/>
      <c r="AW499" s="530"/>
      <c r="AX499" s="575"/>
      <c r="AY499" s="619"/>
      <c r="BA499" s="200"/>
      <c r="BC499" s="530"/>
      <c r="BE499" s="619"/>
      <c r="BF499" s="244"/>
      <c r="BG499" s="200"/>
      <c r="BH499" s="530"/>
      <c r="BJ499" s="619"/>
      <c r="BK499" s="244"/>
      <c r="BL499" s="200"/>
      <c r="BM499"/>
      <c r="BN499" s="530"/>
      <c r="BP499" s="619"/>
      <c r="BQ499" s="244"/>
      <c r="BR499" s="200"/>
      <c r="BT499" s="530"/>
      <c r="BV499" s="619"/>
      <c r="BW499" s="632"/>
      <c r="BX499" s="32"/>
      <c r="BY499" s="607"/>
      <c r="BZ499" s="602"/>
      <c r="CG499" s="200"/>
      <c r="CY499" s="734"/>
    </row>
    <row r="500" spans="2:103" ht="27" customHeight="1">
      <c r="B500" s="431"/>
      <c r="C500" s="431"/>
      <c r="D500" s="431"/>
      <c r="E500" s="431"/>
      <c r="F500" s="641"/>
      <c r="G500" s="641"/>
      <c r="H500" s="641"/>
      <c r="I500" s="734"/>
      <c r="J500" s="641"/>
      <c r="K500" s="734"/>
      <c r="L500" s="641"/>
      <c r="M500" s="734"/>
      <c r="N500" s="641"/>
      <c r="O500" s="734"/>
      <c r="P500" s="641"/>
      <c r="Q500" s="734"/>
      <c r="R500" s="734"/>
      <c r="S500" s="734"/>
      <c r="T500" s="734"/>
      <c r="U500" s="734"/>
      <c r="V500" s="484"/>
      <c r="W500" s="200"/>
      <c r="X500" s="631"/>
      <c r="Y500" s="1"/>
      <c r="Z500" s="484"/>
      <c r="AA500" s="200"/>
      <c r="AB500" s="530"/>
      <c r="AC500" s="530"/>
      <c r="AD500" s="619"/>
      <c r="AE500" s="575"/>
      <c r="AF500" s="200"/>
      <c r="AG500" s="530"/>
      <c r="AH500" s="530"/>
      <c r="AI500" s="619"/>
      <c r="AJ500" s="530"/>
      <c r="AK500" s="200"/>
      <c r="AL500" s="530"/>
      <c r="AM500" s="530"/>
      <c r="AN500" s="619"/>
      <c r="AO500" s="431"/>
      <c r="AP500" s="530"/>
      <c r="AQ500" s="200"/>
      <c r="AR500" s="530"/>
      <c r="AS500" s="530"/>
      <c r="AT500" s="619"/>
      <c r="AU500" s="530"/>
      <c r="AV500" s="200"/>
      <c r="AW500" s="530"/>
      <c r="AX500" s="575"/>
      <c r="AY500" s="619"/>
      <c r="BA500" s="200"/>
      <c r="BC500" s="530"/>
      <c r="BE500" s="619"/>
      <c r="BF500" s="244"/>
      <c r="BG500" s="200"/>
      <c r="BH500" s="530"/>
      <c r="BJ500" s="619"/>
      <c r="BK500" s="244"/>
      <c r="BL500" s="200"/>
      <c r="BM500"/>
      <c r="BN500" s="530"/>
      <c r="BP500" s="619"/>
      <c r="BQ500" s="244"/>
      <c r="BR500" s="200"/>
      <c r="BT500" s="530"/>
      <c r="BV500" s="619"/>
      <c r="BW500" s="632"/>
      <c r="BX500" s="32"/>
      <c r="BY500" s="607"/>
      <c r="BZ500" s="602"/>
      <c r="CG500" s="200"/>
      <c r="CY500" s="734"/>
    </row>
    <row r="501" spans="2:103" ht="27" customHeight="1">
      <c r="B501" s="431"/>
      <c r="C501" s="431"/>
      <c r="D501" s="431"/>
      <c r="E501" s="431"/>
      <c r="F501" s="641"/>
      <c r="G501" s="641"/>
      <c r="H501" s="641"/>
      <c r="I501" s="734"/>
      <c r="J501" s="641"/>
      <c r="K501" s="734"/>
      <c r="L501" s="641"/>
      <c r="M501" s="734"/>
      <c r="N501" s="641"/>
      <c r="O501" s="734"/>
      <c r="P501" s="641"/>
      <c r="Q501" s="734"/>
      <c r="R501" s="734"/>
      <c r="S501" s="734"/>
      <c r="T501" s="734"/>
      <c r="U501" s="734"/>
      <c r="V501" s="484"/>
      <c r="W501" s="200"/>
      <c r="X501" s="631"/>
      <c r="Y501" s="1"/>
      <c r="Z501" s="484"/>
      <c r="AA501" s="200"/>
      <c r="AB501" s="530"/>
      <c r="AC501" s="530"/>
      <c r="AD501" s="619"/>
      <c r="AE501" s="575"/>
      <c r="AF501" s="200"/>
      <c r="AG501" s="530"/>
      <c r="AH501" s="530"/>
      <c r="AI501" s="619"/>
      <c r="AJ501" s="530"/>
      <c r="AK501" s="200"/>
      <c r="AL501" s="530"/>
      <c r="AM501" s="530"/>
      <c r="AN501" s="619"/>
      <c r="AO501" s="431"/>
      <c r="AP501" s="530"/>
      <c r="AQ501" s="200"/>
      <c r="AR501" s="530"/>
      <c r="AS501" s="530"/>
      <c r="AT501" s="619"/>
      <c r="AU501" s="530"/>
      <c r="AV501" s="200"/>
      <c r="AW501" s="530"/>
      <c r="AX501" s="575"/>
      <c r="AY501" s="619"/>
      <c r="BA501" s="200"/>
      <c r="BC501" s="530"/>
      <c r="BE501" s="619"/>
      <c r="BF501" s="244"/>
      <c r="BG501" s="200"/>
      <c r="BH501" s="530"/>
      <c r="BJ501" s="619"/>
      <c r="BK501" s="244"/>
      <c r="BL501" s="200"/>
      <c r="BM501"/>
      <c r="BN501" s="530"/>
      <c r="BP501" s="619"/>
      <c r="BQ501" s="244"/>
      <c r="BR501" s="200"/>
      <c r="BT501" s="530"/>
      <c r="BV501" s="619"/>
      <c r="BW501" s="632"/>
      <c r="BX501" s="32"/>
      <c r="BY501" s="607"/>
      <c r="BZ501" s="602"/>
      <c r="CG501" s="200"/>
      <c r="CY501" s="734"/>
    </row>
    <row r="502" spans="2:103" ht="27" customHeight="1">
      <c r="B502" s="431"/>
      <c r="C502" s="431"/>
      <c r="D502" s="431"/>
      <c r="E502" s="431"/>
      <c r="F502" s="641"/>
      <c r="G502" s="641"/>
      <c r="H502" s="641"/>
      <c r="I502" s="734"/>
      <c r="J502" s="641"/>
      <c r="K502" s="734"/>
      <c r="L502" s="641"/>
      <c r="M502" s="734"/>
      <c r="N502" s="641"/>
      <c r="O502" s="734"/>
      <c r="P502" s="641"/>
      <c r="Q502" s="734"/>
      <c r="R502" s="734"/>
      <c r="S502" s="734"/>
      <c r="T502" s="734"/>
      <c r="U502" s="734"/>
      <c r="V502" s="484"/>
      <c r="W502" s="200"/>
      <c r="X502" s="631"/>
      <c r="Y502" s="1"/>
      <c r="Z502" s="484"/>
      <c r="AA502" s="200"/>
      <c r="AB502" s="530"/>
      <c r="AC502" s="530"/>
      <c r="AD502" s="619"/>
      <c r="AE502" s="575"/>
      <c r="AF502" s="200"/>
      <c r="AG502" s="530"/>
      <c r="AH502" s="530"/>
      <c r="AI502" s="619"/>
      <c r="AJ502" s="530"/>
      <c r="AK502" s="200"/>
      <c r="AL502" s="530"/>
      <c r="AM502" s="530"/>
      <c r="AN502" s="619"/>
      <c r="AO502" s="431"/>
      <c r="AP502" s="530"/>
      <c r="AQ502" s="200"/>
      <c r="AR502" s="530"/>
      <c r="AS502" s="530"/>
      <c r="AT502" s="619"/>
      <c r="AU502" s="530"/>
      <c r="AV502" s="200"/>
      <c r="AW502" s="530"/>
      <c r="AX502" s="575"/>
      <c r="AY502" s="619"/>
      <c r="BA502" s="200"/>
      <c r="BC502" s="530"/>
      <c r="BE502" s="619"/>
      <c r="BF502" s="244"/>
      <c r="BG502" s="200"/>
      <c r="BH502" s="530"/>
      <c r="BJ502" s="619"/>
      <c r="BK502" s="244"/>
      <c r="BL502" s="200"/>
      <c r="BM502"/>
      <c r="BN502" s="530"/>
      <c r="BP502" s="619"/>
      <c r="BQ502" s="244"/>
      <c r="BR502" s="200"/>
      <c r="BT502" s="530"/>
      <c r="BV502" s="619"/>
      <c r="BW502" s="632"/>
      <c r="BX502" s="32"/>
      <c r="BY502" s="607"/>
      <c r="BZ502" s="602"/>
      <c r="CG502" s="200"/>
      <c r="CY502" s="734"/>
    </row>
    <row r="503" spans="2:103" ht="27" customHeight="1">
      <c r="B503" s="431"/>
      <c r="C503" s="431"/>
      <c r="D503" s="431"/>
      <c r="E503" s="431"/>
      <c r="F503" s="641"/>
      <c r="G503" s="641"/>
      <c r="H503" s="641"/>
      <c r="I503" s="734"/>
      <c r="J503" s="641"/>
      <c r="K503" s="734"/>
      <c r="L503" s="641"/>
      <c r="M503" s="734"/>
      <c r="N503" s="641"/>
      <c r="O503" s="734"/>
      <c r="P503" s="641"/>
      <c r="Q503" s="734"/>
      <c r="R503" s="734"/>
      <c r="S503" s="734"/>
      <c r="T503" s="734"/>
      <c r="U503" s="734"/>
      <c r="V503" s="484"/>
      <c r="W503" s="200"/>
      <c r="X503" s="631"/>
      <c r="Y503" s="1"/>
      <c r="Z503" s="484"/>
      <c r="AA503" s="200"/>
      <c r="AB503" s="530"/>
      <c r="AC503" s="530"/>
      <c r="AD503" s="619"/>
      <c r="AE503" s="575"/>
      <c r="AF503" s="200"/>
      <c r="AG503" s="530"/>
      <c r="AH503" s="530"/>
      <c r="AI503" s="619"/>
      <c r="AJ503" s="530"/>
      <c r="AK503" s="200"/>
      <c r="AL503" s="530"/>
      <c r="AM503" s="530"/>
      <c r="AN503" s="619"/>
      <c r="AO503" s="431"/>
      <c r="AP503" s="530"/>
      <c r="AQ503" s="200"/>
      <c r="AR503" s="530"/>
      <c r="AS503" s="530"/>
      <c r="AT503" s="619"/>
      <c r="AU503" s="530"/>
      <c r="AV503" s="200"/>
      <c r="AW503" s="530"/>
      <c r="AX503" s="575"/>
      <c r="AY503" s="619"/>
      <c r="BA503" s="200"/>
      <c r="BC503" s="530"/>
      <c r="BE503" s="619"/>
      <c r="BF503" s="244"/>
      <c r="BG503" s="200"/>
      <c r="BH503" s="530"/>
      <c r="BJ503" s="619"/>
      <c r="BK503" s="244"/>
      <c r="BL503" s="200"/>
      <c r="BM503"/>
      <c r="BN503" s="530"/>
      <c r="BP503" s="619"/>
      <c r="BQ503" s="244"/>
      <c r="BR503" s="200"/>
      <c r="BT503" s="530"/>
      <c r="BV503" s="619"/>
      <c r="BW503" s="632"/>
      <c r="BX503" s="32"/>
      <c r="BY503" s="607"/>
      <c r="BZ503" s="602"/>
      <c r="CG503" s="200"/>
      <c r="CY503" s="734"/>
    </row>
    <row r="504" spans="2:103" ht="27" customHeight="1">
      <c r="B504" s="431"/>
      <c r="C504" s="431"/>
      <c r="D504" s="431"/>
      <c r="E504" s="431"/>
      <c r="F504" s="641"/>
      <c r="G504" s="641"/>
      <c r="H504" s="641"/>
      <c r="I504" s="734"/>
      <c r="J504" s="641"/>
      <c r="K504" s="734"/>
      <c r="L504" s="641"/>
      <c r="M504" s="734"/>
      <c r="N504" s="641"/>
      <c r="O504" s="734"/>
      <c r="P504" s="641"/>
      <c r="Q504" s="734"/>
      <c r="R504" s="734"/>
      <c r="S504" s="734"/>
      <c r="T504" s="734"/>
      <c r="U504" s="734"/>
      <c r="V504" s="484"/>
      <c r="W504" s="200"/>
      <c r="X504" s="631"/>
      <c r="Y504" s="1"/>
      <c r="Z504" s="484"/>
      <c r="AA504" s="200"/>
      <c r="AB504" s="530"/>
      <c r="AC504" s="530"/>
      <c r="AD504" s="619"/>
      <c r="AE504" s="575"/>
      <c r="AF504" s="200"/>
      <c r="AG504" s="530"/>
      <c r="AH504" s="530"/>
      <c r="AI504" s="619"/>
      <c r="AJ504" s="530"/>
      <c r="AK504" s="200"/>
      <c r="AL504" s="530"/>
      <c r="AM504" s="530"/>
      <c r="AN504" s="619"/>
      <c r="AO504" s="431"/>
      <c r="AP504" s="530"/>
      <c r="AQ504" s="200"/>
      <c r="AR504" s="530"/>
      <c r="AS504" s="530"/>
      <c r="AT504" s="619"/>
      <c r="AU504" s="530"/>
      <c r="AV504" s="200"/>
      <c r="AW504" s="530"/>
      <c r="AX504" s="575"/>
      <c r="AY504" s="619"/>
      <c r="BA504" s="200"/>
      <c r="BC504" s="530"/>
      <c r="BE504" s="619"/>
      <c r="BF504" s="244"/>
      <c r="BG504" s="200"/>
      <c r="BH504" s="530"/>
      <c r="BJ504" s="619"/>
      <c r="BK504" s="244"/>
      <c r="BL504" s="200"/>
      <c r="BM504"/>
      <c r="BN504" s="530"/>
      <c r="BP504" s="619"/>
      <c r="BQ504" s="244"/>
      <c r="BR504" s="200"/>
      <c r="BT504" s="530"/>
      <c r="BV504" s="619"/>
      <c r="BW504" s="632"/>
      <c r="BX504" s="32"/>
      <c r="BY504" s="607"/>
      <c r="BZ504" s="602"/>
      <c r="CG504" s="200"/>
      <c r="CY504" s="734"/>
    </row>
    <row r="505" spans="2:103" ht="27" customHeight="1">
      <c r="B505" s="431"/>
      <c r="C505" s="431"/>
      <c r="D505" s="431"/>
      <c r="E505" s="431"/>
      <c r="F505" s="641"/>
      <c r="G505" s="641"/>
      <c r="H505" s="641"/>
      <c r="I505" s="734"/>
      <c r="J505" s="641"/>
      <c r="K505" s="734"/>
      <c r="L505" s="641"/>
      <c r="M505" s="734"/>
      <c r="N505" s="641"/>
      <c r="O505" s="734"/>
      <c r="P505" s="641"/>
      <c r="Q505" s="734"/>
      <c r="R505" s="734"/>
      <c r="S505" s="734"/>
      <c r="T505" s="734"/>
      <c r="U505" s="734"/>
      <c r="V505" s="484"/>
      <c r="W505" s="200"/>
      <c r="X505" s="631"/>
      <c r="Y505" s="1"/>
      <c r="Z505" s="484"/>
      <c r="AA505" s="200"/>
      <c r="AB505" s="530"/>
      <c r="AC505" s="530"/>
      <c r="AD505" s="619"/>
      <c r="AE505" s="575"/>
      <c r="AF505" s="200"/>
      <c r="AG505" s="530"/>
      <c r="AH505" s="530"/>
      <c r="AI505" s="619"/>
      <c r="AJ505" s="530"/>
      <c r="AK505" s="200"/>
      <c r="AL505" s="530"/>
      <c r="AM505" s="530"/>
      <c r="AN505" s="619"/>
      <c r="AO505" s="431"/>
      <c r="AP505" s="530"/>
      <c r="AQ505" s="200"/>
      <c r="AR505" s="530"/>
      <c r="AS505" s="530"/>
      <c r="AT505" s="619"/>
      <c r="AU505" s="530"/>
      <c r="AV505" s="200"/>
      <c r="AW505" s="530"/>
      <c r="AX505" s="575"/>
      <c r="AY505" s="619"/>
      <c r="BA505" s="200"/>
      <c r="BC505" s="530"/>
      <c r="BE505" s="619"/>
      <c r="BF505" s="244"/>
      <c r="BG505" s="200"/>
      <c r="BH505" s="530"/>
      <c r="BJ505" s="619"/>
      <c r="BK505" s="244"/>
      <c r="BL505" s="200"/>
      <c r="BM505"/>
      <c r="BN505" s="530"/>
      <c r="BP505" s="619"/>
      <c r="BQ505" s="244"/>
      <c r="BR505" s="200"/>
      <c r="BT505" s="530"/>
      <c r="BV505" s="619"/>
      <c r="BW505" s="632"/>
      <c r="BX505" s="32"/>
      <c r="BY505" s="607"/>
      <c r="BZ505" s="602"/>
      <c r="CG505" s="200"/>
      <c r="CY505" s="734"/>
    </row>
    <row r="506" spans="2:103" ht="27" customHeight="1">
      <c r="B506" s="431"/>
      <c r="C506" s="431"/>
      <c r="D506" s="431"/>
      <c r="E506" s="431"/>
      <c r="F506" s="641"/>
      <c r="G506" s="641"/>
      <c r="H506" s="641"/>
      <c r="I506" s="734"/>
      <c r="J506" s="641"/>
      <c r="K506" s="734"/>
      <c r="L506" s="641"/>
      <c r="M506" s="734"/>
      <c r="N506" s="641"/>
      <c r="O506" s="734"/>
      <c r="P506" s="641"/>
      <c r="Q506" s="734"/>
      <c r="R506" s="734"/>
      <c r="S506" s="734"/>
      <c r="T506" s="734"/>
      <c r="U506" s="734"/>
      <c r="V506" s="484"/>
      <c r="W506" s="200"/>
      <c r="X506" s="631"/>
      <c r="Y506" s="1"/>
      <c r="Z506" s="484"/>
      <c r="AA506" s="200"/>
      <c r="AB506" s="530"/>
      <c r="AC506" s="530"/>
      <c r="AD506" s="619"/>
      <c r="AE506" s="575"/>
      <c r="AF506" s="200"/>
      <c r="AG506" s="530"/>
      <c r="AH506" s="530"/>
      <c r="AI506" s="619"/>
      <c r="AJ506" s="530"/>
      <c r="AK506" s="200"/>
      <c r="AL506" s="530"/>
      <c r="AM506" s="530"/>
      <c r="AN506" s="619"/>
      <c r="AO506" s="431"/>
      <c r="AP506" s="530"/>
      <c r="AQ506" s="200"/>
      <c r="AR506" s="530"/>
      <c r="AS506" s="530"/>
      <c r="AT506" s="619"/>
      <c r="AU506" s="530"/>
      <c r="AV506" s="200"/>
      <c r="AW506" s="530"/>
      <c r="AX506" s="575"/>
      <c r="AY506" s="619"/>
      <c r="BA506" s="200"/>
      <c r="BC506" s="530"/>
      <c r="BE506" s="619"/>
      <c r="BF506" s="244"/>
      <c r="BG506" s="200"/>
      <c r="BH506" s="530"/>
      <c r="BJ506" s="619"/>
      <c r="BK506" s="244"/>
      <c r="BL506" s="200"/>
      <c r="BM506"/>
      <c r="BN506" s="530"/>
      <c r="BP506" s="619"/>
      <c r="BQ506" s="244"/>
      <c r="BR506" s="200"/>
      <c r="BT506" s="530"/>
      <c r="BV506" s="619"/>
      <c r="BW506" s="632"/>
      <c r="BX506" s="32"/>
      <c r="BY506" s="607"/>
      <c r="BZ506" s="602"/>
      <c r="CG506" s="200"/>
      <c r="CY506" s="734"/>
    </row>
    <row r="507" spans="2:103" ht="27" customHeight="1">
      <c r="B507" s="431"/>
      <c r="C507" s="431"/>
      <c r="D507" s="431"/>
      <c r="E507" s="431"/>
      <c r="F507" s="641"/>
      <c r="G507" s="641"/>
      <c r="H507" s="641"/>
      <c r="I507" s="734"/>
      <c r="J507" s="641"/>
      <c r="K507" s="734"/>
      <c r="L507" s="641"/>
      <c r="M507" s="734"/>
      <c r="N507" s="641"/>
      <c r="O507" s="734"/>
      <c r="P507" s="641"/>
      <c r="Q507" s="734"/>
      <c r="R507" s="734"/>
      <c r="S507" s="734"/>
      <c r="T507" s="734"/>
      <c r="U507" s="734"/>
      <c r="V507" s="484"/>
      <c r="W507" s="200"/>
      <c r="X507" s="631"/>
      <c r="Y507" s="1"/>
      <c r="Z507" s="484"/>
      <c r="AA507" s="200"/>
      <c r="AB507" s="530"/>
      <c r="AC507" s="530"/>
      <c r="AD507" s="619"/>
      <c r="AE507" s="575"/>
      <c r="AF507" s="200"/>
      <c r="AG507" s="530"/>
      <c r="AH507" s="530"/>
      <c r="AI507" s="619"/>
      <c r="AJ507" s="530"/>
      <c r="AK507" s="200"/>
      <c r="AL507" s="530"/>
      <c r="AM507" s="530"/>
      <c r="AN507" s="619"/>
      <c r="AO507" s="431"/>
      <c r="AP507" s="530"/>
      <c r="AQ507" s="200"/>
      <c r="AR507" s="530"/>
      <c r="AS507" s="530"/>
      <c r="AT507" s="619"/>
      <c r="AU507" s="530"/>
      <c r="AV507" s="200"/>
      <c r="AW507" s="530"/>
      <c r="AX507" s="575"/>
      <c r="AY507" s="619"/>
      <c r="BA507" s="200"/>
      <c r="BC507" s="530"/>
      <c r="BE507" s="619"/>
      <c r="BF507" s="244"/>
      <c r="BG507" s="200"/>
      <c r="BH507" s="530"/>
      <c r="BJ507" s="619"/>
      <c r="BK507" s="244"/>
      <c r="BL507" s="200"/>
      <c r="BM507"/>
      <c r="BN507" s="530"/>
      <c r="BP507" s="619"/>
      <c r="BQ507" s="244"/>
      <c r="BR507" s="200"/>
      <c r="BT507" s="530"/>
      <c r="BV507" s="619"/>
      <c r="BW507" s="632"/>
      <c r="BX507" s="32"/>
      <c r="BY507" s="607"/>
      <c r="BZ507" s="602"/>
      <c r="CG507" s="200"/>
      <c r="CY507" s="734"/>
    </row>
    <row r="508" spans="2:103" ht="27" customHeight="1">
      <c r="B508" s="431"/>
      <c r="C508" s="431"/>
      <c r="D508" s="431"/>
      <c r="E508" s="431"/>
      <c r="F508" s="641"/>
      <c r="G508" s="641"/>
      <c r="H508" s="641"/>
      <c r="I508" s="734"/>
      <c r="J508" s="641"/>
      <c r="K508" s="734"/>
      <c r="L508" s="641"/>
      <c r="M508" s="734"/>
      <c r="N508" s="641"/>
      <c r="O508" s="734"/>
      <c r="P508" s="641"/>
      <c r="Q508" s="734"/>
      <c r="R508" s="734"/>
      <c r="S508" s="734"/>
      <c r="T508" s="734"/>
      <c r="U508" s="734"/>
      <c r="V508" s="484"/>
      <c r="W508" s="200"/>
      <c r="X508" s="631"/>
      <c r="Y508" s="1"/>
      <c r="Z508" s="484"/>
      <c r="AA508" s="200"/>
      <c r="AB508" s="530"/>
      <c r="AC508" s="530"/>
      <c r="AD508" s="619"/>
      <c r="AE508" s="575"/>
      <c r="AF508" s="200"/>
      <c r="AG508" s="530"/>
      <c r="AH508" s="530"/>
      <c r="AI508" s="619"/>
      <c r="AJ508" s="530"/>
      <c r="AK508" s="200"/>
      <c r="AL508" s="530"/>
      <c r="AM508" s="530"/>
      <c r="AN508" s="619"/>
      <c r="AO508" s="431"/>
      <c r="AP508" s="530"/>
      <c r="AQ508" s="200"/>
      <c r="AR508" s="530"/>
      <c r="AS508" s="530"/>
      <c r="AT508" s="619"/>
      <c r="AU508" s="530"/>
      <c r="AV508" s="200"/>
      <c r="AW508" s="530"/>
      <c r="AX508" s="575"/>
      <c r="AY508" s="619"/>
      <c r="BA508" s="200"/>
      <c r="BC508" s="530"/>
      <c r="BE508" s="619"/>
      <c r="BF508" s="244"/>
      <c r="BG508" s="200"/>
      <c r="BH508" s="530"/>
      <c r="BJ508" s="619"/>
      <c r="BK508" s="244"/>
      <c r="BL508" s="200"/>
      <c r="BM508"/>
      <c r="BN508" s="530"/>
      <c r="BP508" s="619"/>
      <c r="BQ508" s="244"/>
      <c r="BR508" s="200"/>
      <c r="BT508" s="530"/>
      <c r="BV508" s="619"/>
      <c r="BW508" s="632"/>
      <c r="BX508" s="32"/>
      <c r="BY508" s="607"/>
      <c r="BZ508" s="602"/>
      <c r="CG508" s="200"/>
      <c r="CY508" s="734"/>
    </row>
    <row r="509" spans="2:103" ht="27" customHeight="1">
      <c r="B509" s="639" t="str">
        <f>'jobinfo(2)'!$C$51</f>
        <v>OH25 BROWNLEE @E189</v>
      </c>
      <c r="C509" s="639"/>
      <c r="D509" s="639"/>
      <c r="E509" s="639"/>
      <c r="H509" s="908"/>
      <c r="I509" s="908"/>
      <c r="J509" s="908"/>
      <c r="K509" s="908"/>
      <c r="L509" s="908"/>
      <c r="M509" s="908"/>
      <c r="N509" s="908"/>
      <c r="O509" s="908"/>
      <c r="P509" s="908"/>
      <c r="Q509" s="908"/>
      <c r="BF509" s="244"/>
      <c r="BK509" s="244"/>
      <c r="BL509" s="244"/>
      <c r="BM509"/>
      <c r="BN509"/>
      <c r="BQ509" s="244"/>
      <c r="BW509" s="244"/>
    </row>
    <row r="510" spans="2:103" ht="27" customHeight="1">
      <c r="B510" s="640" t="str">
        <f>'jobinfo(2)'!$C$2</f>
        <v>3922 E 189 STR</v>
      </c>
      <c r="C510" s="640"/>
      <c r="D510" s="640"/>
      <c r="E510" s="640"/>
      <c r="F510" s="832" t="s">
        <v>613</v>
      </c>
      <c r="G510" s="832"/>
      <c r="H510" s="833" t="s">
        <v>614</v>
      </c>
      <c r="I510" s="731"/>
      <c r="K510" s="832" t="s">
        <v>615</v>
      </c>
      <c r="N510" s="909" t="s">
        <v>616</v>
      </c>
      <c r="O510" s="909"/>
      <c r="P510" s="831"/>
      <c r="Q510" s="831"/>
      <c r="BF510" s="244"/>
      <c r="BK510" s="244"/>
      <c r="BL510" s="244"/>
      <c r="BM510"/>
      <c r="BN510"/>
      <c r="BQ510" s="244"/>
      <c r="BW510" s="244"/>
    </row>
    <row r="511" spans="2:103" ht="27" customHeight="1" thickBot="1">
      <c r="B511" s="641" t="str">
        <f>'ROOMS#'!BF3</f>
        <v xml:space="preserve">  ...  DAY1    MC READINGS ..</v>
      </c>
      <c r="C511" s="641"/>
      <c r="D511" s="641"/>
      <c r="E511" s="641"/>
      <c r="F511" s="735">
        <f t="shared" ref="F511" si="87">F512-1</f>
        <v>6100.1</v>
      </c>
      <c r="G511" s="735"/>
      <c r="H511" s="735">
        <f>H512-1</f>
        <v>6200.2</v>
      </c>
      <c r="K511" s="735">
        <f>K512-1</f>
        <v>6300.3</v>
      </c>
      <c r="L511" s="735"/>
      <c r="N511" s="906">
        <f>'ROOMS#'!BW3</f>
        <v>8400</v>
      </c>
      <c r="O511" s="907"/>
      <c r="P511" s="831"/>
      <c r="Q511" s="831"/>
      <c r="S511" s="14"/>
      <c r="BF511" s="244"/>
      <c r="BK511" s="244"/>
      <c r="BL511" s="244"/>
      <c r="BM511"/>
      <c r="BN511"/>
      <c r="BQ511" s="244"/>
      <c r="BW511" s="244"/>
    </row>
    <row r="512" spans="2:103" ht="27" customHeight="1" thickTop="1" thickBot="1">
      <c r="B512" s="641" t="e">
        <f>'ROOMS-out'!#REF!</f>
        <v>#REF!</v>
      </c>
      <c r="C512" s="641"/>
      <c r="D512" s="641"/>
      <c r="E512" s="641"/>
      <c r="F512" s="735">
        <v>6101.1</v>
      </c>
      <c r="G512" s="735"/>
      <c r="H512" s="735">
        <v>6201.2</v>
      </c>
      <c r="K512" s="735">
        <v>6301.3</v>
      </c>
      <c r="L512" s="735"/>
      <c r="N512" s="906">
        <f>'ROOMS#'!BW4</f>
        <v>8401.4</v>
      </c>
      <c r="O512" s="907"/>
      <c r="P512" s="831"/>
      <c r="Q512" s="831"/>
      <c r="BF512" s="244"/>
      <c r="BK512" s="244"/>
      <c r="BL512" s="244"/>
      <c r="BM512"/>
      <c r="BN512"/>
      <c r="BQ512" s="244"/>
      <c r="BW512" s="244"/>
    </row>
    <row r="513" spans="2:75" ht="27" customHeight="1" thickTop="1" thickBot="1">
      <c r="B513" s="641" t="e">
        <f>'ROOMS-out'!#REF!</f>
        <v>#REF!</v>
      </c>
      <c r="C513" s="641"/>
      <c r="D513" s="641"/>
      <c r="E513" s="641"/>
      <c r="F513" s="568">
        <f t="shared" ref="F513:F528" si="88">F512+1</f>
        <v>6102.1</v>
      </c>
      <c r="G513" s="568"/>
      <c r="H513" s="568">
        <f t="shared" ref="H513:H536" si="89">H512+1</f>
        <v>6202.2</v>
      </c>
      <c r="K513" s="568">
        <f t="shared" ref="K513:K536" si="90">K512+1</f>
        <v>6302.3</v>
      </c>
      <c r="L513" s="568"/>
      <c r="N513" s="906">
        <f>'ROOMS#'!BW5</f>
        <v>8402.4</v>
      </c>
      <c r="O513" s="907"/>
      <c r="P513" s="831"/>
      <c r="Q513" s="831"/>
      <c r="BF513" s="244"/>
      <c r="BK513" s="244"/>
      <c r="BL513" s="244"/>
      <c r="BM513"/>
      <c r="BN513"/>
      <c r="BQ513" s="244"/>
      <c r="BW513" s="634"/>
    </row>
    <row r="514" spans="2:75" ht="27" customHeight="1" thickTop="1" thickBot="1">
      <c r="B514" s="641" t="e">
        <f>'ROOMS-out'!#REF!</f>
        <v>#REF!</v>
      </c>
      <c r="C514" s="641"/>
      <c r="D514" s="641"/>
      <c r="E514" s="641"/>
      <c r="F514" s="735">
        <f t="shared" si="88"/>
        <v>6103.1</v>
      </c>
      <c r="G514" s="735"/>
      <c r="H514" s="735">
        <f t="shared" si="89"/>
        <v>6203.2</v>
      </c>
      <c r="K514" s="735">
        <f t="shared" si="90"/>
        <v>6303.3</v>
      </c>
      <c r="L514" s="735"/>
      <c r="N514" s="906">
        <f>'ROOMS#'!BW6</f>
        <v>8403.4</v>
      </c>
      <c r="O514" s="907"/>
      <c r="P514" s="831"/>
      <c r="Q514" s="831"/>
      <c r="BF514" s="244"/>
      <c r="BK514" s="244"/>
      <c r="BL514" s="244"/>
      <c r="BM514"/>
      <c r="BN514"/>
      <c r="BQ514" s="244"/>
    </row>
    <row r="515" spans="2:75" ht="27" customHeight="1" thickTop="1" thickBot="1">
      <c r="B515" s="641" t="e">
        <f>'ROOMS-out'!#REF!</f>
        <v>#REF!</v>
      </c>
      <c r="C515" s="641"/>
      <c r="D515" s="641"/>
      <c r="E515" s="641"/>
      <c r="F515" s="568">
        <f t="shared" si="88"/>
        <v>6104.1</v>
      </c>
      <c r="G515" s="568"/>
      <c r="H515" s="568">
        <f t="shared" si="89"/>
        <v>6204.2</v>
      </c>
      <c r="K515" s="568">
        <f t="shared" si="90"/>
        <v>6304.3</v>
      </c>
      <c r="L515" s="568"/>
      <c r="N515" s="906">
        <f>'ROOMS#'!BW7</f>
        <v>8404.4</v>
      </c>
      <c r="O515" s="907"/>
      <c r="P515" s="831"/>
      <c r="Q515" s="831"/>
      <c r="BF515" s="244"/>
      <c r="BK515" s="244"/>
      <c r="BL515" s="244"/>
      <c r="BM515"/>
      <c r="BN515"/>
      <c r="BQ515" s="244"/>
    </row>
    <row r="516" spans="2:75" ht="27" customHeight="1" thickTop="1" thickBot="1">
      <c r="B516" s="641" t="e">
        <f>'ROOMS-out'!#REF!</f>
        <v>#REF!</v>
      </c>
      <c r="C516" s="641"/>
      <c r="D516" s="641"/>
      <c r="E516" s="641"/>
      <c r="F516" s="735">
        <f t="shared" si="88"/>
        <v>6105.1</v>
      </c>
      <c r="G516" s="735"/>
      <c r="H516" s="735">
        <f t="shared" si="89"/>
        <v>6205.2</v>
      </c>
      <c r="K516" s="735">
        <f t="shared" si="90"/>
        <v>6305.3</v>
      </c>
      <c r="L516" s="735"/>
      <c r="N516" s="906">
        <f>'ROOMS#'!BW8</f>
        <v>8405.4</v>
      </c>
      <c r="O516" s="907"/>
      <c r="P516" s="831"/>
      <c r="Q516" s="831"/>
      <c r="BF516" s="244"/>
      <c r="BK516" s="244"/>
      <c r="BL516" s="244"/>
      <c r="BM516"/>
      <c r="BN516"/>
      <c r="BQ516" s="244"/>
    </row>
    <row r="517" spans="2:75" ht="27" customHeight="1" thickTop="1" thickBot="1">
      <c r="B517" s="641" t="e">
        <f>'ROOMS-out'!#REF!</f>
        <v>#REF!</v>
      </c>
      <c r="C517" s="641"/>
      <c r="D517" s="641"/>
      <c r="E517" s="641"/>
      <c r="F517" s="568">
        <f t="shared" si="88"/>
        <v>6106.1</v>
      </c>
      <c r="G517" s="568"/>
      <c r="H517" s="568">
        <f t="shared" si="89"/>
        <v>6206.2</v>
      </c>
      <c r="K517" s="568">
        <f t="shared" si="90"/>
        <v>6306.3</v>
      </c>
      <c r="L517" s="568"/>
      <c r="N517" s="906">
        <f>'ROOMS#'!BW9</f>
        <v>8406.4</v>
      </c>
      <c r="O517" s="907"/>
      <c r="P517" s="831"/>
      <c r="Q517" s="831"/>
    </row>
    <row r="518" spans="2:75" ht="27" customHeight="1" thickTop="1" thickBot="1">
      <c r="B518" s="641" t="e">
        <f>'ROOMS-out'!#REF!</f>
        <v>#REF!</v>
      </c>
      <c r="C518" s="641"/>
      <c r="D518" s="641"/>
      <c r="E518" s="641"/>
      <c r="F518" s="735">
        <f t="shared" si="88"/>
        <v>6107.1</v>
      </c>
      <c r="G518" s="735"/>
      <c r="H518" s="735">
        <f t="shared" si="89"/>
        <v>6207.2</v>
      </c>
      <c r="K518" s="735">
        <f t="shared" si="90"/>
        <v>6307.3</v>
      </c>
      <c r="L518" s="735"/>
      <c r="N518" s="906">
        <f>'ROOMS#'!BW10</f>
        <v>8407.4</v>
      </c>
      <c r="O518" s="907"/>
      <c r="P518" s="831"/>
      <c r="Q518" s="831"/>
    </row>
    <row r="519" spans="2:75" ht="27" customHeight="1" thickTop="1" thickBot="1">
      <c r="B519" s="641" t="e">
        <f>'ROOMS-out'!#REF!</f>
        <v>#REF!</v>
      </c>
      <c r="C519" s="641"/>
      <c r="D519" s="641"/>
      <c r="E519" s="641"/>
      <c r="F519" s="568">
        <f t="shared" si="88"/>
        <v>6108.1</v>
      </c>
      <c r="G519" s="568"/>
      <c r="H519" s="568">
        <f t="shared" si="89"/>
        <v>6208.2</v>
      </c>
      <c r="K519" s="568">
        <f t="shared" si="90"/>
        <v>6308.3</v>
      </c>
      <c r="L519" s="568"/>
      <c r="N519" s="906">
        <f>'ROOMS#'!BW11</f>
        <v>8408.4</v>
      </c>
      <c r="O519" s="907"/>
      <c r="P519" s="831"/>
      <c r="Q519" s="831"/>
    </row>
    <row r="520" spans="2:75" ht="27" customHeight="1" thickTop="1" thickBot="1">
      <c r="B520" s="641" t="e">
        <f>'ROOMS-out'!#REF!</f>
        <v>#REF!</v>
      </c>
      <c r="C520" s="641"/>
      <c r="D520" s="641"/>
      <c r="E520" s="641"/>
      <c r="F520" s="735">
        <f t="shared" si="88"/>
        <v>6109.1</v>
      </c>
      <c r="G520" s="735"/>
      <c r="H520" s="735">
        <f t="shared" si="89"/>
        <v>6209.2</v>
      </c>
      <c r="K520" s="735">
        <f t="shared" si="90"/>
        <v>6309.3</v>
      </c>
      <c r="L520" s="735"/>
      <c r="N520" s="906">
        <f>'ROOMS#'!BW12</f>
        <v>8409.4</v>
      </c>
      <c r="O520" s="907"/>
      <c r="P520" s="831"/>
      <c r="Q520" s="831"/>
    </row>
    <row r="521" spans="2:75" ht="27" customHeight="1" thickTop="1" thickBot="1">
      <c r="B521" s="641" t="e">
        <f>'ROOMS-out'!#REF!</f>
        <v>#REF!</v>
      </c>
      <c r="C521" s="641"/>
      <c r="D521" s="641"/>
      <c r="E521" s="641"/>
      <c r="F521" s="568">
        <f t="shared" si="88"/>
        <v>6110.1</v>
      </c>
      <c r="G521" s="568"/>
      <c r="H521" s="568">
        <f t="shared" si="89"/>
        <v>6210.2</v>
      </c>
      <c r="K521" s="568">
        <f t="shared" si="90"/>
        <v>6310.3</v>
      </c>
      <c r="L521" s="568"/>
      <c r="N521" s="906">
        <f>'ROOMS#'!BW13</f>
        <v>8410.4</v>
      </c>
      <c r="O521" s="907"/>
      <c r="P521" s="831"/>
      <c r="Q521" s="831"/>
    </row>
    <row r="522" spans="2:75" ht="27" customHeight="1" thickTop="1" thickBot="1">
      <c r="B522" s="641" t="e">
        <f>'ROOMS-out'!#REF!</f>
        <v>#REF!</v>
      </c>
      <c r="C522" s="641"/>
      <c r="D522" s="641"/>
      <c r="E522" s="641"/>
      <c r="F522" s="735">
        <f t="shared" si="88"/>
        <v>6111.1</v>
      </c>
      <c r="G522" s="735"/>
      <c r="H522" s="735">
        <f t="shared" si="89"/>
        <v>6211.2</v>
      </c>
      <c r="K522" s="735">
        <f t="shared" si="90"/>
        <v>6311.3</v>
      </c>
      <c r="L522" s="735"/>
      <c r="N522" s="906">
        <f>'ROOMS#'!BW14</f>
        <v>8411.4</v>
      </c>
      <c r="O522" s="907"/>
      <c r="P522" s="831"/>
      <c r="Q522" s="831"/>
    </row>
    <row r="523" spans="2:75" ht="27" customHeight="1" thickTop="1" thickBot="1">
      <c r="B523" s="641" t="e">
        <f>'ROOMS-out'!#REF!</f>
        <v>#REF!</v>
      </c>
      <c r="C523" s="641"/>
      <c r="D523" s="641"/>
      <c r="E523" s="641"/>
      <c r="F523" s="568">
        <f t="shared" si="88"/>
        <v>6112.1</v>
      </c>
      <c r="G523" s="568"/>
      <c r="H523" s="568">
        <f t="shared" si="89"/>
        <v>6212.2</v>
      </c>
      <c r="K523" s="568">
        <f t="shared" si="90"/>
        <v>6312.3</v>
      </c>
      <c r="L523" s="568"/>
      <c r="N523" s="906">
        <f>'ROOMS#'!BW15</f>
        <v>8412.4</v>
      </c>
      <c r="O523" s="907"/>
      <c r="P523" s="831"/>
      <c r="Q523" s="831"/>
    </row>
    <row r="524" spans="2:75" ht="27" customHeight="1" thickTop="1" thickBot="1">
      <c r="B524" s="641" t="e">
        <f>'ROOMS-out'!#REF!</f>
        <v>#REF!</v>
      </c>
      <c r="C524" s="641"/>
      <c r="D524" s="641"/>
      <c r="E524" s="641"/>
      <c r="F524" s="735">
        <f t="shared" si="88"/>
        <v>6113.1</v>
      </c>
      <c r="G524" s="735"/>
      <c r="H524" s="735">
        <f t="shared" si="89"/>
        <v>6213.2</v>
      </c>
      <c r="K524" s="735">
        <f t="shared" si="90"/>
        <v>6313.3</v>
      </c>
      <c r="L524" s="735"/>
      <c r="N524" s="906">
        <f>'ROOMS#'!BW16</f>
        <v>8413.4</v>
      </c>
      <c r="O524" s="907"/>
      <c r="P524" s="831"/>
      <c r="Q524" s="831"/>
    </row>
    <row r="525" spans="2:75" ht="27" customHeight="1" thickTop="1" thickBot="1">
      <c r="B525" s="641" t="e">
        <f>'ROOMS-out'!#REF!</f>
        <v>#REF!</v>
      </c>
      <c r="C525" s="641"/>
      <c r="D525" s="641"/>
      <c r="E525" s="641"/>
      <c r="F525" s="568">
        <f t="shared" si="88"/>
        <v>6114.1</v>
      </c>
      <c r="G525" s="568"/>
      <c r="H525" s="568">
        <f t="shared" si="89"/>
        <v>6214.2</v>
      </c>
      <c r="K525" s="568">
        <f t="shared" si="90"/>
        <v>6314.3</v>
      </c>
      <c r="L525" s="568"/>
      <c r="N525" s="906">
        <f>'ROOMS#'!BW17</f>
        <v>8414.4</v>
      </c>
      <c r="O525" s="907"/>
      <c r="P525" s="831"/>
      <c r="Q525" s="831"/>
    </row>
    <row r="526" spans="2:75" ht="27" customHeight="1" thickTop="1" thickBot="1">
      <c r="B526" s="641" t="e">
        <f>'ROOMS-out'!#REF!</f>
        <v>#REF!</v>
      </c>
      <c r="C526" s="641"/>
      <c r="D526" s="641"/>
      <c r="E526" s="641"/>
      <c r="F526" s="735">
        <f t="shared" si="88"/>
        <v>6115.1</v>
      </c>
      <c r="G526" s="735"/>
      <c r="H526" s="735">
        <f t="shared" si="89"/>
        <v>6215.2</v>
      </c>
      <c r="K526" s="735">
        <f t="shared" si="90"/>
        <v>6315.3</v>
      </c>
      <c r="L526" s="735"/>
      <c r="N526" s="906">
        <f>'ROOMS#'!BW18</f>
        <v>8415.4</v>
      </c>
      <c r="O526" s="907"/>
      <c r="P526" s="831"/>
      <c r="Q526" s="831"/>
    </row>
    <row r="527" spans="2:75" ht="27" customHeight="1" thickTop="1" thickBot="1">
      <c r="B527" s="641" t="e">
        <f>'ROOMS-out'!#REF!</f>
        <v>#REF!</v>
      </c>
      <c r="C527" s="641"/>
      <c r="D527" s="641"/>
      <c r="E527" s="641"/>
      <c r="F527" s="568">
        <f t="shared" si="88"/>
        <v>6116.1</v>
      </c>
      <c r="G527" s="568"/>
      <c r="H527" s="568">
        <f t="shared" si="89"/>
        <v>6216.2</v>
      </c>
      <c r="K527" s="568">
        <f t="shared" si="90"/>
        <v>6316.3</v>
      </c>
      <c r="L527" s="568"/>
      <c r="N527" s="906">
        <f>'ROOMS#'!BW19</f>
        <v>8416.4</v>
      </c>
      <c r="O527" s="907"/>
      <c r="P527" s="831"/>
      <c r="Q527" s="831"/>
    </row>
    <row r="528" spans="2:75" ht="27" customHeight="1" thickTop="1" thickBot="1">
      <c r="B528" s="641" t="e">
        <f>'ROOMS-out'!#REF!</f>
        <v>#REF!</v>
      </c>
      <c r="C528" s="641"/>
      <c r="D528" s="641"/>
      <c r="E528" s="641"/>
      <c r="F528" s="735">
        <f t="shared" si="88"/>
        <v>6117.1</v>
      </c>
      <c r="G528" s="735"/>
      <c r="H528" s="735">
        <f t="shared" si="89"/>
        <v>6217.2</v>
      </c>
      <c r="K528" s="735">
        <f t="shared" si="90"/>
        <v>6317.3</v>
      </c>
      <c r="L528" s="735"/>
      <c r="N528" s="906">
        <f>'ROOMS#'!BW20</f>
        <v>8417.4</v>
      </c>
      <c r="O528" s="907"/>
      <c r="P528" s="831"/>
      <c r="Q528" s="831"/>
    </row>
    <row r="529" spans="2:17" ht="27" customHeight="1" thickTop="1" thickBot="1">
      <c r="B529" s="641" t="e">
        <f>'ROOMS-out'!#REF!</f>
        <v>#REF!</v>
      </c>
      <c r="C529" s="641"/>
      <c r="D529" s="641"/>
      <c r="E529" s="641"/>
      <c r="F529" s="568">
        <f t="shared" ref="F529:F536" si="91">F528+1</f>
        <v>6118.1</v>
      </c>
      <c r="G529" s="568"/>
      <c r="H529" s="568">
        <f t="shared" si="89"/>
        <v>6218.2</v>
      </c>
      <c r="K529" s="568">
        <f t="shared" si="90"/>
        <v>6318.3</v>
      </c>
      <c r="L529" s="568"/>
      <c r="N529" s="906">
        <f>'ROOMS#'!BW21</f>
        <v>8418.4</v>
      </c>
      <c r="O529" s="907"/>
      <c r="P529" s="831"/>
      <c r="Q529" s="831"/>
    </row>
    <row r="530" spans="2:17" ht="27" customHeight="1" thickTop="1" thickBot="1">
      <c r="B530" s="641" t="e">
        <f>'ROOMS-out'!#REF!</f>
        <v>#REF!</v>
      </c>
      <c r="C530" s="641"/>
      <c r="D530" s="641"/>
      <c r="E530" s="641"/>
      <c r="F530" s="735">
        <f t="shared" si="91"/>
        <v>6119.1</v>
      </c>
      <c r="G530" s="735"/>
      <c r="H530" s="735">
        <f t="shared" si="89"/>
        <v>6219.2</v>
      </c>
      <c r="K530" s="735">
        <f t="shared" si="90"/>
        <v>6319.3</v>
      </c>
      <c r="L530" s="735"/>
      <c r="N530" s="906">
        <f>'ROOMS#'!BW22</f>
        <v>8419.4</v>
      </c>
      <c r="O530" s="907"/>
      <c r="P530" s="831"/>
      <c r="Q530" s="831"/>
    </row>
    <row r="531" spans="2:17" ht="27" customHeight="1" thickTop="1" thickBot="1">
      <c r="B531" s="641" t="e">
        <f>'ROOMS-out'!#REF!</f>
        <v>#REF!</v>
      </c>
      <c r="C531" s="641"/>
      <c r="D531" s="641"/>
      <c r="E531" s="641"/>
      <c r="F531" s="568">
        <f t="shared" si="91"/>
        <v>6120.1</v>
      </c>
      <c r="G531" s="568"/>
      <c r="H531" s="568">
        <f t="shared" si="89"/>
        <v>6220.2</v>
      </c>
      <c r="K531" s="568">
        <f t="shared" si="90"/>
        <v>6320.3</v>
      </c>
      <c r="L531" s="568"/>
      <c r="N531" s="906">
        <f>'ROOMS#'!BW23</f>
        <v>8420.4</v>
      </c>
      <c r="O531" s="907"/>
      <c r="P531" s="831"/>
      <c r="Q531" s="831"/>
    </row>
    <row r="532" spans="2:17" ht="27" customHeight="1" thickTop="1" thickBot="1">
      <c r="B532" s="641" t="e">
        <f>'ROOMS-out'!#REF!</f>
        <v>#REF!</v>
      </c>
      <c r="C532" s="641"/>
      <c r="D532" s="641"/>
      <c r="E532" s="641"/>
      <c r="F532" s="735">
        <f t="shared" si="91"/>
        <v>6121.1</v>
      </c>
      <c r="G532" s="735"/>
      <c r="H532" s="735">
        <f t="shared" si="89"/>
        <v>6221.2</v>
      </c>
      <c r="K532" s="735">
        <f t="shared" si="90"/>
        <v>6321.3</v>
      </c>
      <c r="L532" s="735"/>
      <c r="N532" s="906">
        <f>'ROOMS#'!BW24</f>
        <v>8421.4</v>
      </c>
      <c r="O532" s="907"/>
      <c r="P532" s="831"/>
      <c r="Q532" s="831"/>
    </row>
    <row r="533" spans="2:17" ht="27" customHeight="1" thickTop="1" thickBot="1">
      <c r="B533" s="641" t="e">
        <f>'ROOMS-out'!#REF!</f>
        <v>#REF!</v>
      </c>
      <c r="C533" s="641"/>
      <c r="D533" s="641"/>
      <c r="E533" s="641"/>
      <c r="F533" s="568">
        <f t="shared" si="91"/>
        <v>6122.1</v>
      </c>
      <c r="G533" s="568"/>
      <c r="H533" s="568">
        <f t="shared" si="89"/>
        <v>6222.2</v>
      </c>
      <c r="K533" s="568">
        <f t="shared" si="90"/>
        <v>6322.3</v>
      </c>
      <c r="L533" s="568"/>
      <c r="N533" s="906">
        <f>'ROOMS#'!BW25</f>
        <v>8422.4</v>
      </c>
      <c r="O533" s="907"/>
      <c r="P533" s="831"/>
      <c r="Q533" s="831"/>
    </row>
    <row r="534" spans="2:17" ht="27" customHeight="1" thickTop="1" thickBot="1">
      <c r="B534" s="641" t="e">
        <f>'ROOMS#'!#REF!</f>
        <v>#REF!</v>
      </c>
      <c r="C534" s="641"/>
      <c r="D534" s="641"/>
      <c r="E534" s="641"/>
      <c r="F534" s="735">
        <f t="shared" si="91"/>
        <v>6123.1</v>
      </c>
      <c r="G534" s="735"/>
      <c r="H534" s="735">
        <f t="shared" si="89"/>
        <v>6223.2</v>
      </c>
      <c r="K534" s="735">
        <f t="shared" si="90"/>
        <v>6323.3</v>
      </c>
      <c r="L534" s="735"/>
      <c r="N534" s="906">
        <f>'ROOMS#'!BW26</f>
        <v>8423.4</v>
      </c>
      <c r="O534" s="907"/>
      <c r="P534" s="831"/>
      <c r="Q534" s="831"/>
    </row>
    <row r="535" spans="2:17" ht="27" customHeight="1" thickTop="1" thickBot="1">
      <c r="B535" s="641" t="e">
        <f>'ROOMS#'!#REF!</f>
        <v>#REF!</v>
      </c>
      <c r="C535" s="641"/>
      <c r="D535" s="641"/>
      <c r="E535" s="641"/>
      <c r="F535" s="568">
        <f t="shared" si="91"/>
        <v>6124.1</v>
      </c>
      <c r="G535" s="568"/>
      <c r="H535" s="568">
        <f t="shared" si="89"/>
        <v>6224.2</v>
      </c>
      <c r="K535" s="568">
        <f t="shared" si="90"/>
        <v>6324.3</v>
      </c>
      <c r="L535" s="568"/>
      <c r="N535" s="906">
        <f>'ROOMS#'!BW27</f>
        <v>8424.4</v>
      </c>
      <c r="O535" s="907"/>
      <c r="P535" s="831"/>
      <c r="Q535" s="831"/>
    </row>
    <row r="536" spans="2:17" ht="27" customHeight="1" thickTop="1" thickBot="1">
      <c r="B536" s="641" t="e">
        <f>'ROOMS#'!#REF!</f>
        <v>#REF!</v>
      </c>
      <c r="C536" s="641"/>
      <c r="D536" s="641"/>
      <c r="E536" s="641"/>
      <c r="F536" s="735">
        <f t="shared" si="91"/>
        <v>6125.1</v>
      </c>
      <c r="G536" s="735"/>
      <c r="H536" s="735">
        <f t="shared" si="89"/>
        <v>6225.2</v>
      </c>
      <c r="K536" s="735">
        <f t="shared" si="90"/>
        <v>6325.3</v>
      </c>
      <c r="L536" s="735"/>
      <c r="N536" s="906">
        <f>'ROOMS#'!BW28</f>
        <v>8425.4</v>
      </c>
      <c r="O536" s="907"/>
      <c r="P536" s="831"/>
      <c r="Q536" s="831"/>
    </row>
    <row r="537" spans="2:17" ht="27" customHeight="1" thickTop="1"/>
    <row r="539" spans="2:17" ht="27" customHeight="1">
      <c r="F539" s="14"/>
      <c r="G539" s="14"/>
      <c r="I539" s="14"/>
    </row>
  </sheetData>
  <mergeCells count="81">
    <mergeCell ref="V128:V129"/>
    <mergeCell ref="X128:X129"/>
    <mergeCell ref="N534:O534"/>
    <mergeCell ref="N535:O535"/>
    <mergeCell ref="N536:O536"/>
    <mergeCell ref="N510:O510"/>
    <mergeCell ref="H175:K175"/>
    <mergeCell ref="I201:K202"/>
    <mergeCell ref="I229:K230"/>
    <mergeCell ref="N529:O529"/>
    <mergeCell ref="N530:O530"/>
    <mergeCell ref="N531:O531"/>
    <mergeCell ref="N532:O532"/>
    <mergeCell ref="N533:O533"/>
    <mergeCell ref="N524:O524"/>
    <mergeCell ref="N525:O525"/>
    <mergeCell ref="N526:O526"/>
    <mergeCell ref="N527:O527"/>
    <mergeCell ref="N528:O528"/>
    <mergeCell ref="H509:Q509"/>
    <mergeCell ref="N511:O511"/>
    <mergeCell ref="N512:O512"/>
    <mergeCell ref="N513:O513"/>
    <mergeCell ref="N514:O514"/>
    <mergeCell ref="N515:O515"/>
    <mergeCell ref="N516:O516"/>
    <mergeCell ref="N517:O517"/>
    <mergeCell ref="N518:O518"/>
    <mergeCell ref="N519:O519"/>
    <mergeCell ref="N520:O520"/>
    <mergeCell ref="N521:O521"/>
    <mergeCell ref="N522:O522"/>
    <mergeCell ref="N523:O523"/>
    <mergeCell ref="J397:J398"/>
    <mergeCell ref="B230:H230"/>
    <mergeCell ref="R347:U347"/>
    <mergeCell ref="R349:U349"/>
    <mergeCell ref="F257:I257"/>
    <mergeCell ref="J257:J258"/>
    <mergeCell ref="B285:H285"/>
    <mergeCell ref="I285:I286"/>
    <mergeCell ref="J313:J314"/>
    <mergeCell ref="R341:U341"/>
    <mergeCell ref="I341:I342"/>
    <mergeCell ref="J369:J370"/>
    <mergeCell ref="R351:U351"/>
    <mergeCell ref="R353:U353"/>
    <mergeCell ref="R355:U355"/>
    <mergeCell ref="R357:U357"/>
    <mergeCell ref="B201:H201"/>
    <mergeCell ref="B229:H229"/>
    <mergeCell ref="R113:S114"/>
    <mergeCell ref="H113:H114"/>
    <mergeCell ref="T113:U114"/>
    <mergeCell ref="J113:K114"/>
    <mergeCell ref="L113:M114"/>
    <mergeCell ref="N113:O114"/>
    <mergeCell ref="P113:Q114"/>
    <mergeCell ref="F98:U98"/>
    <mergeCell ref="J103:S103"/>
    <mergeCell ref="H128:I129"/>
    <mergeCell ref="J128:K129"/>
    <mergeCell ref="L128:M129"/>
    <mergeCell ref="N128:O129"/>
    <mergeCell ref="P128:Q129"/>
    <mergeCell ref="R128:S129"/>
    <mergeCell ref="T128:U129"/>
    <mergeCell ref="J106:S106"/>
    <mergeCell ref="M107:S107"/>
    <mergeCell ref="M109:S109"/>
    <mergeCell ref="J100:S102"/>
    <mergeCell ref="F104:U104"/>
    <mergeCell ref="F102:I102"/>
    <mergeCell ref="F100:I100"/>
    <mergeCell ref="V113:V114"/>
    <mergeCell ref="X113:X114"/>
    <mergeCell ref="J111:S111"/>
    <mergeCell ref="F108:U108"/>
    <mergeCell ref="F110:U110"/>
    <mergeCell ref="F112:U112"/>
    <mergeCell ref="I109:L109"/>
  </mergeCells>
  <printOptions gridLines="1"/>
  <pageMargins left="0.25" right="0.19" top="0.27" bottom="0.31" header="0.24" footer="0.05"/>
  <pageSetup scale="92" orientation="portrait" r:id="rId1"/>
  <headerFooter>
    <oddFooter>&amp;L.....  &amp;P&amp;C&amp;F&amp;R&amp;A      ...</oddFooter>
  </headerFooter>
  <rowBreaks count="2" manualBreakCount="2">
    <brk id="36" max="3" man="1"/>
    <brk id="64" max="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98B62-3544-49A6-BD3B-D4FA269E835D}">
  <dimension ref="A1:V84"/>
  <sheetViews>
    <sheetView view="pageBreakPreview" zoomScaleNormal="100" zoomScaleSheetLayoutView="100" workbookViewId="0">
      <selection activeCell="A10" sqref="A10:F10"/>
    </sheetView>
  </sheetViews>
  <sheetFormatPr defaultColWidth="8" defaultRowHeight="13.8"/>
  <cols>
    <col min="1" max="1" width="24.8984375" customWidth="1"/>
    <col min="2" max="2" width="24.19921875" customWidth="1"/>
    <col min="3" max="3" width="52.59765625" customWidth="1"/>
    <col min="4" max="4" width="9.59765625" customWidth="1"/>
    <col min="5" max="5" width="8.19921875" customWidth="1"/>
    <col min="6" max="7" width="7.69921875" customWidth="1"/>
    <col min="8" max="8" width="9.69921875" customWidth="1"/>
    <col min="9" max="9" width="10.19921875" customWidth="1"/>
    <col min="10" max="10" width="12.5" customWidth="1"/>
    <col min="11" max="11" width="15.69921875" customWidth="1"/>
    <col min="12" max="12" width="11.59765625" customWidth="1"/>
    <col min="13" max="13" width="2.19921875" customWidth="1"/>
    <col min="14" max="14" width="11.3984375" customWidth="1"/>
    <col min="15" max="15" width="13.5" customWidth="1"/>
    <col min="16" max="16" width="3.8984375" customWidth="1"/>
    <col min="17" max="17" width="13.69921875" customWidth="1"/>
    <col min="18" max="18" width="12.8984375" customWidth="1"/>
  </cols>
  <sheetData>
    <row r="1" spans="1:7" ht="48" customHeight="1">
      <c r="A1" s="915" t="s">
        <v>623</v>
      </c>
      <c r="B1" s="915"/>
      <c r="C1" s="915"/>
      <c r="D1" s="915"/>
      <c r="E1" s="915"/>
      <c r="F1" s="915"/>
      <c r="G1" s="834"/>
    </row>
    <row r="2" spans="1:7" ht="25.2" customHeight="1">
      <c r="A2" s="682" t="s">
        <v>624</v>
      </c>
      <c r="B2" s="683" t="str">
        <f>+'[1]jobinfo(2)'!C1</f>
        <v>LACEY, EUNICE</v>
      </c>
      <c r="C2" s="630" t="str">
        <f>+'[1]jobinfo(2)'!B26</f>
        <v xml:space="preserve">Insurance Co. Name </v>
      </c>
      <c r="D2" t="str">
        <f>+'[1]jobinfo(2)'!C26</f>
        <v>AAA Insurance</v>
      </c>
      <c r="F2" s="283"/>
      <c r="G2" s="283"/>
    </row>
    <row r="3" spans="1:7" ht="25.2" customHeight="1">
      <c r="A3" s="684" t="s">
        <v>157</v>
      </c>
      <c r="B3" s="683" t="str">
        <f>+'[1]jobinfo(2)'!C2</f>
        <v>13601 5th Ave</v>
      </c>
      <c r="C3" s="630" t="str">
        <f>+'[1]jobinfo(2)'!B27</f>
        <v xml:space="preserve">Claim # </v>
      </c>
      <c r="D3" t="str">
        <f>+'[1]jobinfo(2)'!C27</f>
        <v>#017095711</v>
      </c>
      <c r="F3" s="283"/>
      <c r="G3" s="283"/>
    </row>
    <row r="4" spans="1:7" ht="25.2" customHeight="1">
      <c r="A4" s="684" t="s">
        <v>162</v>
      </c>
      <c r="B4" s="683" t="str">
        <f>+'[1]jobinfo(2)'!C3</f>
        <v>East Cleveland, OH</v>
      </c>
      <c r="C4" s="630" t="str">
        <f>+'[1]jobinfo(2)'!B11</f>
        <v>Cause of Loss</v>
      </c>
      <c r="D4" t="str">
        <f>+'[1]jobinfo(2)'!C11</f>
        <v>BATHTUB OVERFLOW</v>
      </c>
      <c r="F4" s="283"/>
      <c r="G4" s="283"/>
    </row>
    <row r="5" spans="1:7" ht="25.2" customHeight="1">
      <c r="A5" s="684" t="s">
        <v>165</v>
      </c>
      <c r="B5" s="683" t="str">
        <f>+'[1]jobinfo(2)'!C4</f>
        <v>Emedlacey@gmail.com</v>
      </c>
      <c r="C5" s="685" t="str">
        <f>+'[1]jobinfo(2)'!B12</f>
        <v>date of loss</v>
      </c>
      <c r="D5" s="13">
        <f>+'[1]jobinfo(2)'!C12</f>
        <v>45765</v>
      </c>
      <c r="F5" s="283"/>
      <c r="G5" s="283"/>
    </row>
    <row r="6" spans="1:7" ht="25.2" customHeight="1">
      <c r="A6" s="684" t="s">
        <v>168</v>
      </c>
      <c r="B6" s="683" t="str">
        <f>+'[1]jobinfo(2)'!C5</f>
        <v>(216) 450-4913</v>
      </c>
      <c r="C6" s="685" t="str">
        <f>+'[1]jobinfo(2)'!B13</f>
        <v>rebuild  type 1</v>
      </c>
      <c r="D6" s="13" t="str">
        <f>+'[1]jobinfo(2)'!C13</f>
        <v>interior repairs LVL2</v>
      </c>
      <c r="F6" s="8"/>
      <c r="G6" s="8"/>
    </row>
    <row r="7" spans="1:7" ht="25.2" customHeight="1">
      <c r="A7" s="686"/>
      <c r="B7" s="687" t="s">
        <v>625</v>
      </c>
      <c r="C7" s="630" t="str">
        <f>+'[1]jobinfo(2)'!B14</f>
        <v>rebuild  type 2</v>
      </c>
      <c r="D7" t="str">
        <f>+'[1]jobinfo(2)'!C14</f>
        <v>interior repairs LVL1</v>
      </c>
      <c r="F7" s="8"/>
      <c r="G7" s="8"/>
    </row>
    <row r="8" spans="1:7" ht="33" customHeight="1">
      <c r="A8" s="916" t="s">
        <v>626</v>
      </c>
      <c r="B8" s="916"/>
      <c r="C8" s="916"/>
      <c r="D8" s="916"/>
      <c r="E8" s="916"/>
      <c r="F8" s="916"/>
      <c r="G8" s="835"/>
    </row>
    <row r="9" spans="1:7" ht="33" customHeight="1">
      <c r="A9" s="916"/>
      <c r="B9" s="916"/>
      <c r="C9" s="916"/>
      <c r="D9" s="916"/>
      <c r="E9" s="916"/>
      <c r="F9" s="916"/>
      <c r="G9" s="835"/>
    </row>
    <row r="10" spans="1:7" ht="33" customHeight="1">
      <c r="A10" s="916" t="s">
        <v>627</v>
      </c>
      <c r="B10" s="916"/>
      <c r="C10" s="916"/>
      <c r="D10" s="916"/>
      <c r="E10" s="916"/>
      <c r="F10" s="916"/>
      <c r="G10" s="835"/>
    </row>
    <row r="11" spans="1:7" s="522" customFormat="1" ht="27.6">
      <c r="A11" s="688"/>
      <c r="B11" s="689"/>
      <c r="C11" s="690" t="s">
        <v>268</v>
      </c>
      <c r="D11" s="691" t="s">
        <v>628</v>
      </c>
      <c r="E11" s="692" t="s">
        <v>629</v>
      </c>
      <c r="F11" s="693" t="s">
        <v>284</v>
      </c>
      <c r="G11" s="693"/>
    </row>
    <row r="12" spans="1:7" ht="22.2" customHeight="1">
      <c r="A12" t="s">
        <v>630</v>
      </c>
      <c r="B12" s="694" t="s">
        <v>631</v>
      </c>
      <c r="C12" s="695" t="s">
        <v>632</v>
      </c>
      <c r="D12" s="695"/>
      <c r="E12" s="695"/>
      <c r="F12" s="696"/>
    </row>
    <row r="13" spans="1:7" ht="43.95" customHeight="1">
      <c r="A13" s="697" t="s">
        <v>633</v>
      </c>
      <c r="B13" s="917" t="s">
        <v>634</v>
      </c>
      <c r="C13" s="918"/>
      <c r="D13" s="698" t="s">
        <v>635</v>
      </c>
      <c r="E13" s="698" t="s">
        <v>635</v>
      </c>
      <c r="F13" s="698" t="s">
        <v>636</v>
      </c>
      <c r="G13" s="698"/>
    </row>
    <row r="14" spans="1:7" ht="124.2" customHeight="1">
      <c r="A14" s="699">
        <v>1</v>
      </c>
      <c r="B14" s="911" t="s">
        <v>637</v>
      </c>
      <c r="C14" s="912"/>
      <c r="D14" s="913">
        <v>0.33</v>
      </c>
      <c r="E14" s="914"/>
      <c r="F14" s="700">
        <f>+D14</f>
        <v>0.33</v>
      </c>
      <c r="G14" s="700"/>
    </row>
    <row r="15" spans="1:7" ht="124.2" customHeight="1">
      <c r="A15" s="701">
        <v>2</v>
      </c>
      <c r="B15" s="919">
        <v>0.5</v>
      </c>
      <c r="C15" s="920"/>
      <c r="D15" s="921">
        <v>0.33</v>
      </c>
      <c r="E15" s="922"/>
      <c r="F15" s="702">
        <f>+D15+D14</f>
        <v>0.66</v>
      </c>
      <c r="G15" s="703"/>
    </row>
    <row r="16" spans="1:7" ht="124.2" customHeight="1">
      <c r="A16" s="704">
        <v>3</v>
      </c>
      <c r="B16" s="923">
        <v>0.75</v>
      </c>
      <c r="C16" s="924"/>
      <c r="D16" s="913">
        <v>0.1</v>
      </c>
      <c r="E16" s="914"/>
      <c r="F16" s="705">
        <f>+F15+D16</f>
        <v>0.76</v>
      </c>
      <c r="G16" s="706"/>
    </row>
    <row r="17" spans="1:18" ht="124.2" customHeight="1">
      <c r="A17" s="701">
        <v>4</v>
      </c>
      <c r="B17" s="919">
        <v>0.9</v>
      </c>
      <c r="C17" s="920"/>
      <c r="D17" s="921">
        <v>0.14000000000000001</v>
      </c>
      <c r="E17" s="922"/>
      <c r="F17" s="702">
        <f>+F16+D17</f>
        <v>0.9</v>
      </c>
      <c r="G17" s="703"/>
    </row>
    <row r="18" spans="1:18" ht="124.2" customHeight="1">
      <c r="A18" s="699">
        <v>5</v>
      </c>
      <c r="B18" s="925">
        <v>1</v>
      </c>
      <c r="C18" s="926"/>
      <c r="D18" s="913">
        <v>0.1</v>
      </c>
      <c r="E18" s="914"/>
      <c r="F18" s="705">
        <f>+F17+D18</f>
        <v>1</v>
      </c>
      <c r="G18" s="706"/>
    </row>
    <row r="20" spans="1:18" ht="15.45" customHeight="1">
      <c r="H20" s="580" t="s">
        <v>638</v>
      </c>
      <c r="I20" s="580"/>
      <c r="J20" s="580" t="s">
        <v>639</v>
      </c>
      <c r="K20" s="580"/>
      <c r="L20" s="580"/>
      <c r="M20" s="580"/>
      <c r="N20" s="580"/>
      <c r="O20" s="927" t="s">
        <v>640</v>
      </c>
      <c r="P20" s="928" t="str">
        <f>'[1]jobinfo(2)'!C51</f>
        <v>OH25 LACEY, E</v>
      </c>
      <c r="Q20" s="928"/>
      <c r="R20" s="928"/>
    </row>
    <row r="21" spans="1:18" ht="15.45" customHeight="1">
      <c r="H21" s="100" t="str">
        <f>'[1]jobinfo(2)'!C100</f>
        <v>All Phase Consulting, LLC</v>
      </c>
      <c r="I21" s="100"/>
      <c r="J21" s="929"/>
      <c r="K21" t="str">
        <f>+'[1]jobinfo(2)'!D100</f>
        <v>Wayside Builders, LLC</v>
      </c>
      <c r="N21" s="930" t="s">
        <v>641</v>
      </c>
      <c r="O21" s="927"/>
      <c r="P21" s="931" t="str">
        <f>'[1]jobinfo(2)'!C1</f>
        <v>LACEY, EUNICE</v>
      </c>
      <c r="Q21" s="931"/>
      <c r="R21" s="931"/>
    </row>
    <row r="22" spans="1:18" ht="15.45" customHeight="1">
      <c r="H22" s="100" t="str">
        <f>'[1]jobinfo(2)'!C112</f>
        <v>Joe Jones, PM  216.450.7228</v>
      </c>
      <c r="I22" s="837"/>
      <c r="J22" s="929"/>
      <c r="K22" t="str">
        <f>'[1]jobinfo(2)'!D112</f>
        <v>Tony Jones 216.347.2656</v>
      </c>
      <c r="N22" s="930"/>
      <c r="O22" s="927"/>
      <c r="P22" s="932" t="str">
        <f>'[1]jobinfo(2)'!C2</f>
        <v>13601 5th Ave</v>
      </c>
      <c r="Q22" s="932"/>
      <c r="R22" s="932"/>
    </row>
    <row r="23" spans="1:18" ht="15.45" customHeight="1">
      <c r="H23" s="100"/>
      <c r="I23" s="100"/>
      <c r="J23" s="929"/>
      <c r="N23" s="930"/>
      <c r="O23" s="927"/>
      <c r="P23" s="932" t="str">
        <f>'[1]jobinfo(2)'!C3</f>
        <v>East Cleveland, OH</v>
      </c>
      <c r="Q23" s="932"/>
      <c r="R23" s="932"/>
    </row>
    <row r="24" spans="1:18" ht="15.45" customHeight="1">
      <c r="H24" s="429" t="str">
        <f>'[1]jobinfo(2)'!B5</f>
        <v>Cst-owner Phone#</v>
      </c>
      <c r="I24" s="343" t="str">
        <f>'[1]jobinfo(2)'!C5</f>
        <v>(216) 450-4913</v>
      </c>
      <c r="J24" s="429" t="str">
        <f>'[1]jobinfo(2)'!B26</f>
        <v xml:space="preserve">Insurance Co. Name </v>
      </c>
      <c r="K24" s="100" t="str">
        <f>'[1]jobinfo(2)'!C26</f>
        <v>AAA Insurance</v>
      </c>
      <c r="L24" s="429" t="str">
        <f>'[1]jobinfo(2)'!B37</f>
        <v>adj contents</v>
      </c>
      <c r="M24" s="931" t="str">
        <f>'[1]jobinfo(2)'!C37</f>
        <v>TBD</v>
      </c>
      <c r="N24" s="931"/>
      <c r="O24" s="891"/>
      <c r="P24" s="891"/>
      <c r="Q24" s="891"/>
      <c r="R24" s="891"/>
    </row>
    <row r="25" spans="1:18" ht="15.45" customHeight="1">
      <c r="H25" s="429" t="str">
        <f>'[1]jobinfo(2)'!B6</f>
        <v>Co-Owner.cst#2</v>
      </c>
      <c r="I25" s="100" t="str">
        <f>'[1]jobinfo(2)'!C6</f>
        <v>TBD</v>
      </c>
      <c r="J25" s="429" t="str">
        <f>'[1]jobinfo(2)'!B27</f>
        <v xml:space="preserve">Claim # </v>
      </c>
      <c r="K25" s="343" t="str">
        <f>'[1]jobinfo(2)'!C27</f>
        <v>#017095711</v>
      </c>
      <c r="L25" s="429" t="str">
        <f>'[1]jobinfo(2)'!B38</f>
        <v>adj CPS phone #</v>
      </c>
      <c r="M25" s="931" t="str">
        <f>'[1]jobinfo(2)'!C38</f>
        <v>TBD</v>
      </c>
      <c r="N25" s="931"/>
      <c r="O25" s="429" t="str">
        <f>'[1]jobinfo(2)'!B34</f>
        <v>Field Adjuster Name</v>
      </c>
      <c r="P25" s="932" t="str">
        <f>'[1]jobinfo(2)'!C34</f>
        <v>FA</v>
      </c>
      <c r="Q25" s="932"/>
      <c r="R25" s="932"/>
    </row>
    <row r="26" spans="1:18" ht="15.45" customHeight="1">
      <c r="H26" s="429" t="str">
        <f>'[1]jobinfo(2)'!B11</f>
        <v>Cause of Loss</v>
      </c>
      <c r="I26" s="100" t="str">
        <f>'[1]jobinfo(2)'!C11</f>
        <v>BATHTUB OVERFLOW</v>
      </c>
      <c r="J26" s="429" t="str">
        <f>'[1]jobinfo(2)'!B28</f>
        <v>policy #</v>
      </c>
      <c r="K26" s="100" t="str">
        <f>'[1]jobinfo(2)'!C28</f>
        <v>OHH000190052</v>
      </c>
      <c r="L26" s="429" t="str">
        <f>'[1]jobinfo(2)'!B39</f>
        <v>adj CPS email</v>
      </c>
      <c r="M26" s="931" t="str">
        <f>'[1]jobinfo(2)'!C39</f>
        <v>TBD</v>
      </c>
      <c r="N26" s="931"/>
      <c r="O26" s="429" t="str">
        <f>'[1]jobinfo(2)'!B35</f>
        <v>Phone # field adj</v>
      </c>
      <c r="P26" s="931" t="str">
        <f>'[1]jobinfo(2)'!C35</f>
        <v>FA</v>
      </c>
      <c r="Q26" s="931"/>
      <c r="R26" s="931"/>
    </row>
    <row r="27" spans="1:18" ht="15.45" customHeight="1">
      <c r="H27" s="429" t="str">
        <f>'[1]jobinfo(2)'!B12</f>
        <v>date of loss</v>
      </c>
      <c r="I27" s="315">
        <f>'[1]jobinfo(2)'!C12</f>
        <v>45765</v>
      </c>
      <c r="J27" s="429" t="str">
        <f>'[1]jobinfo(2)'!B29</f>
        <v>Email INS. co.</v>
      </c>
      <c r="K27" s="100" t="str">
        <f>'[1]jobinfo(2)'!C29</f>
        <v>STAPLES.OLIVIA @ace.aaa.com</v>
      </c>
      <c r="L27" s="429" t="str">
        <f>'[1]jobinfo(2)'!B40</f>
        <v>TMP adj</v>
      </c>
      <c r="M27" s="931" t="str">
        <f>'[1]jobinfo(2)'!C40</f>
        <v>TBD</v>
      </c>
      <c r="N27" s="931"/>
      <c r="O27" s="429" t="str">
        <f>'[1]jobinfo(2)'!B36</f>
        <v>Field adj email</v>
      </c>
      <c r="P27" s="931" t="str">
        <f>'[1]jobinfo(2)'!C36</f>
        <v>PH</v>
      </c>
      <c r="Q27" s="931"/>
      <c r="R27" s="931"/>
    </row>
    <row r="28" spans="1:18" ht="15.45" customHeight="1">
      <c r="H28" s="429" t="str">
        <f>'[1]jobinfo(2)'!B13</f>
        <v>rebuild  type 1</v>
      </c>
      <c r="I28" s="100" t="str">
        <f>'[1]jobinfo(2)'!C13</f>
        <v>interior repairs LVL2</v>
      </c>
      <c r="J28" s="429" t="str">
        <f>'[1]jobinfo(2)'!B30</f>
        <v>DESK Adjuster DA</v>
      </c>
      <c r="K28" s="100" t="str">
        <f>'[1]jobinfo(2)'!C30</f>
        <v>STAPLES, OLIVIA 207 776 6150</v>
      </c>
      <c r="L28" s="429" t="str">
        <f>'[1]jobinfo(2)'!B41</f>
        <v>TMP adj phone #</v>
      </c>
      <c r="M28" s="931" t="str">
        <f>'[1]jobinfo(2)'!C41</f>
        <v>TBD</v>
      </c>
      <c r="N28" s="931"/>
      <c r="O28" s="429" t="str">
        <f>'[1]jobinfo(2)'!B21</f>
        <v>Year Built</v>
      </c>
      <c r="P28" s="931" t="str">
        <f>'[1]jobinfo(2)'!C21</f>
        <v>PRE 1978</v>
      </c>
      <c r="Q28" s="931"/>
      <c r="R28" s="931"/>
    </row>
    <row r="29" spans="1:18" ht="15.45" customHeight="1">
      <c r="H29" s="429" t="str">
        <f>'[1]jobinfo(2)'!B14</f>
        <v>rebuild  type 2</v>
      </c>
      <c r="I29" s="100" t="str">
        <f>'[1]jobinfo(2)'!C14</f>
        <v>interior repairs LVL1</v>
      </c>
      <c r="J29" s="429" t="str">
        <f>'[1]jobinfo(2)'!B31</f>
        <v>DA Phone</v>
      </c>
      <c r="K29" s="343" t="str">
        <f>'[1]jobinfo(2)'!C31</f>
        <v>207 776 6150</v>
      </c>
      <c r="L29" s="429" t="str">
        <f>'[1]jobinfo(2)'!B42</f>
        <v>adj TMP email</v>
      </c>
      <c r="M29" s="931" t="str">
        <f>'[1]jobinfo(2)'!C42</f>
        <v>TBD</v>
      </c>
      <c r="N29" s="931"/>
      <c r="O29" s="429" t="str">
        <f>'[1]jobinfo(2)'!B22</f>
        <v>Contract Date</v>
      </c>
      <c r="P29" s="933">
        <f>'[1]jobinfo(2)'!C22</f>
        <v>45822</v>
      </c>
      <c r="Q29" s="933"/>
      <c r="R29" s="933"/>
    </row>
    <row r="30" spans="1:18" ht="15.45" customHeight="1">
      <c r="H30" s="429" t="str">
        <f>'[1]jobinfo(2)'!B15</f>
        <v>rebuild  type 3</v>
      </c>
      <c r="I30" s="100" t="str">
        <f>'[1]jobinfo(2)'!C15</f>
        <v>BASEMENT</v>
      </c>
      <c r="J30" s="429" t="str">
        <f>'[1]jobinfo(2)'!B32</f>
        <v>DA Ph. Ext. #</v>
      </c>
      <c r="K30" s="100" t="str">
        <f>'[1]jobinfo(2)'!C32</f>
        <v>207 776 6150</v>
      </c>
      <c r="L30" s="429"/>
      <c r="M30" s="931"/>
      <c r="N30" s="931"/>
      <c r="O30" s="429" t="str">
        <f>'[1]jobinfo(2)'!B19</f>
        <v>Replacement</v>
      </c>
      <c r="P30" s="100" t="str">
        <f>'[1]jobinfo(2)'!C19</f>
        <v>Y</v>
      </c>
    </row>
    <row r="31" spans="1:18" ht="15.45" customHeight="1">
      <c r="H31" s="429" t="str">
        <f>'[1]jobinfo(2)'!B16</f>
        <v>DEMO</v>
      </c>
      <c r="I31" s="100" t="str">
        <f>'[1]jobinfo(2)'!C16</f>
        <v>Y</v>
      </c>
      <c r="J31" s="429" t="str">
        <f>'[1]jobinfo(2)'!B33</f>
        <v xml:space="preserve">DA Email </v>
      </c>
      <c r="K31" s="100" t="str">
        <f>'[1]jobinfo(2)'!C33</f>
        <v>STAPLES.OLIVIA @ace.aaa.com</v>
      </c>
      <c r="L31" s="429"/>
      <c r="M31" s="931"/>
      <c r="N31" s="931"/>
      <c r="O31" s="429" t="str">
        <f>'[1]jobinfo(2)'!B23</f>
        <v>Loss of use/ ALE</v>
      </c>
      <c r="P31" s="100" t="str">
        <f>'[1]jobinfo(2)'!C23</f>
        <v>Y</v>
      </c>
      <c r="Q31" s="429" t="str">
        <f>'[1]jobinfo(2)'!B18</f>
        <v>Other Structures</v>
      </c>
      <c r="R31" s="100" t="str">
        <f>'[1]jobinfo(2)'!C18</f>
        <v>NA</v>
      </c>
    </row>
    <row r="32" spans="1:18" ht="15.45" customHeight="1">
      <c r="H32" s="429" t="str">
        <f>'[1]jobinfo(2)'!B17</f>
        <v>Mitigation</v>
      </c>
      <c r="I32" s="100" t="str">
        <f>'[1]jobinfo(2)'!C17</f>
        <v>Y</v>
      </c>
      <c r="K32" s="429" t="str">
        <f>'[1]jobinfo(2)'!B20</f>
        <v>CPS / CLN / CON/ CGN</v>
      </c>
      <c r="L32" s="100" t="str">
        <f>'[1]jobinfo(2)'!C20</f>
        <v>Y</v>
      </c>
      <c r="M32" s="931"/>
      <c r="N32" s="931"/>
      <c r="O32" s="429" t="str">
        <f>'[1]jobinfo(2)'!B24</f>
        <v>Breathing issue</v>
      </c>
      <c r="P32" s="100" t="str">
        <f>'[1]jobinfo(2)'!C24</f>
        <v>TBD</v>
      </c>
      <c r="Q32" s="429" t="str">
        <f>'[1]jobinfo(2)'!B25</f>
        <v>HMR</v>
      </c>
      <c r="R32" s="100" t="str">
        <f>'[1]jobinfo(2)'!C25</f>
        <v>TBD</v>
      </c>
    </row>
    <row r="33" spans="8:22" ht="1.95" customHeight="1">
      <c r="H33" s="936"/>
      <c r="I33" s="936"/>
      <c r="J33" s="936"/>
      <c r="K33" s="936"/>
      <c r="L33" s="936"/>
      <c r="M33" s="936"/>
      <c r="N33" s="936"/>
      <c r="O33" s="936"/>
      <c r="P33" s="936"/>
      <c r="Q33" s="936"/>
      <c r="R33" s="936"/>
    </row>
    <row r="34" spans="8:22" ht="15.45" customHeight="1">
      <c r="H34" s="937" t="s">
        <v>642</v>
      </c>
      <c r="I34" s="937"/>
      <c r="J34" s="891" t="s">
        <v>643</v>
      </c>
      <c r="K34" s="891"/>
      <c r="L34" s="891"/>
      <c r="N34" t="s">
        <v>644</v>
      </c>
      <c r="O34" s="183"/>
      <c r="Q34" t="s">
        <v>645</v>
      </c>
    </row>
    <row r="35" spans="8:22" ht="16.95" customHeight="1">
      <c r="H35" s="937"/>
      <c r="I35" s="937"/>
      <c r="J35" s="707">
        <v>1</v>
      </c>
      <c r="K35" s="840" t="s">
        <v>646</v>
      </c>
      <c r="L35" s="2" t="str">
        <f>K21</f>
        <v>Wayside Builders, LLC</v>
      </c>
      <c r="N35" s="708">
        <v>0.7</v>
      </c>
      <c r="O35" t="str">
        <f>L35</f>
        <v>Wayside Builders, LLC</v>
      </c>
      <c r="Q35" s="708">
        <v>0.5</v>
      </c>
      <c r="R35" s="840" t="str">
        <f>K35</f>
        <v>SUB</v>
      </c>
      <c r="S35" s="826"/>
      <c r="T35" s="826"/>
    </row>
    <row r="36" spans="8:22" ht="40.200000000000003" customHeight="1">
      <c r="H36" s="938" t="s">
        <v>647</v>
      </c>
      <c r="I36" s="939"/>
      <c r="J36" s="709">
        <v>1</v>
      </c>
      <c r="K36" s="710">
        <v>0</v>
      </c>
      <c r="L36" s="711">
        <f t="shared" ref="L36:L42" si="0">J36*K36</f>
        <v>0</v>
      </c>
      <c r="N36" s="712">
        <f t="shared" ref="N36:N42" si="1">J36*$N$35</f>
        <v>0.7</v>
      </c>
      <c r="O36" s="713">
        <f t="shared" ref="O36:O42" si="2">N36*K36</f>
        <v>0</v>
      </c>
      <c r="Q36" s="712">
        <f t="shared" ref="Q36:Q42" si="3">J36*$Q$35</f>
        <v>0.5</v>
      </c>
      <c r="R36" s="712">
        <f t="shared" ref="R36:R42" si="4">Q36*K36</f>
        <v>0</v>
      </c>
      <c r="S36" s="710"/>
      <c r="T36" s="710"/>
      <c r="U36" s="710">
        <v>0.5</v>
      </c>
      <c r="V36" s="710">
        <v>0.5</v>
      </c>
    </row>
    <row r="37" spans="8:22" ht="40.200000000000003" customHeight="1" thickBot="1">
      <c r="H37" s="938" t="s">
        <v>648</v>
      </c>
      <c r="I37" s="939"/>
      <c r="J37" s="714">
        <v>1</v>
      </c>
      <c r="K37" s="710">
        <v>0</v>
      </c>
      <c r="L37" s="712">
        <f t="shared" si="0"/>
        <v>0</v>
      </c>
      <c r="N37" s="715">
        <f t="shared" si="1"/>
        <v>0.7</v>
      </c>
      <c r="O37" s="713">
        <f t="shared" si="2"/>
        <v>0</v>
      </c>
      <c r="Q37" s="715">
        <f t="shared" si="3"/>
        <v>0.5</v>
      </c>
      <c r="R37" s="712">
        <f t="shared" si="4"/>
        <v>0</v>
      </c>
      <c r="S37" s="710"/>
      <c r="T37" s="710"/>
      <c r="U37" s="710"/>
      <c r="V37" s="710"/>
    </row>
    <row r="38" spans="8:22" ht="40.200000000000003" customHeight="1" thickTop="1" thickBot="1">
      <c r="H38" s="716" t="s">
        <v>649</v>
      </c>
      <c r="J38" s="709">
        <v>33149.78</v>
      </c>
      <c r="K38" s="710">
        <v>0.2</v>
      </c>
      <c r="L38" s="711">
        <f t="shared" si="0"/>
        <v>6629.9560000000001</v>
      </c>
      <c r="N38" s="712">
        <f t="shared" si="1"/>
        <v>23204.845999999998</v>
      </c>
      <c r="O38" s="713">
        <f t="shared" si="2"/>
        <v>4640.9691999999995</v>
      </c>
      <c r="Q38" s="712">
        <f t="shared" si="3"/>
        <v>16574.89</v>
      </c>
      <c r="R38" s="712">
        <f t="shared" si="4"/>
        <v>3314.9780000000001</v>
      </c>
      <c r="S38" s="710"/>
      <c r="T38" s="710"/>
      <c r="U38" s="710">
        <v>0.66</v>
      </c>
      <c r="V38" s="710">
        <v>0.33</v>
      </c>
    </row>
    <row r="39" spans="8:22" ht="40.200000000000003" customHeight="1" thickTop="1">
      <c r="H39" s="934" t="s">
        <v>650</v>
      </c>
      <c r="I39" s="935"/>
      <c r="J39" s="714">
        <v>0</v>
      </c>
      <c r="K39" s="710">
        <v>0.2</v>
      </c>
      <c r="L39" s="712">
        <f t="shared" si="0"/>
        <v>0</v>
      </c>
      <c r="N39" s="715">
        <f t="shared" si="1"/>
        <v>0</v>
      </c>
      <c r="O39" s="713">
        <f t="shared" si="2"/>
        <v>0</v>
      </c>
      <c r="Q39" s="715">
        <f t="shared" si="3"/>
        <v>0</v>
      </c>
      <c r="R39" s="712">
        <f t="shared" si="4"/>
        <v>0</v>
      </c>
      <c r="S39" s="710"/>
      <c r="T39" s="710"/>
      <c r="U39" s="710">
        <v>0.66</v>
      </c>
      <c r="V39" s="710">
        <v>0.33</v>
      </c>
    </row>
    <row r="40" spans="8:22" ht="40.200000000000003" customHeight="1">
      <c r="H40" s="934" t="s">
        <v>651</v>
      </c>
      <c r="I40" s="935"/>
      <c r="J40" s="709">
        <f>97116.91-J38-4</f>
        <v>63963.130000000005</v>
      </c>
      <c r="K40" s="710">
        <v>0.8</v>
      </c>
      <c r="L40" s="711">
        <f t="shared" si="0"/>
        <v>51170.504000000008</v>
      </c>
      <c r="N40" s="712">
        <f t="shared" si="1"/>
        <v>44774.190999999999</v>
      </c>
      <c r="O40" s="713">
        <f t="shared" si="2"/>
        <v>35819.352800000001</v>
      </c>
      <c r="Q40" s="712">
        <f t="shared" si="3"/>
        <v>31981.565000000002</v>
      </c>
      <c r="R40" s="712">
        <f t="shared" si="4"/>
        <v>25585.252000000004</v>
      </c>
      <c r="S40" s="710"/>
      <c r="T40" s="710"/>
      <c r="U40" s="710">
        <v>0.8</v>
      </c>
      <c r="V40" s="710">
        <v>0.2</v>
      </c>
    </row>
    <row r="41" spans="8:22" ht="40.200000000000003" customHeight="1">
      <c r="H41" s="940" t="s">
        <v>652</v>
      </c>
      <c r="I41" s="940"/>
      <c r="J41" s="714">
        <v>1</v>
      </c>
      <c r="K41" s="710">
        <v>0</v>
      </c>
      <c r="L41" s="712">
        <f t="shared" si="0"/>
        <v>0</v>
      </c>
      <c r="N41" s="715">
        <f t="shared" si="1"/>
        <v>0.7</v>
      </c>
      <c r="O41" s="713">
        <f t="shared" si="2"/>
        <v>0</v>
      </c>
      <c r="Q41" s="715">
        <f t="shared" si="3"/>
        <v>0.5</v>
      </c>
      <c r="R41" s="712">
        <f t="shared" si="4"/>
        <v>0</v>
      </c>
      <c r="S41" s="710"/>
      <c r="T41" s="710"/>
    </row>
    <row r="42" spans="8:22" ht="40.200000000000003" customHeight="1">
      <c r="H42" s="934" t="s">
        <v>653</v>
      </c>
      <c r="I42" s="935"/>
      <c r="J42" s="717">
        <v>0</v>
      </c>
      <c r="K42" s="710">
        <v>0.1</v>
      </c>
      <c r="L42" s="718">
        <f t="shared" si="0"/>
        <v>0</v>
      </c>
      <c r="N42" s="712">
        <f t="shared" si="1"/>
        <v>0</v>
      </c>
      <c r="O42" s="713">
        <f t="shared" si="2"/>
        <v>0</v>
      </c>
      <c r="Q42" s="719">
        <f t="shared" si="3"/>
        <v>0</v>
      </c>
      <c r="R42" s="719">
        <f t="shared" si="4"/>
        <v>0</v>
      </c>
      <c r="S42" s="710"/>
      <c r="T42" s="710"/>
      <c r="U42" s="710">
        <v>0.66</v>
      </c>
      <c r="V42" s="710">
        <v>0.33</v>
      </c>
    </row>
    <row r="43" spans="8:22" ht="22.2" customHeight="1">
      <c r="H43" s="720" t="s">
        <v>654</v>
      </c>
      <c r="I43" s="580"/>
      <c r="J43" s="721">
        <f>SUM(J36:J42)</f>
        <v>97115.91</v>
      </c>
      <c r="K43" s="722"/>
      <c r="L43" s="723">
        <f>SUM(L36:L42)</f>
        <v>57800.460000000006</v>
      </c>
      <c r="M43" s="580"/>
      <c r="N43" s="724">
        <f>SUM(N36:N42)</f>
        <v>67981.137000000002</v>
      </c>
      <c r="O43" s="723">
        <f>SUM(O36:O42)</f>
        <v>40460.322</v>
      </c>
      <c r="P43" s="580"/>
      <c r="Q43" s="724">
        <f>SUM(Q36:Q42)</f>
        <v>48557.955000000002</v>
      </c>
      <c r="R43" s="723">
        <f>SUM(R36:R42)</f>
        <v>28900.230000000003</v>
      </c>
    </row>
    <row r="44" spans="8:22" ht="22.2" customHeight="1">
      <c r="H44" s="720"/>
      <c r="I44" s="580"/>
      <c r="J44" s="721"/>
      <c r="K44" s="722"/>
      <c r="L44" s="723"/>
      <c r="M44" s="580"/>
      <c r="N44" s="724"/>
      <c r="O44" s="723"/>
      <c r="P44" s="580"/>
      <c r="Q44" s="724"/>
      <c r="R44" s="723"/>
    </row>
    <row r="45" spans="8:22" ht="43.95" customHeight="1">
      <c r="H45" s="937" t="s">
        <v>642</v>
      </c>
      <c r="I45" s="937"/>
      <c r="J45" s="891" t="s">
        <v>643</v>
      </c>
      <c r="K45" s="891"/>
      <c r="L45" s="891"/>
      <c r="N45" t="s">
        <v>655</v>
      </c>
      <c r="O45" s="183"/>
      <c r="Q45" t="s">
        <v>645</v>
      </c>
    </row>
    <row r="46" spans="8:22" ht="40.200000000000003" customHeight="1">
      <c r="H46" s="937"/>
      <c r="I46" s="937"/>
      <c r="J46" s="707">
        <v>1</v>
      </c>
      <c r="K46" s="941" t="s">
        <v>641</v>
      </c>
      <c r="L46" s="941"/>
      <c r="N46" s="708">
        <v>0.7</v>
      </c>
      <c r="O46">
        <f>L46</f>
        <v>0</v>
      </c>
      <c r="Q46" s="708">
        <v>0.5</v>
      </c>
      <c r="R46" s="840" t="str">
        <f>K46</f>
        <v>APC</v>
      </c>
    </row>
    <row r="47" spans="8:22" ht="40.200000000000003" customHeight="1">
      <c r="H47" s="938" t="s">
        <v>647</v>
      </c>
      <c r="I47" s="939"/>
      <c r="J47" s="709">
        <f>J36</f>
        <v>1</v>
      </c>
      <c r="K47" s="710">
        <f>100%-K36</f>
        <v>1</v>
      </c>
      <c r="L47" s="711">
        <f t="shared" ref="L47:L53" si="5">J47*K47</f>
        <v>1</v>
      </c>
      <c r="N47" s="712">
        <f t="shared" ref="N47:N53" si="6">J47*$N$35</f>
        <v>0.7</v>
      </c>
      <c r="O47" s="713">
        <f t="shared" ref="O47:O53" si="7">N47*K47</f>
        <v>0.7</v>
      </c>
      <c r="Q47" s="712">
        <f t="shared" ref="Q47:Q53" si="8">J47*$Q$35</f>
        <v>0.5</v>
      </c>
      <c r="R47" s="712">
        <f t="shared" ref="R47:R53" si="9">Q47*K47</f>
        <v>0.5</v>
      </c>
    </row>
    <row r="48" spans="8:22" ht="40.200000000000003" customHeight="1" thickBot="1">
      <c r="H48" s="938" t="s">
        <v>648</v>
      </c>
      <c r="I48" s="939"/>
      <c r="J48" s="714">
        <v>1</v>
      </c>
      <c r="K48" s="710">
        <f t="shared" ref="K48:K53" si="10">100%-K37</f>
        <v>1</v>
      </c>
      <c r="L48" s="712">
        <f t="shared" si="5"/>
        <v>1</v>
      </c>
      <c r="N48" s="715">
        <f t="shared" si="6"/>
        <v>0.7</v>
      </c>
      <c r="O48" s="713">
        <f t="shared" si="7"/>
        <v>0.7</v>
      </c>
      <c r="Q48" s="715">
        <f t="shared" si="8"/>
        <v>0.5</v>
      </c>
      <c r="R48" s="712">
        <f t="shared" si="9"/>
        <v>0.5</v>
      </c>
    </row>
    <row r="49" spans="8:18" ht="40.200000000000003" customHeight="1" thickTop="1" thickBot="1">
      <c r="H49" s="716" t="s">
        <v>649</v>
      </c>
      <c r="J49" s="709">
        <f>J38</f>
        <v>33149.78</v>
      </c>
      <c r="K49" s="710">
        <f t="shared" si="10"/>
        <v>0.8</v>
      </c>
      <c r="L49" s="711">
        <f t="shared" si="5"/>
        <v>26519.824000000001</v>
      </c>
      <c r="N49" s="712">
        <f t="shared" si="6"/>
        <v>23204.845999999998</v>
      </c>
      <c r="O49" s="713">
        <f>N49*K49</f>
        <v>18563.876799999998</v>
      </c>
      <c r="Q49" s="712">
        <f t="shared" si="8"/>
        <v>16574.89</v>
      </c>
      <c r="R49" s="712">
        <f t="shared" si="9"/>
        <v>13259.912</v>
      </c>
    </row>
    <row r="50" spans="8:18" ht="40.200000000000003" customHeight="1" thickTop="1">
      <c r="H50" s="934" t="s">
        <v>650</v>
      </c>
      <c r="I50" s="935"/>
      <c r="J50" s="714">
        <v>0</v>
      </c>
      <c r="K50" s="710">
        <f t="shared" si="10"/>
        <v>0.8</v>
      </c>
      <c r="L50" s="712">
        <f t="shared" si="5"/>
        <v>0</v>
      </c>
      <c r="N50" s="715">
        <f t="shared" si="6"/>
        <v>0</v>
      </c>
      <c r="O50" s="713">
        <f t="shared" si="7"/>
        <v>0</v>
      </c>
      <c r="Q50" s="715">
        <f t="shared" si="8"/>
        <v>0</v>
      </c>
      <c r="R50" s="712">
        <f t="shared" si="9"/>
        <v>0</v>
      </c>
    </row>
    <row r="51" spans="8:18" ht="40.200000000000003" customHeight="1">
      <c r="H51" s="934" t="s">
        <v>651</v>
      </c>
      <c r="I51" s="935"/>
      <c r="J51" s="709">
        <f>J40</f>
        <v>63963.130000000005</v>
      </c>
      <c r="K51" s="710">
        <f t="shared" si="10"/>
        <v>0.19999999999999996</v>
      </c>
      <c r="L51" s="711">
        <f t="shared" si="5"/>
        <v>12792.625999999998</v>
      </c>
      <c r="N51" s="712">
        <f t="shared" si="6"/>
        <v>44774.190999999999</v>
      </c>
      <c r="O51" s="713">
        <f>N51*K51</f>
        <v>8954.8381999999983</v>
      </c>
      <c r="Q51" s="712">
        <f t="shared" si="8"/>
        <v>31981.565000000002</v>
      </c>
      <c r="R51" s="712">
        <f>Q51*K51</f>
        <v>6396.3129999999992</v>
      </c>
    </row>
    <row r="52" spans="8:18" ht="40.200000000000003" customHeight="1">
      <c r="H52" s="940" t="s">
        <v>652</v>
      </c>
      <c r="I52" s="940"/>
      <c r="J52" s="714">
        <v>1</v>
      </c>
      <c r="K52" s="710">
        <f t="shared" si="10"/>
        <v>1</v>
      </c>
      <c r="L52" s="712">
        <f t="shared" si="5"/>
        <v>1</v>
      </c>
      <c r="N52" s="715">
        <f t="shared" si="6"/>
        <v>0.7</v>
      </c>
      <c r="O52" s="713">
        <f t="shared" si="7"/>
        <v>0.7</v>
      </c>
      <c r="Q52" s="715">
        <f t="shared" si="8"/>
        <v>0.5</v>
      </c>
      <c r="R52" s="712">
        <f t="shared" si="9"/>
        <v>0.5</v>
      </c>
    </row>
    <row r="53" spans="8:18" ht="40.200000000000003" customHeight="1">
      <c r="H53" s="934" t="s">
        <v>653</v>
      </c>
      <c r="I53" s="935"/>
      <c r="J53" s="717">
        <v>0</v>
      </c>
      <c r="K53" s="710">
        <f t="shared" si="10"/>
        <v>0.9</v>
      </c>
      <c r="L53" s="718">
        <f t="shared" si="5"/>
        <v>0</v>
      </c>
      <c r="N53" s="712">
        <f t="shared" si="6"/>
        <v>0</v>
      </c>
      <c r="O53" s="713">
        <f t="shared" si="7"/>
        <v>0</v>
      </c>
      <c r="Q53" s="719">
        <f t="shared" si="8"/>
        <v>0</v>
      </c>
      <c r="R53" s="719">
        <f t="shared" si="9"/>
        <v>0</v>
      </c>
    </row>
    <row r="54" spans="8:18" ht="40.200000000000003" customHeight="1">
      <c r="H54" s="720" t="s">
        <v>654</v>
      </c>
      <c r="I54" s="580"/>
      <c r="J54" s="721">
        <f>SUM(J47:J53)</f>
        <v>97115.91</v>
      </c>
      <c r="K54" s="722"/>
      <c r="L54" s="723">
        <f>SUM(L47:L53)</f>
        <v>39315.449999999997</v>
      </c>
      <c r="M54" s="580"/>
      <c r="N54" s="724">
        <f>SUM(N47:N53)</f>
        <v>67981.137000000002</v>
      </c>
      <c r="O54" s="723">
        <f>SUM(O47:O53)</f>
        <v>27520.814999999999</v>
      </c>
      <c r="P54" s="580"/>
      <c r="Q54" s="724">
        <f>SUM(Q47:Q53)</f>
        <v>48557.955000000002</v>
      </c>
      <c r="R54" s="723">
        <f>SUM(R47:R53)</f>
        <v>19657.724999999999</v>
      </c>
    </row>
    <row r="55" spans="8:18" ht="40.200000000000003" customHeight="1">
      <c r="H55" t="s">
        <v>656</v>
      </c>
      <c r="J55" t="s">
        <v>657</v>
      </c>
    </row>
    <row r="56" spans="8:18" ht="40.200000000000003" customHeight="1" thickBot="1">
      <c r="H56" s="934" t="s">
        <v>651</v>
      </c>
      <c r="I56" s="935"/>
      <c r="J56" s="725">
        <f>J54</f>
        <v>97115.91</v>
      </c>
      <c r="K56" s="183" t="s">
        <v>641</v>
      </c>
    </row>
    <row r="57" spans="8:18" ht="40.200000000000003" customHeight="1" thickTop="1" thickBot="1">
      <c r="H57" s="726" t="s">
        <v>649</v>
      </c>
      <c r="I57" s="839"/>
      <c r="J57" s="719">
        <f>-J49</f>
        <v>-33149.78</v>
      </c>
      <c r="K57" s="183"/>
    </row>
    <row r="58" spans="8:18" ht="14.4" thickTop="1">
      <c r="J58" s="725">
        <f>J57+J56</f>
        <v>63966.130000000005</v>
      </c>
    </row>
    <row r="59" spans="8:18" ht="18">
      <c r="I59" s="710">
        <v>0.2</v>
      </c>
      <c r="J59" s="719">
        <f>-J58*I59</f>
        <v>-12793.226000000002</v>
      </c>
      <c r="K59" s="725">
        <f>-J59</f>
        <v>12793.226000000002</v>
      </c>
    </row>
    <row r="60" spans="8:18">
      <c r="J60" s="725">
        <f>J58+J59</f>
        <v>51172.904000000002</v>
      </c>
    </row>
    <row r="62" spans="8:18">
      <c r="H62" t="s">
        <v>658</v>
      </c>
      <c r="J62" s="727">
        <v>-20000</v>
      </c>
    </row>
    <row r="63" spans="8:18">
      <c r="J63" s="728">
        <f>J60+J62</f>
        <v>31172.904000000002</v>
      </c>
    </row>
    <row r="64" spans="8:18">
      <c r="J64" s="728"/>
    </row>
    <row r="65" spans="8:17">
      <c r="H65" t="s">
        <v>659</v>
      </c>
      <c r="J65" s="728">
        <v>14000</v>
      </c>
      <c r="K65" s="725">
        <f>-J65</f>
        <v>-14000</v>
      </c>
    </row>
    <row r="66" spans="8:17">
      <c r="J66" s="727">
        <v>1</v>
      </c>
    </row>
    <row r="67" spans="8:17">
      <c r="J67" s="728">
        <f>J63+J65</f>
        <v>45172.904000000002</v>
      </c>
    </row>
    <row r="68" spans="8:17">
      <c r="H68" t="s">
        <v>658</v>
      </c>
      <c r="J68" s="727">
        <v>7000</v>
      </c>
    </row>
    <row r="69" spans="8:17">
      <c r="J69" s="727"/>
    </row>
    <row r="70" spans="8:17">
      <c r="J70" s="728">
        <f>J67+J68</f>
        <v>52172.904000000002</v>
      </c>
    </row>
    <row r="71" spans="8:17">
      <c r="J71" s="728"/>
    </row>
    <row r="72" spans="8:17" ht="14.4" thickBot="1">
      <c r="J72" s="728"/>
    </row>
    <row r="73" spans="8:17" ht="15" thickTop="1" thickBot="1">
      <c r="H73" s="716" t="s">
        <v>649</v>
      </c>
    </row>
    <row r="74" spans="8:17" ht="15.6" thickTop="1">
      <c r="I74" s="709">
        <f>J49</f>
        <v>33149.78</v>
      </c>
    </row>
    <row r="75" spans="8:17" ht="18">
      <c r="I75" s="710">
        <v>0.2</v>
      </c>
      <c r="J75" s="727">
        <f>I74*I75</f>
        <v>6629.9560000000001</v>
      </c>
      <c r="K75" s="719">
        <f>I74-J75</f>
        <v>26519.824000000001</v>
      </c>
    </row>
    <row r="76" spans="8:17" ht="15">
      <c r="J76" s="725">
        <f>J70+J75</f>
        <v>58802.86</v>
      </c>
      <c r="K76" s="725">
        <f>SUM(K59:K75)</f>
        <v>25313.050000000003</v>
      </c>
      <c r="N76" s="729">
        <v>33150</v>
      </c>
    </row>
    <row r="77" spans="8:17" ht="15">
      <c r="N77" s="729">
        <v>36917.18</v>
      </c>
      <c r="Q77" s="725">
        <f>N77</f>
        <v>36917.18</v>
      </c>
    </row>
    <row r="78" spans="8:17">
      <c r="N78" s="728">
        <f>N76+N77</f>
        <v>70067.179999999993</v>
      </c>
      <c r="Q78" s="725">
        <f>K82</f>
        <v>7836.7299999999959</v>
      </c>
    </row>
    <row r="79" spans="8:17">
      <c r="N79" s="728">
        <v>20000</v>
      </c>
      <c r="Q79" s="725">
        <f>+Q77+Q78</f>
        <v>44753.909999999996</v>
      </c>
    </row>
    <row r="80" spans="8:17">
      <c r="J80" s="725">
        <f>J76+K76</f>
        <v>84115.91</v>
      </c>
      <c r="K80" s="725">
        <f>I74</f>
        <v>33149.78</v>
      </c>
      <c r="L80" t="s">
        <v>660</v>
      </c>
      <c r="N80" s="728">
        <f>N78+N79</f>
        <v>90067.18</v>
      </c>
      <c r="Q80" s="725">
        <f>+N81</f>
        <v>7048.7300000000105</v>
      </c>
    </row>
    <row r="81" spans="10:17">
      <c r="J81" s="719">
        <f>-J62</f>
        <v>20000</v>
      </c>
      <c r="K81" s="725">
        <f>-K76</f>
        <v>-25313.050000000003</v>
      </c>
      <c r="L81" t="s">
        <v>661</v>
      </c>
      <c r="N81" s="725">
        <f>J84-N80</f>
        <v>7048.7300000000105</v>
      </c>
      <c r="O81" t="s">
        <v>662</v>
      </c>
    </row>
    <row r="82" spans="10:17">
      <c r="J82" s="725">
        <f>J80+J81</f>
        <v>104115.91</v>
      </c>
      <c r="K82" s="725">
        <f>K80+K81</f>
        <v>7836.7299999999959</v>
      </c>
      <c r="L82" t="s">
        <v>663</v>
      </c>
      <c r="N82" s="725">
        <f>+N80+N81</f>
        <v>97115.91</v>
      </c>
      <c r="Q82" s="725">
        <f>SUM(Q79:Q81)</f>
        <v>51802.640000000007</v>
      </c>
    </row>
    <row r="83" spans="10:17">
      <c r="J83" s="719">
        <f>-J68</f>
        <v>-7000</v>
      </c>
    </row>
    <row r="84" spans="10:17">
      <c r="J84" s="725">
        <f>J82+J83</f>
        <v>97115.91</v>
      </c>
    </row>
  </sheetData>
  <mergeCells count="56">
    <mergeCell ref="H51:I51"/>
    <mergeCell ref="H52:I52"/>
    <mergeCell ref="H53:I53"/>
    <mergeCell ref="H56:I56"/>
    <mergeCell ref="H45:I46"/>
    <mergeCell ref="J45:L45"/>
    <mergeCell ref="K46:L46"/>
    <mergeCell ref="H47:I47"/>
    <mergeCell ref="H48:I48"/>
    <mergeCell ref="H50:I50"/>
    <mergeCell ref="H42:I42"/>
    <mergeCell ref="M30:N30"/>
    <mergeCell ref="M31:N31"/>
    <mergeCell ref="M32:N32"/>
    <mergeCell ref="H33:R33"/>
    <mergeCell ref="H34:I35"/>
    <mergeCell ref="J34:L34"/>
    <mergeCell ref="H36:I36"/>
    <mergeCell ref="H37:I37"/>
    <mergeCell ref="H39:I39"/>
    <mergeCell ref="H40:I40"/>
    <mergeCell ref="H41:I41"/>
    <mergeCell ref="M27:N27"/>
    <mergeCell ref="P27:R27"/>
    <mergeCell ref="M28:N28"/>
    <mergeCell ref="P28:R28"/>
    <mergeCell ref="M29:N29"/>
    <mergeCell ref="P29:R29"/>
    <mergeCell ref="M24:N24"/>
    <mergeCell ref="O24:R24"/>
    <mergeCell ref="M25:N25"/>
    <mergeCell ref="P25:R25"/>
    <mergeCell ref="M26:N26"/>
    <mergeCell ref="P26:R26"/>
    <mergeCell ref="B18:C18"/>
    <mergeCell ref="D18:E18"/>
    <mergeCell ref="O20:O23"/>
    <mergeCell ref="P20:R20"/>
    <mergeCell ref="J21:J23"/>
    <mergeCell ref="N21:N23"/>
    <mergeCell ref="P21:R21"/>
    <mergeCell ref="P22:R22"/>
    <mergeCell ref="P23:R23"/>
    <mergeCell ref="B15:C15"/>
    <mergeCell ref="D15:E15"/>
    <mergeCell ref="B16:C16"/>
    <mergeCell ref="D16:E16"/>
    <mergeCell ref="B17:C17"/>
    <mergeCell ref="D17:E17"/>
    <mergeCell ref="B14:C14"/>
    <mergeCell ref="D14:E14"/>
    <mergeCell ref="A1:F1"/>
    <mergeCell ref="A8:F8"/>
    <mergeCell ref="A9:F9"/>
    <mergeCell ref="A10:F10"/>
    <mergeCell ref="B13:C13"/>
  </mergeCells>
  <printOptions gridLines="1"/>
  <pageMargins left="0.25" right="0.15" top="0.34" bottom="0.25" header="0.25" footer="0.08"/>
  <pageSetup orientation="landscape" r:id="rId1"/>
  <headerFooter>
    <oddFooter>&amp;LPage # &amp;P of &amp;N   &amp;A&amp;C&amp;D&amp;T&amp;R&amp;F</oddFooter>
  </headerFooter>
  <rowBreaks count="1" manualBreakCount="1">
    <brk id="54" min="7" max="17" man="1"/>
  </rowBreaks>
  <colBreaks count="1" manualBreakCount="1">
    <brk id="7" max="56"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92BC7-1B7B-4E9F-B9B9-D651726AC25B}">
  <sheetPr codeName="Sheet13">
    <tabColor rgb="FFFFFF00"/>
  </sheetPr>
  <dimension ref="A1:K232"/>
  <sheetViews>
    <sheetView topLeftCell="A90" workbookViewId="0">
      <selection activeCell="B37" sqref="B37"/>
    </sheetView>
  </sheetViews>
  <sheetFormatPr defaultRowHeight="13.8"/>
  <cols>
    <col min="2" max="2" width="65.8984375" bestFit="1" customWidth="1"/>
    <col min="3" max="3" width="2" customWidth="1"/>
    <col min="4" max="4" width="27.8984375" customWidth="1"/>
    <col min="5" max="5" width="2.69921875" customWidth="1"/>
    <col min="6" max="6" width="6.59765625" customWidth="1"/>
    <col min="7" max="7" width="46" bestFit="1" customWidth="1"/>
    <col min="8" max="8" width="47.19921875" customWidth="1"/>
    <col min="10" max="10" width="23.59765625" bestFit="1" customWidth="1"/>
    <col min="11" max="11" width="15.69921875" style="335" customWidth="1"/>
  </cols>
  <sheetData>
    <row r="1" spans="1:11">
      <c r="D1" t="s">
        <v>664</v>
      </c>
    </row>
    <row r="2" spans="1:11">
      <c r="A2" t="s">
        <v>665</v>
      </c>
      <c r="B2" t="s">
        <v>666</v>
      </c>
      <c r="D2" s="549" t="s">
        <v>667</v>
      </c>
    </row>
    <row r="3" spans="1:11">
      <c r="B3" t="s">
        <v>668</v>
      </c>
    </row>
    <row r="4" spans="1:11">
      <c r="B4" t="s">
        <v>669</v>
      </c>
    </row>
    <row r="5" spans="1:11">
      <c r="B5" s="549" t="s">
        <v>670</v>
      </c>
    </row>
    <row r="6" spans="1:11">
      <c r="B6" s="549"/>
    </row>
    <row r="7" spans="1:11">
      <c r="B7" s="549"/>
    </row>
    <row r="8" spans="1:11">
      <c r="A8" t="s">
        <v>665</v>
      </c>
      <c r="B8" s="431" t="s">
        <v>671</v>
      </c>
      <c r="D8" s="536" t="s">
        <v>672</v>
      </c>
    </row>
    <row r="9" spans="1:11">
      <c r="B9" s="536" t="s">
        <v>672</v>
      </c>
      <c r="K9" s="545" t="s">
        <v>263</v>
      </c>
    </row>
    <row r="10" spans="1:11">
      <c r="B10" s="430" t="s">
        <v>673</v>
      </c>
      <c r="K10" s="545"/>
    </row>
    <row r="11" spans="1:11">
      <c r="B11" s="1" t="s">
        <v>674</v>
      </c>
      <c r="K11" s="545"/>
    </row>
    <row r="12" spans="1:11">
      <c r="B12" s="1" t="s">
        <v>675</v>
      </c>
      <c r="K12" s="545" t="s">
        <v>676</v>
      </c>
    </row>
    <row r="13" spans="1:11">
      <c r="B13" s="1" t="s">
        <v>677</v>
      </c>
      <c r="D13" s="536"/>
      <c r="K13" s="545" t="s">
        <v>678</v>
      </c>
    </row>
    <row r="14" spans="1:11">
      <c r="B14" s="1" t="s">
        <v>263</v>
      </c>
      <c r="K14" s="545" t="s">
        <v>679</v>
      </c>
    </row>
    <row r="15" spans="1:11">
      <c r="B15" s="1" t="s">
        <v>676</v>
      </c>
      <c r="K15" s="545" t="s">
        <v>680</v>
      </c>
    </row>
    <row r="16" spans="1:11">
      <c r="B16" s="1" t="s">
        <v>278</v>
      </c>
      <c r="K16" s="545" t="s">
        <v>681</v>
      </c>
    </row>
    <row r="17" spans="2:11">
      <c r="B17" s="1" t="s">
        <v>682</v>
      </c>
      <c r="K17" s="545" t="s">
        <v>683</v>
      </c>
    </row>
    <row r="18" spans="2:11">
      <c r="B18" s="553" t="s">
        <v>320</v>
      </c>
      <c r="K18" s="545" t="s">
        <v>684</v>
      </c>
    </row>
    <row r="19" spans="2:11">
      <c r="B19" s="1" t="s">
        <v>685</v>
      </c>
      <c r="K19" s="545" t="s">
        <v>686</v>
      </c>
    </row>
    <row r="20" spans="2:11">
      <c r="B20" s="1" t="s">
        <v>683</v>
      </c>
      <c r="K20" s="545" t="s">
        <v>687</v>
      </c>
    </row>
    <row r="21" spans="2:11">
      <c r="B21" s="1" t="s">
        <v>688</v>
      </c>
      <c r="K21" s="545"/>
    </row>
    <row r="22" spans="2:11">
      <c r="B22" s="1" t="s">
        <v>689</v>
      </c>
      <c r="K22" s="545"/>
    </row>
    <row r="23" spans="2:11">
      <c r="B23" s="1" t="s">
        <v>690</v>
      </c>
      <c r="K23" s="545"/>
    </row>
    <row r="24" spans="2:11">
      <c r="B24" s="1" t="s">
        <v>294</v>
      </c>
      <c r="K24" s="545"/>
    </row>
    <row r="25" spans="2:11">
      <c r="B25" s="1" t="s">
        <v>691</v>
      </c>
      <c r="K25" s="545"/>
    </row>
    <row r="26" spans="2:11">
      <c r="B26" s="1"/>
      <c r="K26" s="545"/>
    </row>
    <row r="27" spans="2:11">
      <c r="B27" s="182" t="s">
        <v>692</v>
      </c>
      <c r="K27" s="545"/>
    </row>
    <row r="28" spans="2:11">
      <c r="B28" s="512" t="s">
        <v>693</v>
      </c>
      <c r="K28" s="545"/>
    </row>
    <row r="29" spans="2:11">
      <c r="B29" s="512" t="s">
        <v>694</v>
      </c>
      <c r="K29" s="545"/>
    </row>
    <row r="30" spans="2:11">
      <c r="B30" s="1" t="s">
        <v>695</v>
      </c>
      <c r="K30" s="545"/>
    </row>
    <row r="31" spans="2:11">
      <c r="B31" s="1" t="s">
        <v>696</v>
      </c>
      <c r="K31" s="545"/>
    </row>
    <row r="32" spans="2:11">
      <c r="B32" s="1" t="s">
        <v>697</v>
      </c>
      <c r="K32" s="545"/>
    </row>
    <row r="33" spans="2:11">
      <c r="B33" s="1" t="s">
        <v>698</v>
      </c>
      <c r="K33" s="545"/>
    </row>
    <row r="34" spans="2:11">
      <c r="B34" s="1" t="s">
        <v>699</v>
      </c>
      <c r="K34" s="545"/>
    </row>
    <row r="35" spans="2:11">
      <c r="B35" s="536" t="s">
        <v>700</v>
      </c>
      <c r="K35" s="545"/>
    </row>
    <row r="36" spans="2:11">
      <c r="B36" s="1" t="s">
        <v>691</v>
      </c>
      <c r="K36" s="545"/>
    </row>
    <row r="37" spans="2:11">
      <c r="B37" s="536"/>
      <c r="K37" s="545"/>
    </row>
    <row r="38" spans="2:11">
      <c r="B38" s="1"/>
      <c r="K38" s="545"/>
    </row>
    <row r="39" spans="2:11">
      <c r="B39" s="182" t="s">
        <v>701</v>
      </c>
      <c r="K39" s="545"/>
    </row>
    <row r="40" spans="2:11">
      <c r="B40" s="836"/>
      <c r="K40" s="545"/>
    </row>
    <row r="41" spans="2:11">
      <c r="B41" s="512" t="s">
        <v>300</v>
      </c>
      <c r="K41" s="545"/>
    </row>
    <row r="42" spans="2:11">
      <c r="B42" s="512" t="s">
        <v>702</v>
      </c>
      <c r="K42" s="545"/>
    </row>
    <row r="43" spans="2:11">
      <c r="B43" s="512" t="s">
        <v>309</v>
      </c>
      <c r="K43" s="545"/>
    </row>
    <row r="44" spans="2:11">
      <c r="B44" s="1" t="s">
        <v>684</v>
      </c>
      <c r="K44" s="545" t="s">
        <v>703</v>
      </c>
    </row>
    <row r="45" spans="2:11">
      <c r="B45" s="1" t="s">
        <v>704</v>
      </c>
      <c r="D45" t="s">
        <v>705</v>
      </c>
      <c r="K45" s="545" t="s">
        <v>695</v>
      </c>
    </row>
    <row r="46" spans="2:11" ht="16.2" customHeight="1">
      <c r="B46" s="552" t="s">
        <v>706</v>
      </c>
      <c r="K46" s="545" t="s">
        <v>707</v>
      </c>
    </row>
    <row r="47" spans="2:11">
      <c r="B47" s="1" t="s">
        <v>708</v>
      </c>
      <c r="K47" s="545" t="s">
        <v>709</v>
      </c>
    </row>
    <row r="48" spans="2:11">
      <c r="B48" s="1" t="s">
        <v>710</v>
      </c>
      <c r="K48" s="545"/>
    </row>
    <row r="49" spans="2:11">
      <c r="B49" s="1" t="s">
        <v>695</v>
      </c>
      <c r="K49" s="545" t="s">
        <v>699</v>
      </c>
    </row>
    <row r="50" spans="2:11">
      <c r="B50" s="1" t="s">
        <v>696</v>
      </c>
      <c r="K50" s="545" t="s">
        <v>674</v>
      </c>
    </row>
    <row r="51" spans="2:11">
      <c r="B51" s="1" t="s">
        <v>697</v>
      </c>
      <c r="K51" s="545"/>
    </row>
    <row r="52" spans="2:11">
      <c r="B52" s="1" t="s">
        <v>698</v>
      </c>
      <c r="K52" s="545" t="s">
        <v>711</v>
      </c>
    </row>
    <row r="53" spans="2:11">
      <c r="B53" s="1"/>
      <c r="K53" s="545"/>
    </row>
    <row r="54" spans="2:11">
      <c r="B54" s="182" t="s">
        <v>712</v>
      </c>
      <c r="K54" s="545"/>
    </row>
    <row r="55" spans="2:11">
      <c r="B55" s="1" t="s">
        <v>699</v>
      </c>
    </row>
    <row r="56" spans="2:11">
      <c r="B56" s="512" t="s">
        <v>713</v>
      </c>
    </row>
    <row r="57" spans="2:11">
      <c r="B57" s="1" t="s">
        <v>714</v>
      </c>
      <c r="J57" s="1"/>
    </row>
    <row r="58" spans="2:11">
      <c r="B58" s="1" t="s">
        <v>699</v>
      </c>
    </row>
    <row r="60" spans="2:11">
      <c r="B60" s="182" t="s">
        <v>715</v>
      </c>
    </row>
    <row r="61" spans="2:11" ht="14.4">
      <c r="B61" s="554" t="s">
        <v>716</v>
      </c>
    </row>
    <row r="62" spans="2:11">
      <c r="B62" s="512" t="s">
        <v>717</v>
      </c>
    </row>
    <row r="63" spans="2:11">
      <c r="B63" s="512" t="s">
        <v>718</v>
      </c>
    </row>
    <row r="64" spans="2:11">
      <c r="B64" s="512" t="s">
        <v>719</v>
      </c>
    </row>
    <row r="65" spans="2:2">
      <c r="B65" s="512" t="s">
        <v>720</v>
      </c>
    </row>
    <row r="66" spans="2:2">
      <c r="B66" s="512" t="s">
        <v>721</v>
      </c>
    </row>
    <row r="67" spans="2:2" ht="14.4">
      <c r="B67" s="554" t="s">
        <v>722</v>
      </c>
    </row>
    <row r="68" spans="2:2">
      <c r="B68" t="s">
        <v>723</v>
      </c>
    </row>
    <row r="69" spans="2:2">
      <c r="B69" t="s">
        <v>724</v>
      </c>
    </row>
    <row r="71" spans="2:2">
      <c r="B71" s="431" t="s">
        <v>725</v>
      </c>
    </row>
    <row r="72" spans="2:2">
      <c r="B72" t="s">
        <v>726</v>
      </c>
    </row>
    <row r="73" spans="2:2">
      <c r="B73" t="s">
        <v>727</v>
      </c>
    </row>
    <row r="74" spans="2:2">
      <c r="B74" t="s">
        <v>728</v>
      </c>
    </row>
    <row r="75" spans="2:2">
      <c r="B75" t="s">
        <v>729</v>
      </c>
    </row>
    <row r="77" spans="2:2">
      <c r="B77" s="431" t="s">
        <v>523</v>
      </c>
    </row>
    <row r="78" spans="2:2">
      <c r="B78" s="209" t="s">
        <v>730</v>
      </c>
    </row>
    <row r="79" spans="2:2">
      <c r="B79" s="209" t="s">
        <v>731</v>
      </c>
    </row>
    <row r="80" spans="2:2">
      <c r="B80" s="209" t="s">
        <v>732</v>
      </c>
    </row>
    <row r="82" spans="2:7">
      <c r="B82" s="555" t="s">
        <v>733</v>
      </c>
    </row>
    <row r="83" spans="2:7">
      <c r="B83" s="555" t="s">
        <v>734</v>
      </c>
    </row>
    <row r="85" spans="2:7">
      <c r="B85" s="431" t="s">
        <v>735</v>
      </c>
    </row>
    <row r="86" spans="2:7">
      <c r="B86" t="s">
        <v>736</v>
      </c>
      <c r="G86" s="507"/>
    </row>
    <row r="87" spans="2:7" ht="15">
      <c r="B87" t="s">
        <v>737</v>
      </c>
      <c r="G87" s="538"/>
    </row>
    <row r="88" spans="2:7">
      <c r="B88" t="s">
        <v>738</v>
      </c>
      <c r="G88" s="507"/>
    </row>
    <row r="89" spans="2:7">
      <c r="G89" s="507"/>
    </row>
    <row r="90" spans="2:7">
      <c r="B90" t="s">
        <v>664</v>
      </c>
      <c r="G90" s="507"/>
    </row>
    <row r="91" spans="2:7">
      <c r="G91" s="507"/>
    </row>
    <row r="92" spans="2:7">
      <c r="B92" s="431" t="s">
        <v>739</v>
      </c>
      <c r="G92" s="507"/>
    </row>
    <row r="93" spans="2:7">
      <c r="B93" t="s">
        <v>740</v>
      </c>
      <c r="G93" s="507"/>
    </row>
    <row r="94" spans="2:7">
      <c r="B94" t="s">
        <v>741</v>
      </c>
      <c r="G94" s="507"/>
    </row>
    <row r="95" spans="2:7">
      <c r="B95" t="s">
        <v>742</v>
      </c>
      <c r="G95" s="507"/>
    </row>
    <row r="96" spans="2:7">
      <c r="G96" s="507"/>
    </row>
    <row r="97" spans="2:7">
      <c r="G97" s="507"/>
    </row>
    <row r="98" spans="2:7">
      <c r="B98" s="541" t="s">
        <v>743</v>
      </c>
      <c r="G98" s="536"/>
    </row>
    <row r="99" spans="2:7">
      <c r="B99" s="541" t="s">
        <v>744</v>
      </c>
      <c r="G99" s="536"/>
    </row>
    <row r="100" spans="2:7">
      <c r="B100" s="541" t="s">
        <v>745</v>
      </c>
      <c r="D100" s="536"/>
      <c r="G100" s="536"/>
    </row>
    <row r="101" spans="2:7">
      <c r="B101" s="541" t="s">
        <v>746</v>
      </c>
      <c r="D101" s="536"/>
      <c r="G101" s="536"/>
    </row>
    <row r="102" spans="2:7">
      <c r="B102" s="541" t="s">
        <v>747</v>
      </c>
      <c r="D102" s="536"/>
      <c r="G102" s="536"/>
    </row>
    <row r="103" spans="2:7">
      <c r="B103" s="541" t="s">
        <v>748</v>
      </c>
      <c r="D103" s="536"/>
      <c r="G103" s="536"/>
    </row>
    <row r="104" spans="2:7">
      <c r="D104" s="536"/>
      <c r="G104" s="536"/>
    </row>
    <row r="105" spans="2:7">
      <c r="D105" s="536"/>
      <c r="G105" s="536"/>
    </row>
    <row r="106" spans="2:7">
      <c r="D106" s="536"/>
      <c r="G106" s="536"/>
    </row>
    <row r="107" spans="2:7">
      <c r="D107" s="536"/>
      <c r="G107" s="536"/>
    </row>
    <row r="108" spans="2:7">
      <c r="D108" s="536"/>
      <c r="G108" s="536"/>
    </row>
    <row r="109" spans="2:7">
      <c r="D109" s="536"/>
      <c r="G109" s="536"/>
    </row>
    <row r="110" spans="2:7">
      <c r="D110" s="536"/>
      <c r="G110" s="536"/>
    </row>
    <row r="111" spans="2:7">
      <c r="D111" s="536"/>
      <c r="G111" s="536"/>
    </row>
    <row r="112" spans="2:7">
      <c r="D112" s="536"/>
      <c r="G112" s="536"/>
    </row>
    <row r="113" spans="2:7">
      <c r="D113" s="536"/>
      <c r="G113" s="536"/>
    </row>
    <row r="114" spans="2:7">
      <c r="D114" s="536"/>
      <c r="G114" s="536"/>
    </row>
    <row r="115" spans="2:7">
      <c r="D115" s="536"/>
      <c r="G115" s="536"/>
    </row>
    <row r="116" spans="2:7">
      <c r="D116" s="536"/>
      <c r="G116" s="536"/>
    </row>
    <row r="117" spans="2:7">
      <c r="D117" s="536"/>
      <c r="G117" s="536"/>
    </row>
    <row r="118" spans="2:7">
      <c r="D118" s="536"/>
      <c r="G118" s="536"/>
    </row>
    <row r="119" spans="2:7">
      <c r="D119" s="536"/>
      <c r="G119" s="536"/>
    </row>
    <row r="120" spans="2:7">
      <c r="D120" s="536"/>
      <c r="G120" s="536"/>
    </row>
    <row r="121" spans="2:7">
      <c r="B121" s="549" t="s">
        <v>670</v>
      </c>
      <c r="D121" s="536"/>
      <c r="G121" s="536"/>
    </row>
    <row r="122" spans="2:7">
      <c r="B122" s="545"/>
      <c r="D122" s="536"/>
      <c r="G122" s="536"/>
    </row>
    <row r="123" spans="2:7">
      <c r="B123" s="549" t="s">
        <v>749</v>
      </c>
      <c r="D123" s="536"/>
      <c r="G123" s="536"/>
    </row>
    <row r="124" spans="2:7">
      <c r="B124" s="545"/>
      <c r="D124" s="536"/>
      <c r="G124" s="536"/>
    </row>
    <row r="125" spans="2:7">
      <c r="D125" s="536"/>
      <c r="G125" s="536"/>
    </row>
    <row r="126" spans="2:7">
      <c r="D126" s="536"/>
      <c r="G126" s="536"/>
    </row>
    <row r="127" spans="2:7">
      <c r="D127" s="536"/>
      <c r="G127" s="536"/>
    </row>
    <row r="128" spans="2:7">
      <c r="B128" s="541" t="s">
        <v>750</v>
      </c>
      <c r="D128" s="536" t="s">
        <v>751</v>
      </c>
      <c r="G128" s="536"/>
    </row>
    <row r="129" spans="2:7">
      <c r="B129" s="541" t="s">
        <v>752</v>
      </c>
      <c r="D129" s="536" t="s">
        <v>753</v>
      </c>
      <c r="G129" s="536"/>
    </row>
    <row r="130" spans="2:7">
      <c r="B130" s="541" t="s">
        <v>754</v>
      </c>
      <c r="D130" s="536" t="s">
        <v>755</v>
      </c>
      <c r="G130" s="536"/>
    </row>
    <row r="131" spans="2:7">
      <c r="B131" s="541" t="s">
        <v>756</v>
      </c>
      <c r="G131" s="536"/>
    </row>
    <row r="132" spans="2:7">
      <c r="B132" s="541" t="s">
        <v>757</v>
      </c>
      <c r="D132" s="536" t="s">
        <v>758</v>
      </c>
      <c r="G132" s="536"/>
    </row>
    <row r="133" spans="2:7">
      <c r="B133" s="541" t="s">
        <v>759</v>
      </c>
      <c r="D133" s="536" t="s">
        <v>760</v>
      </c>
      <c r="G133" s="536"/>
    </row>
    <row r="134" spans="2:7">
      <c r="B134" s="541" t="s">
        <v>761</v>
      </c>
      <c r="D134" s="536" t="s">
        <v>762</v>
      </c>
      <c r="G134" s="536"/>
    </row>
    <row r="135" spans="2:7">
      <c r="B135" s="541" t="s">
        <v>763</v>
      </c>
      <c r="D135" s="536" t="s">
        <v>764</v>
      </c>
      <c r="G135" s="536"/>
    </row>
    <row r="136" spans="2:7">
      <c r="B136" s="541" t="s">
        <v>765</v>
      </c>
      <c r="D136" s="536" t="s">
        <v>766</v>
      </c>
      <c r="G136" s="536"/>
    </row>
    <row r="137" spans="2:7">
      <c r="B137" s="541" t="s">
        <v>767</v>
      </c>
      <c r="D137" s="536" t="s">
        <v>768</v>
      </c>
      <c r="G137" s="536"/>
    </row>
    <row r="138" spans="2:7">
      <c r="B138" s="541" t="s">
        <v>769</v>
      </c>
      <c r="D138" s="536" t="s">
        <v>770</v>
      </c>
      <c r="G138" s="536"/>
    </row>
    <row r="139" spans="2:7">
      <c r="B139" s="541" t="s">
        <v>771</v>
      </c>
      <c r="D139" s="536" t="s">
        <v>721</v>
      </c>
      <c r="G139" s="536"/>
    </row>
    <row r="140" spans="2:7">
      <c r="B140" s="541" t="s">
        <v>772</v>
      </c>
      <c r="D140" s="536" t="s">
        <v>773</v>
      </c>
      <c r="G140" s="536"/>
    </row>
    <row r="141" spans="2:7">
      <c r="B141" s="541" t="s">
        <v>774</v>
      </c>
      <c r="D141" s="536" t="s">
        <v>775</v>
      </c>
      <c r="G141" s="536"/>
    </row>
    <row r="142" spans="2:7">
      <c r="B142" s="541" t="s">
        <v>743</v>
      </c>
      <c r="D142" s="536" t="s">
        <v>776</v>
      </c>
      <c r="G142" s="536"/>
    </row>
    <row r="143" spans="2:7">
      <c r="B143" s="541" t="s">
        <v>744</v>
      </c>
      <c r="D143" s="536" t="s">
        <v>777</v>
      </c>
      <c r="G143" s="536"/>
    </row>
    <row r="144" spans="2:7">
      <c r="B144" s="541" t="s">
        <v>745</v>
      </c>
      <c r="D144" s="536" t="s">
        <v>778</v>
      </c>
      <c r="G144" s="536"/>
    </row>
    <row r="145" spans="2:7">
      <c r="B145" s="541" t="s">
        <v>746</v>
      </c>
      <c r="D145" s="540" t="s">
        <v>779</v>
      </c>
      <c r="G145" s="536"/>
    </row>
    <row r="146" spans="2:7">
      <c r="B146" s="541" t="s">
        <v>747</v>
      </c>
      <c r="D146" s="536" t="s">
        <v>780</v>
      </c>
      <c r="G146" s="536"/>
    </row>
    <row r="147" spans="2:7">
      <c r="B147" s="541" t="s">
        <v>748</v>
      </c>
      <c r="D147" s="536" t="s">
        <v>781</v>
      </c>
      <c r="G147" s="536"/>
    </row>
    <row r="148" spans="2:7">
      <c r="B148" s="541" t="s">
        <v>782</v>
      </c>
      <c r="D148" s="536" t="s">
        <v>783</v>
      </c>
      <c r="G148" s="536"/>
    </row>
    <row r="149" spans="2:7">
      <c r="B149" s="541" t="s">
        <v>784</v>
      </c>
      <c r="D149" s="536" t="s">
        <v>785</v>
      </c>
      <c r="G149" s="536"/>
    </row>
    <row r="150" spans="2:7">
      <c r="B150" s="541" t="s">
        <v>786</v>
      </c>
      <c r="D150" s="536" t="s">
        <v>787</v>
      </c>
      <c r="G150" s="536"/>
    </row>
    <row r="151" spans="2:7">
      <c r="B151" s="541" t="s">
        <v>788</v>
      </c>
      <c r="D151" s="536" t="s">
        <v>789</v>
      </c>
      <c r="G151" s="536"/>
    </row>
    <row r="152" spans="2:7">
      <c r="B152" s="541" t="s">
        <v>790</v>
      </c>
      <c r="D152" s="536" t="s">
        <v>791</v>
      </c>
      <c r="G152" s="536"/>
    </row>
    <row r="153" spans="2:7">
      <c r="B153" s="541" t="s">
        <v>792</v>
      </c>
      <c r="D153" s="536" t="s">
        <v>793</v>
      </c>
      <c r="G153" s="536"/>
    </row>
    <row r="154" spans="2:7">
      <c r="B154" s="541" t="s">
        <v>794</v>
      </c>
      <c r="D154" s="536" t="s">
        <v>795</v>
      </c>
      <c r="G154" s="536"/>
    </row>
    <row r="155" spans="2:7">
      <c r="B155" s="541" t="s">
        <v>796</v>
      </c>
      <c r="D155" s="536" t="s">
        <v>797</v>
      </c>
      <c r="G155" s="536"/>
    </row>
    <row r="156" spans="2:7">
      <c r="B156" s="541" t="s">
        <v>798</v>
      </c>
      <c r="D156" s="536" t="s">
        <v>799</v>
      </c>
      <c r="G156" s="536"/>
    </row>
    <row r="157" spans="2:7">
      <c r="B157" s="541" t="s">
        <v>800</v>
      </c>
      <c r="D157" s="536" t="s">
        <v>801</v>
      </c>
      <c r="G157" s="536"/>
    </row>
    <row r="158" spans="2:7">
      <c r="B158" s="541" t="s">
        <v>802</v>
      </c>
      <c r="D158" s="536" t="s">
        <v>803</v>
      </c>
      <c r="G158" s="536"/>
    </row>
    <row r="159" spans="2:7">
      <c r="B159" s="541" t="s">
        <v>804</v>
      </c>
      <c r="D159" s="536" t="s">
        <v>805</v>
      </c>
      <c r="G159" s="536"/>
    </row>
    <row r="160" spans="2:7">
      <c r="B160" s="541" t="s">
        <v>806</v>
      </c>
      <c r="D160" s="540" t="s">
        <v>807</v>
      </c>
      <c r="G160" s="536"/>
    </row>
    <row r="161" spans="2:7">
      <c r="B161" s="541" t="s">
        <v>808</v>
      </c>
      <c r="D161" s="536" t="s">
        <v>809</v>
      </c>
      <c r="G161" s="536"/>
    </row>
    <row r="162" spans="2:7">
      <c r="B162" s="541" t="s">
        <v>810</v>
      </c>
      <c r="D162" s="542" t="s">
        <v>811</v>
      </c>
      <c r="G162" s="504"/>
    </row>
    <row r="163" spans="2:7" ht="17.399999999999999">
      <c r="B163" s="541" t="s">
        <v>812</v>
      </c>
      <c r="D163" s="536" t="s">
        <v>813</v>
      </c>
      <c r="G163" s="535"/>
    </row>
    <row r="164" spans="2:7">
      <c r="D164" s="536" t="s">
        <v>814</v>
      </c>
      <c r="G164" s="504"/>
    </row>
    <row r="165" spans="2:7">
      <c r="D165" s="536" t="s">
        <v>815</v>
      </c>
      <c r="G165" s="504"/>
    </row>
    <row r="166" spans="2:7">
      <c r="D166" s="536" t="s">
        <v>816</v>
      </c>
    </row>
    <row r="167" spans="2:7">
      <c r="D167" s="536" t="s">
        <v>817</v>
      </c>
    </row>
    <row r="168" spans="2:7">
      <c r="D168" s="536" t="s">
        <v>818</v>
      </c>
    </row>
    <row r="169" spans="2:7">
      <c r="D169" s="536" t="s">
        <v>819</v>
      </c>
    </row>
    <row r="170" spans="2:7">
      <c r="B170" s="1" t="s">
        <v>820</v>
      </c>
      <c r="D170" s="536" t="s">
        <v>821</v>
      </c>
    </row>
    <row r="171" spans="2:7">
      <c r="B171" s="1" t="s">
        <v>822</v>
      </c>
      <c r="D171" s="536" t="s">
        <v>823</v>
      </c>
    </row>
    <row r="172" spans="2:7">
      <c r="B172" s="1" t="s">
        <v>824</v>
      </c>
      <c r="D172" s="536" t="s">
        <v>825</v>
      </c>
    </row>
    <row r="173" spans="2:7">
      <c r="B173" s="1" t="s">
        <v>826</v>
      </c>
      <c r="D173" s="536" t="s">
        <v>827</v>
      </c>
    </row>
    <row r="174" spans="2:7">
      <c r="B174" s="548" t="s">
        <v>828</v>
      </c>
      <c r="D174" s="536" t="s">
        <v>829</v>
      </c>
    </row>
    <row r="175" spans="2:7">
      <c r="B175" s="548" t="s">
        <v>830</v>
      </c>
      <c r="D175" s="536" t="s">
        <v>831</v>
      </c>
    </row>
    <row r="176" spans="2:7">
      <c r="B176" s="548" t="s">
        <v>832</v>
      </c>
      <c r="D176" s="540" t="s">
        <v>833</v>
      </c>
    </row>
    <row r="177" spans="2:4">
      <c r="B177" s="1" t="s">
        <v>834</v>
      </c>
      <c r="D177" s="536" t="s">
        <v>835</v>
      </c>
    </row>
    <row r="178" spans="2:4">
      <c r="B178" s="1" t="s">
        <v>836</v>
      </c>
      <c r="D178" s="536" t="s">
        <v>837</v>
      </c>
    </row>
    <row r="179" spans="2:4">
      <c r="B179" s="1" t="s">
        <v>838</v>
      </c>
      <c r="D179" s="539" t="s">
        <v>839</v>
      </c>
    </row>
    <row r="180" spans="2:4">
      <c r="B180" s="547" t="s">
        <v>840</v>
      </c>
      <c r="D180" s="537" t="s">
        <v>841</v>
      </c>
    </row>
    <row r="181" spans="2:4">
      <c r="B181" s="547" t="s">
        <v>842</v>
      </c>
      <c r="D181" s="537" t="s">
        <v>843</v>
      </c>
    </row>
    <row r="182" spans="2:4">
      <c r="B182" s="547" t="s">
        <v>844</v>
      </c>
      <c r="D182" s="537" t="s">
        <v>845</v>
      </c>
    </row>
    <row r="183" spans="2:4">
      <c r="B183" s="547" t="s">
        <v>846</v>
      </c>
      <c r="D183" s="537" t="s">
        <v>847</v>
      </c>
    </row>
    <row r="184" spans="2:4">
      <c r="B184" s="1" t="s">
        <v>848</v>
      </c>
      <c r="D184" s="537" t="s">
        <v>849</v>
      </c>
    </row>
    <row r="185" spans="2:4">
      <c r="B185" s="1" t="s">
        <v>850</v>
      </c>
      <c r="D185" s="537" t="s">
        <v>851</v>
      </c>
    </row>
    <row r="186" spans="2:4">
      <c r="B186" s="1" t="s">
        <v>852</v>
      </c>
      <c r="D186" s="537" t="s">
        <v>853</v>
      </c>
    </row>
    <row r="187" spans="2:4">
      <c r="B187" s="1" t="s">
        <v>854</v>
      </c>
      <c r="D187" s="537" t="s">
        <v>855</v>
      </c>
    </row>
    <row r="188" spans="2:4">
      <c r="B188" s="1" t="s">
        <v>856</v>
      </c>
      <c r="D188" s="537" t="s">
        <v>857</v>
      </c>
    </row>
    <row r="189" spans="2:4">
      <c r="B189" s="543" t="s">
        <v>858</v>
      </c>
      <c r="D189" s="537" t="s">
        <v>859</v>
      </c>
    </row>
    <row r="190" spans="2:4">
      <c r="B190" s="543" t="s">
        <v>860</v>
      </c>
      <c r="D190" s="537" t="s">
        <v>861</v>
      </c>
    </row>
    <row r="191" spans="2:4">
      <c r="B191" s="543" t="s">
        <v>862</v>
      </c>
      <c r="D191" s="537" t="s">
        <v>863</v>
      </c>
    </row>
    <row r="192" spans="2:4">
      <c r="B192" s="543" t="s">
        <v>864</v>
      </c>
      <c r="D192" s="536" t="s">
        <v>865</v>
      </c>
    </row>
    <row r="193" spans="2:2">
      <c r="B193" s="543" t="s">
        <v>866</v>
      </c>
    </row>
    <row r="194" spans="2:2">
      <c r="B194" s="543" t="s">
        <v>867</v>
      </c>
    </row>
    <row r="195" spans="2:2">
      <c r="B195" s="543" t="s">
        <v>868</v>
      </c>
    </row>
    <row r="196" spans="2:2">
      <c r="B196" s="543" t="s">
        <v>869</v>
      </c>
    </row>
    <row r="197" spans="2:2">
      <c r="B197" s="543" t="s">
        <v>870</v>
      </c>
    </row>
    <row r="198" spans="2:2">
      <c r="B198" s="543" t="s">
        <v>871</v>
      </c>
    </row>
    <row r="199" spans="2:2">
      <c r="B199" s="543" t="s">
        <v>872</v>
      </c>
    </row>
    <row r="200" spans="2:2">
      <c r="B200" s="543" t="s">
        <v>873</v>
      </c>
    </row>
    <row r="201" spans="2:2">
      <c r="B201" s="1" t="s">
        <v>874</v>
      </c>
    </row>
    <row r="203" spans="2:2">
      <c r="B203" s="1"/>
    </row>
    <row r="204" spans="2:2">
      <c r="B204" s="1" t="s">
        <v>875</v>
      </c>
    </row>
    <row r="205" spans="2:2">
      <c r="B205" s="1" t="s">
        <v>876</v>
      </c>
    </row>
    <row r="206" spans="2:2">
      <c r="B206" s="1" t="s">
        <v>877</v>
      </c>
    </row>
    <row r="207" spans="2:2">
      <c r="B207" s="1" t="s">
        <v>878</v>
      </c>
    </row>
    <row r="208" spans="2:2">
      <c r="B208" s="1" t="s">
        <v>879</v>
      </c>
    </row>
    <row r="209" spans="2:4">
      <c r="B209" s="1" t="s">
        <v>880</v>
      </c>
    </row>
    <row r="210" spans="2:4">
      <c r="B210" s="1" t="s">
        <v>881</v>
      </c>
    </row>
    <row r="211" spans="2:4">
      <c r="B211" s="1" t="s">
        <v>882</v>
      </c>
    </row>
    <row r="212" spans="2:4">
      <c r="B212" s="1" t="s">
        <v>883</v>
      </c>
    </row>
    <row r="213" spans="2:4">
      <c r="B213" s="1" t="s">
        <v>884</v>
      </c>
    </row>
    <row r="214" spans="2:4">
      <c r="B214" s="1" t="s">
        <v>885</v>
      </c>
    </row>
    <row r="215" spans="2:4">
      <c r="B215" s="1"/>
    </row>
    <row r="216" spans="2:4">
      <c r="B216" s="1" t="s">
        <v>886</v>
      </c>
    </row>
    <row r="217" spans="2:4">
      <c r="B217" s="550" t="s">
        <v>887</v>
      </c>
      <c r="C217" s="546"/>
      <c r="D217" s="546"/>
    </row>
    <row r="218" spans="2:4">
      <c r="B218" s="550" t="s">
        <v>888</v>
      </c>
      <c r="C218" s="546"/>
      <c r="D218" s="546"/>
    </row>
    <row r="219" spans="2:4">
      <c r="B219" s="550" t="s">
        <v>889</v>
      </c>
      <c r="C219" s="546"/>
      <c r="D219" s="546"/>
    </row>
    <row r="220" spans="2:4">
      <c r="B220" s="550" t="s">
        <v>890</v>
      </c>
      <c r="C220" s="546"/>
      <c r="D220" s="546"/>
    </row>
    <row r="221" spans="2:4">
      <c r="B221" s="1" t="s">
        <v>891</v>
      </c>
    </row>
    <row r="222" spans="2:4">
      <c r="B222" s="1" t="s">
        <v>892</v>
      </c>
    </row>
    <row r="223" spans="2:4">
      <c r="B223" s="1" t="s">
        <v>893</v>
      </c>
    </row>
    <row r="224" spans="2:4">
      <c r="B224" s="1" t="s">
        <v>894</v>
      </c>
    </row>
    <row r="225" spans="2:4">
      <c r="B225" s="551" t="s">
        <v>895</v>
      </c>
      <c r="C225" s="544"/>
      <c r="D225" s="544"/>
    </row>
    <row r="226" spans="2:4">
      <c r="B226" s="551" t="s">
        <v>896</v>
      </c>
      <c r="C226" s="544"/>
      <c r="D226" s="544"/>
    </row>
    <row r="227" spans="2:4">
      <c r="B227" s="551" t="s">
        <v>897</v>
      </c>
      <c r="C227" s="544"/>
      <c r="D227" s="544"/>
    </row>
    <row r="228" spans="2:4">
      <c r="B228" s="551" t="s">
        <v>898</v>
      </c>
      <c r="C228" s="544"/>
      <c r="D228" s="544"/>
    </row>
    <row r="229" spans="2:4">
      <c r="B229" s="1" t="s">
        <v>899</v>
      </c>
    </row>
    <row r="230" spans="2:4">
      <c r="B230" s="1" t="s">
        <v>900</v>
      </c>
    </row>
    <row r="231" spans="2:4">
      <c r="B231" s="1" t="s">
        <v>901</v>
      </c>
    </row>
    <row r="232" spans="2:4">
      <c r="D232" t="s">
        <v>902</v>
      </c>
    </row>
  </sheetData>
  <pageMargins left="0.7" right="0.7" top="0.75" bottom="0.75" header="0.3" footer="0.3"/>
  <pageSetup paperSize="287" orientation="portrait" horizontalDpi="203" verticalDpi="20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47924-97B9-48AE-936B-DEB60DA41AEE}">
  <sheetPr codeName="Sheet23">
    <tabColor rgb="FFFFFF00"/>
  </sheetPr>
  <dimension ref="A1:U44"/>
  <sheetViews>
    <sheetView view="pageBreakPreview" topLeftCell="B1" zoomScaleNormal="100" zoomScaleSheetLayoutView="100" workbookViewId="0">
      <selection activeCell="F1" sqref="F1"/>
    </sheetView>
  </sheetViews>
  <sheetFormatPr defaultRowHeight="22.95" customHeight="1"/>
  <cols>
    <col min="1" max="1" width="4.19921875" hidden="1" customWidth="1"/>
    <col min="2" max="2" width="23.5" customWidth="1"/>
    <col min="3" max="3" width="17.19921875" customWidth="1"/>
    <col min="4" max="4" width="15.8984375" customWidth="1"/>
    <col min="5" max="5" width="16.69921875" customWidth="1"/>
    <col min="6" max="6" width="16.09765625" customWidth="1"/>
    <col min="200" max="201" width="32.09765625" customWidth="1"/>
    <col min="202" max="202" width="23.09765625" customWidth="1"/>
    <col min="207" max="207" width="2.69921875" customWidth="1"/>
    <col min="208" max="208" width="35.69921875" customWidth="1"/>
    <col min="209" max="209" width="5.09765625" customWidth="1"/>
    <col min="210" max="210" width="32.09765625" customWidth="1"/>
    <col min="214" max="214" width="40.19921875" customWidth="1"/>
    <col min="222" max="222" width="79.69921875" customWidth="1"/>
    <col min="456" max="457" width="32.09765625" customWidth="1"/>
    <col min="458" max="458" width="23.09765625" customWidth="1"/>
    <col min="463" max="463" width="2.69921875" customWidth="1"/>
    <col min="464" max="464" width="35.69921875" customWidth="1"/>
    <col min="465" max="465" width="5.09765625" customWidth="1"/>
    <col min="466" max="466" width="32.09765625" customWidth="1"/>
    <col min="470" max="470" width="40.19921875" customWidth="1"/>
    <col min="478" max="478" width="79.69921875" customWidth="1"/>
    <col min="712" max="713" width="32.09765625" customWidth="1"/>
    <col min="714" max="714" width="23.09765625" customWidth="1"/>
    <col min="719" max="719" width="2.69921875" customWidth="1"/>
    <col min="720" max="720" width="35.69921875" customWidth="1"/>
    <col min="721" max="721" width="5.09765625" customWidth="1"/>
    <col min="722" max="722" width="32.09765625" customWidth="1"/>
    <col min="726" max="726" width="40.19921875" customWidth="1"/>
    <col min="734" max="734" width="79.69921875" customWidth="1"/>
    <col min="968" max="969" width="32.09765625" customWidth="1"/>
    <col min="970" max="970" width="23.09765625" customWidth="1"/>
    <col min="975" max="975" width="2.69921875" customWidth="1"/>
    <col min="976" max="976" width="35.69921875" customWidth="1"/>
    <col min="977" max="977" width="5.09765625" customWidth="1"/>
    <col min="978" max="978" width="32.09765625" customWidth="1"/>
    <col min="982" max="982" width="40.19921875" customWidth="1"/>
    <col min="990" max="990" width="79.69921875" customWidth="1"/>
    <col min="1224" max="1225" width="32.09765625" customWidth="1"/>
    <col min="1226" max="1226" width="23.09765625" customWidth="1"/>
    <col min="1231" max="1231" width="2.69921875" customWidth="1"/>
    <col min="1232" max="1232" width="35.69921875" customWidth="1"/>
    <col min="1233" max="1233" width="5.09765625" customWidth="1"/>
    <col min="1234" max="1234" width="32.09765625" customWidth="1"/>
    <col min="1238" max="1238" width="40.19921875" customWidth="1"/>
    <col min="1246" max="1246" width="79.69921875" customWidth="1"/>
    <col min="1480" max="1481" width="32.09765625" customWidth="1"/>
    <col min="1482" max="1482" width="23.09765625" customWidth="1"/>
    <col min="1487" max="1487" width="2.69921875" customWidth="1"/>
    <col min="1488" max="1488" width="35.69921875" customWidth="1"/>
    <col min="1489" max="1489" width="5.09765625" customWidth="1"/>
    <col min="1490" max="1490" width="32.09765625" customWidth="1"/>
    <col min="1494" max="1494" width="40.19921875" customWidth="1"/>
    <col min="1502" max="1502" width="79.69921875" customWidth="1"/>
    <col min="1736" max="1737" width="32.09765625" customWidth="1"/>
    <col min="1738" max="1738" width="23.09765625" customWidth="1"/>
    <col min="1743" max="1743" width="2.69921875" customWidth="1"/>
    <col min="1744" max="1744" width="35.69921875" customWidth="1"/>
    <col min="1745" max="1745" width="5.09765625" customWidth="1"/>
    <col min="1746" max="1746" width="32.09765625" customWidth="1"/>
    <col min="1750" max="1750" width="40.19921875" customWidth="1"/>
    <col min="1758" max="1758" width="79.69921875" customWidth="1"/>
    <col min="1992" max="1993" width="32.09765625" customWidth="1"/>
    <col min="1994" max="1994" width="23.09765625" customWidth="1"/>
    <col min="1999" max="1999" width="2.69921875" customWidth="1"/>
    <col min="2000" max="2000" width="35.69921875" customWidth="1"/>
    <col min="2001" max="2001" width="5.09765625" customWidth="1"/>
    <col min="2002" max="2002" width="32.09765625" customWidth="1"/>
    <col min="2006" max="2006" width="40.19921875" customWidth="1"/>
    <col min="2014" max="2014" width="79.69921875" customWidth="1"/>
    <col min="2248" max="2249" width="32.09765625" customWidth="1"/>
    <col min="2250" max="2250" width="23.09765625" customWidth="1"/>
    <col min="2255" max="2255" width="2.69921875" customWidth="1"/>
    <col min="2256" max="2256" width="35.69921875" customWidth="1"/>
    <col min="2257" max="2257" width="5.09765625" customWidth="1"/>
    <col min="2258" max="2258" width="32.09765625" customWidth="1"/>
    <col min="2262" max="2262" width="40.19921875" customWidth="1"/>
    <col min="2270" max="2270" width="79.69921875" customWidth="1"/>
    <col min="2504" max="2505" width="32.09765625" customWidth="1"/>
    <col min="2506" max="2506" width="23.09765625" customWidth="1"/>
    <col min="2511" max="2511" width="2.69921875" customWidth="1"/>
    <col min="2512" max="2512" width="35.69921875" customWidth="1"/>
    <col min="2513" max="2513" width="5.09765625" customWidth="1"/>
    <col min="2514" max="2514" width="32.09765625" customWidth="1"/>
    <col min="2518" max="2518" width="40.19921875" customWidth="1"/>
    <col min="2526" max="2526" width="79.69921875" customWidth="1"/>
    <col min="2760" max="2761" width="32.09765625" customWidth="1"/>
    <col min="2762" max="2762" width="23.09765625" customWidth="1"/>
    <col min="2767" max="2767" width="2.69921875" customWidth="1"/>
    <col min="2768" max="2768" width="35.69921875" customWidth="1"/>
    <col min="2769" max="2769" width="5.09765625" customWidth="1"/>
    <col min="2770" max="2770" width="32.09765625" customWidth="1"/>
    <col min="2774" max="2774" width="40.19921875" customWidth="1"/>
    <col min="2782" max="2782" width="79.69921875" customWidth="1"/>
    <col min="3016" max="3017" width="32.09765625" customWidth="1"/>
    <col min="3018" max="3018" width="23.09765625" customWidth="1"/>
    <col min="3023" max="3023" width="2.69921875" customWidth="1"/>
    <col min="3024" max="3024" width="35.69921875" customWidth="1"/>
    <col min="3025" max="3025" width="5.09765625" customWidth="1"/>
    <col min="3026" max="3026" width="32.09765625" customWidth="1"/>
    <col min="3030" max="3030" width="40.19921875" customWidth="1"/>
    <col min="3038" max="3038" width="79.69921875" customWidth="1"/>
    <col min="3272" max="3273" width="32.09765625" customWidth="1"/>
    <col min="3274" max="3274" width="23.09765625" customWidth="1"/>
    <col min="3279" max="3279" width="2.69921875" customWidth="1"/>
    <col min="3280" max="3280" width="35.69921875" customWidth="1"/>
    <col min="3281" max="3281" width="5.09765625" customWidth="1"/>
    <col min="3282" max="3282" width="32.09765625" customWidth="1"/>
    <col min="3286" max="3286" width="40.19921875" customWidth="1"/>
    <col min="3294" max="3294" width="79.69921875" customWidth="1"/>
    <col min="3528" max="3529" width="32.09765625" customWidth="1"/>
    <col min="3530" max="3530" width="23.09765625" customWidth="1"/>
    <col min="3535" max="3535" width="2.69921875" customWidth="1"/>
    <col min="3536" max="3536" width="35.69921875" customWidth="1"/>
    <col min="3537" max="3537" width="5.09765625" customWidth="1"/>
    <col min="3538" max="3538" width="32.09765625" customWidth="1"/>
    <col min="3542" max="3542" width="40.19921875" customWidth="1"/>
    <col min="3550" max="3550" width="79.69921875" customWidth="1"/>
    <col min="3784" max="3785" width="32.09765625" customWidth="1"/>
    <col min="3786" max="3786" width="23.09765625" customWidth="1"/>
    <col min="3791" max="3791" width="2.69921875" customWidth="1"/>
    <col min="3792" max="3792" width="35.69921875" customWidth="1"/>
    <col min="3793" max="3793" width="5.09765625" customWidth="1"/>
    <col min="3794" max="3794" width="32.09765625" customWidth="1"/>
    <col min="3798" max="3798" width="40.19921875" customWidth="1"/>
    <col min="3806" max="3806" width="79.69921875" customWidth="1"/>
    <col min="4040" max="4041" width="32.09765625" customWidth="1"/>
    <col min="4042" max="4042" width="23.09765625" customWidth="1"/>
    <col min="4047" max="4047" width="2.69921875" customWidth="1"/>
    <col min="4048" max="4048" width="35.69921875" customWidth="1"/>
    <col min="4049" max="4049" width="5.09765625" customWidth="1"/>
    <col min="4050" max="4050" width="32.09765625" customWidth="1"/>
    <col min="4054" max="4054" width="40.19921875" customWidth="1"/>
    <col min="4062" max="4062" width="79.69921875" customWidth="1"/>
    <col min="4296" max="4297" width="32.09765625" customWidth="1"/>
    <col min="4298" max="4298" width="23.09765625" customWidth="1"/>
    <col min="4303" max="4303" width="2.69921875" customWidth="1"/>
    <col min="4304" max="4304" width="35.69921875" customWidth="1"/>
    <col min="4305" max="4305" width="5.09765625" customWidth="1"/>
    <col min="4306" max="4306" width="32.09765625" customWidth="1"/>
    <col min="4310" max="4310" width="40.19921875" customWidth="1"/>
    <col min="4318" max="4318" width="79.69921875" customWidth="1"/>
    <col min="4552" max="4553" width="32.09765625" customWidth="1"/>
    <col min="4554" max="4554" width="23.09765625" customWidth="1"/>
    <col min="4559" max="4559" width="2.69921875" customWidth="1"/>
    <col min="4560" max="4560" width="35.69921875" customWidth="1"/>
    <col min="4561" max="4561" width="5.09765625" customWidth="1"/>
    <col min="4562" max="4562" width="32.09765625" customWidth="1"/>
    <col min="4566" max="4566" width="40.19921875" customWidth="1"/>
    <col min="4574" max="4574" width="79.69921875" customWidth="1"/>
    <col min="4808" max="4809" width="32.09765625" customWidth="1"/>
    <col min="4810" max="4810" width="23.09765625" customWidth="1"/>
    <col min="4815" max="4815" width="2.69921875" customWidth="1"/>
    <col min="4816" max="4816" width="35.69921875" customWidth="1"/>
    <col min="4817" max="4817" width="5.09765625" customWidth="1"/>
    <col min="4818" max="4818" width="32.09765625" customWidth="1"/>
    <col min="4822" max="4822" width="40.19921875" customWidth="1"/>
    <col min="4830" max="4830" width="79.69921875" customWidth="1"/>
    <col min="5064" max="5065" width="32.09765625" customWidth="1"/>
    <col min="5066" max="5066" width="23.09765625" customWidth="1"/>
    <col min="5071" max="5071" width="2.69921875" customWidth="1"/>
    <col min="5072" max="5072" width="35.69921875" customWidth="1"/>
    <col min="5073" max="5073" width="5.09765625" customWidth="1"/>
    <col min="5074" max="5074" width="32.09765625" customWidth="1"/>
    <col min="5078" max="5078" width="40.19921875" customWidth="1"/>
    <col min="5086" max="5086" width="79.69921875" customWidth="1"/>
    <col min="5320" max="5321" width="32.09765625" customWidth="1"/>
    <col min="5322" max="5322" width="23.09765625" customWidth="1"/>
    <col min="5327" max="5327" width="2.69921875" customWidth="1"/>
    <col min="5328" max="5328" width="35.69921875" customWidth="1"/>
    <col min="5329" max="5329" width="5.09765625" customWidth="1"/>
    <col min="5330" max="5330" width="32.09765625" customWidth="1"/>
    <col min="5334" max="5334" width="40.19921875" customWidth="1"/>
    <col min="5342" max="5342" width="79.69921875" customWidth="1"/>
    <col min="5576" max="5577" width="32.09765625" customWidth="1"/>
    <col min="5578" max="5578" width="23.09765625" customWidth="1"/>
    <col min="5583" max="5583" width="2.69921875" customWidth="1"/>
    <col min="5584" max="5584" width="35.69921875" customWidth="1"/>
    <col min="5585" max="5585" width="5.09765625" customWidth="1"/>
    <col min="5586" max="5586" width="32.09765625" customWidth="1"/>
    <col min="5590" max="5590" width="40.19921875" customWidth="1"/>
    <col min="5598" max="5598" width="79.69921875" customWidth="1"/>
    <col min="5832" max="5833" width="32.09765625" customWidth="1"/>
    <col min="5834" max="5834" width="23.09765625" customWidth="1"/>
    <col min="5839" max="5839" width="2.69921875" customWidth="1"/>
    <col min="5840" max="5840" width="35.69921875" customWidth="1"/>
    <col min="5841" max="5841" width="5.09765625" customWidth="1"/>
    <col min="5842" max="5842" width="32.09765625" customWidth="1"/>
    <col min="5846" max="5846" width="40.19921875" customWidth="1"/>
    <col min="5854" max="5854" width="79.69921875" customWidth="1"/>
    <col min="6088" max="6089" width="32.09765625" customWidth="1"/>
    <col min="6090" max="6090" width="23.09765625" customWidth="1"/>
    <col min="6095" max="6095" width="2.69921875" customWidth="1"/>
    <col min="6096" max="6096" width="35.69921875" customWidth="1"/>
    <col min="6097" max="6097" width="5.09765625" customWidth="1"/>
    <col min="6098" max="6098" width="32.09765625" customWidth="1"/>
    <col min="6102" max="6102" width="40.19921875" customWidth="1"/>
    <col min="6110" max="6110" width="79.69921875" customWidth="1"/>
    <col min="6344" max="6345" width="32.09765625" customWidth="1"/>
    <col min="6346" max="6346" width="23.09765625" customWidth="1"/>
    <col min="6351" max="6351" width="2.69921875" customWidth="1"/>
    <col min="6352" max="6352" width="35.69921875" customWidth="1"/>
    <col min="6353" max="6353" width="5.09765625" customWidth="1"/>
    <col min="6354" max="6354" width="32.09765625" customWidth="1"/>
    <col min="6358" max="6358" width="40.19921875" customWidth="1"/>
    <col min="6366" max="6366" width="79.69921875" customWidth="1"/>
    <col min="6600" max="6601" width="32.09765625" customWidth="1"/>
    <col min="6602" max="6602" width="23.09765625" customWidth="1"/>
    <col min="6607" max="6607" width="2.69921875" customWidth="1"/>
    <col min="6608" max="6608" width="35.69921875" customWidth="1"/>
    <col min="6609" max="6609" width="5.09765625" customWidth="1"/>
    <col min="6610" max="6610" width="32.09765625" customWidth="1"/>
    <col min="6614" max="6614" width="40.19921875" customWidth="1"/>
    <col min="6622" max="6622" width="79.69921875" customWidth="1"/>
    <col min="6856" max="6857" width="32.09765625" customWidth="1"/>
    <col min="6858" max="6858" width="23.09765625" customWidth="1"/>
    <col min="6863" max="6863" width="2.69921875" customWidth="1"/>
    <col min="6864" max="6864" width="35.69921875" customWidth="1"/>
    <col min="6865" max="6865" width="5.09765625" customWidth="1"/>
    <col min="6866" max="6866" width="32.09765625" customWidth="1"/>
    <col min="6870" max="6870" width="40.19921875" customWidth="1"/>
    <col min="6878" max="6878" width="79.69921875" customWidth="1"/>
    <col min="7112" max="7113" width="32.09765625" customWidth="1"/>
    <col min="7114" max="7114" width="23.09765625" customWidth="1"/>
    <col min="7119" max="7119" width="2.69921875" customWidth="1"/>
    <col min="7120" max="7120" width="35.69921875" customWidth="1"/>
    <col min="7121" max="7121" width="5.09765625" customWidth="1"/>
    <col min="7122" max="7122" width="32.09765625" customWidth="1"/>
    <col min="7126" max="7126" width="40.19921875" customWidth="1"/>
    <col min="7134" max="7134" width="79.69921875" customWidth="1"/>
    <col min="7368" max="7369" width="32.09765625" customWidth="1"/>
    <col min="7370" max="7370" width="23.09765625" customWidth="1"/>
    <col min="7375" max="7375" width="2.69921875" customWidth="1"/>
    <col min="7376" max="7376" width="35.69921875" customWidth="1"/>
    <col min="7377" max="7377" width="5.09765625" customWidth="1"/>
    <col min="7378" max="7378" width="32.09765625" customWidth="1"/>
    <col min="7382" max="7382" width="40.19921875" customWidth="1"/>
    <col min="7390" max="7390" width="79.69921875" customWidth="1"/>
    <col min="7624" max="7625" width="32.09765625" customWidth="1"/>
    <col min="7626" max="7626" width="23.09765625" customWidth="1"/>
    <col min="7631" max="7631" width="2.69921875" customWidth="1"/>
    <col min="7632" max="7632" width="35.69921875" customWidth="1"/>
    <col min="7633" max="7633" width="5.09765625" customWidth="1"/>
    <col min="7634" max="7634" width="32.09765625" customWidth="1"/>
    <col min="7638" max="7638" width="40.19921875" customWidth="1"/>
    <col min="7646" max="7646" width="79.69921875" customWidth="1"/>
    <col min="7880" max="7881" width="32.09765625" customWidth="1"/>
    <col min="7882" max="7882" width="23.09765625" customWidth="1"/>
    <col min="7887" max="7887" width="2.69921875" customWidth="1"/>
    <col min="7888" max="7888" width="35.69921875" customWidth="1"/>
    <col min="7889" max="7889" width="5.09765625" customWidth="1"/>
    <col min="7890" max="7890" width="32.09765625" customWidth="1"/>
    <col min="7894" max="7894" width="40.19921875" customWidth="1"/>
    <col min="7902" max="7902" width="79.69921875" customWidth="1"/>
    <col min="8136" max="8137" width="32.09765625" customWidth="1"/>
    <col min="8138" max="8138" width="23.09765625" customWidth="1"/>
    <col min="8143" max="8143" width="2.69921875" customWidth="1"/>
    <col min="8144" max="8144" width="35.69921875" customWidth="1"/>
    <col min="8145" max="8145" width="5.09765625" customWidth="1"/>
    <col min="8146" max="8146" width="32.09765625" customWidth="1"/>
    <col min="8150" max="8150" width="40.19921875" customWidth="1"/>
    <col min="8158" max="8158" width="79.69921875" customWidth="1"/>
    <col min="8392" max="8393" width="32.09765625" customWidth="1"/>
    <col min="8394" max="8394" width="23.09765625" customWidth="1"/>
    <col min="8399" max="8399" width="2.69921875" customWidth="1"/>
    <col min="8400" max="8400" width="35.69921875" customWidth="1"/>
    <col min="8401" max="8401" width="5.09765625" customWidth="1"/>
    <col min="8402" max="8402" width="32.09765625" customWidth="1"/>
    <col min="8406" max="8406" width="40.19921875" customWidth="1"/>
    <col min="8414" max="8414" width="79.69921875" customWidth="1"/>
    <col min="8648" max="8649" width="32.09765625" customWidth="1"/>
    <col min="8650" max="8650" width="23.09765625" customWidth="1"/>
    <col min="8655" max="8655" width="2.69921875" customWidth="1"/>
    <col min="8656" max="8656" width="35.69921875" customWidth="1"/>
    <col min="8657" max="8657" width="5.09765625" customWidth="1"/>
    <col min="8658" max="8658" width="32.09765625" customWidth="1"/>
    <col min="8662" max="8662" width="40.19921875" customWidth="1"/>
    <col min="8670" max="8670" width="79.69921875" customWidth="1"/>
    <col min="8904" max="8905" width="32.09765625" customWidth="1"/>
    <col min="8906" max="8906" width="23.09765625" customWidth="1"/>
    <col min="8911" max="8911" width="2.69921875" customWidth="1"/>
    <col min="8912" max="8912" width="35.69921875" customWidth="1"/>
    <col min="8913" max="8913" width="5.09765625" customWidth="1"/>
    <col min="8914" max="8914" width="32.09765625" customWidth="1"/>
    <col min="8918" max="8918" width="40.19921875" customWidth="1"/>
    <col min="8926" max="8926" width="79.69921875" customWidth="1"/>
    <col min="9160" max="9161" width="32.09765625" customWidth="1"/>
    <col min="9162" max="9162" width="23.09765625" customWidth="1"/>
    <col min="9167" max="9167" width="2.69921875" customWidth="1"/>
    <col min="9168" max="9168" width="35.69921875" customWidth="1"/>
    <col min="9169" max="9169" width="5.09765625" customWidth="1"/>
    <col min="9170" max="9170" width="32.09765625" customWidth="1"/>
    <col min="9174" max="9174" width="40.19921875" customWidth="1"/>
    <col min="9182" max="9182" width="79.69921875" customWidth="1"/>
    <col min="9416" max="9417" width="32.09765625" customWidth="1"/>
    <col min="9418" max="9418" width="23.09765625" customWidth="1"/>
    <col min="9423" max="9423" width="2.69921875" customWidth="1"/>
    <col min="9424" max="9424" width="35.69921875" customWidth="1"/>
    <col min="9425" max="9425" width="5.09765625" customWidth="1"/>
    <col min="9426" max="9426" width="32.09765625" customWidth="1"/>
    <col min="9430" max="9430" width="40.19921875" customWidth="1"/>
    <col min="9438" max="9438" width="79.69921875" customWidth="1"/>
    <col min="9672" max="9673" width="32.09765625" customWidth="1"/>
    <col min="9674" max="9674" width="23.09765625" customWidth="1"/>
    <col min="9679" max="9679" width="2.69921875" customWidth="1"/>
    <col min="9680" max="9680" width="35.69921875" customWidth="1"/>
    <col min="9681" max="9681" width="5.09765625" customWidth="1"/>
    <col min="9682" max="9682" width="32.09765625" customWidth="1"/>
    <col min="9686" max="9686" width="40.19921875" customWidth="1"/>
    <col min="9694" max="9694" width="79.69921875" customWidth="1"/>
    <col min="9928" max="9929" width="32.09765625" customWidth="1"/>
    <col min="9930" max="9930" width="23.09765625" customWidth="1"/>
    <col min="9935" max="9935" width="2.69921875" customWidth="1"/>
    <col min="9936" max="9936" width="35.69921875" customWidth="1"/>
    <col min="9937" max="9937" width="5.09765625" customWidth="1"/>
    <col min="9938" max="9938" width="32.09765625" customWidth="1"/>
    <col min="9942" max="9942" width="40.19921875" customWidth="1"/>
    <col min="9950" max="9950" width="79.69921875" customWidth="1"/>
    <col min="10184" max="10185" width="32.09765625" customWidth="1"/>
    <col min="10186" max="10186" width="23.09765625" customWidth="1"/>
    <col min="10191" max="10191" width="2.69921875" customWidth="1"/>
    <col min="10192" max="10192" width="35.69921875" customWidth="1"/>
    <col min="10193" max="10193" width="5.09765625" customWidth="1"/>
    <col min="10194" max="10194" width="32.09765625" customWidth="1"/>
    <col min="10198" max="10198" width="40.19921875" customWidth="1"/>
    <col min="10206" max="10206" width="79.69921875" customWidth="1"/>
    <col min="10440" max="10441" width="32.09765625" customWidth="1"/>
    <col min="10442" max="10442" width="23.09765625" customWidth="1"/>
    <col min="10447" max="10447" width="2.69921875" customWidth="1"/>
    <col min="10448" max="10448" width="35.69921875" customWidth="1"/>
    <col min="10449" max="10449" width="5.09765625" customWidth="1"/>
    <col min="10450" max="10450" width="32.09765625" customWidth="1"/>
    <col min="10454" max="10454" width="40.19921875" customWidth="1"/>
    <col min="10462" max="10462" width="79.69921875" customWidth="1"/>
    <col min="10696" max="10697" width="32.09765625" customWidth="1"/>
    <col min="10698" max="10698" width="23.09765625" customWidth="1"/>
    <col min="10703" max="10703" width="2.69921875" customWidth="1"/>
    <col min="10704" max="10704" width="35.69921875" customWidth="1"/>
    <col min="10705" max="10705" width="5.09765625" customWidth="1"/>
    <col min="10706" max="10706" width="32.09765625" customWidth="1"/>
    <col min="10710" max="10710" width="40.19921875" customWidth="1"/>
    <col min="10718" max="10718" width="79.69921875" customWidth="1"/>
    <col min="10952" max="10953" width="32.09765625" customWidth="1"/>
    <col min="10954" max="10954" width="23.09765625" customWidth="1"/>
    <col min="10959" max="10959" width="2.69921875" customWidth="1"/>
    <col min="10960" max="10960" width="35.69921875" customWidth="1"/>
    <col min="10961" max="10961" width="5.09765625" customWidth="1"/>
    <col min="10962" max="10962" width="32.09765625" customWidth="1"/>
    <col min="10966" max="10966" width="40.19921875" customWidth="1"/>
    <col min="10974" max="10974" width="79.69921875" customWidth="1"/>
    <col min="11208" max="11209" width="32.09765625" customWidth="1"/>
    <col min="11210" max="11210" width="23.09765625" customWidth="1"/>
    <col min="11215" max="11215" width="2.69921875" customWidth="1"/>
    <col min="11216" max="11216" width="35.69921875" customWidth="1"/>
    <col min="11217" max="11217" width="5.09765625" customWidth="1"/>
    <col min="11218" max="11218" width="32.09765625" customWidth="1"/>
    <col min="11222" max="11222" width="40.19921875" customWidth="1"/>
    <col min="11230" max="11230" width="79.69921875" customWidth="1"/>
    <col min="11464" max="11465" width="32.09765625" customWidth="1"/>
    <col min="11466" max="11466" width="23.09765625" customWidth="1"/>
    <col min="11471" max="11471" width="2.69921875" customWidth="1"/>
    <col min="11472" max="11472" width="35.69921875" customWidth="1"/>
    <col min="11473" max="11473" width="5.09765625" customWidth="1"/>
    <col min="11474" max="11474" width="32.09765625" customWidth="1"/>
    <col min="11478" max="11478" width="40.19921875" customWidth="1"/>
    <col min="11486" max="11486" width="79.69921875" customWidth="1"/>
    <col min="11720" max="11721" width="32.09765625" customWidth="1"/>
    <col min="11722" max="11722" width="23.09765625" customWidth="1"/>
    <col min="11727" max="11727" width="2.69921875" customWidth="1"/>
    <col min="11728" max="11728" width="35.69921875" customWidth="1"/>
    <col min="11729" max="11729" width="5.09765625" customWidth="1"/>
    <col min="11730" max="11730" width="32.09765625" customWidth="1"/>
    <col min="11734" max="11734" width="40.19921875" customWidth="1"/>
    <col min="11742" max="11742" width="79.69921875" customWidth="1"/>
    <col min="11976" max="11977" width="32.09765625" customWidth="1"/>
    <col min="11978" max="11978" width="23.09765625" customWidth="1"/>
    <col min="11983" max="11983" width="2.69921875" customWidth="1"/>
    <col min="11984" max="11984" width="35.69921875" customWidth="1"/>
    <col min="11985" max="11985" width="5.09765625" customWidth="1"/>
    <col min="11986" max="11986" width="32.09765625" customWidth="1"/>
    <col min="11990" max="11990" width="40.19921875" customWidth="1"/>
    <col min="11998" max="11998" width="79.69921875" customWidth="1"/>
    <col min="12232" max="12233" width="32.09765625" customWidth="1"/>
    <col min="12234" max="12234" width="23.09765625" customWidth="1"/>
    <col min="12239" max="12239" width="2.69921875" customWidth="1"/>
    <col min="12240" max="12240" width="35.69921875" customWidth="1"/>
    <col min="12241" max="12241" width="5.09765625" customWidth="1"/>
    <col min="12242" max="12242" width="32.09765625" customWidth="1"/>
    <col min="12246" max="12246" width="40.19921875" customWidth="1"/>
    <col min="12254" max="12254" width="79.69921875" customWidth="1"/>
    <col min="12488" max="12489" width="32.09765625" customWidth="1"/>
    <col min="12490" max="12490" width="23.09765625" customWidth="1"/>
    <col min="12495" max="12495" width="2.69921875" customWidth="1"/>
    <col min="12496" max="12496" width="35.69921875" customWidth="1"/>
    <col min="12497" max="12497" width="5.09765625" customWidth="1"/>
    <col min="12498" max="12498" width="32.09765625" customWidth="1"/>
    <col min="12502" max="12502" width="40.19921875" customWidth="1"/>
    <col min="12510" max="12510" width="79.69921875" customWidth="1"/>
    <col min="12744" max="12745" width="32.09765625" customWidth="1"/>
    <col min="12746" max="12746" width="23.09765625" customWidth="1"/>
    <col min="12751" max="12751" width="2.69921875" customWidth="1"/>
    <col min="12752" max="12752" width="35.69921875" customWidth="1"/>
    <col min="12753" max="12753" width="5.09765625" customWidth="1"/>
    <col min="12754" max="12754" width="32.09765625" customWidth="1"/>
    <col min="12758" max="12758" width="40.19921875" customWidth="1"/>
    <col min="12766" max="12766" width="79.69921875" customWidth="1"/>
    <col min="13000" max="13001" width="32.09765625" customWidth="1"/>
    <col min="13002" max="13002" width="23.09765625" customWidth="1"/>
    <col min="13007" max="13007" width="2.69921875" customWidth="1"/>
    <col min="13008" max="13008" width="35.69921875" customWidth="1"/>
    <col min="13009" max="13009" width="5.09765625" customWidth="1"/>
    <col min="13010" max="13010" width="32.09765625" customWidth="1"/>
    <col min="13014" max="13014" width="40.19921875" customWidth="1"/>
    <col min="13022" max="13022" width="79.69921875" customWidth="1"/>
    <col min="13256" max="13257" width="32.09765625" customWidth="1"/>
    <col min="13258" max="13258" width="23.09765625" customWidth="1"/>
    <col min="13263" max="13263" width="2.69921875" customWidth="1"/>
    <col min="13264" max="13264" width="35.69921875" customWidth="1"/>
    <col min="13265" max="13265" width="5.09765625" customWidth="1"/>
    <col min="13266" max="13266" width="32.09765625" customWidth="1"/>
    <col min="13270" max="13270" width="40.19921875" customWidth="1"/>
    <col min="13278" max="13278" width="79.69921875" customWidth="1"/>
    <col min="13512" max="13513" width="32.09765625" customWidth="1"/>
    <col min="13514" max="13514" width="23.09765625" customWidth="1"/>
    <col min="13519" max="13519" width="2.69921875" customWidth="1"/>
    <col min="13520" max="13520" width="35.69921875" customWidth="1"/>
    <col min="13521" max="13521" width="5.09765625" customWidth="1"/>
    <col min="13522" max="13522" width="32.09765625" customWidth="1"/>
    <col min="13526" max="13526" width="40.19921875" customWidth="1"/>
    <col min="13534" max="13534" width="79.69921875" customWidth="1"/>
    <col min="13768" max="13769" width="32.09765625" customWidth="1"/>
    <col min="13770" max="13770" width="23.09765625" customWidth="1"/>
    <col min="13775" max="13775" width="2.69921875" customWidth="1"/>
    <col min="13776" max="13776" width="35.69921875" customWidth="1"/>
    <col min="13777" max="13777" width="5.09765625" customWidth="1"/>
    <col min="13778" max="13778" width="32.09765625" customWidth="1"/>
    <col min="13782" max="13782" width="40.19921875" customWidth="1"/>
    <col min="13790" max="13790" width="79.69921875" customWidth="1"/>
    <col min="14024" max="14025" width="32.09765625" customWidth="1"/>
    <col min="14026" max="14026" width="23.09765625" customWidth="1"/>
    <col min="14031" max="14031" width="2.69921875" customWidth="1"/>
    <col min="14032" max="14032" width="35.69921875" customWidth="1"/>
    <col min="14033" max="14033" width="5.09765625" customWidth="1"/>
    <col min="14034" max="14034" width="32.09765625" customWidth="1"/>
    <col min="14038" max="14038" width="40.19921875" customWidth="1"/>
    <col min="14046" max="14046" width="79.69921875" customWidth="1"/>
    <col min="14280" max="14281" width="32.09765625" customWidth="1"/>
    <col min="14282" max="14282" width="23.09765625" customWidth="1"/>
    <col min="14287" max="14287" width="2.69921875" customWidth="1"/>
    <col min="14288" max="14288" width="35.69921875" customWidth="1"/>
    <col min="14289" max="14289" width="5.09765625" customWidth="1"/>
    <col min="14290" max="14290" width="32.09765625" customWidth="1"/>
    <col min="14294" max="14294" width="40.19921875" customWidth="1"/>
    <col min="14302" max="14302" width="79.69921875" customWidth="1"/>
    <col min="14536" max="14537" width="32.09765625" customWidth="1"/>
    <col min="14538" max="14538" width="23.09765625" customWidth="1"/>
    <col min="14543" max="14543" width="2.69921875" customWidth="1"/>
    <col min="14544" max="14544" width="35.69921875" customWidth="1"/>
    <col min="14545" max="14545" width="5.09765625" customWidth="1"/>
    <col min="14546" max="14546" width="32.09765625" customWidth="1"/>
    <col min="14550" max="14550" width="40.19921875" customWidth="1"/>
    <col min="14558" max="14558" width="79.69921875" customWidth="1"/>
    <col min="14792" max="14793" width="32.09765625" customWidth="1"/>
    <col min="14794" max="14794" width="23.09765625" customWidth="1"/>
    <col min="14799" max="14799" width="2.69921875" customWidth="1"/>
    <col min="14800" max="14800" width="35.69921875" customWidth="1"/>
    <col min="14801" max="14801" width="5.09765625" customWidth="1"/>
    <col min="14802" max="14802" width="32.09765625" customWidth="1"/>
    <col min="14806" max="14806" width="40.19921875" customWidth="1"/>
    <col min="14814" max="14814" width="79.69921875" customWidth="1"/>
    <col min="15048" max="15049" width="32.09765625" customWidth="1"/>
    <col min="15050" max="15050" width="23.09765625" customWidth="1"/>
    <col min="15055" max="15055" width="2.69921875" customWidth="1"/>
    <col min="15056" max="15056" width="35.69921875" customWidth="1"/>
    <col min="15057" max="15057" width="5.09765625" customWidth="1"/>
    <col min="15058" max="15058" width="32.09765625" customWidth="1"/>
    <col min="15062" max="15062" width="40.19921875" customWidth="1"/>
    <col min="15070" max="15070" width="79.69921875" customWidth="1"/>
    <col min="15304" max="15305" width="32.09765625" customWidth="1"/>
    <col min="15306" max="15306" width="23.09765625" customWidth="1"/>
    <col min="15311" max="15311" width="2.69921875" customWidth="1"/>
    <col min="15312" max="15312" width="35.69921875" customWidth="1"/>
    <col min="15313" max="15313" width="5.09765625" customWidth="1"/>
    <col min="15314" max="15314" width="32.09765625" customWidth="1"/>
    <col min="15318" max="15318" width="40.19921875" customWidth="1"/>
    <col min="15326" max="15326" width="79.69921875" customWidth="1"/>
    <col min="15560" max="15561" width="32.09765625" customWidth="1"/>
    <col min="15562" max="15562" width="23.09765625" customWidth="1"/>
    <col min="15567" max="15567" width="2.69921875" customWidth="1"/>
    <col min="15568" max="15568" width="35.69921875" customWidth="1"/>
    <col min="15569" max="15569" width="5.09765625" customWidth="1"/>
    <col min="15570" max="15570" width="32.09765625" customWidth="1"/>
    <col min="15574" max="15574" width="40.19921875" customWidth="1"/>
    <col min="15582" max="15582" width="79.69921875" customWidth="1"/>
    <col min="15816" max="15817" width="32.09765625" customWidth="1"/>
    <col min="15818" max="15818" width="23.09765625" customWidth="1"/>
    <col min="15823" max="15823" width="2.69921875" customWidth="1"/>
    <col min="15824" max="15824" width="35.69921875" customWidth="1"/>
    <col min="15825" max="15825" width="5.09765625" customWidth="1"/>
    <col min="15826" max="15826" width="32.09765625" customWidth="1"/>
    <col min="15830" max="15830" width="40.19921875" customWidth="1"/>
    <col min="15838" max="15838" width="79.69921875" customWidth="1"/>
    <col min="16072" max="16073" width="32.09765625" customWidth="1"/>
    <col min="16074" max="16074" width="23.09765625" customWidth="1"/>
    <col min="16079" max="16079" width="2.69921875" customWidth="1"/>
    <col min="16080" max="16080" width="35.69921875" customWidth="1"/>
    <col min="16081" max="16081" width="5.09765625" customWidth="1"/>
    <col min="16082" max="16082" width="32.09765625" customWidth="1"/>
    <col min="16086" max="16086" width="40.19921875" customWidth="1"/>
    <col min="16094" max="16094" width="79.69921875" customWidth="1"/>
  </cols>
  <sheetData>
    <row r="1" spans="1:21" ht="22.95" customHeight="1">
      <c r="B1" s="578" t="str">
        <f>+'jobinfo(2)'!$C$1</f>
        <v>BROWNLEE, KEN</v>
      </c>
      <c r="C1" s="578" t="str">
        <f>+'jobinfo(2)'!$C$2</f>
        <v>3922 E 189 STR</v>
      </c>
      <c r="D1" s="579"/>
      <c r="E1" s="578" t="str">
        <f>+'jobinfo(2)'!$C$3</f>
        <v>CLEVELAND, OH 44128</v>
      </c>
      <c r="F1" s="578" t="str">
        <f>+'jobinfo(2)'!$C$11</f>
        <v>WATER</v>
      </c>
      <c r="G1" s="343"/>
      <c r="H1" s="343"/>
      <c r="I1" s="580"/>
      <c r="K1" s="580"/>
      <c r="L1" s="581"/>
      <c r="T1" s="580" t="str">
        <f>'[2]jobinfo(2)'!$C$5</f>
        <v>(216) 551-5572</v>
      </c>
      <c r="U1" s="580"/>
    </row>
    <row r="2" spans="1:21" ht="22.95" customHeight="1">
      <c r="B2" s="582" t="s">
        <v>315</v>
      </c>
      <c r="C2" s="583" t="s">
        <v>903</v>
      </c>
      <c r="D2" s="583"/>
      <c r="E2" s="584" t="s">
        <v>904</v>
      </c>
      <c r="F2" s="585"/>
      <c r="G2" s="522"/>
    </row>
    <row r="3" spans="1:21" ht="22.95" customHeight="1">
      <c r="B3" s="14" t="s">
        <v>905</v>
      </c>
      <c r="G3" s="522"/>
    </row>
    <row r="4" spans="1:21" ht="22.95" customHeight="1">
      <c r="A4" s="942" t="s">
        <v>906</v>
      </c>
      <c r="C4" s="586" t="s">
        <v>907</v>
      </c>
      <c r="D4" s="586" t="s">
        <v>907</v>
      </c>
      <c r="E4" s="586" t="s">
        <v>907</v>
      </c>
      <c r="F4" s="587" t="s">
        <v>908</v>
      </c>
      <c r="G4" s="588"/>
    </row>
    <row r="5" spans="1:21" ht="22.95" customHeight="1">
      <c r="A5" s="942"/>
      <c r="B5" s="589" t="s">
        <v>909</v>
      </c>
      <c r="C5" s="586" t="s">
        <v>907</v>
      </c>
      <c r="D5" s="586" t="s">
        <v>907</v>
      </c>
      <c r="E5" s="586" t="s">
        <v>907</v>
      </c>
      <c r="F5" s="587"/>
      <c r="G5" s="588"/>
    </row>
    <row r="6" spans="1:21" ht="22.95" customHeight="1">
      <c r="A6" s="942"/>
      <c r="B6" s="589" t="s">
        <v>910</v>
      </c>
      <c r="C6" s="586" t="s">
        <v>907</v>
      </c>
      <c r="D6" s="586" t="s">
        <v>907</v>
      </c>
      <c r="E6" s="586" t="s">
        <v>907</v>
      </c>
      <c r="F6" s="587"/>
      <c r="G6" s="588"/>
    </row>
    <row r="7" spans="1:21" ht="22.95" customHeight="1">
      <c r="A7" s="942"/>
      <c r="B7" s="589" t="s">
        <v>911</v>
      </c>
      <c r="C7" s="586" t="s">
        <v>907</v>
      </c>
      <c r="D7" s="586" t="s">
        <v>907</v>
      </c>
      <c r="E7" s="586" t="s">
        <v>907</v>
      </c>
      <c r="F7" s="587"/>
      <c r="G7" s="588"/>
    </row>
    <row r="8" spans="1:21" ht="22.95" customHeight="1">
      <c r="A8" s="942"/>
      <c r="B8" s="589" t="s">
        <v>912</v>
      </c>
      <c r="C8" s="586" t="s">
        <v>907</v>
      </c>
      <c r="D8" s="586" t="s">
        <v>907</v>
      </c>
      <c r="E8" s="586" t="s">
        <v>907</v>
      </c>
      <c r="F8" s="587"/>
      <c r="G8" s="588"/>
    </row>
    <row r="9" spans="1:21" ht="22.95" customHeight="1">
      <c r="A9" s="942"/>
      <c r="B9" s="589"/>
      <c r="C9" s="586" t="s">
        <v>907</v>
      </c>
      <c r="D9" s="586" t="s">
        <v>907</v>
      </c>
      <c r="E9" s="586" t="s">
        <v>907</v>
      </c>
      <c r="F9" s="587"/>
      <c r="G9" s="588"/>
    </row>
    <row r="10" spans="1:21" ht="22.95" customHeight="1">
      <c r="A10" s="942"/>
      <c r="B10" s="589"/>
      <c r="C10" s="586" t="s">
        <v>907</v>
      </c>
      <c r="D10" s="586" t="s">
        <v>907</v>
      </c>
      <c r="E10" s="586" t="s">
        <v>907</v>
      </c>
      <c r="F10" s="587"/>
      <c r="G10" s="588"/>
    </row>
    <row r="11" spans="1:21" ht="22.95" customHeight="1">
      <c r="B11" s="589" t="s">
        <v>913</v>
      </c>
      <c r="C11" s="586" t="s">
        <v>907</v>
      </c>
      <c r="D11" s="586" t="s">
        <v>907</v>
      </c>
      <c r="E11" s="586" t="s">
        <v>907</v>
      </c>
      <c r="F11" s="587" t="s">
        <v>908</v>
      </c>
      <c r="G11" s="588"/>
    </row>
    <row r="12" spans="1:21" ht="22.95" customHeight="1">
      <c r="B12" s="138" t="s">
        <v>914</v>
      </c>
      <c r="C12" s="586" t="s">
        <v>907</v>
      </c>
      <c r="D12" s="586"/>
      <c r="E12" s="586"/>
      <c r="F12" s="587"/>
      <c r="G12" s="588"/>
    </row>
    <row r="13" spans="1:21" ht="22.95" customHeight="1">
      <c r="B13" s="589"/>
      <c r="C13" s="586" t="s">
        <v>907</v>
      </c>
      <c r="D13" s="586"/>
      <c r="E13" s="586"/>
      <c r="F13" s="587"/>
      <c r="G13" s="588"/>
    </row>
    <row r="14" spans="1:21" ht="22.95" customHeight="1">
      <c r="B14" s="589" t="s">
        <v>915</v>
      </c>
      <c r="C14" s="586" t="s">
        <v>907</v>
      </c>
      <c r="D14" s="586"/>
      <c r="E14" s="586"/>
      <c r="F14" s="587"/>
      <c r="G14" s="588"/>
    </row>
    <row r="15" spans="1:21" ht="22.95" customHeight="1">
      <c r="B15" s="589"/>
      <c r="C15" s="586"/>
      <c r="D15" s="586"/>
      <c r="E15" s="586"/>
      <c r="F15" s="587"/>
      <c r="G15" s="588"/>
    </row>
    <row r="16" spans="1:21" ht="22.95" customHeight="1">
      <c r="B16" s="589" t="s">
        <v>916</v>
      </c>
      <c r="C16" s="586" t="s">
        <v>917</v>
      </c>
      <c r="D16" s="586" t="s">
        <v>918</v>
      </c>
      <c r="E16" s="586" t="s">
        <v>919</v>
      </c>
      <c r="F16" s="587" t="s">
        <v>920</v>
      </c>
      <c r="G16" s="588"/>
    </row>
    <row r="17" spans="2:7" ht="22.95" customHeight="1">
      <c r="C17" s="14" t="s">
        <v>921</v>
      </c>
      <c r="D17" s="586"/>
      <c r="E17" s="586"/>
      <c r="F17" s="587"/>
      <c r="G17" s="588"/>
    </row>
    <row r="18" spans="2:7" ht="22.95" customHeight="1">
      <c r="B18" s="590" t="s">
        <v>922</v>
      </c>
      <c r="C18" s="591"/>
      <c r="D18" s="591"/>
      <c r="E18" s="591"/>
      <c r="F18" s="591"/>
      <c r="G18" s="339"/>
    </row>
    <row r="19" spans="2:7" ht="22.95" customHeight="1">
      <c r="B19" s="589" t="s">
        <v>923</v>
      </c>
      <c r="C19" s="592"/>
      <c r="D19" s="592"/>
      <c r="E19" s="592" t="s">
        <v>924</v>
      </c>
      <c r="F19" s="591"/>
      <c r="G19" s="339"/>
    </row>
    <row r="20" spans="2:7" ht="22.95" customHeight="1">
      <c r="B20" s="589" t="s">
        <v>925</v>
      </c>
      <c r="C20" s="591" t="s">
        <v>926</v>
      </c>
      <c r="D20" s="591"/>
      <c r="E20" s="593" t="s">
        <v>927</v>
      </c>
      <c r="F20" s="591"/>
      <c r="G20" s="339"/>
    </row>
    <row r="21" spans="2:7" ht="22.95" customHeight="1">
      <c r="B21" s="589" t="s">
        <v>928</v>
      </c>
      <c r="C21" s="592" t="s">
        <v>929</v>
      </c>
      <c r="D21" s="592"/>
      <c r="E21" s="594" t="s">
        <v>927</v>
      </c>
      <c r="F21" s="591"/>
      <c r="G21" s="339"/>
    </row>
    <row r="22" spans="2:7" ht="22.95" customHeight="1">
      <c r="B22" s="589" t="s">
        <v>930</v>
      </c>
      <c r="C22" s="591" t="s">
        <v>929</v>
      </c>
      <c r="D22" s="591"/>
      <c r="E22" s="594" t="s">
        <v>927</v>
      </c>
      <c r="F22" s="591"/>
      <c r="G22" s="339"/>
    </row>
    <row r="23" spans="2:7" ht="22.95" customHeight="1">
      <c r="B23" s="589" t="s">
        <v>931</v>
      </c>
      <c r="C23" s="592" t="s">
        <v>929</v>
      </c>
      <c r="D23" s="592"/>
      <c r="E23" s="594" t="s">
        <v>927</v>
      </c>
      <c r="F23" s="591"/>
      <c r="G23" s="339"/>
    </row>
    <row r="24" spans="2:7" ht="22.95" customHeight="1">
      <c r="B24" s="589" t="s">
        <v>932</v>
      </c>
      <c r="C24" s="591"/>
      <c r="D24" s="591"/>
      <c r="E24" s="591"/>
      <c r="F24" s="591"/>
      <c r="G24" s="339"/>
    </row>
    <row r="25" spans="2:7" ht="22.95" customHeight="1">
      <c r="B25" s="589"/>
      <c r="C25" s="591"/>
      <c r="D25" s="591"/>
      <c r="E25" s="591"/>
      <c r="F25" s="591"/>
      <c r="G25" s="339"/>
    </row>
    <row r="26" spans="2:7" ht="22.2" customHeight="1">
      <c r="B26" s="595" t="s">
        <v>933</v>
      </c>
      <c r="C26" s="591"/>
      <c r="D26" s="591"/>
      <c r="E26" s="591"/>
      <c r="F26" s="596"/>
      <c r="G26" s="339"/>
    </row>
    <row r="27" spans="2:7" ht="22.2" customHeight="1">
      <c r="B27" s="597" t="s">
        <v>934</v>
      </c>
      <c r="C27" s="591" t="s">
        <v>935</v>
      </c>
      <c r="D27" s="591" t="s">
        <v>936</v>
      </c>
      <c r="E27" s="598" t="s">
        <v>937</v>
      </c>
      <c r="F27" s="596"/>
      <c r="G27" s="339"/>
    </row>
    <row r="28" spans="2:7" ht="22.95" customHeight="1">
      <c r="B28" s="599" t="s">
        <v>938</v>
      </c>
      <c r="C28" s="591" t="s">
        <v>939</v>
      </c>
      <c r="D28" s="591"/>
      <c r="E28" s="591"/>
      <c r="F28" s="600"/>
      <c r="G28" s="339"/>
    </row>
    <row r="29" spans="2:7" ht="22.95" customHeight="1">
      <c r="B29" s="7" t="s">
        <v>940</v>
      </c>
      <c r="C29" s="591"/>
      <c r="D29" s="591"/>
      <c r="E29" s="591" t="s">
        <v>929</v>
      </c>
      <c r="F29" s="591" t="s">
        <v>941</v>
      </c>
      <c r="G29" s="339"/>
    </row>
    <row r="30" spans="2:7" ht="22.95" customHeight="1">
      <c r="B30" s="7" t="s">
        <v>942</v>
      </c>
      <c r="C30" s="591" t="s">
        <v>935</v>
      </c>
      <c r="D30" s="591" t="s">
        <v>936</v>
      </c>
      <c r="E30" s="591" t="s">
        <v>929</v>
      </c>
      <c r="F30" s="600"/>
      <c r="G30" s="339"/>
    </row>
    <row r="31" spans="2:7" ht="22.95" customHeight="1">
      <c r="B31" s="7" t="s">
        <v>943</v>
      </c>
      <c r="C31" s="600" t="s">
        <v>944</v>
      </c>
      <c r="D31" s="591"/>
      <c r="E31" s="591"/>
      <c r="F31" s="591"/>
      <c r="G31" s="339"/>
    </row>
    <row r="32" spans="2:7" ht="22.95" customHeight="1">
      <c r="B32" s="7" t="s">
        <v>945</v>
      </c>
      <c r="C32" s="339"/>
      <c r="D32" s="339"/>
      <c r="E32" s="339"/>
      <c r="F32" s="339"/>
      <c r="G32" s="339"/>
    </row>
    <row r="33" spans="3:7" ht="22.95" customHeight="1">
      <c r="C33" s="339"/>
      <c r="D33" s="339"/>
      <c r="E33" s="339"/>
      <c r="F33" s="339"/>
      <c r="G33" s="339"/>
    </row>
    <row r="34" spans="3:7" ht="22.95" customHeight="1">
      <c r="C34" s="339"/>
      <c r="D34" s="339"/>
      <c r="E34" s="339"/>
      <c r="F34" s="339"/>
      <c r="G34" s="339"/>
    </row>
    <row r="35" spans="3:7" ht="22.95" customHeight="1">
      <c r="C35" s="339"/>
      <c r="D35" s="339"/>
      <c r="E35" s="339"/>
      <c r="F35" s="339"/>
      <c r="G35" s="339"/>
    </row>
    <row r="36" spans="3:7" ht="22.95" customHeight="1">
      <c r="C36" s="339"/>
      <c r="D36" s="339"/>
      <c r="E36" s="339"/>
      <c r="F36" s="339"/>
      <c r="G36" s="339"/>
    </row>
    <row r="37" spans="3:7" ht="22.95" customHeight="1">
      <c r="C37" s="339"/>
      <c r="D37" s="339"/>
      <c r="E37" s="339"/>
      <c r="F37" s="339"/>
      <c r="G37" s="339"/>
    </row>
    <row r="38" spans="3:7" ht="22.95" customHeight="1">
      <c r="C38" s="339"/>
      <c r="D38" s="339"/>
      <c r="E38" s="339"/>
      <c r="F38" s="339"/>
      <c r="G38" s="339"/>
    </row>
    <row r="39" spans="3:7" ht="22.95" customHeight="1">
      <c r="C39" s="339"/>
      <c r="D39" s="339"/>
      <c r="E39" s="339"/>
      <c r="F39" s="339"/>
      <c r="G39" s="339"/>
    </row>
    <row r="40" spans="3:7" ht="22.95" customHeight="1">
      <c r="C40" s="339"/>
      <c r="D40" s="339"/>
      <c r="E40" s="339"/>
      <c r="F40" s="339"/>
      <c r="G40" s="339"/>
    </row>
    <row r="41" spans="3:7" ht="22.95" customHeight="1">
      <c r="C41" s="339"/>
      <c r="D41" s="339"/>
      <c r="E41" s="339"/>
      <c r="F41" s="339"/>
      <c r="G41" s="339"/>
    </row>
    <row r="42" spans="3:7" ht="22.95" customHeight="1">
      <c r="C42" s="339"/>
      <c r="D42" s="339"/>
      <c r="E42" s="339"/>
      <c r="F42" s="339"/>
      <c r="G42" s="339"/>
    </row>
    <row r="43" spans="3:7" ht="22.95" customHeight="1">
      <c r="C43" s="339"/>
      <c r="D43" s="339"/>
      <c r="E43" s="339"/>
      <c r="F43" s="339"/>
      <c r="G43" s="339"/>
    </row>
    <row r="44" spans="3:7" ht="22.95" customHeight="1">
      <c r="C44" s="339"/>
      <c r="D44" s="339"/>
      <c r="E44" s="339"/>
      <c r="F44" s="339"/>
      <c r="G44" s="339"/>
    </row>
  </sheetData>
  <mergeCells count="1">
    <mergeCell ref="A4:A10"/>
  </mergeCells>
  <printOptions horizontalCentered="1" verticalCentered="1" gridLines="1"/>
  <pageMargins left="0.25" right="0.25" top="0.19" bottom="0.37" header="0.26" footer="0.21"/>
  <pageSetup orientation="portrait" r:id="rId1"/>
  <headerFooter>
    <oddFooter>&amp;L&amp;A&amp;C
&amp;R
Page  #  &amp;P         &amp;F</oddFooter>
  </headerFooter>
  <colBreaks count="1" manualBreakCount="1">
    <brk id="6" max="31" man="1"/>
  </colBreaks>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AB712-6B80-4DE4-B6CF-5AD032CB6C20}">
  <sheetPr codeName="Sheet14"/>
  <dimension ref="A1:A109"/>
  <sheetViews>
    <sheetView view="pageBreakPreview" zoomScale="60" zoomScaleNormal="100" workbookViewId="0">
      <selection activeCell="P1" sqref="P1"/>
    </sheetView>
  </sheetViews>
  <sheetFormatPr defaultRowHeight="13.8"/>
  <cols>
    <col min="1" max="1" width="88.69921875" customWidth="1"/>
  </cols>
  <sheetData>
    <row r="1" spans="1:1">
      <c r="A1" t="s">
        <v>946</v>
      </c>
    </row>
    <row r="3" spans="1:1" ht="66">
      <c r="A3" s="493" t="s">
        <v>947</v>
      </c>
    </row>
    <row r="4" spans="1:1" ht="124.2">
      <c r="A4" s="335" t="s">
        <v>948</v>
      </c>
    </row>
    <row r="8" spans="1:1" ht="31.2">
      <c r="A8" s="499" t="s">
        <v>949</v>
      </c>
    </row>
    <row r="9" spans="1:1" ht="31.2">
      <c r="A9" s="497" t="s">
        <v>950</v>
      </c>
    </row>
    <row r="10" spans="1:1" ht="15.6">
      <c r="A10" s="497"/>
    </row>
    <row r="11" spans="1:1" ht="15.6">
      <c r="A11" s="497" t="s">
        <v>951</v>
      </c>
    </row>
    <row r="12" spans="1:1" ht="15.6">
      <c r="A12" s="497"/>
    </row>
    <row r="13" spans="1:1" ht="15.6">
      <c r="A13" s="497" t="s">
        <v>952</v>
      </c>
    </row>
    <row r="15" spans="1:1" ht="15" thickBot="1">
      <c r="A15" s="494"/>
    </row>
    <row r="16" spans="1:1" ht="55.8" thickBot="1">
      <c r="A16" s="495" t="s">
        <v>953</v>
      </c>
    </row>
    <row r="17" spans="1:1" ht="15" thickBot="1">
      <c r="A17" s="496"/>
    </row>
    <row r="18" spans="1:1" ht="42" thickBot="1">
      <c r="A18" s="495" t="s">
        <v>954</v>
      </c>
    </row>
    <row r="19" spans="1:1" ht="14.4">
      <c r="A19" s="494"/>
    </row>
    <row r="20" spans="1:1" ht="14.4">
      <c r="A20" s="494" t="s">
        <v>955</v>
      </c>
    </row>
    <row r="21" spans="1:1" ht="14.4">
      <c r="A21" s="494" t="s">
        <v>956</v>
      </c>
    </row>
    <row r="22" spans="1:1" ht="14.4">
      <c r="A22" s="494" t="s">
        <v>957</v>
      </c>
    </row>
    <row r="23" spans="1:1" ht="14.4">
      <c r="A23" s="494" t="s">
        <v>958</v>
      </c>
    </row>
    <row r="24" spans="1:1" ht="14.4">
      <c r="A24" s="494" t="s">
        <v>959</v>
      </c>
    </row>
    <row r="25" spans="1:1" ht="14.4">
      <c r="A25" s="494" t="s">
        <v>960</v>
      </c>
    </row>
    <row r="26" spans="1:1" ht="14.4">
      <c r="A26" s="494" t="s">
        <v>961</v>
      </c>
    </row>
    <row r="27" spans="1:1" ht="14.4">
      <c r="A27" s="494" t="s">
        <v>962</v>
      </c>
    </row>
    <row r="28" spans="1:1" ht="14.4">
      <c r="A28" s="494" t="s">
        <v>963</v>
      </c>
    </row>
    <row r="29" spans="1:1" ht="14.4">
      <c r="A29" s="494" t="s">
        <v>964</v>
      </c>
    </row>
    <row r="30" spans="1:1" ht="14.4">
      <c r="A30" s="494" t="s">
        <v>965</v>
      </c>
    </row>
    <row r="31" spans="1:1" ht="14.4">
      <c r="A31" s="494" t="s">
        <v>966</v>
      </c>
    </row>
    <row r="32" spans="1:1" ht="14.4">
      <c r="A32" s="494" t="s">
        <v>967</v>
      </c>
    </row>
    <row r="33" spans="1:1" ht="14.4">
      <c r="A33" s="494" t="s">
        <v>968</v>
      </c>
    </row>
    <row r="34" spans="1:1" ht="14.4">
      <c r="A34" s="494" t="s">
        <v>969</v>
      </c>
    </row>
    <row r="35" spans="1:1" ht="14.4">
      <c r="A35" s="494" t="s">
        <v>970</v>
      </c>
    </row>
    <row r="36" spans="1:1" ht="14.4">
      <c r="A36" s="494" t="s">
        <v>971</v>
      </c>
    </row>
    <row r="37" spans="1:1" ht="14.4">
      <c r="A37" s="494" t="s">
        <v>972</v>
      </c>
    </row>
    <row r="38" spans="1:1" ht="14.4">
      <c r="A38" s="494" t="s">
        <v>973</v>
      </c>
    </row>
    <row r="39" spans="1:1" ht="14.4">
      <c r="A39" s="494"/>
    </row>
    <row r="40" spans="1:1" ht="14.4">
      <c r="A40" s="494" t="s">
        <v>974</v>
      </c>
    </row>
    <row r="41" spans="1:1" ht="14.4">
      <c r="A41" s="494" t="s">
        <v>975</v>
      </c>
    </row>
    <row r="42" spans="1:1" ht="14.4">
      <c r="A42" s="494"/>
    </row>
    <row r="43" spans="1:1" ht="28.8">
      <c r="A43" s="498" t="s">
        <v>976</v>
      </c>
    </row>
    <row r="44" spans="1:1" ht="14.4">
      <c r="A44" s="498"/>
    </row>
    <row r="45" spans="1:1" ht="72">
      <c r="A45" s="498" t="s">
        <v>977</v>
      </c>
    </row>
    <row r="46" spans="1:1" ht="14.4">
      <c r="A46" s="498"/>
    </row>
    <row r="47" spans="1:1" ht="86.4">
      <c r="A47" s="498" t="s">
        <v>978</v>
      </c>
    </row>
    <row r="48" spans="1:1" ht="14.4">
      <c r="A48" s="498"/>
    </row>
    <row r="49" spans="1:1" ht="72">
      <c r="A49" s="498" t="s">
        <v>979</v>
      </c>
    </row>
    <row r="50" spans="1:1" ht="14.4">
      <c r="A50" s="498"/>
    </row>
    <row r="51" spans="1:1" ht="57.6">
      <c r="A51" s="498" t="s">
        <v>980</v>
      </c>
    </row>
    <row r="52" spans="1:1" ht="14.4">
      <c r="A52" s="498"/>
    </row>
    <row r="53" spans="1:1" ht="72">
      <c r="A53" s="498" t="s">
        <v>981</v>
      </c>
    </row>
    <row r="54" spans="1:1" ht="14.4">
      <c r="A54" s="498"/>
    </row>
    <row r="55" spans="1:1" ht="43.2">
      <c r="A55" s="498" t="s">
        <v>982</v>
      </c>
    </row>
    <row r="56" spans="1:1" ht="14.4">
      <c r="A56" s="498"/>
    </row>
    <row r="57" spans="1:1" ht="43.2">
      <c r="A57" s="498" t="s">
        <v>983</v>
      </c>
    </row>
    <row r="58" spans="1:1" ht="14.4">
      <c r="A58" s="498"/>
    </row>
    <row r="59" spans="1:1" ht="57.6">
      <c r="A59" s="498" t="s">
        <v>984</v>
      </c>
    </row>
    <row r="60" spans="1:1" ht="14.4">
      <c r="A60" s="498"/>
    </row>
    <row r="61" spans="1:1" ht="72">
      <c r="A61" s="498" t="s">
        <v>985</v>
      </c>
    </row>
    <row r="62" spans="1:1" ht="14.4">
      <c r="A62" s="498"/>
    </row>
    <row r="63" spans="1:1" ht="28.8">
      <c r="A63" s="498" t="s">
        <v>986</v>
      </c>
    </row>
    <row r="64" spans="1:1" ht="14.4">
      <c r="A64" s="498"/>
    </row>
    <row r="65" spans="1:1" ht="43.2">
      <c r="A65" s="498" t="s">
        <v>987</v>
      </c>
    </row>
    <row r="66" spans="1:1" ht="14.4">
      <c r="A66" s="498"/>
    </row>
    <row r="67" spans="1:1" ht="72">
      <c r="A67" s="498" t="s">
        <v>988</v>
      </c>
    </row>
    <row r="68" spans="1:1" ht="14.4">
      <c r="A68" s="498"/>
    </row>
    <row r="69" spans="1:1" ht="28.8">
      <c r="A69" s="498" t="s">
        <v>989</v>
      </c>
    </row>
    <row r="70" spans="1:1" ht="14.4">
      <c r="A70" s="498"/>
    </row>
    <row r="71" spans="1:1" ht="72">
      <c r="A71" s="498" t="s">
        <v>990</v>
      </c>
    </row>
    <row r="72" spans="1:1" ht="14.4">
      <c r="A72" s="498"/>
    </row>
    <row r="73" spans="1:1" ht="14.4">
      <c r="A73" s="498" t="s">
        <v>991</v>
      </c>
    </row>
    <row r="74" spans="1:1" ht="14.4">
      <c r="A74" s="498"/>
    </row>
    <row r="75" spans="1:1" ht="57.6">
      <c r="A75" s="498" t="s">
        <v>992</v>
      </c>
    </row>
    <row r="76" spans="1:1">
      <c r="A76" s="335"/>
    </row>
    <row r="77" spans="1:1">
      <c r="A77" s="335"/>
    </row>
    <row r="78" spans="1:1">
      <c r="A78" s="335"/>
    </row>
    <row r="79" spans="1:1">
      <c r="A79" s="335" t="s">
        <v>993</v>
      </c>
    </row>
    <row r="80" spans="1:1">
      <c r="A80" s="335"/>
    </row>
    <row r="81" spans="1:1">
      <c r="A81" s="335" t="s">
        <v>994</v>
      </c>
    </row>
    <row r="82" spans="1:1">
      <c r="A82" s="335" t="s">
        <v>995</v>
      </c>
    </row>
    <row r="83" spans="1:1">
      <c r="A83" t="s">
        <v>996</v>
      </c>
    </row>
    <row r="84" spans="1:1">
      <c r="A84" t="s">
        <v>997</v>
      </c>
    </row>
    <row r="85" spans="1:1">
      <c r="A85" t="s">
        <v>998</v>
      </c>
    </row>
    <row r="87" spans="1:1">
      <c r="A87" t="s">
        <v>999</v>
      </c>
    </row>
    <row r="88" spans="1:1">
      <c r="A88" t="s">
        <v>1000</v>
      </c>
    </row>
    <row r="89" spans="1:1">
      <c r="A89" t="s">
        <v>1001</v>
      </c>
    </row>
    <row r="90" spans="1:1">
      <c r="A90" t="s">
        <v>1002</v>
      </c>
    </row>
    <row r="91" spans="1:1">
      <c r="A91" t="s">
        <v>1003</v>
      </c>
    </row>
    <row r="92" spans="1:1">
      <c r="A92" t="s">
        <v>1004</v>
      </c>
    </row>
    <row r="93" spans="1:1">
      <c r="A93" t="s">
        <v>1005</v>
      </c>
    </row>
    <row r="94" spans="1:1">
      <c r="A94" t="s">
        <v>1006</v>
      </c>
    </row>
    <row r="95" spans="1:1">
      <c r="A95" t="s">
        <v>1007</v>
      </c>
    </row>
    <row r="98" spans="1:1">
      <c r="A98" s="943" t="s">
        <v>1008</v>
      </c>
    </row>
    <row r="99" spans="1:1">
      <c r="A99" s="943"/>
    </row>
    <row r="101" spans="1:1">
      <c r="A101" t="s">
        <v>1009</v>
      </c>
    </row>
    <row r="102" spans="1:1">
      <c r="A102" t="s">
        <v>1010</v>
      </c>
    </row>
    <row r="103" spans="1:1">
      <c r="A103" t="s">
        <v>1011</v>
      </c>
    </row>
    <row r="104" spans="1:1">
      <c r="A104" t="s">
        <v>1012</v>
      </c>
    </row>
    <row r="105" spans="1:1">
      <c r="A105" t="s">
        <v>1013</v>
      </c>
    </row>
    <row r="106" spans="1:1">
      <c r="A106" t="s">
        <v>1014</v>
      </c>
    </row>
    <row r="107" spans="1:1">
      <c r="A107" t="s">
        <v>1015</v>
      </c>
    </row>
    <row r="108" spans="1:1">
      <c r="A108" t="s">
        <v>1016</v>
      </c>
    </row>
    <row r="109" spans="1:1">
      <c r="A109" t="s">
        <v>1017</v>
      </c>
    </row>
  </sheetData>
  <mergeCells count="1">
    <mergeCell ref="A98:A99"/>
  </mergeCells>
  <pageMargins left="0.27" right="0.27" top="0.68" bottom="0.63" header="0.3" footer="0.27"/>
  <pageSetup orientation="portrait" r:id="rId1"/>
  <headerFooter>
    <oddFooter>&amp;C&amp;A&amp;R&amp;F</oddFooter>
  </headerFooter>
  <rowBreaks count="1" manualBreakCount="1">
    <brk id="9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49DB4-17A5-4B10-97F2-86866A1C35C6}">
  <sheetPr codeName="Sheet5"/>
  <dimension ref="A1:N102"/>
  <sheetViews>
    <sheetView view="pageBreakPreview" zoomScaleNormal="100" zoomScaleSheetLayoutView="100" workbookViewId="0">
      <selection activeCell="C3" sqref="C3"/>
    </sheetView>
  </sheetViews>
  <sheetFormatPr defaultColWidth="8.69921875" defaultRowHeight="13.8"/>
  <cols>
    <col min="1" max="1" width="32.59765625" style="100" customWidth="1"/>
    <col min="2" max="2" width="18.19921875" style="100" customWidth="1"/>
    <col min="3" max="3" width="17.8984375" style="100" customWidth="1"/>
    <col min="4" max="4" width="22.19921875" style="100" customWidth="1"/>
  </cols>
  <sheetData>
    <row r="1" spans="1:5" ht="22.2" customHeight="1">
      <c r="A1" s="334" t="s">
        <v>1018</v>
      </c>
      <c r="B1" s="950" t="str">
        <f>'jobinfo(2)'!C51</f>
        <v>OH25 BROWNLEE @E189</v>
      </c>
      <c r="C1" s="950"/>
    </row>
    <row r="2" spans="1:5" ht="22.2" customHeight="1">
      <c r="A2" s="678" t="s">
        <v>1019</v>
      </c>
      <c r="B2" s="680" t="s">
        <v>1020</v>
      </c>
      <c r="D2" s="949" t="s">
        <v>1021</v>
      </c>
    </row>
    <row r="3" spans="1:5" ht="22.2" customHeight="1">
      <c r="A3" s="679" t="s">
        <v>1022</v>
      </c>
      <c r="B3" s="679" t="s">
        <v>1023</v>
      </c>
      <c r="C3" s="8" t="s">
        <v>599</v>
      </c>
      <c r="D3" s="949"/>
    </row>
    <row r="4" spans="1:5" ht="22.2" customHeight="1">
      <c r="A4" s="679" t="s">
        <v>1024</v>
      </c>
      <c r="B4" s="679" t="s">
        <v>1025</v>
      </c>
      <c r="C4" s="8"/>
    </row>
    <row r="5" spans="1:5" ht="22.2" customHeight="1">
      <c r="A5" s="952" t="s">
        <v>1026</v>
      </c>
      <c r="B5" s="952"/>
    </row>
    <row r="6" spans="1:5" ht="16.2" customHeight="1">
      <c r="A6" s="100" t="s">
        <v>1027</v>
      </c>
      <c r="B6" s="100" t="s">
        <v>1028</v>
      </c>
    </row>
    <row r="7" spans="1:5" ht="22.2" customHeight="1">
      <c r="A7" s="254" t="str">
        <f>+'jobinfo(2)'!C1</f>
        <v>BROWNLEE, KEN</v>
      </c>
      <c r="B7" s="255" t="str">
        <f>+'jobinfo(2)'!C4</f>
        <v>KHAIAKEN@SBCGLOBAL.NET</v>
      </c>
      <c r="C7" s="276"/>
    </row>
    <row r="8" spans="1:5" ht="19.2" customHeight="1">
      <c r="A8" s="262" t="s">
        <v>1029</v>
      </c>
      <c r="B8" s="262" t="s">
        <v>1030</v>
      </c>
      <c r="C8" s="262" t="s">
        <v>1031</v>
      </c>
      <c r="D8" s="253"/>
    </row>
    <row r="9" spans="1:5" ht="16.95" customHeight="1">
      <c r="A9" s="100" t="s">
        <v>1032</v>
      </c>
      <c r="B9" s="100" t="s">
        <v>1033</v>
      </c>
      <c r="C9" s="100" t="s">
        <v>1034</v>
      </c>
      <c r="D9" s="342" t="s">
        <v>1035</v>
      </c>
      <c r="E9" s="954"/>
    </row>
    <row r="10" spans="1:5" ht="19.95" customHeight="1">
      <c r="A10" s="254" t="str">
        <f>+'jobinfo(2)'!C2</f>
        <v>3922 E 189 STR</v>
      </c>
      <c r="B10" s="948" t="str">
        <f>+'jobinfo(2)'!C3</f>
        <v>CLEVELAND, OH 44128</v>
      </c>
      <c r="C10" s="948"/>
      <c r="D10" s="254" t="s">
        <v>1036</v>
      </c>
      <c r="E10" s="954"/>
    </row>
    <row r="11" spans="1:5" ht="18" customHeight="1">
      <c r="A11" s="283" t="s">
        <v>1037</v>
      </c>
      <c r="B11" s="278" t="s">
        <v>1038</v>
      </c>
      <c r="C11" s="264">
        <f>+'jobinfo(2)'!C5</f>
        <v>2163241337</v>
      </c>
      <c r="D11" s="277"/>
      <c r="E11" s="954"/>
    </row>
    <row r="12" spans="1:5" ht="9" customHeight="1">
      <c r="A12" s="279"/>
      <c r="B12" s="280"/>
      <c r="C12" s="281"/>
      <c r="D12" s="281"/>
      <c r="E12" s="954"/>
    </row>
    <row r="13" spans="1:5" ht="16.95" customHeight="1">
      <c r="A13" s="251" t="s">
        <v>1039</v>
      </c>
      <c r="B13" s="100" t="s">
        <v>1040</v>
      </c>
      <c r="C13" s="98" t="s">
        <v>1041</v>
      </c>
      <c r="D13" s="100" t="s">
        <v>1042</v>
      </c>
      <c r="E13" s="954"/>
    </row>
    <row r="14" spans="1:5" ht="19.2" customHeight="1">
      <c r="A14" s="271">
        <f>+'jobinfo(2)'!C22</f>
        <v>45987</v>
      </c>
      <c r="B14" s="265" t="s">
        <v>204</v>
      </c>
      <c r="C14" s="265" t="s">
        <v>204</v>
      </c>
      <c r="D14" s="266" t="s">
        <v>1043</v>
      </c>
      <c r="E14" s="954"/>
    </row>
    <row r="15" spans="1:5" ht="10.95" customHeight="1">
      <c r="A15" s="279"/>
      <c r="B15" s="279"/>
      <c r="C15" s="279"/>
      <c r="D15" s="279"/>
      <c r="E15" s="954"/>
    </row>
    <row r="16" spans="1:5" ht="21" customHeight="1">
      <c r="A16" s="956" t="s">
        <v>1044</v>
      </c>
      <c r="B16" s="99" t="s">
        <v>1045</v>
      </c>
      <c r="D16" s="100" t="s">
        <v>1046</v>
      </c>
      <c r="E16" s="954"/>
    </row>
    <row r="17" spans="1:7" s="263" customFormat="1" ht="19.2" customHeight="1">
      <c r="A17" s="956"/>
      <c r="B17" s="282" t="str">
        <f>'jobinfo(2)'!C112</f>
        <v>Joe Jones, PM  216.450.7228</v>
      </c>
      <c r="D17" s="267" t="str">
        <f>+'jobinfo(2)'!C26</f>
        <v>ALLSTATE INS CO.</v>
      </c>
      <c r="E17" s="954"/>
    </row>
    <row r="18" spans="1:7" ht="10.95" customHeight="1">
      <c r="A18" s="279"/>
      <c r="B18" s="279"/>
      <c r="C18" s="279"/>
      <c r="D18" s="279"/>
      <c r="E18" s="954"/>
    </row>
    <row r="19" spans="1:7" ht="33" customHeight="1">
      <c r="A19" s="343" t="s">
        <v>1047</v>
      </c>
      <c r="B19" s="100" t="s">
        <v>1048</v>
      </c>
      <c r="C19" s="258" t="s">
        <v>1049</v>
      </c>
      <c r="D19" s="251" t="str">
        <f>'jobinfo(2)'!B28</f>
        <v>policy #</v>
      </c>
      <c r="E19" s="954"/>
    </row>
    <row r="20" spans="1:7" ht="19.95" customHeight="1">
      <c r="A20" s="257" t="str">
        <f>+'jobinfo(2)'!C11</f>
        <v>WATER</v>
      </c>
      <c r="B20" s="259" t="s">
        <v>1050</v>
      </c>
      <c r="C20" s="260" t="str">
        <f>+'jobinfo(2)'!C27</f>
        <v>CLM</v>
      </c>
      <c r="D20" s="251" t="str">
        <f>+'jobinfo(2)'!C28</f>
        <v>PL3\</v>
      </c>
      <c r="E20" s="954"/>
    </row>
    <row r="21" spans="1:7" ht="4.95" customHeight="1">
      <c r="A21" s="279"/>
      <c r="B21" s="279"/>
      <c r="C21" s="279"/>
      <c r="D21" s="279"/>
      <c r="E21" s="954"/>
    </row>
    <row r="22" spans="1:7" ht="22.2" customHeight="1">
      <c r="A22" s="332" t="s">
        <v>1051</v>
      </c>
      <c r="B22" s="256" t="s">
        <v>1052</v>
      </c>
      <c r="D22" s="346" t="s">
        <v>1053</v>
      </c>
      <c r="E22" s="954"/>
    </row>
    <row r="23" spans="1:7" ht="22.2" customHeight="1">
      <c r="A23" s="283" t="s">
        <v>1054</v>
      </c>
      <c r="E23" s="954"/>
    </row>
    <row r="24" spans="1:7" ht="4.95" customHeight="1">
      <c r="A24" s="285"/>
      <c r="B24" s="279"/>
      <c r="C24" s="261"/>
      <c r="D24" s="286"/>
      <c r="E24" s="954"/>
    </row>
    <row r="25" spans="1:7" ht="22.2" customHeight="1">
      <c r="A25" s="283" t="s">
        <v>1055</v>
      </c>
      <c r="E25" s="954"/>
    </row>
    <row r="26" spans="1:7" ht="22.2" customHeight="1">
      <c r="A26" s="283" t="s">
        <v>1056</v>
      </c>
      <c r="B26" s="288" t="s">
        <v>1057</v>
      </c>
      <c r="C26" s="283" t="s">
        <v>1058</v>
      </c>
      <c r="D26" s="841" t="s">
        <v>1059</v>
      </c>
      <c r="E26" s="954"/>
    </row>
    <row r="27" spans="1:7" ht="19.95" customHeight="1">
      <c r="A27" s="289" t="s">
        <v>1060</v>
      </c>
      <c r="B27" s="341" t="str">
        <f>B10</f>
        <v>CLEVELAND, OH 44128</v>
      </c>
      <c r="C27" s="675" t="s">
        <v>1061</v>
      </c>
      <c r="D27" s="289" t="s">
        <v>1060</v>
      </c>
      <c r="E27" s="954"/>
    </row>
    <row r="28" spans="1:7" ht="18" customHeight="1">
      <c r="A28" s="290"/>
      <c r="B28" s="676">
        <f>+'jobinfo(2)'!C12</f>
        <v>45986</v>
      </c>
      <c r="C28" s="675"/>
      <c r="D28" s="291"/>
      <c r="E28" s="954"/>
    </row>
    <row r="29" spans="1:7" ht="21" customHeight="1">
      <c r="A29" s="292" t="s">
        <v>1062</v>
      </c>
      <c r="B29" s="268" t="s">
        <v>1063</v>
      </c>
      <c r="C29" s="268" t="s">
        <v>1063</v>
      </c>
      <c r="D29" s="293" t="s">
        <v>1064</v>
      </c>
      <c r="E29" s="954"/>
      <c r="G29" s="223"/>
    </row>
    <row r="30" spans="1:7" ht="3" customHeight="1">
      <c r="A30" s="285"/>
      <c r="B30" s="279"/>
      <c r="C30" s="261"/>
      <c r="D30" s="286"/>
      <c r="E30" s="954"/>
      <c r="G30" s="223"/>
    </row>
    <row r="31" spans="1:7" ht="21" customHeight="1">
      <c r="A31" s="283" t="s">
        <v>1065</v>
      </c>
      <c r="B31" s="268" t="s">
        <v>1063</v>
      </c>
      <c r="C31" s="98" t="s">
        <v>1066</v>
      </c>
      <c r="D31" s="677" t="str">
        <f>'jobinfo(2)'!C100</f>
        <v>All Phase Consulting, LLC</v>
      </c>
      <c r="E31" s="954"/>
      <c r="G31" s="223"/>
    </row>
    <row r="32" spans="1:7" ht="7.95" customHeight="1">
      <c r="A32" s="344"/>
      <c r="B32" s="279"/>
      <c r="C32" s="269"/>
      <c r="D32" s="286"/>
      <c r="E32" s="954"/>
    </row>
    <row r="33" spans="1:6" ht="21" customHeight="1">
      <c r="A33" s="283" t="s">
        <v>1067</v>
      </c>
      <c r="C33" s="268" t="s">
        <v>1063</v>
      </c>
      <c r="D33" s="287"/>
      <c r="E33" s="954"/>
    </row>
    <row r="34" spans="1:6" ht="7.95" customHeight="1">
      <c r="A34" s="344"/>
      <c r="B34" s="279"/>
      <c r="C34" s="269"/>
      <c r="D34" s="287"/>
      <c r="E34" s="954"/>
    </row>
    <row r="35" spans="1:6" ht="22.2" customHeight="1">
      <c r="A35" s="345" t="s">
        <v>1068</v>
      </c>
      <c r="B35" s="270" t="s">
        <v>1069</v>
      </c>
      <c r="C35" s="283" t="s">
        <v>1070</v>
      </c>
      <c r="D35" s="268"/>
      <c r="E35" s="954"/>
    </row>
    <row r="36" spans="1:6" ht="22.2" customHeight="1">
      <c r="B36" s="272">
        <v>0.1</v>
      </c>
      <c r="C36" s="272">
        <v>0.1</v>
      </c>
      <c r="D36" s="271" t="s">
        <v>1063</v>
      </c>
      <c r="E36" s="954"/>
    </row>
    <row r="37" spans="1:6" ht="3" customHeight="1">
      <c r="A37" s="273"/>
      <c r="B37" s="273"/>
      <c r="C37" s="274"/>
      <c r="D37" s="287"/>
      <c r="E37" s="954"/>
    </row>
    <row r="38" spans="1:6" ht="16.95" customHeight="1">
      <c r="A38" s="955" t="s">
        <v>1071</v>
      </c>
      <c r="B38" s="99" t="s">
        <v>1072</v>
      </c>
      <c r="C38" s="270" t="str">
        <f>+'jobinfo(2)'!C100</f>
        <v>All Phase Consulting, LLC</v>
      </c>
      <c r="D38" s="98"/>
      <c r="E38" s="954"/>
    </row>
    <row r="39" spans="1:6" ht="16.95" customHeight="1">
      <c r="A39" s="955"/>
      <c r="B39" s="99" t="s">
        <v>1073</v>
      </c>
      <c r="C39" s="98" t="s">
        <v>1074</v>
      </c>
      <c r="D39" s="98" t="s">
        <v>1075</v>
      </c>
      <c r="E39" s="954"/>
    </row>
    <row r="40" spans="1:6" ht="16.95" customHeight="1">
      <c r="A40" s="955"/>
      <c r="B40" s="99" t="s">
        <v>1076</v>
      </c>
      <c r="C40" s="98" t="s">
        <v>1077</v>
      </c>
      <c r="D40" s="98" t="s">
        <v>1075</v>
      </c>
      <c r="E40" s="954"/>
    </row>
    <row r="41" spans="1:6" ht="16.95" customHeight="1">
      <c r="A41" s="99"/>
      <c r="B41" s="98"/>
      <c r="E41" s="954"/>
    </row>
    <row r="42" spans="1:6" ht="33" customHeight="1">
      <c r="A42" s="333" t="s">
        <v>1078</v>
      </c>
      <c r="B42" s="98"/>
      <c r="E42" s="954"/>
      <c r="F42" s="472"/>
    </row>
    <row r="43" spans="1:6" ht="19.95" customHeight="1">
      <c r="A43" s="99" t="s">
        <v>1079</v>
      </c>
      <c r="B43" s="8" t="s">
        <v>1080</v>
      </c>
      <c r="C43" s="98" t="s">
        <v>1081</v>
      </c>
      <c r="D43" s="100" t="s">
        <v>1082</v>
      </c>
      <c r="E43" s="954"/>
      <c r="F43" s="472" t="s">
        <v>1083</v>
      </c>
    </row>
    <row r="44" spans="1:6" ht="19.95" customHeight="1">
      <c r="A44" s="99" t="s">
        <v>1084</v>
      </c>
      <c r="B44" s="8" t="s">
        <v>1080</v>
      </c>
      <c r="C44" s="98" t="s">
        <v>1066</v>
      </c>
      <c r="E44" s="954"/>
      <c r="F44" s="473" t="s">
        <v>1085</v>
      </c>
    </row>
    <row r="45" spans="1:6" ht="33" customHeight="1">
      <c r="A45" s="477" t="str">
        <f>+'jobinfo(2)'!B53</f>
        <v xml:space="preserve">  Room/Area 101  </v>
      </c>
      <c r="B45" s="294" t="str">
        <f>+'jobinfo(2)'!C53</f>
        <v xml:space="preserve">Living Room, </v>
      </c>
      <c r="C45" s="477" t="str">
        <f>+'jobinfo(2)'!B66</f>
        <v xml:space="preserve">  Room/Area 14  </v>
      </c>
      <c r="D45" s="294">
        <f>+'jobinfo(2)'!C66</f>
        <v>0</v>
      </c>
      <c r="F45" s="474" t="s">
        <v>1086</v>
      </c>
    </row>
    <row r="46" spans="1:6" ht="19.2" customHeight="1">
      <c r="A46" s="477" t="str">
        <f>+'jobinfo(2)'!B54</f>
        <v xml:space="preserve">  Room/Area 102  </v>
      </c>
      <c r="B46" s="294" t="str">
        <f>+'jobinfo(2)'!C54</f>
        <v>HALLWAY</v>
      </c>
      <c r="C46" s="477" t="str">
        <f>+'jobinfo(2)'!B67</f>
        <v xml:space="preserve">  Room/Area 15  </v>
      </c>
      <c r="D46" s="294">
        <f>+'jobinfo(2)'!C67</f>
        <v>0</v>
      </c>
    </row>
    <row r="47" spans="1:6" ht="19.2" customHeight="1">
      <c r="A47" s="477" t="str">
        <f>+'jobinfo(2)'!B55</f>
        <v xml:space="preserve">  Room/Area 103  </v>
      </c>
      <c r="B47" s="294" t="str">
        <f>+'jobinfo(2)'!C55</f>
        <v xml:space="preserve">Kitchen, </v>
      </c>
      <c r="C47" s="477" t="str">
        <f>+'jobinfo(2)'!B68</f>
        <v xml:space="preserve">  Room/Area 16  </v>
      </c>
      <c r="D47" s="294">
        <f>+'jobinfo(2)'!C68</f>
        <v>0</v>
      </c>
    </row>
    <row r="48" spans="1:6" ht="19.2" customHeight="1">
      <c r="A48" s="477" t="str">
        <f>+'jobinfo(2)'!B56</f>
        <v xml:space="preserve">  Room/Area 104  </v>
      </c>
      <c r="B48" s="294" t="str">
        <f>+'jobinfo(2)'!C56</f>
        <v>DEN</v>
      </c>
      <c r="C48" s="477" t="str">
        <f>+'jobinfo(2)'!B69</f>
        <v xml:space="preserve">  Room/Area 17  </v>
      </c>
      <c r="D48" s="294">
        <f>+'jobinfo(2)'!C69</f>
        <v>0</v>
      </c>
    </row>
    <row r="49" spans="1:4" ht="19.2" customHeight="1">
      <c r="A49" s="477" t="str">
        <f>+'jobinfo(2)'!B57</f>
        <v xml:space="preserve">  Room/Area 105  </v>
      </c>
      <c r="B49" s="294" t="str">
        <f>+'jobinfo(2)'!C57</f>
        <v>STAIRS UP</v>
      </c>
      <c r="C49" s="477" t="str">
        <f>+'jobinfo(2)'!B70</f>
        <v xml:space="preserve">  Room/Area 18  </v>
      </c>
      <c r="D49" s="294">
        <f>+'jobinfo(2)'!C70</f>
        <v>0</v>
      </c>
    </row>
    <row r="50" spans="1:4" ht="19.2" customHeight="1">
      <c r="A50" s="477" t="str">
        <f>+'jobinfo(2)'!B58</f>
        <v xml:space="preserve">  Room/Area 106  </v>
      </c>
      <c r="B50" s="294" t="str">
        <f>+'jobinfo(2)'!C58</f>
        <v>HALL UP</v>
      </c>
      <c r="C50" s="477" t="str">
        <f>+'jobinfo(2)'!B71</f>
        <v xml:space="preserve">  Room/Area 19  </v>
      </c>
      <c r="D50" s="294">
        <f>+'jobinfo(2)'!C71</f>
        <v>0</v>
      </c>
    </row>
    <row r="51" spans="1:4" ht="19.2" customHeight="1">
      <c r="A51" s="477" t="str">
        <f>+'jobinfo(2)'!B59</f>
        <v xml:space="preserve">  Room/Area 107  </v>
      </c>
      <c r="B51" s="294" t="str">
        <f>+'jobinfo(2)'!C59</f>
        <v>PBR UP</v>
      </c>
      <c r="C51" s="477" t="str">
        <f>+'jobinfo(2)'!B72</f>
        <v xml:space="preserve">  Room/Area 20  </v>
      </c>
      <c r="D51" s="294">
        <f>+'jobinfo(2)'!C72</f>
        <v>0</v>
      </c>
    </row>
    <row r="52" spans="1:4" ht="19.2" customHeight="1">
      <c r="A52" s="477" t="str">
        <f>+'jobinfo(2)'!B60</f>
        <v xml:space="preserve">  Room/Area 8  </v>
      </c>
      <c r="B52" s="294" t="str">
        <f>+'jobinfo(2)'!C60</f>
        <v>BATH UP</v>
      </c>
      <c r="C52" s="477" t="str">
        <f>+'jobinfo(2)'!B73</f>
        <v xml:space="preserve">  Room/Area 21</v>
      </c>
      <c r="D52" s="294">
        <f>+'jobinfo(2)'!C73</f>
        <v>0</v>
      </c>
    </row>
    <row r="53" spans="1:4" ht="19.2" customHeight="1">
      <c r="A53" s="477" t="str">
        <f>+'jobinfo(2)'!B61</f>
        <v xml:space="preserve">  Room/Area 9  </v>
      </c>
      <c r="B53" s="294" t="str">
        <f>+'jobinfo(2)'!C61</f>
        <v>BR-2 UP</v>
      </c>
      <c r="C53" s="477" t="str">
        <f>+'jobinfo(2)'!B74</f>
        <v xml:space="preserve">  Room/Area 22</v>
      </c>
      <c r="D53" s="294">
        <f>+'jobinfo(2)'!C74</f>
        <v>0</v>
      </c>
    </row>
    <row r="54" spans="1:4" ht="19.2" customHeight="1">
      <c r="A54" s="477" t="str">
        <f>+'jobinfo(2)'!B62</f>
        <v xml:space="preserve">  Room/Area 10  </v>
      </c>
      <c r="B54" s="294" t="str">
        <f>+'jobinfo(2)'!C62</f>
        <v>GUEST CLOSET</v>
      </c>
      <c r="C54" s="477" t="str">
        <f>+'jobinfo(2)'!B75</f>
        <v xml:space="preserve">  Room/Area 23</v>
      </c>
      <c r="D54" s="294">
        <f>+'jobinfo(2)'!C75</f>
        <v>0</v>
      </c>
    </row>
    <row r="55" spans="1:4" ht="19.2" customHeight="1">
      <c r="A55" s="477" t="str">
        <f>+'jobinfo(2)'!B63</f>
        <v xml:space="preserve">  Room/Area 11  </v>
      </c>
      <c r="B55" s="294" t="str">
        <f>+'jobinfo(2)'!C63</f>
        <v>BATH DN</v>
      </c>
      <c r="C55" s="477" t="str">
        <f>+'jobinfo(2)'!B76</f>
        <v xml:space="preserve">  Room/Area 24</v>
      </c>
      <c r="D55" s="294">
        <f>+'jobinfo(2)'!C76</f>
        <v>0</v>
      </c>
    </row>
    <row r="56" spans="1:4" ht="19.2" customHeight="1">
      <c r="A56" s="477" t="str">
        <f>+'jobinfo(2)'!B64</f>
        <v xml:space="preserve">  Room/Area 12  </v>
      </c>
      <c r="B56" s="294" t="str">
        <f>+'jobinfo(2)'!C64</f>
        <v>SHOWER</v>
      </c>
      <c r="C56" s="477" t="str">
        <f>+'jobinfo(2)'!B77</f>
        <v xml:space="preserve">  Room/Area 25</v>
      </c>
      <c r="D56" s="294">
        <f>+'jobinfo(2)'!C77</f>
        <v>0</v>
      </c>
    </row>
    <row r="57" spans="1:4" ht="19.2" customHeight="1">
      <c r="A57" s="477" t="str">
        <f>+'jobinfo(2)'!B65</f>
        <v xml:space="preserve">  Room/Area 13  </v>
      </c>
      <c r="B57" s="294">
        <f>+'jobinfo(2)'!C65</f>
        <v>0</v>
      </c>
      <c r="C57" s="477"/>
    </row>
    <row r="58" spans="1:4" ht="19.2" customHeight="1">
      <c r="A58" s="295"/>
      <c r="B58" s="294"/>
      <c r="C58" s="294"/>
    </row>
    <row r="59" spans="1:4" ht="10.95" customHeight="1">
      <c r="A59" s="295"/>
      <c r="B59" s="294"/>
      <c r="C59" s="294"/>
    </row>
    <row r="60" spans="1:4" ht="17.399999999999999">
      <c r="A60" s="475" t="s">
        <v>1087</v>
      </c>
      <c r="C60" s="138"/>
      <c r="D60" s="138"/>
    </row>
    <row r="61" spans="1:4" ht="17.399999999999999">
      <c r="A61" s="138"/>
      <c r="B61" s="476" t="s">
        <v>1088</v>
      </c>
      <c r="C61" s="138"/>
      <c r="D61" s="138"/>
    </row>
    <row r="62" spans="1:4" ht="17.399999999999999">
      <c r="A62" s="138"/>
      <c r="B62" s="476" t="s">
        <v>1089</v>
      </c>
      <c r="C62" s="138"/>
      <c r="D62" s="138"/>
    </row>
    <row r="63" spans="1:4" ht="17.399999999999999">
      <c r="A63" s="138"/>
      <c r="B63" s="476" t="s">
        <v>1090</v>
      </c>
      <c r="C63" s="138"/>
      <c r="D63" s="138"/>
    </row>
    <row r="64" spans="1:4" ht="17.399999999999999">
      <c r="A64" s="138"/>
      <c r="B64" s="476" t="s">
        <v>1023</v>
      </c>
      <c r="C64" s="138"/>
      <c r="D64" s="138"/>
    </row>
    <row r="65" spans="1:10" ht="17.399999999999999">
      <c r="A65" s="138"/>
      <c r="B65" s="476" t="s">
        <v>1091</v>
      </c>
      <c r="C65" s="138"/>
      <c r="D65" s="138"/>
    </row>
    <row r="74" spans="1:10" ht="18">
      <c r="A74" s="183"/>
      <c r="B74" s="245"/>
      <c r="C74"/>
      <c r="D74" s="229" t="s">
        <v>1092</v>
      </c>
      <c r="E74" s="227" t="s">
        <v>1093</v>
      </c>
      <c r="F74" s="228"/>
      <c r="H74" t="s">
        <v>1094</v>
      </c>
    </row>
    <row r="75" spans="1:10" ht="18">
      <c r="A75" s="957"/>
      <c r="B75" s="958"/>
      <c r="C75" s="891"/>
      <c r="D75" s="734">
        <v>65</v>
      </c>
      <c r="E75" s="222" t="s">
        <v>1095</v>
      </c>
      <c r="I75" t="e">
        <f>1+#REF!</f>
        <v>#REF!</v>
      </c>
      <c r="J75" s="951"/>
    </row>
    <row r="76" spans="1:10" ht="18">
      <c r="A76" s="957"/>
      <c r="B76" s="958"/>
      <c r="C76" s="891"/>
      <c r="D76" s="199">
        <v>70</v>
      </c>
      <c r="E76" s="230" t="s">
        <v>1096</v>
      </c>
      <c r="F76" s="228"/>
      <c r="G76" s="228"/>
      <c r="H76" s="228"/>
      <c r="I76" t="e">
        <f t="shared" ref="I76:I82" si="0">1+I75</f>
        <v>#REF!</v>
      </c>
      <c r="J76" s="951"/>
    </row>
    <row r="77" spans="1:10" ht="17.399999999999999">
      <c r="A77" s="957"/>
      <c r="B77" s="958"/>
      <c r="C77" s="891"/>
      <c r="D77"/>
      <c r="E77" s="222" t="s">
        <v>1097</v>
      </c>
      <c r="I77" t="e">
        <f>1+#REF!</f>
        <v>#REF!</v>
      </c>
      <c r="J77" s="951"/>
    </row>
    <row r="78" spans="1:10" ht="18">
      <c r="A78" s="957"/>
      <c r="B78" s="953" t="s">
        <v>1098</v>
      </c>
      <c r="C78" s="891"/>
      <c r="D78" s="198" t="s">
        <v>1099</v>
      </c>
      <c r="E78" s="227" t="s">
        <v>1100</v>
      </c>
      <c r="F78" s="228"/>
      <c r="G78" s="228"/>
      <c r="H78" s="228"/>
      <c r="I78" t="e">
        <f t="shared" si="0"/>
        <v>#REF!</v>
      </c>
      <c r="J78" s="951"/>
    </row>
    <row r="79" spans="1:10" ht="18">
      <c r="A79" s="957"/>
      <c r="B79" s="953"/>
      <c r="C79" s="891"/>
      <c r="D79" s="734">
        <v>65</v>
      </c>
      <c r="E79" s="222" t="s">
        <v>1095</v>
      </c>
      <c r="I79" t="e">
        <f t="shared" si="0"/>
        <v>#REF!</v>
      </c>
      <c r="J79" s="951"/>
    </row>
    <row r="80" spans="1:10" ht="18">
      <c r="A80" s="957"/>
      <c r="B80" s="953"/>
      <c r="C80" s="891"/>
      <c r="D80" s="199">
        <v>70</v>
      </c>
      <c r="E80" s="230" t="s">
        <v>1096</v>
      </c>
      <c r="F80" s="228"/>
      <c r="G80" s="228"/>
      <c r="H80" s="228"/>
      <c r="I80" t="e">
        <f t="shared" si="0"/>
        <v>#REF!</v>
      </c>
      <c r="J80" s="951"/>
    </row>
    <row r="81" spans="1:14" ht="18">
      <c r="A81" s="957"/>
      <c r="B81" s="953"/>
      <c r="C81" s="891"/>
      <c r="D81" s="734">
        <v>90</v>
      </c>
      <c r="E81" s="222" t="s">
        <v>1023</v>
      </c>
      <c r="I81" t="e">
        <f t="shared" si="0"/>
        <v>#REF!</v>
      </c>
      <c r="J81" s="951"/>
    </row>
    <row r="82" spans="1:14" ht="17.399999999999999">
      <c r="A82" s="957"/>
      <c r="B82" s="953"/>
      <c r="C82" s="891"/>
      <c r="D82"/>
      <c r="E82" s="222" t="s">
        <v>1097</v>
      </c>
      <c r="F82" s="228"/>
      <c r="G82" s="228"/>
      <c r="H82" s="228"/>
      <c r="I82" t="e">
        <f t="shared" si="0"/>
        <v>#REF!</v>
      </c>
      <c r="J82" s="951"/>
    </row>
    <row r="83" spans="1:14" ht="18">
      <c r="A83"/>
      <c r="B83" s="225" t="s">
        <v>1101</v>
      </c>
      <c r="C83"/>
      <c r="D83"/>
      <c r="E83" s="199">
        <v>80</v>
      </c>
      <c r="F83" s="891"/>
      <c r="G83" s="891"/>
      <c r="H83" s="891"/>
      <c r="I83" s="944" t="s">
        <v>1102</v>
      </c>
      <c r="J83" s="944"/>
    </row>
    <row r="84" spans="1:14" ht="18">
      <c r="A84" s="223" t="s">
        <v>1103</v>
      </c>
      <c r="B84"/>
      <c r="C84"/>
      <c r="D84"/>
      <c r="E84" s="734"/>
      <c r="F84" s="891"/>
      <c r="G84" s="891"/>
      <c r="H84" s="891"/>
      <c r="I84" s="944"/>
      <c r="J84" s="944"/>
    </row>
    <row r="85" spans="1:14" ht="17.399999999999999">
      <c r="A85" s="945" t="s">
        <v>1104</v>
      </c>
      <c r="B85" s="226" t="s">
        <v>1105</v>
      </c>
      <c r="C85" s="246"/>
      <c r="D85" s="247"/>
      <c r="E85" s="197"/>
      <c r="F85" s="946" t="s">
        <v>1106</v>
      </c>
      <c r="G85" s="946"/>
      <c r="H85" s="946"/>
      <c r="I85" s="947" t="s">
        <v>1104</v>
      </c>
      <c r="J85" s="947"/>
    </row>
    <row r="86" spans="1:14" ht="18">
      <c r="A86" s="945"/>
      <c r="B86" s="248" t="s">
        <v>1107</v>
      </c>
      <c r="C86" s="8"/>
      <c r="D86" s="8"/>
      <c r="E86" s="250">
        <v>60</v>
      </c>
      <c r="F86" s="946"/>
      <c r="G86" s="946"/>
      <c r="H86" s="946"/>
      <c r="I86" s="947"/>
      <c r="J86" s="947"/>
    </row>
    <row r="87" spans="1:14" ht="18">
      <c r="A87" s="945"/>
      <c r="B87" s="248" t="s">
        <v>1108</v>
      </c>
      <c r="C87" s="8"/>
      <c r="D87" s="8"/>
      <c r="E87" s="250">
        <v>70</v>
      </c>
      <c r="F87" s="946"/>
      <c r="G87" s="946"/>
      <c r="H87" s="946"/>
      <c r="I87" s="947"/>
      <c r="J87" s="947"/>
    </row>
    <row r="88" spans="1:14" ht="18">
      <c r="A88" s="945"/>
      <c r="B88" s="249" t="s">
        <v>1109</v>
      </c>
      <c r="C88" s="8"/>
      <c r="D88" s="8"/>
      <c r="E88" s="669">
        <v>80</v>
      </c>
      <c r="F88" s="946"/>
      <c r="G88" s="946"/>
      <c r="H88" s="946"/>
      <c r="I88" s="947"/>
      <c r="J88" s="947"/>
    </row>
    <row r="89" spans="1:14" ht="18">
      <c r="A89" s="945"/>
      <c r="B89" s="248" t="s">
        <v>1110</v>
      </c>
      <c r="C89" s="8"/>
      <c r="D89" s="8"/>
      <c r="E89" s="250">
        <v>90</v>
      </c>
      <c r="F89" s="946"/>
      <c r="G89" s="946"/>
      <c r="H89" s="946"/>
      <c r="I89" s="947"/>
      <c r="J89" s="947"/>
    </row>
    <row r="90" spans="1:14">
      <c r="A90"/>
      <c r="B90"/>
      <c r="C90"/>
      <c r="D90"/>
    </row>
    <row r="91" spans="1:14">
      <c r="A91" s="263"/>
      <c r="B91" s="263"/>
      <c r="C91" s="263"/>
      <c r="D91" s="263"/>
      <c r="E91" s="263"/>
      <c r="F91" s="263"/>
      <c r="G91" s="263"/>
      <c r="H91" s="263"/>
      <c r="I91" s="263"/>
      <c r="J91" s="263"/>
      <c r="K91" s="263"/>
      <c r="L91" s="263"/>
      <c r="M91" s="263"/>
      <c r="N91" s="263"/>
    </row>
    <row r="92" spans="1:14">
      <c r="A92"/>
      <c r="B92"/>
      <c r="C92"/>
      <c r="D92"/>
    </row>
    <row r="93" spans="1:14" ht="17.399999999999999">
      <c r="A93"/>
      <c r="B93" s="223" t="s">
        <v>1088</v>
      </c>
      <c r="C93"/>
      <c r="D93"/>
    </row>
    <row r="94" spans="1:14" ht="17.399999999999999">
      <c r="A94"/>
      <c r="B94" s="223" t="s">
        <v>1089</v>
      </c>
      <c r="C94"/>
      <c r="D94"/>
    </row>
    <row r="95" spans="1:14">
      <c r="A95"/>
      <c r="B95"/>
      <c r="C95"/>
      <c r="D95"/>
    </row>
    <row r="96" spans="1:14" ht="17.399999999999999">
      <c r="A96"/>
      <c r="B96" s="223"/>
      <c r="C96"/>
      <c r="D96"/>
    </row>
    <row r="97" spans="1:4" ht="17.399999999999999">
      <c r="A97"/>
      <c r="B97" s="223"/>
      <c r="C97"/>
      <c r="D97"/>
    </row>
    <row r="98" spans="1:4" ht="17.399999999999999">
      <c r="A98"/>
      <c r="B98" s="223"/>
      <c r="C98"/>
      <c r="D98"/>
    </row>
    <row r="99" spans="1:4" customFormat="1" ht="17.399999999999999">
      <c r="B99" s="223" t="s">
        <v>1090</v>
      </c>
    </row>
    <row r="100" spans="1:4" customFormat="1" ht="17.399999999999999">
      <c r="B100" s="223" t="s">
        <v>1023</v>
      </c>
    </row>
    <row r="101" spans="1:4" customFormat="1" ht="17.399999999999999">
      <c r="B101" s="223" t="s">
        <v>1091</v>
      </c>
    </row>
    <row r="102" spans="1:4" ht="17.399999999999999">
      <c r="A102"/>
      <c r="B102" s="223"/>
      <c r="C102"/>
      <c r="D102"/>
    </row>
  </sheetData>
  <mergeCells count="17">
    <mergeCell ref="C75:C82"/>
    <mergeCell ref="B10:C10"/>
    <mergeCell ref="D2:D3"/>
    <mergeCell ref="B1:C1"/>
    <mergeCell ref="J75:J82"/>
    <mergeCell ref="A5:B5"/>
    <mergeCell ref="B78:B82"/>
    <mergeCell ref="E9:E44"/>
    <mergeCell ref="A38:A40"/>
    <mergeCell ref="A16:A17"/>
    <mergeCell ref="A75:A82"/>
    <mergeCell ref="B75:B77"/>
    <mergeCell ref="F83:H84"/>
    <mergeCell ref="I83:J84"/>
    <mergeCell ref="A85:A89"/>
    <mergeCell ref="F85:H89"/>
    <mergeCell ref="I85:J89"/>
  </mergeCells>
  <printOptions gridLines="1"/>
  <pageMargins left="0.41" right="0.34" top="0.32" bottom="0.45" header="0.3" footer="0.17"/>
  <pageSetup orientation="portrait" r:id="rId1"/>
  <headerFooter>
    <oddFooter>&amp;L&amp;P&amp;C&amp;A&amp;R&amp;F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17CDA-D1EF-4658-82BB-120CB318A21C}">
  <sheetPr codeName="Sheet6"/>
  <dimension ref="A1:D30"/>
  <sheetViews>
    <sheetView view="pageBreakPreview" topLeftCell="A26" zoomScaleNormal="100" zoomScaleSheetLayoutView="100" workbookViewId="0">
      <selection activeCell="A29" sqref="A29"/>
    </sheetView>
  </sheetViews>
  <sheetFormatPr defaultColWidth="8.69921875" defaultRowHeight="13.8"/>
  <cols>
    <col min="1" max="1" width="32.59765625" style="100" customWidth="1"/>
    <col min="2" max="2" width="18.19921875" style="100" customWidth="1"/>
    <col min="3" max="3" width="17.8984375" style="100" customWidth="1"/>
    <col min="4" max="4" width="22.19921875" style="100" customWidth="1"/>
  </cols>
  <sheetData>
    <row r="1" spans="1:4" ht="19.2" customHeight="1">
      <c r="A1" s="275" t="s">
        <v>1111</v>
      </c>
      <c r="B1" s="44" t="s">
        <v>1112</v>
      </c>
      <c r="C1" s="294"/>
      <c r="D1" s="252" t="s">
        <v>1113</v>
      </c>
    </row>
    <row r="2" spans="1:4" ht="7.95" customHeight="1">
      <c r="A2" s="296"/>
      <c r="B2" s="297"/>
      <c r="C2" s="297"/>
      <c r="D2" s="279"/>
    </row>
    <row r="3" spans="1:4" ht="25.95" customHeight="1">
      <c r="A3" s="298" t="s">
        <v>1114</v>
      </c>
      <c r="D3" s="299"/>
    </row>
    <row r="4" spans="1:4" ht="25.95" customHeight="1">
      <c r="A4" s="139" t="s">
        <v>1115</v>
      </c>
      <c r="B4" s="139" t="s">
        <v>1116</v>
      </c>
      <c r="C4" s="300"/>
      <c r="D4" s="139" t="s">
        <v>1117</v>
      </c>
    </row>
    <row r="5" spans="1:4" ht="25.95" customHeight="1">
      <c r="A5" s="301" t="str">
        <f>'jobinfo(2)'!C27</f>
        <v>CLM</v>
      </c>
      <c r="B5" s="302" t="str">
        <f>'jobinfo(2)'!C51</f>
        <v>OH25 BROWNLEE @E189</v>
      </c>
      <c r="C5" s="303"/>
      <c r="D5" s="304" t="str">
        <f>B5</f>
        <v>OH25 BROWNLEE @E189</v>
      </c>
    </row>
    <row r="6" spans="1:4" ht="9" customHeight="1">
      <c r="A6" s="279"/>
      <c r="B6" s="279"/>
      <c r="C6" s="305"/>
      <c r="D6" s="306"/>
    </row>
    <row r="7" spans="1:4" ht="25.95" customHeight="1">
      <c r="A7" s="307" t="s">
        <v>1118</v>
      </c>
      <c r="C7" s="308"/>
      <c r="D7" s="309"/>
    </row>
    <row r="8" spans="1:4" ht="25.95" customHeight="1">
      <c r="A8" s="310" t="s">
        <v>1119</v>
      </c>
      <c r="B8" s="310" t="s">
        <v>1120</v>
      </c>
      <c r="C8" s="311" t="s">
        <v>1121</v>
      </c>
    </row>
    <row r="9" spans="1:4" ht="25.95" customHeight="1">
      <c r="A9" s="312" t="str">
        <f>+'jobinfo(2)'!C1</f>
        <v>BROWNLEE, KEN</v>
      </c>
      <c r="B9" s="312" t="str">
        <f>+'jobinfo(2)'!C4</f>
        <v>KHAIAKEN@SBCGLOBAL.NET</v>
      </c>
      <c r="C9" s="308"/>
      <c r="D9" s="283">
        <f>+'jobinfo(2)'!C5</f>
        <v>2163241337</v>
      </c>
    </row>
    <row r="10" spans="1:4" ht="7.95" customHeight="1">
      <c r="A10" s="279"/>
      <c r="B10" s="279"/>
      <c r="C10" s="305"/>
      <c r="D10" s="306"/>
    </row>
    <row r="11" spans="1:4" ht="25.95" customHeight="1">
      <c r="A11" s="298" t="s">
        <v>1122</v>
      </c>
      <c r="C11" s="313"/>
    </row>
    <row r="12" spans="1:4" ht="25.95" customHeight="1">
      <c r="A12" s="314" t="s">
        <v>1123</v>
      </c>
      <c r="C12" s="308"/>
    </row>
    <row r="13" spans="1:4" ht="25.95" customHeight="1">
      <c r="A13" s="284" t="str">
        <f>+'jobinfo(2)'!C2</f>
        <v>3922 E 189 STR</v>
      </c>
      <c r="B13" s="284" t="str">
        <f>+'jobinfo(2)'!C3</f>
        <v>CLEVELAND, OH 44128</v>
      </c>
      <c r="C13" s="284"/>
    </row>
    <row r="14" spans="1:4" ht="7.95" customHeight="1">
      <c r="A14" s="279"/>
      <c r="B14" s="279"/>
      <c r="C14" s="305"/>
      <c r="D14" s="306"/>
    </row>
    <row r="15" spans="1:4" ht="25.95" customHeight="1">
      <c r="A15" s="298" t="s">
        <v>1124</v>
      </c>
      <c r="C15" s="313"/>
      <c r="D15" s="309"/>
    </row>
    <row r="16" spans="1:4" ht="33" customHeight="1">
      <c r="A16" s="21" t="s">
        <v>1125</v>
      </c>
      <c r="C16" s="315"/>
      <c r="D16" s="241" t="s">
        <v>1126</v>
      </c>
    </row>
    <row r="17" spans="1:4" ht="25.95" customHeight="1">
      <c r="A17" s="316">
        <f>'jobinfo(2)'!C12</f>
        <v>45986</v>
      </c>
      <c r="C17" s="315"/>
      <c r="D17" s="317" t="str">
        <f>+'jobinfo(2)'!C28</f>
        <v>PL3\</v>
      </c>
    </row>
    <row r="18" spans="1:4" ht="33" customHeight="1">
      <c r="A18" s="139" t="s">
        <v>1127</v>
      </c>
      <c r="C18" s="21" t="s">
        <v>1128</v>
      </c>
    </row>
    <row r="19" spans="1:4" ht="25.95" customHeight="1">
      <c r="A19" s="316">
        <f>'jobinfo(2)'!C22</f>
        <v>45987</v>
      </c>
      <c r="B19" s="318"/>
      <c r="C19" s="319" t="str">
        <f>'jobinfo(2)'!C112</f>
        <v>Joe Jones, PM  216.450.7228</v>
      </c>
    </row>
    <row r="20" spans="1:4" ht="33" customHeight="1">
      <c r="A20" s="340" t="s">
        <v>1129</v>
      </c>
      <c r="C20" s="838"/>
      <c r="D20" s="315" t="s">
        <v>1130</v>
      </c>
    </row>
    <row r="21" spans="1:4" ht="25.95" customHeight="1">
      <c r="A21" s="320" t="str">
        <f>'jobinfo(2)'!C11</f>
        <v>WATER</v>
      </c>
      <c r="C21" s="838"/>
      <c r="D21" s="100" t="s">
        <v>204</v>
      </c>
    </row>
    <row r="22" spans="1:4" ht="33" customHeight="1">
      <c r="A22" s="21" t="s">
        <v>1131</v>
      </c>
      <c r="C22" s="21" t="s">
        <v>1132</v>
      </c>
    </row>
    <row r="23" spans="1:4" ht="33" customHeight="1">
      <c r="A23" s="318" t="str">
        <f>'jobinfo(2)'!C26</f>
        <v>ALLSTATE INS CO.</v>
      </c>
      <c r="C23" s="321" t="s">
        <v>1133</v>
      </c>
    </row>
    <row r="24" spans="1:4" ht="25.95" customHeight="1">
      <c r="A24" s="241" t="s">
        <v>1134</v>
      </c>
      <c r="C24" s="931"/>
      <c r="D24" s="931"/>
    </row>
    <row r="25" spans="1:4" ht="25.95" customHeight="1">
      <c r="A25" s="318">
        <f>'jobinfo(2)'!C30</f>
        <v>0</v>
      </c>
      <c r="C25" s="931"/>
      <c r="D25" s="931"/>
    </row>
    <row r="26" spans="1:4" ht="25.95" customHeight="1">
      <c r="A26" s="21" t="s">
        <v>1135</v>
      </c>
      <c r="C26" s="931"/>
      <c r="D26" s="931"/>
    </row>
    <row r="27" spans="1:4" ht="25.95" customHeight="1">
      <c r="A27" s="309" t="s">
        <v>1136</v>
      </c>
      <c r="C27" s="931"/>
      <c r="D27" s="931"/>
    </row>
    <row r="28" spans="1:4" ht="25.95" customHeight="1">
      <c r="C28" s="931"/>
      <c r="D28" s="931"/>
    </row>
    <row r="29" spans="1:4" ht="25.95" customHeight="1">
      <c r="C29" s="931"/>
      <c r="D29" s="931"/>
    </row>
    <row r="30" spans="1:4" ht="25.95" customHeight="1">
      <c r="C30" s="931"/>
      <c r="D30" s="931"/>
    </row>
  </sheetData>
  <mergeCells count="1">
    <mergeCell ref="C24:D30"/>
  </mergeCells>
  <pageMargins left="0.41" right="0.34" top="0.32" bottom="0.45" header="0.3" footer="0.17"/>
  <pageSetup orientation="portrait" r:id="rId1"/>
  <headerFooter>
    <oddFooter>&amp;L&amp;P&amp;C&amp;A&amp;R&amp;F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74838-7299-412F-89FA-DA9BFC2CD542}">
  <sheetPr codeName="Sheet1"/>
  <dimension ref="A1:A366"/>
  <sheetViews>
    <sheetView view="pageBreakPreview" topLeftCell="A3" zoomScaleNormal="100" zoomScaleSheetLayoutView="100" workbookViewId="0">
      <selection activeCell="A11" sqref="A11:I18"/>
    </sheetView>
  </sheetViews>
  <sheetFormatPr defaultRowHeight="13.8"/>
  <sheetData>
    <row r="1" spans="1:1">
      <c r="A1" s="814" t="s">
        <v>1137</v>
      </c>
    </row>
    <row r="2" spans="1:1">
      <c r="A2" s="815" t="s">
        <v>1138</v>
      </c>
    </row>
    <row r="3" spans="1:1" ht="14.4">
      <c r="A3" s="816" t="s">
        <v>1139</v>
      </c>
    </row>
    <row r="4" spans="1:1">
      <c r="A4" s="817" t="s">
        <v>1140</v>
      </c>
    </row>
    <row r="5" spans="1:1">
      <c r="A5" s="818" t="s">
        <v>1141</v>
      </c>
    </row>
    <row r="6" spans="1:1" ht="14.4">
      <c r="A6" s="816" t="s">
        <v>1142</v>
      </c>
    </row>
    <row r="7" spans="1:1" ht="17.399999999999999">
      <c r="A7" s="812" t="s">
        <v>1143</v>
      </c>
    </row>
    <row r="8" spans="1:1">
      <c r="A8" s="819" t="s">
        <v>1144</v>
      </c>
    </row>
    <row r="9" spans="1:1">
      <c r="A9" s="818" t="s">
        <v>1144</v>
      </c>
    </row>
    <row r="10" spans="1:1">
      <c r="A10" s="818"/>
    </row>
    <row r="11" spans="1:1">
      <c r="A11" s="820" t="s">
        <v>1145</v>
      </c>
    </row>
    <row r="12" spans="1:1">
      <c r="A12" s="820" t="s">
        <v>1146</v>
      </c>
    </row>
    <row r="13" spans="1:1">
      <c r="A13" s="820" t="s">
        <v>1147</v>
      </c>
    </row>
    <row r="14" spans="1:1">
      <c r="A14" s="820" t="s">
        <v>1148</v>
      </c>
    </row>
    <row r="15" spans="1:1">
      <c r="A15" s="820" t="s">
        <v>1149</v>
      </c>
    </row>
    <row r="16" spans="1:1">
      <c r="A16" s="820" t="s">
        <v>1150</v>
      </c>
    </row>
    <row r="17" spans="1:1">
      <c r="A17" s="820" t="s">
        <v>1151</v>
      </c>
    </row>
    <row r="18" spans="1:1">
      <c r="A18" s="820" t="s">
        <v>1152</v>
      </c>
    </row>
    <row r="19" spans="1:1">
      <c r="A19" s="820" t="s">
        <v>1153</v>
      </c>
    </row>
    <row r="20" spans="1:1">
      <c r="A20" s="820" t="s">
        <v>1154</v>
      </c>
    </row>
    <row r="21" spans="1:1">
      <c r="A21" s="820" t="s">
        <v>1155</v>
      </c>
    </row>
    <row r="22" spans="1:1">
      <c r="A22" s="820" t="s">
        <v>1156</v>
      </c>
    </row>
    <row r="23" spans="1:1">
      <c r="A23" s="820" t="s">
        <v>1157</v>
      </c>
    </row>
    <row r="24" spans="1:1">
      <c r="A24" s="820" t="s">
        <v>1158</v>
      </c>
    </row>
    <row r="25" spans="1:1">
      <c r="A25" s="820" t="s">
        <v>1159</v>
      </c>
    </row>
    <row r="26" spans="1:1">
      <c r="A26" s="820" t="s">
        <v>1160</v>
      </c>
    </row>
    <row r="27" spans="1:1">
      <c r="A27" s="820" t="s">
        <v>1161</v>
      </c>
    </row>
    <row r="28" spans="1:1">
      <c r="A28" s="820" t="s">
        <v>1162</v>
      </c>
    </row>
    <row r="29" spans="1:1">
      <c r="A29" s="820" t="s">
        <v>1163</v>
      </c>
    </row>
    <row r="30" spans="1:1">
      <c r="A30" s="820" t="s">
        <v>1164</v>
      </c>
    </row>
    <row r="31" spans="1:1">
      <c r="A31" s="820" t="s">
        <v>1165</v>
      </c>
    </row>
    <row r="32" spans="1:1">
      <c r="A32" s="820" t="s">
        <v>1166</v>
      </c>
    </row>
    <row r="33" spans="1:1">
      <c r="A33" s="820" t="s">
        <v>1167</v>
      </c>
    </row>
    <row r="34" spans="1:1">
      <c r="A34" s="820" t="s">
        <v>1168</v>
      </c>
    </row>
    <row r="35" spans="1:1">
      <c r="A35" s="820" t="s">
        <v>1169</v>
      </c>
    </row>
    <row r="36" spans="1:1">
      <c r="A36" s="820" t="s">
        <v>1170</v>
      </c>
    </row>
    <row r="37" spans="1:1">
      <c r="A37" s="820" t="s">
        <v>1171</v>
      </c>
    </row>
    <row r="38" spans="1:1">
      <c r="A38" s="820" t="s">
        <v>1172</v>
      </c>
    </row>
    <row r="39" spans="1:1">
      <c r="A39" s="820" t="s">
        <v>1173</v>
      </c>
    </row>
    <row r="40" spans="1:1">
      <c r="A40" s="820" t="s">
        <v>1174</v>
      </c>
    </row>
    <row r="41" spans="1:1">
      <c r="A41" s="820" t="s">
        <v>1175</v>
      </c>
    </row>
    <row r="42" spans="1:1">
      <c r="A42" s="820" t="s">
        <v>1176</v>
      </c>
    </row>
    <row r="43" spans="1:1">
      <c r="A43" s="820" t="s">
        <v>1177</v>
      </c>
    </row>
    <row r="44" spans="1:1">
      <c r="A44" s="820" t="s">
        <v>1178</v>
      </c>
    </row>
    <row r="45" spans="1:1">
      <c r="A45" s="820" t="s">
        <v>1179</v>
      </c>
    </row>
    <row r="46" spans="1:1">
      <c r="A46" s="820" t="s">
        <v>1180</v>
      </c>
    </row>
    <row r="47" spans="1:1">
      <c r="A47" s="820" t="s">
        <v>1181</v>
      </c>
    </row>
    <row r="48" spans="1:1">
      <c r="A48" s="820" t="s">
        <v>1182</v>
      </c>
    </row>
    <row r="49" spans="1:1">
      <c r="A49" s="820" t="s">
        <v>1183</v>
      </c>
    </row>
    <row r="50" spans="1:1">
      <c r="A50" s="820" t="s">
        <v>1184</v>
      </c>
    </row>
    <row r="51" spans="1:1">
      <c r="A51" s="820" t="s">
        <v>1185</v>
      </c>
    </row>
    <row r="52" spans="1:1">
      <c r="A52" s="820" t="s">
        <v>1186</v>
      </c>
    </row>
    <row r="53" spans="1:1">
      <c r="A53" s="820" t="s">
        <v>1187</v>
      </c>
    </row>
    <row r="54" spans="1:1">
      <c r="A54" s="820" t="s">
        <v>1188</v>
      </c>
    </row>
    <row r="55" spans="1:1">
      <c r="A55" s="820" t="s">
        <v>1189</v>
      </c>
    </row>
    <row r="56" spans="1:1">
      <c r="A56" s="820" t="s">
        <v>1190</v>
      </c>
    </row>
    <row r="57" spans="1:1">
      <c r="A57" s="820" t="s">
        <v>1191</v>
      </c>
    </row>
    <row r="58" spans="1:1">
      <c r="A58" s="820" t="s">
        <v>1192</v>
      </c>
    </row>
    <row r="59" spans="1:1">
      <c r="A59" s="820" t="s">
        <v>1193</v>
      </c>
    </row>
    <row r="60" spans="1:1">
      <c r="A60" s="820" t="s">
        <v>1194</v>
      </c>
    </row>
    <row r="61" spans="1:1">
      <c r="A61" s="820" t="s">
        <v>1195</v>
      </c>
    </row>
    <row r="62" spans="1:1">
      <c r="A62" s="820" t="s">
        <v>1196</v>
      </c>
    </row>
    <row r="63" spans="1:1">
      <c r="A63" s="820" t="s">
        <v>1197</v>
      </c>
    </row>
    <row r="64" spans="1:1">
      <c r="A64" s="820" t="s">
        <v>1198</v>
      </c>
    </row>
    <row r="65" spans="1:1">
      <c r="A65" s="820" t="s">
        <v>1199</v>
      </c>
    </row>
    <row r="66" spans="1:1">
      <c r="A66" s="820" t="s">
        <v>1200</v>
      </c>
    </row>
    <row r="67" spans="1:1">
      <c r="A67" s="820" t="s">
        <v>1201</v>
      </c>
    </row>
    <row r="68" spans="1:1">
      <c r="A68" s="820" t="s">
        <v>1202</v>
      </c>
    </row>
    <row r="69" spans="1:1">
      <c r="A69" s="820" t="s">
        <v>1203</v>
      </c>
    </row>
    <row r="70" spans="1:1">
      <c r="A70" s="820" t="s">
        <v>1204</v>
      </c>
    </row>
    <row r="71" spans="1:1">
      <c r="A71" s="820" t="s">
        <v>1205</v>
      </c>
    </row>
    <row r="72" spans="1:1">
      <c r="A72" s="820" t="s">
        <v>1206</v>
      </c>
    </row>
    <row r="73" spans="1:1">
      <c r="A73" s="820" t="s">
        <v>1207</v>
      </c>
    </row>
    <row r="74" spans="1:1">
      <c r="A74" s="820" t="s">
        <v>1208</v>
      </c>
    </row>
    <row r="75" spans="1:1">
      <c r="A75" s="820" t="s">
        <v>1209</v>
      </c>
    </row>
    <row r="76" spans="1:1">
      <c r="A76" s="820" t="s">
        <v>1210</v>
      </c>
    </row>
    <row r="77" spans="1:1">
      <c r="A77" s="820" t="s">
        <v>1211</v>
      </c>
    </row>
    <row r="78" spans="1:1">
      <c r="A78" s="820" t="s">
        <v>1212</v>
      </c>
    </row>
    <row r="79" spans="1:1">
      <c r="A79" s="820" t="s">
        <v>1213</v>
      </c>
    </row>
    <row r="80" spans="1:1">
      <c r="A80" s="820" t="s">
        <v>1214</v>
      </c>
    </row>
    <row r="81" spans="1:1">
      <c r="A81" s="820" t="s">
        <v>1215</v>
      </c>
    </row>
    <row r="82" spans="1:1">
      <c r="A82" s="820" t="s">
        <v>1216</v>
      </c>
    </row>
    <row r="83" spans="1:1">
      <c r="A83" s="820" t="s">
        <v>1217</v>
      </c>
    </row>
    <row r="84" spans="1:1">
      <c r="A84" s="820" t="s">
        <v>1218</v>
      </c>
    </row>
    <row r="85" spans="1:1">
      <c r="A85" s="820" t="s">
        <v>1219</v>
      </c>
    </row>
    <row r="86" spans="1:1">
      <c r="A86" s="820" t="s">
        <v>1220</v>
      </c>
    </row>
    <row r="87" spans="1:1">
      <c r="A87" s="820" t="s">
        <v>1221</v>
      </c>
    </row>
    <row r="88" spans="1:1">
      <c r="A88" s="820" t="s">
        <v>1222</v>
      </c>
    </row>
    <row r="89" spans="1:1">
      <c r="A89" s="820" t="s">
        <v>1223</v>
      </c>
    </row>
    <row r="90" spans="1:1">
      <c r="A90" s="820" t="s">
        <v>1224</v>
      </c>
    </row>
    <row r="91" spans="1:1">
      <c r="A91" s="820" t="s">
        <v>1225</v>
      </c>
    </row>
    <row r="92" spans="1:1">
      <c r="A92" s="820" t="s">
        <v>1226</v>
      </c>
    </row>
    <row r="93" spans="1:1">
      <c r="A93" s="820" t="s">
        <v>1227</v>
      </c>
    </row>
    <row r="94" spans="1:1">
      <c r="A94" s="820" t="s">
        <v>1228</v>
      </c>
    </row>
    <row r="95" spans="1:1">
      <c r="A95" s="820" t="s">
        <v>1229</v>
      </c>
    </row>
    <row r="96" spans="1:1">
      <c r="A96" s="820" t="s">
        <v>1230</v>
      </c>
    </row>
    <row r="97" spans="1:1" ht="17.399999999999999">
      <c r="A97" s="812" t="s">
        <v>1231</v>
      </c>
    </row>
    <row r="98" spans="1:1" ht="17.399999999999999">
      <c r="A98" s="812" t="s">
        <v>1232</v>
      </c>
    </row>
    <row r="99" spans="1:1">
      <c r="A99" s="821" t="s">
        <v>1233</v>
      </c>
    </row>
    <row r="100" spans="1:1" ht="14.4">
      <c r="A100" s="816" t="s">
        <v>1234</v>
      </c>
    </row>
    <row r="101" spans="1:1" ht="17.399999999999999">
      <c r="A101" s="812" t="s">
        <v>1144</v>
      </c>
    </row>
    <row r="102" spans="1:1">
      <c r="A102" s="813" t="s">
        <v>1235</v>
      </c>
    </row>
    <row r="103" spans="1:1" ht="14.4">
      <c r="A103" s="16" t="s">
        <v>1236</v>
      </c>
    </row>
    <row r="104" spans="1:1">
      <c r="A104" s="813" t="s">
        <v>1237</v>
      </c>
    </row>
    <row r="105" spans="1:1" ht="14.4">
      <c r="A105" s="16" t="s">
        <v>1238</v>
      </c>
    </row>
    <row r="106" spans="1:1">
      <c r="A106" s="813" t="s">
        <v>1239</v>
      </c>
    </row>
    <row r="107" spans="1:1" ht="14.4">
      <c r="A107" s="16" t="s">
        <v>1236</v>
      </c>
    </row>
    <row r="108" spans="1:1">
      <c r="A108" s="813" t="s">
        <v>1240</v>
      </c>
    </row>
    <row r="109" spans="1:1" ht="14.4">
      <c r="A109" s="16" t="s">
        <v>1238</v>
      </c>
    </row>
    <row r="110" spans="1:1">
      <c r="A110" s="813" t="s">
        <v>1241</v>
      </c>
    </row>
    <row r="111" spans="1:1" ht="14.4">
      <c r="A111" s="16" t="s">
        <v>1238</v>
      </c>
    </row>
    <row r="112" spans="1:1">
      <c r="A112" s="813" t="s">
        <v>1242</v>
      </c>
    </row>
    <row r="113" spans="1:1" ht="14.4">
      <c r="A113" s="16" t="s">
        <v>1238</v>
      </c>
    </row>
    <row r="114" spans="1:1">
      <c r="A114" s="813" t="s">
        <v>1243</v>
      </c>
    </row>
    <row r="115" spans="1:1" ht="14.4">
      <c r="A115" s="16" t="s">
        <v>1238</v>
      </c>
    </row>
    <row r="116" spans="1:1">
      <c r="A116" s="813" t="s">
        <v>1244</v>
      </c>
    </row>
    <row r="117" spans="1:1" ht="14.4">
      <c r="A117" s="16" t="s">
        <v>1238</v>
      </c>
    </row>
    <row r="118" spans="1:1">
      <c r="A118" s="813" t="s">
        <v>1245</v>
      </c>
    </row>
    <row r="119" spans="1:1" ht="14.4">
      <c r="A119" s="16" t="s">
        <v>1238</v>
      </c>
    </row>
    <row r="120" spans="1:1">
      <c r="A120" s="813" t="s">
        <v>1246</v>
      </c>
    </row>
    <row r="121" spans="1:1" ht="14.4">
      <c r="A121" s="16" t="s">
        <v>1238</v>
      </c>
    </row>
    <row r="122" spans="1:1">
      <c r="A122" s="813" t="s">
        <v>1247</v>
      </c>
    </row>
    <row r="123" spans="1:1" ht="14.4">
      <c r="A123" s="16" t="s">
        <v>1238</v>
      </c>
    </row>
    <row r="124" spans="1:1">
      <c r="A124" s="813" t="s">
        <v>1248</v>
      </c>
    </row>
    <row r="125" spans="1:1" ht="14.4">
      <c r="A125" s="16" t="s">
        <v>1238</v>
      </c>
    </row>
    <row r="126" spans="1:1">
      <c r="A126" s="813" t="s">
        <v>1249</v>
      </c>
    </row>
    <row r="127" spans="1:1" ht="14.4">
      <c r="A127" s="16" t="s">
        <v>1238</v>
      </c>
    </row>
    <row r="128" spans="1:1">
      <c r="A128" s="813" t="s">
        <v>1250</v>
      </c>
    </row>
    <row r="129" spans="1:1" ht="14.4">
      <c r="A129" s="16" t="s">
        <v>1238</v>
      </c>
    </row>
    <row r="130" spans="1:1">
      <c r="A130" s="813" t="s">
        <v>1251</v>
      </c>
    </row>
    <row r="131" spans="1:1" ht="14.4">
      <c r="A131" s="16" t="s">
        <v>1238</v>
      </c>
    </row>
    <row r="132" spans="1:1">
      <c r="A132" s="813" t="s">
        <v>1252</v>
      </c>
    </row>
    <row r="133" spans="1:1" ht="14.4">
      <c r="A133" s="16" t="s">
        <v>1238</v>
      </c>
    </row>
    <row r="134" spans="1:1">
      <c r="A134" s="813" t="s">
        <v>1253</v>
      </c>
    </row>
    <row r="135" spans="1:1" ht="14.4">
      <c r="A135" s="16" t="s">
        <v>1238</v>
      </c>
    </row>
    <row r="136" spans="1:1">
      <c r="A136" s="813" t="s">
        <v>1254</v>
      </c>
    </row>
    <row r="137" spans="1:1" ht="14.4">
      <c r="A137" s="16" t="s">
        <v>1238</v>
      </c>
    </row>
    <row r="138" spans="1:1">
      <c r="A138" s="813" t="s">
        <v>1255</v>
      </c>
    </row>
    <row r="139" spans="1:1" ht="14.4">
      <c r="A139" s="16" t="s">
        <v>1238</v>
      </c>
    </row>
    <row r="140" spans="1:1">
      <c r="A140" s="813" t="s">
        <v>1256</v>
      </c>
    </row>
    <row r="141" spans="1:1" ht="14.4">
      <c r="A141" s="16" t="s">
        <v>1238</v>
      </c>
    </row>
    <row r="142" spans="1:1">
      <c r="A142" s="813" t="s">
        <v>1257</v>
      </c>
    </row>
    <row r="143" spans="1:1" ht="14.4">
      <c r="A143" s="16" t="s">
        <v>1238</v>
      </c>
    </row>
    <row r="144" spans="1:1">
      <c r="A144" s="813" t="s">
        <v>1258</v>
      </c>
    </row>
    <row r="145" spans="1:1" ht="14.4">
      <c r="A145" s="16" t="s">
        <v>1238</v>
      </c>
    </row>
    <row r="146" spans="1:1">
      <c r="A146" s="813" t="s">
        <v>1259</v>
      </c>
    </row>
    <row r="147" spans="1:1" ht="14.4">
      <c r="A147" s="16" t="s">
        <v>1238</v>
      </c>
    </row>
    <row r="148" spans="1:1">
      <c r="A148" s="813" t="s">
        <v>1260</v>
      </c>
    </row>
    <row r="149" spans="1:1" ht="14.4">
      <c r="A149" s="16" t="s">
        <v>1238</v>
      </c>
    </row>
    <row r="150" spans="1:1">
      <c r="A150" s="813" t="s">
        <v>1261</v>
      </c>
    </row>
    <row r="151" spans="1:1" ht="14.4">
      <c r="A151" s="16" t="s">
        <v>1238</v>
      </c>
    </row>
    <row r="152" spans="1:1">
      <c r="A152" s="813" t="s">
        <v>1262</v>
      </c>
    </row>
    <row r="153" spans="1:1" ht="14.4">
      <c r="A153" s="16" t="s">
        <v>1238</v>
      </c>
    </row>
    <row r="154" spans="1:1">
      <c r="A154" s="813" t="s">
        <v>1263</v>
      </c>
    </row>
    <row r="155" spans="1:1" ht="14.4">
      <c r="A155" s="16" t="s">
        <v>1238</v>
      </c>
    </row>
    <row r="156" spans="1:1">
      <c r="A156" s="813" t="s">
        <v>1264</v>
      </c>
    </row>
    <row r="157" spans="1:1" ht="14.4">
      <c r="A157" s="16" t="s">
        <v>1238</v>
      </c>
    </row>
    <row r="158" spans="1:1">
      <c r="A158" s="813" t="s">
        <v>1265</v>
      </c>
    </row>
    <row r="159" spans="1:1" ht="14.4">
      <c r="A159" s="16" t="s">
        <v>1238</v>
      </c>
    </row>
    <row r="160" spans="1:1">
      <c r="A160" s="813" t="s">
        <v>1266</v>
      </c>
    </row>
    <row r="161" spans="1:1" ht="14.4">
      <c r="A161" s="16" t="s">
        <v>1238</v>
      </c>
    </row>
    <row r="162" spans="1:1">
      <c r="A162" s="813" t="s">
        <v>1267</v>
      </c>
    </row>
    <row r="163" spans="1:1" ht="14.4">
      <c r="A163" s="16" t="s">
        <v>1238</v>
      </c>
    </row>
    <row r="164" spans="1:1">
      <c r="A164" s="813" t="s">
        <v>1268</v>
      </c>
    </row>
    <row r="165" spans="1:1" ht="14.4">
      <c r="A165" s="16" t="s">
        <v>1238</v>
      </c>
    </row>
    <row r="166" spans="1:1">
      <c r="A166" s="813" t="s">
        <v>1269</v>
      </c>
    </row>
    <row r="167" spans="1:1" ht="14.4">
      <c r="A167" s="16" t="s">
        <v>1238</v>
      </c>
    </row>
    <row r="168" spans="1:1">
      <c r="A168" s="813" t="s">
        <v>1270</v>
      </c>
    </row>
    <row r="169" spans="1:1" ht="14.4">
      <c r="A169" s="16" t="s">
        <v>1238</v>
      </c>
    </row>
    <row r="170" spans="1:1">
      <c r="A170" s="813" t="s">
        <v>1271</v>
      </c>
    </row>
    <row r="171" spans="1:1" ht="14.4">
      <c r="A171" s="16" t="s">
        <v>1238</v>
      </c>
    </row>
    <row r="172" spans="1:1">
      <c r="A172" s="813" t="s">
        <v>1272</v>
      </c>
    </row>
    <row r="173" spans="1:1" ht="14.4">
      <c r="A173" s="16" t="s">
        <v>1238</v>
      </c>
    </row>
    <row r="174" spans="1:1">
      <c r="A174" s="813" t="s">
        <v>1273</v>
      </c>
    </row>
    <row r="175" spans="1:1" ht="14.4">
      <c r="A175" s="16" t="s">
        <v>1238</v>
      </c>
    </row>
    <row r="176" spans="1:1">
      <c r="A176" s="813" t="s">
        <v>1274</v>
      </c>
    </row>
    <row r="177" spans="1:1" ht="14.4">
      <c r="A177" s="16" t="s">
        <v>1238</v>
      </c>
    </row>
    <row r="178" spans="1:1">
      <c r="A178" s="813" t="s">
        <v>1275</v>
      </c>
    </row>
    <row r="179" spans="1:1" ht="14.4">
      <c r="A179" s="16" t="s">
        <v>1276</v>
      </c>
    </row>
    <row r="180" spans="1:1">
      <c r="A180" s="813" t="s">
        <v>1277</v>
      </c>
    </row>
    <row r="181" spans="1:1" ht="14.4">
      <c r="A181" s="16" t="s">
        <v>1238</v>
      </c>
    </row>
    <row r="182" spans="1:1">
      <c r="A182" s="813" t="s">
        <v>1278</v>
      </c>
    </row>
    <row r="183" spans="1:1" ht="14.4">
      <c r="A183" s="16" t="s">
        <v>1238</v>
      </c>
    </row>
    <row r="184" spans="1:1">
      <c r="A184" s="813" t="s">
        <v>1279</v>
      </c>
    </row>
    <row r="185" spans="1:1" ht="14.4">
      <c r="A185" s="16" t="s">
        <v>1238</v>
      </c>
    </row>
    <row r="186" spans="1:1">
      <c r="A186" s="813" t="s">
        <v>1280</v>
      </c>
    </row>
    <row r="187" spans="1:1" ht="14.4">
      <c r="A187" s="16" t="s">
        <v>1238</v>
      </c>
    </row>
    <row r="188" spans="1:1">
      <c r="A188" s="813" t="s">
        <v>1281</v>
      </c>
    </row>
    <row r="189" spans="1:1" ht="14.4">
      <c r="A189" s="16" t="s">
        <v>1238</v>
      </c>
    </row>
    <row r="190" spans="1:1">
      <c r="A190" s="813" t="s">
        <v>1282</v>
      </c>
    </row>
    <row r="191" spans="1:1" ht="14.4">
      <c r="A191" s="16" t="s">
        <v>1238</v>
      </c>
    </row>
    <row r="192" spans="1:1">
      <c r="A192" s="813" t="s">
        <v>1283</v>
      </c>
    </row>
    <row r="193" spans="1:1" ht="14.4">
      <c r="A193" s="16" t="s">
        <v>1238</v>
      </c>
    </row>
    <row r="194" spans="1:1">
      <c r="A194" s="813" t="s">
        <v>1284</v>
      </c>
    </row>
    <row r="195" spans="1:1" ht="14.4">
      <c r="A195" s="16" t="s">
        <v>1238</v>
      </c>
    </row>
    <row r="196" spans="1:1">
      <c r="A196" s="813" t="s">
        <v>1285</v>
      </c>
    </row>
    <row r="197" spans="1:1" ht="14.4">
      <c r="A197" s="16" t="s">
        <v>1238</v>
      </c>
    </row>
    <row r="198" spans="1:1">
      <c r="A198" s="813" t="s">
        <v>1286</v>
      </c>
    </row>
    <row r="199" spans="1:1" ht="14.4">
      <c r="A199" s="16" t="s">
        <v>1238</v>
      </c>
    </row>
    <row r="200" spans="1:1">
      <c r="A200" s="813" t="s">
        <v>1287</v>
      </c>
    </row>
    <row r="201" spans="1:1" ht="14.4">
      <c r="A201" s="16" t="s">
        <v>1238</v>
      </c>
    </row>
    <row r="202" spans="1:1">
      <c r="A202" s="813" t="s">
        <v>1288</v>
      </c>
    </row>
    <row r="203" spans="1:1" ht="14.4">
      <c r="A203" s="16" t="s">
        <v>1238</v>
      </c>
    </row>
    <row r="204" spans="1:1">
      <c r="A204" s="813" t="s">
        <v>1289</v>
      </c>
    </row>
    <row r="205" spans="1:1" ht="14.4">
      <c r="A205" s="16" t="s">
        <v>1238</v>
      </c>
    </row>
    <row r="206" spans="1:1">
      <c r="A206" s="813" t="s">
        <v>1290</v>
      </c>
    </row>
    <row r="207" spans="1:1" ht="14.4">
      <c r="A207" s="16" t="s">
        <v>1238</v>
      </c>
    </row>
    <row r="208" spans="1:1">
      <c r="A208" s="813" t="s">
        <v>1291</v>
      </c>
    </row>
    <row r="209" spans="1:1" ht="14.4">
      <c r="A209" s="16" t="s">
        <v>1238</v>
      </c>
    </row>
    <row r="210" spans="1:1">
      <c r="A210" s="813" t="s">
        <v>1292</v>
      </c>
    </row>
    <row r="211" spans="1:1" ht="14.4">
      <c r="A211" s="16" t="s">
        <v>1238</v>
      </c>
    </row>
    <row r="212" spans="1:1">
      <c r="A212" s="813" t="s">
        <v>1293</v>
      </c>
    </row>
    <row r="213" spans="1:1" ht="14.4">
      <c r="A213" s="16" t="s">
        <v>1238</v>
      </c>
    </row>
    <row r="214" spans="1:1">
      <c r="A214" s="813" t="s">
        <v>1294</v>
      </c>
    </row>
    <row r="215" spans="1:1" ht="14.4">
      <c r="A215" s="16" t="s">
        <v>1238</v>
      </c>
    </row>
    <row r="216" spans="1:1">
      <c r="A216" s="813" t="s">
        <v>1295</v>
      </c>
    </row>
    <row r="217" spans="1:1" ht="14.4">
      <c r="A217" s="16" t="s">
        <v>1238</v>
      </c>
    </row>
    <row r="218" spans="1:1">
      <c r="A218" s="813" t="s">
        <v>1296</v>
      </c>
    </row>
    <row r="219" spans="1:1" ht="14.4">
      <c r="A219" s="16" t="s">
        <v>1238</v>
      </c>
    </row>
    <row r="220" spans="1:1">
      <c r="A220" s="813" t="s">
        <v>1297</v>
      </c>
    </row>
    <row r="221" spans="1:1" ht="14.4">
      <c r="A221" s="16" t="s">
        <v>1238</v>
      </c>
    </row>
    <row r="222" spans="1:1">
      <c r="A222" s="813" t="s">
        <v>1298</v>
      </c>
    </row>
    <row r="223" spans="1:1" ht="14.4">
      <c r="A223" s="16" t="s">
        <v>1238</v>
      </c>
    </row>
    <row r="224" spans="1:1">
      <c r="A224" s="813" t="s">
        <v>1299</v>
      </c>
    </row>
    <row r="225" spans="1:1" ht="14.4">
      <c r="A225" s="16" t="s">
        <v>1238</v>
      </c>
    </row>
    <row r="226" spans="1:1">
      <c r="A226" s="813" t="s">
        <v>1300</v>
      </c>
    </row>
    <row r="227" spans="1:1" ht="14.4">
      <c r="A227" s="16" t="s">
        <v>1238</v>
      </c>
    </row>
    <row r="228" spans="1:1">
      <c r="A228" s="813" t="s">
        <v>1301</v>
      </c>
    </row>
    <row r="229" spans="1:1" ht="14.4">
      <c r="A229" s="16" t="s">
        <v>1238</v>
      </c>
    </row>
    <row r="230" spans="1:1">
      <c r="A230" s="813" t="s">
        <v>1302</v>
      </c>
    </row>
    <row r="231" spans="1:1" ht="14.4">
      <c r="A231" s="16" t="s">
        <v>1238</v>
      </c>
    </row>
    <row r="232" spans="1:1">
      <c r="A232" s="813" t="s">
        <v>1303</v>
      </c>
    </row>
    <row r="233" spans="1:1" ht="14.4">
      <c r="A233" s="16" t="s">
        <v>1238</v>
      </c>
    </row>
    <row r="234" spans="1:1">
      <c r="A234" s="813" t="s">
        <v>1304</v>
      </c>
    </row>
    <row r="235" spans="1:1" ht="14.4">
      <c r="A235" s="16" t="s">
        <v>1238</v>
      </c>
    </row>
    <row r="236" spans="1:1">
      <c r="A236" s="813" t="s">
        <v>1305</v>
      </c>
    </row>
    <row r="237" spans="1:1" ht="14.4">
      <c r="A237" s="16" t="s">
        <v>1238</v>
      </c>
    </row>
    <row r="238" spans="1:1">
      <c r="A238" s="813" t="s">
        <v>1306</v>
      </c>
    </row>
    <row r="239" spans="1:1" ht="14.4">
      <c r="A239" s="16" t="s">
        <v>1238</v>
      </c>
    </row>
    <row r="240" spans="1:1">
      <c r="A240" s="813" t="s">
        <v>1307</v>
      </c>
    </row>
    <row r="241" spans="1:1" ht="14.4">
      <c r="A241" s="16" t="s">
        <v>1238</v>
      </c>
    </row>
    <row r="242" spans="1:1">
      <c r="A242" s="813" t="s">
        <v>1308</v>
      </c>
    </row>
    <row r="243" spans="1:1" ht="14.4">
      <c r="A243" s="16" t="s">
        <v>1238</v>
      </c>
    </row>
    <row r="244" spans="1:1">
      <c r="A244" s="813" t="s">
        <v>1309</v>
      </c>
    </row>
    <row r="245" spans="1:1" ht="14.4">
      <c r="A245" s="16" t="s">
        <v>1238</v>
      </c>
    </row>
    <row r="246" spans="1:1">
      <c r="A246" s="813" t="s">
        <v>1310</v>
      </c>
    </row>
    <row r="247" spans="1:1" ht="14.4">
      <c r="A247" s="16" t="s">
        <v>1238</v>
      </c>
    </row>
    <row r="248" spans="1:1">
      <c r="A248" s="813" t="s">
        <v>1311</v>
      </c>
    </row>
    <row r="249" spans="1:1" ht="14.4">
      <c r="A249" s="16" t="s">
        <v>1238</v>
      </c>
    </row>
    <row r="250" spans="1:1">
      <c r="A250" s="813" t="s">
        <v>1312</v>
      </c>
    </row>
    <row r="251" spans="1:1" ht="14.4">
      <c r="A251" s="16" t="s">
        <v>1238</v>
      </c>
    </row>
    <row r="252" spans="1:1">
      <c r="A252" s="813" t="s">
        <v>1313</v>
      </c>
    </row>
    <row r="253" spans="1:1" ht="14.4">
      <c r="A253" s="16" t="s">
        <v>1238</v>
      </c>
    </row>
    <row r="254" spans="1:1">
      <c r="A254" s="813" t="s">
        <v>1314</v>
      </c>
    </row>
    <row r="255" spans="1:1" ht="14.4">
      <c r="A255" s="16" t="s">
        <v>1238</v>
      </c>
    </row>
    <row r="256" spans="1:1">
      <c r="A256" s="813" t="s">
        <v>1315</v>
      </c>
    </row>
    <row r="257" spans="1:1" ht="14.4">
      <c r="A257" s="16" t="s">
        <v>1238</v>
      </c>
    </row>
    <row r="258" spans="1:1">
      <c r="A258" s="813" t="s">
        <v>1316</v>
      </c>
    </row>
    <row r="259" spans="1:1" ht="14.4">
      <c r="A259" s="16" t="s">
        <v>1238</v>
      </c>
    </row>
    <row r="260" spans="1:1">
      <c r="A260" s="813" t="s">
        <v>1317</v>
      </c>
    </row>
    <row r="261" spans="1:1" ht="14.4">
      <c r="A261" s="16" t="s">
        <v>1238</v>
      </c>
    </row>
    <row r="262" spans="1:1">
      <c r="A262" s="813" t="s">
        <v>1318</v>
      </c>
    </row>
    <row r="263" spans="1:1" ht="14.4">
      <c r="A263" s="16" t="s">
        <v>1238</v>
      </c>
    </row>
    <row r="264" spans="1:1">
      <c r="A264" s="813" t="s">
        <v>1319</v>
      </c>
    </row>
    <row r="265" spans="1:1" ht="14.4">
      <c r="A265" s="16" t="s">
        <v>1238</v>
      </c>
    </row>
    <row r="266" spans="1:1">
      <c r="A266" s="813" t="s">
        <v>1320</v>
      </c>
    </row>
    <row r="267" spans="1:1" ht="14.4">
      <c r="A267" s="16" t="s">
        <v>1238</v>
      </c>
    </row>
    <row r="268" spans="1:1">
      <c r="A268" s="813" t="s">
        <v>1321</v>
      </c>
    </row>
    <row r="269" spans="1:1" ht="14.4">
      <c r="A269" s="16" t="s">
        <v>1238</v>
      </c>
    </row>
    <row r="270" spans="1:1">
      <c r="A270" s="813" t="s">
        <v>1322</v>
      </c>
    </row>
    <row r="271" spans="1:1" ht="14.4">
      <c r="A271" s="16" t="s">
        <v>1238</v>
      </c>
    </row>
    <row r="272" spans="1:1">
      <c r="A272" s="813" t="s">
        <v>1323</v>
      </c>
    </row>
    <row r="273" spans="1:1" ht="14.4">
      <c r="A273" s="16" t="s">
        <v>1238</v>
      </c>
    </row>
    <row r="280" spans="1:1" ht="25.95" customHeight="1">
      <c r="A280" s="812" t="s">
        <v>1143</v>
      </c>
    </row>
    <row r="281" spans="1:1" ht="25.95" customHeight="1">
      <c r="A281" s="820" t="s">
        <v>1145</v>
      </c>
    </row>
    <row r="282" spans="1:1" ht="25.95" customHeight="1">
      <c r="A282" s="820" t="s">
        <v>1146</v>
      </c>
    </row>
    <row r="283" spans="1:1" ht="25.95" customHeight="1">
      <c r="A283" s="820" t="s">
        <v>1147</v>
      </c>
    </row>
    <row r="284" spans="1:1" ht="25.95" customHeight="1">
      <c r="A284" s="820" t="s">
        <v>1148</v>
      </c>
    </row>
    <row r="285" spans="1:1" ht="25.95" customHeight="1">
      <c r="A285" s="820" t="s">
        <v>1149</v>
      </c>
    </row>
    <row r="286" spans="1:1" ht="25.95" customHeight="1">
      <c r="A286" s="820" t="s">
        <v>1150</v>
      </c>
    </row>
    <row r="287" spans="1:1" ht="25.95" customHeight="1">
      <c r="A287" s="820" t="s">
        <v>1151</v>
      </c>
    </row>
    <row r="288" spans="1:1" ht="25.95" customHeight="1">
      <c r="A288" s="820" t="s">
        <v>1152</v>
      </c>
    </row>
    <row r="289" spans="1:1" ht="25.95" customHeight="1">
      <c r="A289" s="820" t="s">
        <v>1153</v>
      </c>
    </row>
    <row r="290" spans="1:1" ht="25.95" customHeight="1">
      <c r="A290" s="820" t="s">
        <v>1154</v>
      </c>
    </row>
    <row r="291" spans="1:1" ht="25.95" customHeight="1">
      <c r="A291" s="820" t="s">
        <v>1155</v>
      </c>
    </row>
    <row r="292" spans="1:1" ht="25.95" customHeight="1">
      <c r="A292" s="820" t="s">
        <v>1156</v>
      </c>
    </row>
    <row r="293" spans="1:1" ht="25.95" customHeight="1">
      <c r="A293" s="820" t="s">
        <v>1157</v>
      </c>
    </row>
    <row r="294" spans="1:1" ht="25.95" customHeight="1">
      <c r="A294" s="820" t="s">
        <v>1158</v>
      </c>
    </row>
    <row r="295" spans="1:1" ht="25.95" customHeight="1">
      <c r="A295" s="820" t="s">
        <v>1159</v>
      </c>
    </row>
    <row r="296" spans="1:1" ht="25.95" customHeight="1">
      <c r="A296" s="820" t="s">
        <v>1160</v>
      </c>
    </row>
    <row r="297" spans="1:1" ht="25.95" customHeight="1">
      <c r="A297" s="820" t="s">
        <v>1161</v>
      </c>
    </row>
    <row r="298" spans="1:1" ht="25.95" customHeight="1">
      <c r="A298" s="820" t="s">
        <v>1162</v>
      </c>
    </row>
    <row r="299" spans="1:1" ht="25.95" customHeight="1">
      <c r="A299" s="820" t="s">
        <v>1163</v>
      </c>
    </row>
    <row r="300" spans="1:1" ht="25.95" customHeight="1">
      <c r="A300" s="820" t="s">
        <v>1164</v>
      </c>
    </row>
    <row r="301" spans="1:1" ht="25.95" customHeight="1">
      <c r="A301" s="820" t="s">
        <v>1165</v>
      </c>
    </row>
    <row r="302" spans="1:1" ht="25.95" customHeight="1">
      <c r="A302" s="820" t="s">
        <v>1166</v>
      </c>
    </row>
    <row r="303" spans="1:1" ht="25.95" customHeight="1">
      <c r="A303" s="820" t="s">
        <v>1167</v>
      </c>
    </row>
    <row r="304" spans="1:1" ht="25.95" customHeight="1">
      <c r="A304" s="820" t="s">
        <v>1168</v>
      </c>
    </row>
    <row r="305" spans="1:1" ht="25.95" customHeight="1">
      <c r="A305" s="820" t="s">
        <v>1169</v>
      </c>
    </row>
    <row r="306" spans="1:1" ht="25.95" customHeight="1">
      <c r="A306" s="820" t="s">
        <v>1170</v>
      </c>
    </row>
    <row r="307" spans="1:1" ht="25.95" customHeight="1">
      <c r="A307" s="820" t="s">
        <v>1171</v>
      </c>
    </row>
    <row r="308" spans="1:1" ht="25.95" customHeight="1">
      <c r="A308" s="820" t="s">
        <v>1172</v>
      </c>
    </row>
    <row r="309" spans="1:1" ht="25.95" customHeight="1">
      <c r="A309" s="820" t="s">
        <v>1173</v>
      </c>
    </row>
    <row r="310" spans="1:1" ht="25.95" customHeight="1">
      <c r="A310" s="820" t="s">
        <v>1174</v>
      </c>
    </row>
    <row r="311" spans="1:1" ht="25.95" customHeight="1">
      <c r="A311" s="820" t="s">
        <v>1175</v>
      </c>
    </row>
    <row r="312" spans="1:1" ht="25.95" customHeight="1">
      <c r="A312" s="820" t="s">
        <v>1176</v>
      </c>
    </row>
    <row r="313" spans="1:1" ht="25.95" customHeight="1">
      <c r="A313" s="820" t="s">
        <v>1177</v>
      </c>
    </row>
    <row r="314" spans="1:1" ht="25.95" customHeight="1">
      <c r="A314" s="820" t="s">
        <v>1178</v>
      </c>
    </row>
    <row r="315" spans="1:1" ht="25.95" customHeight="1">
      <c r="A315" s="820" t="s">
        <v>1179</v>
      </c>
    </row>
    <row r="316" spans="1:1" ht="25.95" customHeight="1">
      <c r="A316" s="820" t="s">
        <v>1180</v>
      </c>
    </row>
    <row r="317" spans="1:1" ht="25.95" customHeight="1">
      <c r="A317" s="820" t="s">
        <v>1181</v>
      </c>
    </row>
    <row r="318" spans="1:1" ht="25.95" customHeight="1">
      <c r="A318" s="820" t="s">
        <v>1182</v>
      </c>
    </row>
    <row r="319" spans="1:1" ht="25.95" customHeight="1">
      <c r="A319" s="820" t="s">
        <v>1183</v>
      </c>
    </row>
    <row r="320" spans="1:1" ht="25.95" customHeight="1">
      <c r="A320" s="820" t="s">
        <v>1184</v>
      </c>
    </row>
    <row r="321" spans="1:1" ht="25.95" customHeight="1">
      <c r="A321" s="820" t="s">
        <v>1185</v>
      </c>
    </row>
    <row r="322" spans="1:1" ht="25.95" customHeight="1">
      <c r="A322" s="820" t="s">
        <v>1186</v>
      </c>
    </row>
    <row r="323" spans="1:1" ht="25.95" customHeight="1">
      <c r="A323" s="820" t="s">
        <v>1187</v>
      </c>
    </row>
    <row r="324" spans="1:1" ht="25.95" customHeight="1">
      <c r="A324" s="820" t="s">
        <v>1188</v>
      </c>
    </row>
    <row r="325" spans="1:1" ht="25.95" customHeight="1">
      <c r="A325" s="820" t="s">
        <v>1189</v>
      </c>
    </row>
    <row r="326" spans="1:1" ht="25.95" customHeight="1">
      <c r="A326" s="820" t="s">
        <v>1190</v>
      </c>
    </row>
    <row r="327" spans="1:1" ht="25.95" customHeight="1">
      <c r="A327" s="820" t="s">
        <v>1191</v>
      </c>
    </row>
    <row r="328" spans="1:1" ht="25.95" customHeight="1">
      <c r="A328" s="820" t="s">
        <v>1192</v>
      </c>
    </row>
    <row r="329" spans="1:1" ht="25.95" customHeight="1">
      <c r="A329" s="820" t="s">
        <v>1193</v>
      </c>
    </row>
    <row r="330" spans="1:1" ht="25.95" customHeight="1">
      <c r="A330" s="820" t="s">
        <v>1194</v>
      </c>
    </row>
    <row r="331" spans="1:1" ht="25.95" customHeight="1">
      <c r="A331" s="820" t="s">
        <v>1195</v>
      </c>
    </row>
    <row r="332" spans="1:1" ht="25.95" customHeight="1">
      <c r="A332" s="820" t="s">
        <v>1196</v>
      </c>
    </row>
    <row r="333" spans="1:1" ht="25.95" customHeight="1">
      <c r="A333" s="820" t="s">
        <v>1197</v>
      </c>
    </row>
    <row r="334" spans="1:1" ht="25.95" customHeight="1">
      <c r="A334" s="820" t="s">
        <v>1198</v>
      </c>
    </row>
    <row r="335" spans="1:1" ht="25.95" customHeight="1">
      <c r="A335" s="820" t="s">
        <v>1199</v>
      </c>
    </row>
    <row r="336" spans="1:1" ht="25.95" customHeight="1">
      <c r="A336" s="820" t="s">
        <v>1200</v>
      </c>
    </row>
    <row r="337" spans="1:1" ht="25.95" customHeight="1">
      <c r="A337" s="820" t="s">
        <v>1201</v>
      </c>
    </row>
    <row r="338" spans="1:1" ht="25.95" customHeight="1">
      <c r="A338" s="820" t="s">
        <v>1202</v>
      </c>
    </row>
    <row r="339" spans="1:1" ht="25.95" customHeight="1">
      <c r="A339" s="820" t="s">
        <v>1203</v>
      </c>
    </row>
    <row r="340" spans="1:1" ht="25.95" customHeight="1">
      <c r="A340" s="820" t="s">
        <v>1204</v>
      </c>
    </row>
    <row r="341" spans="1:1" ht="25.95" customHeight="1">
      <c r="A341" s="820" t="s">
        <v>1205</v>
      </c>
    </row>
    <row r="342" spans="1:1" ht="25.95" customHeight="1">
      <c r="A342" s="820" t="s">
        <v>1206</v>
      </c>
    </row>
    <row r="343" spans="1:1" ht="25.95" customHeight="1">
      <c r="A343" s="820" t="s">
        <v>1207</v>
      </c>
    </row>
    <row r="344" spans="1:1" ht="25.95" customHeight="1">
      <c r="A344" s="820" t="s">
        <v>1208</v>
      </c>
    </row>
    <row r="345" spans="1:1" ht="25.95" customHeight="1">
      <c r="A345" s="820" t="s">
        <v>1209</v>
      </c>
    </row>
    <row r="346" spans="1:1" ht="25.95" customHeight="1">
      <c r="A346" s="820" t="s">
        <v>1210</v>
      </c>
    </row>
    <row r="347" spans="1:1" ht="25.95" customHeight="1">
      <c r="A347" s="820" t="s">
        <v>1211</v>
      </c>
    </row>
    <row r="348" spans="1:1" ht="25.95" customHeight="1">
      <c r="A348" s="820" t="s">
        <v>1212</v>
      </c>
    </row>
    <row r="349" spans="1:1" ht="25.95" customHeight="1">
      <c r="A349" s="820" t="s">
        <v>1213</v>
      </c>
    </row>
    <row r="350" spans="1:1" ht="25.95" customHeight="1">
      <c r="A350" s="820" t="s">
        <v>1214</v>
      </c>
    </row>
    <row r="351" spans="1:1" ht="25.95" customHeight="1">
      <c r="A351" s="820" t="s">
        <v>1215</v>
      </c>
    </row>
    <row r="352" spans="1:1" ht="25.95" customHeight="1">
      <c r="A352" s="820" t="s">
        <v>1216</v>
      </c>
    </row>
    <row r="353" spans="1:1" ht="25.95" customHeight="1">
      <c r="A353" s="820" t="s">
        <v>1217</v>
      </c>
    </row>
    <row r="354" spans="1:1" ht="25.95" customHeight="1">
      <c r="A354" s="820" t="s">
        <v>1218</v>
      </c>
    </row>
    <row r="355" spans="1:1" ht="25.95" customHeight="1">
      <c r="A355" s="820" t="s">
        <v>1219</v>
      </c>
    </row>
    <row r="356" spans="1:1" ht="25.95" customHeight="1">
      <c r="A356" s="820" t="s">
        <v>1220</v>
      </c>
    </row>
    <row r="357" spans="1:1" ht="25.95" customHeight="1">
      <c r="A357" s="820" t="s">
        <v>1221</v>
      </c>
    </row>
    <row r="358" spans="1:1" ht="25.95" customHeight="1">
      <c r="A358" s="820" t="s">
        <v>1222</v>
      </c>
    </row>
    <row r="359" spans="1:1" ht="25.95" customHeight="1">
      <c r="A359" s="820" t="s">
        <v>1223</v>
      </c>
    </row>
    <row r="360" spans="1:1" ht="25.95" customHeight="1">
      <c r="A360" s="820" t="s">
        <v>1224</v>
      </c>
    </row>
    <row r="361" spans="1:1" ht="25.95" customHeight="1">
      <c r="A361" s="820" t="s">
        <v>1225</v>
      </c>
    </row>
    <row r="362" spans="1:1" ht="25.95" customHeight="1">
      <c r="A362" s="820" t="s">
        <v>1226</v>
      </c>
    </row>
    <row r="363" spans="1:1" ht="25.95" customHeight="1">
      <c r="A363" s="820" t="s">
        <v>1227</v>
      </c>
    </row>
    <row r="364" spans="1:1" ht="25.95" customHeight="1">
      <c r="A364" s="820" t="s">
        <v>1228</v>
      </c>
    </row>
    <row r="365" spans="1:1" ht="25.95" customHeight="1">
      <c r="A365" s="820" t="s">
        <v>1229</v>
      </c>
    </row>
    <row r="366" spans="1:1" ht="25.95" customHeight="1">
      <c r="A366" s="820" t="s">
        <v>1230</v>
      </c>
    </row>
  </sheetData>
  <hyperlinks>
    <hyperlink ref="A3" r:id="rId1" display="https://encircleapp.com/app/property-claims" xr:uid="{989B2E9C-2C2C-46CB-A9FF-5130B0BB9BDB}"/>
    <hyperlink ref="A6" r:id="rId2" display="https://encircleapp.com/app/property-claims/claim/4154073/structures-and-rooms/structure/4971494" xr:uid="{C36B5E4C-77A1-4F87-95BE-302F113C69F4}"/>
    <hyperlink ref="A100" r:id="rId3" display="https://www.getencircle.com/product-walkthrough-floor-plan" xr:uid="{FEDF8C63-4493-4261-A454-CD6A4FD62CEB}"/>
    <hyperlink ref="A103" r:id="rId4" location="to-videos" display="https://encircleapp.com/app/property-claims/claim/4154073/activity/structure/4971494/room/29242063 - to-videos" xr:uid="{11477D68-8404-4B7F-9A42-2DDD93B95AD3}"/>
    <hyperlink ref="A105" r:id="rId5" location="to-overview-photos" display="https://encircleapp.com/app/property-claims/claim/4154073/activity/structure/4971494/room/29242064 - to-overview-photos" xr:uid="{694850BB-768E-4832-A33A-FED3AE8EF1D5}"/>
    <hyperlink ref="A107" r:id="rId6" location="to-videos" display="https://encircleapp.com/app/property-claims/claim/4154073/activity/structure/4971494/room/29242065 - to-videos" xr:uid="{EE2E8824-D545-49CB-B8D2-F0C0F3305AE0}"/>
    <hyperlink ref="A109" r:id="rId7" location="to-overview-photos" display="https://encircleapp.com/app/property-claims/claim/4154073/activity/structure/4971494/room/29242066 - to-overview-photos" xr:uid="{1FE45382-DBCC-464E-802C-01C9B9AB4CA6}"/>
    <hyperlink ref="A111" r:id="rId8" location="to-overview-photos" display="https://encircleapp.com/app/property-claims/claim/4154073/activity/structure/4971494/room/29242067 - to-overview-photos" xr:uid="{523B3FAB-5500-4A95-A380-B935BBFD3312}"/>
    <hyperlink ref="A113" r:id="rId9" location="to-overview-photos" display="https://encircleapp.com/app/property-claims/claim/4154073/activity/structure/4971494/room/29242069 - to-overview-photos" xr:uid="{603B63E8-988A-4889-9562-2C863EDB8E14}"/>
    <hyperlink ref="A115" r:id="rId10" location="to-overview-photos" display="https://encircleapp.com/app/property-claims/claim/4154073/activity/structure/4971494/room/29242070 - to-overview-photos" xr:uid="{9642CBED-7F17-449B-96A2-A1CAEC2FF3AD}"/>
    <hyperlink ref="A117" r:id="rId11" location="to-overview-photos" display="https://encircleapp.com/app/property-claims/claim/4154073/activity/structure/4971494/room/29242080 - to-overview-photos" xr:uid="{21C3CFBA-207E-4F52-8D20-4D7576FAB1D8}"/>
    <hyperlink ref="A119" r:id="rId12" location="to-overview-photos" display="https://encircleapp.com/app/property-claims/claim/4154073/activity/structure/4971494/room/29242081 - to-overview-photos" xr:uid="{2FB2FEEC-18AD-4850-9319-486A1B769E38}"/>
    <hyperlink ref="A121" r:id="rId13" location="to-overview-photos" display="https://encircleapp.com/app/property-claims/claim/4154073/activity/structure/4971494/room/29242082 - to-overview-photos" xr:uid="{F02FCEB3-ACE6-4A05-8ED0-C5253D87CF96}"/>
    <hyperlink ref="A123" r:id="rId14" location="to-overview-photos" display="https://encircleapp.com/app/property-claims/claim/4154073/activity/structure/4971494/room/29242083 - to-overview-photos" xr:uid="{6C19E1EA-FF5F-4A67-87B7-D9F81951A1A1}"/>
    <hyperlink ref="A125" r:id="rId15" location="to-overview-photos" display="https://encircleapp.com/app/property-claims/claim/4154073/activity/structure/4971494/room/29242084 - to-overview-photos" xr:uid="{C196BEA2-33EA-48F8-9F37-6CA0510DFE2F}"/>
    <hyperlink ref="A127" r:id="rId16" location="to-overview-photos" display="https://encircleapp.com/app/property-claims/claim/4154073/activity/structure/4971494/room/29242085 - to-overview-photos" xr:uid="{2836D5FF-67D4-4E96-A539-F0640CB2080C}"/>
    <hyperlink ref="A129" r:id="rId17" location="to-overview-photos" display="https://encircleapp.com/app/property-claims/claim/4154073/activity/structure/4971494/room/29242086 - to-overview-photos" xr:uid="{9573D446-3BF1-40B8-BDA7-1615180912D7}"/>
    <hyperlink ref="A131" r:id="rId18" location="to-overview-photos" display="https://encircleapp.com/app/property-claims/claim/4154073/activity/structure/4971494/room/29242087 - to-overview-photos" xr:uid="{B3669DC7-52AF-4B59-915D-03501476B032}"/>
    <hyperlink ref="A133" r:id="rId19" location="to-overview-photos" display="https://encircleapp.com/app/property-claims/claim/4154073/activity/structure/4971494/room/29242088 - to-overview-photos" xr:uid="{AA0F4863-CB2F-44D8-B41F-F016E237CE43}"/>
    <hyperlink ref="A135" r:id="rId20" location="to-overview-photos" display="https://encircleapp.com/app/property-claims/claim/4154073/activity/structure/4971494/room/29242089 - to-overview-photos" xr:uid="{FA595078-59BD-42E9-A29E-470F363D33C4}"/>
    <hyperlink ref="A137" r:id="rId21" location="to-overview-photos" display="https://encircleapp.com/app/property-claims/claim/4154073/activity/structure/4971494/room/29242090 - to-overview-photos" xr:uid="{58925402-4906-43C6-BB33-D7D29B2A007D}"/>
    <hyperlink ref="A139" r:id="rId22" location="to-overview-photos" display="https://encircleapp.com/app/property-claims/claim/4154073/activity/structure/4971494/room/29242091 - to-overview-photos" xr:uid="{6C7D3BD8-E1A4-49E3-B97D-58920639DCAB}"/>
    <hyperlink ref="A141" r:id="rId23" location="to-overview-photos" display="https://encircleapp.com/app/property-claims/claim/4154073/activity/structure/4971494/room/29242092 - to-overview-photos" xr:uid="{F9B8FC3E-9BAC-47E2-8D4D-8C8772A33521}"/>
    <hyperlink ref="A143" r:id="rId24" location="to-overview-photos" display="https://encircleapp.com/app/property-claims/claim/4154073/activity/structure/4971494/room/29242093 - to-overview-photos" xr:uid="{51ABAA41-20D6-4C58-84C1-0224D9AE49CB}"/>
    <hyperlink ref="A145" r:id="rId25" location="to-overview-photos" display="https://encircleapp.com/app/property-claims/claim/4154073/activity/structure/4971494/room/29242094 - to-overview-photos" xr:uid="{ED7CBAFF-7E04-4E55-84C9-DF178E8E361B}"/>
    <hyperlink ref="A147" r:id="rId26" location="to-overview-photos" display="https://encircleapp.com/app/property-claims/claim/4154073/activity/structure/4971494/room/29242095 - to-overview-photos" xr:uid="{20CE3113-08F5-4233-B0CD-3DE345BD7113}"/>
    <hyperlink ref="A149" r:id="rId27" location="to-overview-photos" display="https://encircleapp.com/app/property-claims/claim/4154073/activity/structure/4971494/room/29242096 - to-overview-photos" xr:uid="{9A154ACF-A7EF-4409-ADC5-6BD22D1A8397}"/>
    <hyperlink ref="A151" r:id="rId28" location="to-overview-photos" display="https://encircleapp.com/app/property-claims/claim/4154073/activity/structure/4971494/room/29242097 - to-overview-photos" xr:uid="{532A8154-C9EA-45CF-AEBA-DB1AAA54AE16}"/>
    <hyperlink ref="A153" r:id="rId29" location="to-overview-photos" display="https://encircleapp.com/app/property-claims/claim/4154073/activity/structure/4971494/room/29242098 - to-overview-photos" xr:uid="{C0CFF37B-3632-4F6F-A17F-FF10A45A7F7E}"/>
    <hyperlink ref="A155" r:id="rId30" location="to-overview-photos" display="https://encircleapp.com/app/property-claims/claim/4154073/activity/structure/4971494/room/29242099 - to-overview-photos" xr:uid="{AAAECB38-56E9-473C-A053-1C00260C63A5}"/>
    <hyperlink ref="A157" r:id="rId31" location="to-overview-photos" display="https://encircleapp.com/app/property-claims/claim/4154073/activity/structure/4971494/room/29242100 - to-overview-photos" xr:uid="{9564AC61-EF1D-40FB-8314-C4947AA816F9}"/>
    <hyperlink ref="A159" r:id="rId32" location="to-overview-photos" display="https://encircleapp.com/app/property-claims/claim/4154073/activity/structure/4971494/room/29242101 - to-overview-photos" xr:uid="{09EB2A75-D00B-454F-B2E8-57ABE839A5F9}"/>
    <hyperlink ref="A161" r:id="rId33" location="to-overview-photos" display="https://encircleapp.com/app/property-claims/claim/4154073/activity/structure/4971494/room/29242102 - to-overview-photos" xr:uid="{7A0DE26B-9451-4631-ACDB-D22A7B63DDF9}"/>
    <hyperlink ref="A163" r:id="rId34" location="to-overview-photos" display="https://encircleapp.com/app/property-claims/claim/4154073/activity/structure/4971494/room/29242103 - to-overview-photos" xr:uid="{835F8641-B6F8-4E2D-AD80-C88B6A1A89CF}"/>
    <hyperlink ref="A165" r:id="rId35" location="to-overview-photos" display="https://encircleapp.com/app/property-claims/claim/4154073/activity/structure/4971494/room/29242104 - to-overview-photos" xr:uid="{51A1C123-F004-4746-BD43-8BFF740170F5}"/>
    <hyperlink ref="A167" r:id="rId36" location="to-overview-photos" display="https://encircleapp.com/app/property-claims/claim/4154073/activity/structure/4971494/room/29242105 - to-overview-photos" xr:uid="{26421E1C-A48E-4445-B890-F841074AEEE9}"/>
    <hyperlink ref="A169" r:id="rId37" location="to-overview-photos" display="https://encircleapp.com/app/property-claims/claim/4154073/activity/structure/4971494/room/29242106 - to-overview-photos" xr:uid="{A8669D08-609E-4EB8-8060-D0788AF9DBA3}"/>
    <hyperlink ref="A171" r:id="rId38" location="to-overview-photos" display="https://encircleapp.com/app/property-claims/claim/4154073/activity/structure/4971494/room/29242107 - to-overview-photos" xr:uid="{235E63CD-5C30-45B0-B4FA-74F2644885DD}"/>
    <hyperlink ref="A173" r:id="rId39" location="to-overview-photos" display="https://encircleapp.com/app/property-claims/claim/4154073/activity/structure/4971494/room/29242108 - to-overview-photos" xr:uid="{DB5C22BB-70C0-45B6-A6DC-1B7BBEC1B7ED}"/>
    <hyperlink ref="A175" r:id="rId40" location="to-overview-photos" display="https://encircleapp.com/app/property-claims/claim/4154073/activity/structure/4971494/room/29242109 - to-overview-photos" xr:uid="{D8E06D6B-9B7A-40DF-9333-3DBA412B1C55}"/>
    <hyperlink ref="A177" r:id="rId41" location="to-overview-photos" display="https://encircleapp.com/app/property-claims/claim/4154073/activity/structure/4971494/room/29242071 - to-overview-photos" xr:uid="{8DE9C1AC-0210-4C7D-AA86-624524FB830C}"/>
    <hyperlink ref="A179" r:id="rId42" location="to-room-notes" display="https://encircleapp.com/app/property-claims/claim/4154073/activity/structure/4971494/room/29242072 - to-room-notes" xr:uid="{B9CA7002-9464-413E-BB04-624B2E3A1F66}"/>
    <hyperlink ref="A181" r:id="rId43" location="to-overview-photos" display="https://encircleapp.com/app/property-claims/claim/4154073/activity/structure/4971494/room/29242073 - to-overview-photos" xr:uid="{3C033017-66C3-4AA7-B468-3AC61CEEDC49}"/>
    <hyperlink ref="A183" r:id="rId44" location="to-overview-photos" display="https://encircleapp.com/app/property-claims/claim/4154073/activity/structure/4971494/room/29242110 - to-overview-photos" xr:uid="{E88734CF-E08D-49E3-81BA-BA67C059E4A2}"/>
    <hyperlink ref="A185" r:id="rId45" location="to-overview-photos" display="https://encircleapp.com/app/property-claims/claim/4154073/activity/structure/4971494/room/29242111 - to-overview-photos" xr:uid="{4D7AD6A1-610E-419C-81E3-694C84484669}"/>
    <hyperlink ref="A187" r:id="rId46" location="to-overview-photos" display="https://encircleapp.com/app/property-claims/claim/4154073/activity/structure/4971494/room/29242112 - to-overview-photos" xr:uid="{873087BA-6BA8-4459-870C-DA066FED8A26}"/>
    <hyperlink ref="A189" r:id="rId47" location="to-overview-photos" display="https://encircleapp.com/app/property-claims/claim/4154073/activity/structure/4971494/room/29242114 - to-overview-photos" xr:uid="{B83A605C-2015-4C40-B4D4-4D7D6F4472BA}"/>
    <hyperlink ref="A191" r:id="rId48" location="to-overview-photos" display="https://encircleapp.com/app/property-claims/claim/4154073/activity/structure/4971494/room/29242113 - to-overview-photos" xr:uid="{A975FAFA-2A66-47BA-BEB0-BAF4338D631D}"/>
    <hyperlink ref="A193" r:id="rId49" location="to-overview-photos" display="https://encircleapp.com/app/property-claims/claim/4154073/activity/structure/4971494/room/29242116 - to-overview-photos" xr:uid="{A330BB85-2B97-4130-B65D-1FF000F35805}"/>
    <hyperlink ref="A195" r:id="rId50" location="to-overview-photos" display="https://encircleapp.com/app/property-claims/claim/4154073/activity/structure/4971494/room/29242115 - to-overview-photos" xr:uid="{DC857FEE-D10D-448D-9D26-72D7E6FF6ED2}"/>
    <hyperlink ref="A197" r:id="rId51" location="to-overview-photos" display="https://encircleapp.com/app/property-claims/claim/4154073/activity/structure/4971494/room/29242117 - to-overview-photos" xr:uid="{E764AA50-F779-4026-8576-BE76E129BB05}"/>
    <hyperlink ref="A199" r:id="rId52" location="to-overview-photos" display="https://encircleapp.com/app/property-claims/claim/4154073/activity/structure/4971494/room/29242118 - to-overview-photos" xr:uid="{06DB58AA-0933-4A8D-A4F7-2EA23A5EBB35}"/>
    <hyperlink ref="A201" r:id="rId53" location="to-overview-photos" display="https://encircleapp.com/app/property-claims/claim/4154073/activity/structure/4971494/room/29242119 - to-overview-photos" xr:uid="{ED5513CB-F963-4461-9474-72D0293F568F}"/>
    <hyperlink ref="A203" r:id="rId54" location="to-overview-photos" display="https://encircleapp.com/app/property-claims/claim/4154073/activity/structure/4971494/room/29242074 - to-overview-photos" xr:uid="{9F159612-2B45-4FE0-98B1-EF8BB5612298}"/>
    <hyperlink ref="A205" r:id="rId55" location="to-overview-photos" display="https://encircleapp.com/app/property-claims/claim/4154073/activity/structure/4971494/room/29242075 - to-overview-photos" xr:uid="{FA2FEF8F-CF87-4ABF-996B-7A22833E2023}"/>
    <hyperlink ref="A207" r:id="rId56" location="to-overview-photos" display="https://encircleapp.com/app/property-claims/claim/4154073/activity/structure/4971494/room/29242076 - to-overview-photos" xr:uid="{09CB4ACC-C518-4B41-BF52-BA22851160E6}"/>
    <hyperlink ref="A209" r:id="rId57" location="to-overview-photos" display="https://encircleapp.com/app/property-claims/claim/4154073/activity/structure/4971494/room/29242077 - to-overview-photos" xr:uid="{D098D2E8-849C-4246-8FD1-9DF3E33ACEFD}"/>
    <hyperlink ref="A211" r:id="rId58" location="to-overview-photos" display="https://encircleapp.com/app/property-claims/claim/4154073/activity/structure/4971494/room/29242120 - to-overview-photos" xr:uid="{518C3468-611D-4903-8B74-FEEC610D5431}"/>
    <hyperlink ref="A213" r:id="rId59" location="to-overview-photos" display="https://encircleapp.com/app/property-claims/claim/4154073/activity/structure/4971494/room/29242121 - to-overview-photos" xr:uid="{1B8A422B-5AD4-4B2F-90DF-6703C42D059F}"/>
    <hyperlink ref="A215" r:id="rId60" location="to-overview-photos" display="https://encircleapp.com/app/property-claims/claim/4154073/activity/structure/4971494/room/29242122 - to-overview-photos" xr:uid="{EEB75003-A2B7-4BE2-9299-D51D8E3BBDDE}"/>
    <hyperlink ref="A217" r:id="rId61" location="to-overview-photos" display="https://encircleapp.com/app/property-claims/claim/4154073/activity/structure/4971494/room/29242123 - to-overview-photos" xr:uid="{2AB5EE96-9D2E-4238-B21F-560B2DC4EDCF}"/>
    <hyperlink ref="A219" r:id="rId62" location="to-overview-photos" display="https://encircleapp.com/app/property-claims/claim/4154073/activity/structure/4971494/room/29242124 - to-overview-photos" xr:uid="{AABA043A-60DE-4308-BDE7-7E0B3A0A5476}"/>
    <hyperlink ref="A221" r:id="rId63" location="to-overview-photos" display="https://encircleapp.com/app/property-claims/claim/4154073/activity/structure/4971494/room/29242125 - to-overview-photos" xr:uid="{D9842A4F-9F4C-48A7-BC30-AC17BD9A30BF}"/>
    <hyperlink ref="A223" r:id="rId64" location="to-overview-photos" display="https://encircleapp.com/app/property-claims/claim/4154073/activity/structure/4971494/room/29242126 - to-overview-photos" xr:uid="{953C2152-01CA-48AB-87C1-3F7587023721}"/>
    <hyperlink ref="A225" r:id="rId65" location="to-overview-photos" display="https://encircleapp.com/app/property-claims/claim/4154073/activity/structure/4971494/room/29242127 - to-overview-photos" xr:uid="{40FD6BE7-D804-47C7-8F27-93D61A998C1A}"/>
    <hyperlink ref="A227" r:id="rId66" location="to-overview-photos" display="https://encircleapp.com/app/property-claims/claim/4154073/activity/structure/4971494/room/29242128 - to-overview-photos" xr:uid="{7E9B09E7-4BED-45A8-A162-1F4D41308F75}"/>
    <hyperlink ref="A229" r:id="rId67" location="to-overview-photos" display="https://encircleapp.com/app/property-claims/claim/4154073/activity/structure/4971494/room/29242129 - to-overview-photos" xr:uid="{39F14E02-0539-4140-B86F-1FB529868E6A}"/>
    <hyperlink ref="A231" r:id="rId68" location="to-overview-photos" display="https://encircleapp.com/app/property-claims/claim/4154073/activity/structure/4971494/room/29242130 - to-overview-photos" xr:uid="{8E8BDDDD-1969-4CAF-B0CF-88857297BD59}"/>
    <hyperlink ref="A233" r:id="rId69" location="to-overview-photos" display="https://encircleapp.com/app/property-claims/claim/4154073/activity/structure/4971494/room/29242132 - to-overview-photos" xr:uid="{587DC0BC-4EEC-4CE9-97B0-A3962E97033F}"/>
    <hyperlink ref="A235" r:id="rId70" location="to-overview-photos" display="https://encircleapp.com/app/property-claims/claim/4154073/activity/structure/4971494/room/29242133 - to-overview-photos" xr:uid="{24C27557-E1E1-448C-9E6D-5DD1FE4CF262}"/>
    <hyperlink ref="A237" r:id="rId71" location="to-overview-photos" display="https://encircleapp.com/app/property-claims/claim/4154073/activity/structure/4971494/room/29242134 - to-overview-photos" xr:uid="{6A357C88-478E-4D94-8CE6-29625D61D8C0}"/>
    <hyperlink ref="A239" r:id="rId72" location="to-overview-photos" display="https://encircleapp.com/app/property-claims/claim/4154073/activity/structure/4971494/room/29242135 - to-overview-photos" xr:uid="{5A814CA3-2F5D-40DD-ACBD-AEF65A5CDFEB}"/>
    <hyperlink ref="A241" r:id="rId73" location="to-overview-photos" display="https://encircleapp.com/app/property-claims/claim/4154073/activity/structure/4971494/room/29242136 - to-overview-photos" xr:uid="{EF6EA284-4AD4-46F3-A900-20B8C21A1D86}"/>
    <hyperlink ref="A243" r:id="rId74" location="to-overview-photos" display="https://encircleapp.com/app/property-claims/claim/4154073/activity/structure/4971494/room/29242137 - to-overview-photos" xr:uid="{8B8B3F1A-180F-47F5-BBF7-981AFD7848F3}"/>
    <hyperlink ref="A245" r:id="rId75" location="to-overview-photos" display="https://encircleapp.com/app/property-claims/claim/4154073/activity/structure/4971494/room/29242138 - to-overview-photos" xr:uid="{BD06C1AF-5162-4A55-9910-424304665384}"/>
    <hyperlink ref="A247" r:id="rId76" location="to-overview-photos" display="https://encircleapp.com/app/property-claims/claim/4154073/activity/structure/4971494/room/29242139 - to-overview-photos" xr:uid="{DD8D874B-6E56-4C0C-AE66-BF26846A941B}"/>
    <hyperlink ref="A249" r:id="rId77" location="to-overview-photos" display="https://encircleapp.com/app/property-claims/claim/4154073/activity/structure/4971494/room/29242140 - to-overview-photos" xr:uid="{86AF0EBF-F412-4EDE-9FE5-2019A06F8FE9}"/>
    <hyperlink ref="A251" r:id="rId78" location="to-overview-photos" display="https://encircleapp.com/app/property-claims/claim/4154073/activity/structure/4971494/room/29242141 - to-overview-photos" xr:uid="{C71D851A-5400-4D9E-911E-1CFA8B45E812}"/>
    <hyperlink ref="A253" r:id="rId79" location="to-overview-photos" display="https://encircleapp.com/app/property-claims/claim/4154073/activity/structure/4971494/room/29242142 - to-overview-photos" xr:uid="{AD157710-FACF-4608-8BA4-807C862036A9}"/>
    <hyperlink ref="A255" r:id="rId80" location="to-overview-photos" display="https://encircleapp.com/app/property-claims/claim/4154073/activity/structure/4971494/room/29242143 - to-overview-photos" xr:uid="{05056B6E-58C7-4D60-9306-1DA9FF967D75}"/>
    <hyperlink ref="A257" r:id="rId81" location="to-overview-photos" display="https://encircleapp.com/app/property-claims/claim/4154073/activity/structure/4971494/room/29242144 - to-overview-photos" xr:uid="{AB8BEB48-A780-4200-80B9-76FFC1068AEE}"/>
    <hyperlink ref="A259" r:id="rId82" location="to-overview-photos" display="https://encircleapp.com/app/property-claims/claim/4154073/activity/structure/4971494/room/29242145 - to-overview-photos" xr:uid="{55DCD1B8-C2C8-4EBE-AB80-1683151117D7}"/>
    <hyperlink ref="A261" r:id="rId83" location="to-overview-photos" display="https://encircleapp.com/app/property-claims/claim/4154073/activity/structure/4971494/room/29242146 - to-overview-photos" xr:uid="{20F1AC26-BB5E-4F6B-9E6E-906314546D8F}"/>
    <hyperlink ref="A263" r:id="rId84" location="to-overview-photos" display="https://encircleapp.com/app/property-claims/claim/4154073/activity/structure/4971494/room/29242147 - to-overview-photos" xr:uid="{9668B921-09AE-4A57-9C9D-6A5F4D8B3FA7}"/>
    <hyperlink ref="A265" r:id="rId85" location="to-overview-photos" display="https://encircleapp.com/app/property-claims/claim/4154073/activity/structure/4971494/room/29242148 - to-overview-photos" xr:uid="{8A95F2F2-898E-4A4A-A458-929215DC783A}"/>
    <hyperlink ref="A267" r:id="rId86" location="to-overview-photos" display="https://encircleapp.com/app/property-claims/claim/4154073/activity/structure/4971494/room/29242149 - to-overview-photos" xr:uid="{3CB89904-D385-42C8-B2D4-96E64723CF82}"/>
    <hyperlink ref="A269" r:id="rId87" location="to-overview-photos" display="https://encircleapp.com/app/property-claims/claim/4154073/activity/structure/4971494/room/29242150 - to-overview-photos" xr:uid="{C8CDD1F2-10D7-442B-B084-5A4CA6606FD5}"/>
    <hyperlink ref="A271" r:id="rId88" location="to-overview-photos" display="https://encircleapp.com/app/property-claims/claim/4154073/activity/structure/4971494/room/29242078 - to-overview-photos" xr:uid="{3DF91DE3-A124-4B95-964F-A1F3A9815ADF}"/>
    <hyperlink ref="A273" r:id="rId89" location="to-overview-photos" display="https://encircleapp.com/app/property-claims/claim/4154073/activity/structure/4971494/room/29242079 - to-overview-photos" xr:uid="{3F85B18A-6F01-4CD9-9A43-C9938AC3D938}"/>
  </hyperlinks>
  <pageMargins left="0.7" right="0.7" top="0.32" bottom="0.31" header="0.3" footer="0.3"/>
  <pageSetup orientation="portrait" r:id="rId9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DE7EE-6230-4831-BF1F-42D12A039956}">
  <sheetPr codeName="Sheet11"/>
  <dimension ref="A1:E145"/>
  <sheetViews>
    <sheetView showGridLines="0" view="pageBreakPreview" topLeftCell="A136" zoomScaleNormal="100" zoomScaleSheetLayoutView="100" workbookViewId="0"/>
  </sheetViews>
  <sheetFormatPr defaultColWidth="8.69921875" defaultRowHeight="13.8"/>
  <cols>
    <col min="1" max="1" width="4.69921875" style="44" customWidth="1"/>
    <col min="2" max="2" width="22.59765625" customWidth="1"/>
    <col min="3" max="3" width="62.09765625" customWidth="1"/>
    <col min="4" max="4" width="36.59765625" customWidth="1"/>
    <col min="5" max="5" width="26.8984375" customWidth="1"/>
  </cols>
  <sheetData>
    <row r="1" spans="1:5" ht="20.399999999999999">
      <c r="A1" s="45"/>
      <c r="B1" s="962" t="s">
        <v>1324</v>
      </c>
      <c r="C1" s="962"/>
      <c r="D1" s="962"/>
      <c r="E1" s="962"/>
    </row>
    <row r="2" spans="1:5" ht="15.6">
      <c r="A2" s="70">
        <v>1</v>
      </c>
      <c r="B2" s="87" t="s">
        <v>1325</v>
      </c>
      <c r="C2" s="87"/>
      <c r="D2" s="87"/>
      <c r="E2" s="2"/>
    </row>
    <row r="3" spans="1:5" ht="9" customHeight="1">
      <c r="A3" s="70"/>
      <c r="B3" s="87"/>
      <c r="C3" s="87"/>
      <c r="D3" s="87"/>
      <c r="E3" s="2"/>
    </row>
    <row r="4" spans="1:5" ht="15.6">
      <c r="A4" s="70">
        <v>2</v>
      </c>
      <c r="B4" s="64" t="s">
        <v>1326</v>
      </c>
      <c r="C4" s="90"/>
      <c r="D4" s="64"/>
      <c r="E4" s="2"/>
    </row>
    <row r="5" spans="1:5" ht="15.6">
      <c r="A5" s="70"/>
      <c r="B5" s="64" t="s">
        <v>1327</v>
      </c>
      <c r="C5" s="90"/>
      <c r="D5" s="64"/>
      <c r="E5" s="2"/>
    </row>
    <row r="6" spans="1:5" ht="15.6">
      <c r="A6" s="70"/>
      <c r="B6" s="64" t="s">
        <v>1328</v>
      </c>
      <c r="C6" s="90"/>
      <c r="D6" s="64"/>
      <c r="E6" s="2"/>
    </row>
    <row r="7" spans="1:5" ht="15.6">
      <c r="A7" s="92"/>
      <c r="B7" s="91" t="s">
        <v>1329</v>
      </c>
      <c r="C7" s="87" t="s">
        <v>1330</v>
      </c>
      <c r="D7" s="188" t="s">
        <v>1331</v>
      </c>
      <c r="E7" s="4" t="s">
        <v>1332</v>
      </c>
    </row>
    <row r="8" spans="1:5" ht="15.6">
      <c r="A8" s="93"/>
      <c r="B8" s="91" t="s">
        <v>1333</v>
      </c>
      <c r="C8" s="4" t="s">
        <v>1334</v>
      </c>
      <c r="D8" s="188" t="s">
        <v>1335</v>
      </c>
      <c r="E8" s="4" t="s">
        <v>1336</v>
      </c>
    </row>
    <row r="9" spans="1:5" ht="15.6">
      <c r="A9" s="93"/>
      <c r="B9" s="91"/>
      <c r="C9" s="4"/>
      <c r="D9" s="188"/>
      <c r="E9" s="4"/>
    </row>
    <row r="10" spans="1:5" ht="15.6">
      <c r="A10" s="70"/>
      <c r="B10" s="87" t="s">
        <v>1337</v>
      </c>
      <c r="C10" s="14"/>
      <c r="D10" s="14"/>
      <c r="E10" s="2"/>
    </row>
    <row r="11" spans="1:5" ht="15.6">
      <c r="A11" s="70"/>
      <c r="B11" s="87"/>
      <c r="C11" s="90" t="s">
        <v>1338</v>
      </c>
      <c r="D11" s="14"/>
      <c r="E11" s="2"/>
    </row>
    <row r="12" spans="1:5" ht="15.6">
      <c r="A12" s="70">
        <v>3</v>
      </c>
      <c r="B12" s="6" t="s">
        <v>1339</v>
      </c>
      <c r="C12" s="14"/>
      <c r="D12" s="14"/>
      <c r="E12" s="60" t="s">
        <v>1340</v>
      </c>
    </row>
    <row r="13" spans="1:5" ht="15.6">
      <c r="A13" s="70"/>
      <c r="B13" s="89" t="s">
        <v>1341</v>
      </c>
      <c r="C13" s="88"/>
      <c r="D13" s="14"/>
      <c r="E13" s="2"/>
    </row>
    <row r="14" spans="1:5" ht="15.6">
      <c r="A14" s="70"/>
      <c r="B14" s="87" t="s">
        <v>1342</v>
      </c>
      <c r="C14" s="14"/>
      <c r="D14" s="14"/>
      <c r="E14" s="2"/>
    </row>
    <row r="15" spans="1:5" ht="15.6">
      <c r="A15" s="70"/>
      <c r="B15" s="4" t="s">
        <v>1343</v>
      </c>
      <c r="C15" s="2"/>
      <c r="D15" s="4"/>
      <c r="E15" s="2"/>
    </row>
    <row r="16" spans="1:5" ht="15.6">
      <c r="A16" s="69"/>
      <c r="B16" s="2"/>
      <c r="C16" s="4" t="s">
        <v>1344</v>
      </c>
      <c r="D16" s="2"/>
      <c r="E16" s="2"/>
    </row>
    <row r="17" spans="1:5" ht="15.6">
      <c r="A17" s="68"/>
      <c r="B17" s="86" t="s">
        <v>1345</v>
      </c>
      <c r="C17" s="2"/>
      <c r="D17" s="2"/>
      <c r="E17" s="2"/>
    </row>
    <row r="18" spans="1:5" ht="24.9" customHeight="1">
      <c r="A18" s="966" t="s">
        <v>1346</v>
      </c>
      <c r="B18" s="966"/>
      <c r="C18" s="65" t="s">
        <v>1347</v>
      </c>
      <c r="D18" s="66" t="s">
        <v>1348</v>
      </c>
      <c r="E18" s="65" t="s">
        <v>1349</v>
      </c>
    </row>
    <row r="19" spans="1:5" ht="16.2" customHeight="1">
      <c r="A19" s="966"/>
      <c r="B19" s="966"/>
      <c r="C19" s="66" t="s">
        <v>180</v>
      </c>
      <c r="D19" s="65" t="s">
        <v>183</v>
      </c>
      <c r="E19" s="65" t="s">
        <v>1350</v>
      </c>
    </row>
    <row r="20" spans="1:5" ht="15.6">
      <c r="A20" s="63"/>
      <c r="B20" s="6"/>
      <c r="C20" s="62"/>
      <c r="D20" s="2"/>
      <c r="E20" s="2"/>
    </row>
    <row r="21" spans="1:5" ht="15.6">
      <c r="A21" s="61">
        <v>4</v>
      </c>
      <c r="B21" s="3" t="s">
        <v>1351</v>
      </c>
      <c r="C21" s="2"/>
      <c r="D21" s="2"/>
      <c r="E21" s="60"/>
    </row>
    <row r="22" spans="1:5" ht="15.6">
      <c r="A22" s="61"/>
      <c r="B22" s="4" t="s">
        <v>1352</v>
      </c>
      <c r="C22" s="2"/>
      <c r="D22" s="2"/>
      <c r="E22" s="60"/>
    </row>
    <row r="23" spans="1:5" ht="15.6">
      <c r="A23" s="63"/>
      <c r="B23" s="62" t="s">
        <v>1353</v>
      </c>
      <c r="C23" s="5" t="s">
        <v>1354</v>
      </c>
      <c r="D23" s="2"/>
      <c r="E23" s="60" t="s">
        <v>1340</v>
      </c>
    </row>
    <row r="24" spans="1:5" ht="15.6">
      <c r="A24" s="63"/>
      <c r="B24" s="62" t="s">
        <v>1355</v>
      </c>
      <c r="C24" s="5" t="s">
        <v>1356</v>
      </c>
      <c r="D24" s="85"/>
      <c r="E24" s="60" t="s">
        <v>1340</v>
      </c>
    </row>
    <row r="25" spans="1:5" ht="15.6">
      <c r="A25" s="63"/>
      <c r="B25" s="62" t="s">
        <v>1357</v>
      </c>
      <c r="C25" s="85" t="s">
        <v>1358</v>
      </c>
      <c r="D25" s="85"/>
      <c r="E25" s="60" t="s">
        <v>1340</v>
      </c>
    </row>
    <row r="26" spans="1:5" ht="15.6">
      <c r="A26" s="63"/>
      <c r="B26" s="62" t="s">
        <v>1359</v>
      </c>
      <c r="C26" s="5" t="s">
        <v>1360</v>
      </c>
      <c r="D26" s="85"/>
      <c r="E26" s="60" t="s">
        <v>1340</v>
      </c>
    </row>
    <row r="27" spans="1:5" ht="15.6">
      <c r="A27" s="63"/>
      <c r="B27" s="46" t="s">
        <v>1361</v>
      </c>
      <c r="C27" s="2" t="s">
        <v>1362</v>
      </c>
      <c r="D27" s="2"/>
      <c r="E27" s="2"/>
    </row>
    <row r="28" spans="1:5" ht="15">
      <c r="B28" s="3"/>
      <c r="C28" s="2"/>
      <c r="D28" s="2"/>
      <c r="E28" s="2"/>
    </row>
    <row r="29" spans="1:5" ht="15.6">
      <c r="A29" s="63">
        <v>5</v>
      </c>
      <c r="B29" s="84" t="s">
        <v>1363</v>
      </c>
      <c r="C29" s="2"/>
      <c r="D29" s="2"/>
      <c r="E29" s="60" t="s">
        <v>1340</v>
      </c>
    </row>
    <row r="30" spans="1:5" ht="9" customHeight="1">
      <c r="A30" s="61"/>
      <c r="B30" s="3"/>
      <c r="C30" s="2"/>
      <c r="D30" s="2"/>
      <c r="E30" s="2"/>
    </row>
    <row r="31" spans="1:5" ht="15.6">
      <c r="A31" s="69">
        <v>6</v>
      </c>
      <c r="B31" s="11" t="s">
        <v>1364</v>
      </c>
      <c r="C31" s="2"/>
      <c r="D31" s="2"/>
      <c r="E31" s="2"/>
    </row>
    <row r="32" spans="1:5" ht="9" customHeight="1">
      <c r="A32" s="61"/>
      <c r="B32" s="2"/>
      <c r="C32" s="2"/>
      <c r="D32" s="2"/>
      <c r="E32" s="2"/>
    </row>
    <row r="33" spans="1:5" ht="19.2">
      <c r="A33" s="83">
        <v>7</v>
      </c>
      <c r="B33" s="59" t="s">
        <v>1365</v>
      </c>
      <c r="C33" s="2"/>
      <c r="D33" s="2"/>
      <c r="E33" s="2"/>
    </row>
    <row r="34" spans="1:5" ht="22.2" customHeight="1">
      <c r="A34" s="82"/>
      <c r="B34" s="189" t="s">
        <v>1366</v>
      </c>
      <c r="D34" s="2"/>
      <c r="E34" s="2"/>
    </row>
    <row r="35" spans="1:5" ht="19.2">
      <c r="A35" s="75">
        <v>8</v>
      </c>
      <c r="B35" s="59" t="s">
        <v>1367</v>
      </c>
      <c r="C35" s="2"/>
      <c r="D35" s="2"/>
      <c r="E35" s="2"/>
    </row>
    <row r="36" spans="1:5" ht="24.9" customHeight="1">
      <c r="A36" s="75">
        <v>9</v>
      </c>
      <c r="B36" s="59" t="s">
        <v>1368</v>
      </c>
      <c r="C36" s="2"/>
      <c r="D36" s="2"/>
      <c r="E36" s="2"/>
    </row>
    <row r="37" spans="1:5" ht="21.9" customHeight="1">
      <c r="A37" s="224" t="s">
        <v>1369</v>
      </c>
      <c r="B37" s="80" t="s">
        <v>1353</v>
      </c>
      <c r="C37" s="81" t="s">
        <v>1370</v>
      </c>
      <c r="D37" s="2"/>
      <c r="E37" s="60" t="s">
        <v>1340</v>
      </c>
    </row>
    <row r="38" spans="1:5" ht="21.9" customHeight="1">
      <c r="A38" s="45"/>
      <c r="B38" s="80" t="s">
        <v>1355</v>
      </c>
      <c r="C38" s="3" t="s">
        <v>1371</v>
      </c>
      <c r="D38" s="62"/>
      <c r="E38" s="60"/>
    </row>
    <row r="39" spans="1:5" ht="21.9" customHeight="1">
      <c r="A39" s="45"/>
      <c r="B39" s="80" t="s">
        <v>1357</v>
      </c>
      <c r="C39" s="3" t="s">
        <v>1372</v>
      </c>
      <c r="D39" s="2"/>
      <c r="E39" s="2"/>
    </row>
    <row r="40" spans="1:5" ht="21.9" customHeight="1">
      <c r="A40" s="75">
        <v>10</v>
      </c>
      <c r="B40" s="79" t="s">
        <v>1373</v>
      </c>
      <c r="C40" s="2"/>
      <c r="D40" s="2"/>
      <c r="E40" s="60" t="s">
        <v>1340</v>
      </c>
    </row>
    <row r="41" spans="1:5" ht="21.9" customHeight="1">
      <c r="A41" s="75"/>
      <c r="B41" s="78" t="s">
        <v>1374</v>
      </c>
      <c r="C41" s="2"/>
      <c r="D41" s="2"/>
      <c r="E41" s="60" t="s">
        <v>1375</v>
      </c>
    </row>
    <row r="42" spans="1:5" ht="33" customHeight="1">
      <c r="A42" s="75">
        <v>1</v>
      </c>
      <c r="B42" s="77" t="s">
        <v>1376</v>
      </c>
      <c r="C42" s="2"/>
      <c r="D42" s="2"/>
      <c r="E42" s="60"/>
    </row>
    <row r="43" spans="1:5" ht="21.9" customHeight="1">
      <c r="A43" s="75"/>
      <c r="B43" s="76" t="s">
        <v>1377</v>
      </c>
      <c r="C43" s="76"/>
      <c r="D43" s="76"/>
      <c r="E43" s="60"/>
    </row>
    <row r="44" spans="1:5" ht="21.9" customHeight="1">
      <c r="A44" s="75"/>
      <c r="B44" s="76"/>
      <c r="C44" s="76"/>
      <c r="D44" s="76"/>
      <c r="E44" s="60"/>
    </row>
    <row r="45" spans="1:5" ht="30" customHeight="1">
      <c r="A45" s="75"/>
      <c r="B45" s="487" t="s">
        <v>1378</v>
      </c>
      <c r="C45" s="486"/>
      <c r="D45" s="485"/>
      <c r="E45" s="485"/>
    </row>
    <row r="46" spans="1:5" ht="33" customHeight="1">
      <c r="A46" s="45"/>
      <c r="B46" s="74" t="s">
        <v>1374</v>
      </c>
      <c r="C46" s="10"/>
      <c r="D46" s="10"/>
      <c r="E46" s="2"/>
    </row>
    <row r="47" spans="1:5" ht="33" customHeight="1">
      <c r="A47" s="70">
        <v>2</v>
      </c>
      <c r="B47" s="64" t="s">
        <v>1379</v>
      </c>
      <c r="C47" s="10"/>
      <c r="D47" s="10"/>
      <c r="E47" s="2"/>
    </row>
    <row r="48" spans="1:5" ht="22.2" customHeight="1">
      <c r="A48" s="45"/>
      <c r="B48" s="733" t="s">
        <v>1380</v>
      </c>
      <c r="D48" s="73" t="s">
        <v>1381</v>
      </c>
      <c r="E48" s="961" t="s">
        <v>1382</v>
      </c>
    </row>
    <row r="49" spans="1:5" ht="22.2" customHeight="1">
      <c r="A49" s="45"/>
      <c r="B49" s="733" t="s">
        <v>1383</v>
      </c>
      <c r="D49" s="14" t="s">
        <v>1384</v>
      </c>
      <c r="E49" s="961"/>
    </row>
    <row r="50" spans="1:5" ht="22.2" customHeight="1">
      <c r="A50" s="45"/>
      <c r="B50" s="733" t="s">
        <v>1385</v>
      </c>
      <c r="C50" s="73"/>
      <c r="D50" s="10" t="s">
        <v>1381</v>
      </c>
      <c r="E50" s="961"/>
    </row>
    <row r="51" spans="1:5" ht="22.2" customHeight="1">
      <c r="A51" s="45"/>
      <c r="B51" s="733" t="s">
        <v>1386</v>
      </c>
      <c r="C51" s="73"/>
      <c r="D51" s="10" t="s">
        <v>1387</v>
      </c>
      <c r="E51" s="961"/>
    </row>
    <row r="52" spans="1:5" ht="22.2" customHeight="1">
      <c r="A52" s="45"/>
      <c r="C52" s="73"/>
      <c r="D52" s="10"/>
      <c r="E52" s="961"/>
    </row>
    <row r="53" spans="1:5" ht="33" customHeight="1">
      <c r="A53" s="45"/>
      <c r="B53" s="733"/>
      <c r="C53" s="64"/>
      <c r="D53" s="10"/>
      <c r="E53" s="2"/>
    </row>
    <row r="54" spans="1:5" ht="16.5" customHeight="1">
      <c r="A54" s="70">
        <v>3</v>
      </c>
      <c r="B54" s="6" t="s">
        <v>1339</v>
      </c>
      <c r="C54" s="14"/>
      <c r="D54" s="14"/>
      <c r="E54" s="60" t="s">
        <v>1340</v>
      </c>
    </row>
    <row r="55" spans="1:5" ht="16.5" customHeight="1">
      <c r="A55" s="70"/>
      <c r="B55" s="72" t="s">
        <v>1388</v>
      </c>
      <c r="C55" s="14"/>
      <c r="D55" s="14"/>
      <c r="E55" s="2"/>
    </row>
    <row r="56" spans="1:5" ht="16.5" customHeight="1">
      <c r="A56" s="70"/>
      <c r="B56" s="71"/>
      <c r="C56" s="14"/>
      <c r="D56" s="14"/>
      <c r="E56" s="2"/>
    </row>
    <row r="57" spans="1:5" ht="15.6">
      <c r="A57" s="70"/>
      <c r="B57" s="4" t="s">
        <v>1343</v>
      </c>
      <c r="C57" s="2"/>
      <c r="D57" s="4"/>
      <c r="E57" s="2"/>
    </row>
    <row r="58" spans="1:5" ht="15.6">
      <c r="A58" s="69"/>
      <c r="B58" s="2"/>
      <c r="C58" s="4" t="s">
        <v>1389</v>
      </c>
      <c r="D58" s="2"/>
      <c r="E58" s="2"/>
    </row>
    <row r="59" spans="1:5" ht="15.6">
      <c r="A59" s="68"/>
      <c r="B59" s="2"/>
      <c r="C59" s="67" t="s">
        <v>1390</v>
      </c>
      <c r="D59" s="2"/>
      <c r="E59" s="2"/>
    </row>
    <row r="60" spans="1:5" ht="15">
      <c r="A60" s="966" t="s">
        <v>1346</v>
      </c>
      <c r="B60" s="966"/>
      <c r="C60" s="65" t="s">
        <v>1347</v>
      </c>
      <c r="D60" s="66" t="s">
        <v>1348</v>
      </c>
      <c r="E60" s="65" t="s">
        <v>1349</v>
      </c>
    </row>
    <row r="61" spans="1:5" ht="15">
      <c r="A61" s="966"/>
      <c r="B61" s="966"/>
      <c r="C61" s="733" t="s">
        <v>1380</v>
      </c>
      <c r="D61" s="65" t="s">
        <v>183</v>
      </c>
      <c r="E61" s="65" t="s">
        <v>1350</v>
      </c>
    </row>
    <row r="62" spans="1:5" ht="15.6">
      <c r="A62" s="63"/>
      <c r="B62" s="6"/>
      <c r="D62" s="2"/>
      <c r="E62" s="2"/>
    </row>
    <row r="63" spans="1:5" ht="15.6">
      <c r="A63" s="63"/>
      <c r="B63" s="6"/>
      <c r="C63" s="733" t="s">
        <v>1383</v>
      </c>
      <c r="D63" s="2"/>
      <c r="E63" s="64" t="s">
        <v>1391</v>
      </c>
    </row>
    <row r="64" spans="1:5" ht="15.6">
      <c r="A64" s="63"/>
      <c r="B64" s="6"/>
      <c r="C64" s="733" t="s">
        <v>1385</v>
      </c>
      <c r="D64" s="2"/>
      <c r="E64" s="2"/>
    </row>
    <row r="65" spans="1:3" ht="15.6">
      <c r="A65" s="63"/>
      <c r="B65" s="6"/>
      <c r="C65" s="733" t="s">
        <v>1386</v>
      </c>
    </row>
    <row r="66" spans="1:3" ht="15.6">
      <c r="A66" s="63"/>
      <c r="B66" s="6"/>
      <c r="C66" s="62"/>
    </row>
    <row r="67" spans="1:3" ht="15.6">
      <c r="A67" s="61">
        <v>4</v>
      </c>
      <c r="B67" s="3" t="s">
        <v>1392</v>
      </c>
      <c r="C67" s="2"/>
    </row>
    <row r="68" spans="1:3" ht="19.2">
      <c r="A68" s="45"/>
      <c r="B68" s="59" t="s">
        <v>1393</v>
      </c>
      <c r="C68" s="2"/>
    </row>
    <row r="69" spans="1:3" ht="15.6">
      <c r="A69" s="45"/>
      <c r="B69" s="2"/>
      <c r="C69" s="2"/>
    </row>
    <row r="70" spans="1:3" ht="15.6">
      <c r="A70" s="45"/>
      <c r="B70" s="58" t="s">
        <v>1394</v>
      </c>
    </row>
    <row r="71" spans="1:3" ht="15.6">
      <c r="A71" s="45"/>
      <c r="B71" s="58"/>
    </row>
    <row r="72" spans="1:3" ht="16.2" thickBot="1">
      <c r="A72" s="45"/>
      <c r="B72" s="57" t="s">
        <v>1395</v>
      </c>
    </row>
    <row r="73" spans="1:3" ht="16.2" thickTop="1">
      <c r="A73" s="45"/>
      <c r="C73" s="56" t="s">
        <v>1396</v>
      </c>
    </row>
    <row r="74" spans="1:3" ht="15.6">
      <c r="A74" s="45"/>
      <c r="C74" s="55" t="s">
        <v>1397</v>
      </c>
    </row>
    <row r="75" spans="1:3" ht="16.2" thickBot="1">
      <c r="A75" s="45"/>
      <c r="C75" s="54" t="s">
        <v>1398</v>
      </c>
    </row>
    <row r="76" spans="1:3" ht="16.8" thickTop="1" thickBot="1">
      <c r="A76" s="45"/>
      <c r="C76" s="53" t="s">
        <v>1399</v>
      </c>
    </row>
    <row r="77" spans="1:3" ht="16.8" thickTop="1" thickBot="1">
      <c r="A77" s="45"/>
      <c r="C77" s="53"/>
    </row>
    <row r="78" spans="1:3" ht="16.8" thickTop="1" thickBot="1">
      <c r="A78" s="45"/>
      <c r="C78" s="53"/>
    </row>
    <row r="79" spans="1:3" ht="16.8" thickTop="1" thickBot="1">
      <c r="A79" s="45"/>
      <c r="B79" s="47" t="s">
        <v>1400</v>
      </c>
    </row>
    <row r="80" spans="1:3" ht="16.8" thickTop="1" thickBot="1">
      <c r="A80" s="45"/>
      <c r="B80" s="836" t="s">
        <v>1401</v>
      </c>
      <c r="C80" s="52" t="s">
        <v>1402</v>
      </c>
    </row>
    <row r="81" spans="1:4" ht="16.8" thickTop="1" thickBot="1">
      <c r="A81" s="45"/>
      <c r="B81" s="836" t="s">
        <v>1403</v>
      </c>
      <c r="C81" s="51" t="s">
        <v>1404</v>
      </c>
      <c r="D81" s="2"/>
    </row>
    <row r="82" spans="1:4" ht="16.8" thickTop="1" thickBot="1">
      <c r="A82" s="45"/>
      <c r="B82" s="836" t="s">
        <v>1405</v>
      </c>
      <c r="C82" s="50" t="s">
        <v>1406</v>
      </c>
      <c r="D82" s="2"/>
    </row>
    <row r="83" spans="1:4" ht="16.8" thickTop="1" thickBot="1">
      <c r="A83" s="45"/>
      <c r="B83" s="836" t="s">
        <v>1407</v>
      </c>
      <c r="C83" s="49" t="s">
        <v>1408</v>
      </c>
      <c r="D83" s="2"/>
    </row>
    <row r="84" spans="1:4" ht="16.8" thickTop="1" thickBot="1">
      <c r="A84" s="45"/>
      <c r="B84" s="48"/>
      <c r="D84" s="2"/>
    </row>
    <row r="85" spans="1:4" ht="16.8" thickTop="1" thickBot="1">
      <c r="A85" s="45"/>
      <c r="B85" s="47" t="s">
        <v>1409</v>
      </c>
      <c r="D85" s="2"/>
    </row>
    <row r="86" spans="1:4" ht="16.2" thickTop="1">
      <c r="A86" s="45"/>
      <c r="B86" s="46"/>
      <c r="D86" s="2"/>
    </row>
    <row r="87" spans="1:4" ht="18">
      <c r="A87" s="963" t="s">
        <v>1410</v>
      </c>
      <c r="B87" s="8" t="s">
        <v>1411</v>
      </c>
      <c r="D87" s="178" t="s">
        <v>1099</v>
      </c>
    </row>
    <row r="88" spans="1:4" ht="18">
      <c r="A88" s="963"/>
      <c r="B88" s="8" t="s">
        <v>1412</v>
      </c>
      <c r="D88" s="178"/>
    </row>
    <row r="89" spans="1:4" ht="18">
      <c r="A89" s="963"/>
      <c r="B89" s="176" t="s">
        <v>1413</v>
      </c>
      <c r="D89" s="734">
        <v>20</v>
      </c>
    </row>
    <row r="90" spans="1:4" ht="18">
      <c r="A90" s="963"/>
      <c r="B90" s="8" t="s">
        <v>1414</v>
      </c>
      <c r="D90" s="179">
        <v>30</v>
      </c>
    </row>
    <row r="91" spans="1:4" ht="18">
      <c r="A91" s="963"/>
      <c r="B91" s="194" t="s">
        <v>1415</v>
      </c>
      <c r="C91" s="734">
        <v>25</v>
      </c>
      <c r="D91" s="179">
        <v>25</v>
      </c>
    </row>
    <row r="92" spans="1:4" ht="18">
      <c r="A92" s="963"/>
      <c r="B92" s="176" t="s">
        <v>1416</v>
      </c>
      <c r="D92" s="734">
        <v>99</v>
      </c>
    </row>
    <row r="93" spans="1:4" ht="17.399999999999999">
      <c r="A93" s="181"/>
      <c r="B93" s="181"/>
      <c r="D93" s="181"/>
    </row>
    <row r="94" spans="1:4" ht="33" customHeight="1">
      <c r="A94" s="964" t="s">
        <v>1417</v>
      </c>
      <c r="B94" s="8" t="s">
        <v>1418</v>
      </c>
      <c r="D94" s="180">
        <v>50</v>
      </c>
    </row>
    <row r="95" spans="1:4" ht="18">
      <c r="A95" s="964"/>
      <c r="B95" s="176" t="s">
        <v>1419</v>
      </c>
      <c r="D95" s="734">
        <v>51</v>
      </c>
    </row>
    <row r="96" spans="1:4" ht="18">
      <c r="A96" s="964"/>
      <c r="B96" s="8" t="s">
        <v>1420</v>
      </c>
      <c r="D96" s="180">
        <v>52</v>
      </c>
    </row>
    <row r="97" spans="1:4" ht="18">
      <c r="A97" s="964"/>
      <c r="B97" s="176" t="s">
        <v>1421</v>
      </c>
      <c r="D97" s="734">
        <v>56</v>
      </c>
    </row>
    <row r="98" spans="1:4" ht="17.399999999999999">
      <c r="A98" s="964"/>
      <c r="B98" s="181"/>
      <c r="D98" s="181"/>
    </row>
    <row r="99" spans="1:4" ht="33" customHeight="1" thickBot="1">
      <c r="A99" s="965" t="s">
        <v>1422</v>
      </c>
      <c r="B99" s="8" t="s">
        <v>1423</v>
      </c>
      <c r="D99" s="180">
        <v>60</v>
      </c>
    </row>
    <row r="100" spans="1:4" ht="16.8" thickTop="1" thickBot="1">
      <c r="A100" s="965"/>
      <c r="B100" s="186" t="s">
        <v>1424</v>
      </c>
      <c r="D100" s="187" t="s">
        <v>1425</v>
      </c>
    </row>
    <row r="101" spans="1:4" ht="25.2" thickTop="1">
      <c r="A101" s="965"/>
      <c r="B101" s="184" t="s">
        <v>1426</v>
      </c>
      <c r="D101" s="185"/>
    </row>
    <row r="102" spans="1:4" ht="17.399999999999999">
      <c r="A102" s="965"/>
      <c r="B102" s="181"/>
      <c r="D102" s="181"/>
    </row>
    <row r="103" spans="1:4" ht="18">
      <c r="A103" s="965"/>
      <c r="B103" s="176" t="s">
        <v>1427</v>
      </c>
      <c r="D103" s="734">
        <v>65</v>
      </c>
    </row>
    <row r="104" spans="1:4" ht="18">
      <c r="A104" s="965"/>
      <c r="B104" s="8" t="s">
        <v>1108</v>
      </c>
      <c r="D104" s="180">
        <v>70</v>
      </c>
    </row>
    <row r="105" spans="1:4" ht="18">
      <c r="A105" s="965"/>
      <c r="B105" s="176" t="s">
        <v>1109</v>
      </c>
      <c r="D105" s="734">
        <v>80</v>
      </c>
    </row>
    <row r="106" spans="1:4" ht="18">
      <c r="A106" s="965"/>
      <c r="B106" s="8" t="s">
        <v>1110</v>
      </c>
      <c r="D106" s="180">
        <v>90</v>
      </c>
    </row>
    <row r="107" spans="1:4" ht="18">
      <c r="A107" s="965"/>
      <c r="B107" s="176" t="s">
        <v>1428</v>
      </c>
      <c r="D107" s="734">
        <v>155</v>
      </c>
    </row>
    <row r="115" spans="1:3" ht="22.8">
      <c r="A115" s="97" t="s">
        <v>1429</v>
      </c>
    </row>
    <row r="116" spans="1:3">
      <c r="A116"/>
    </row>
    <row r="117" spans="1:3" ht="18">
      <c r="A117" s="283" t="s">
        <v>1430</v>
      </c>
      <c r="B117" s="7"/>
      <c r="C117" s="7"/>
    </row>
    <row r="118" spans="1:3" ht="18">
      <c r="A118" s="283" t="s">
        <v>1431</v>
      </c>
      <c r="B118" s="7"/>
      <c r="C118" s="7"/>
    </row>
    <row r="119" spans="1:3" ht="17.399999999999999">
      <c r="A119" s="7"/>
      <c r="B119" s="7"/>
      <c r="C119" s="7"/>
    </row>
    <row r="120" spans="1:3" ht="18">
      <c r="A120" s="283" t="s">
        <v>1432</v>
      </c>
      <c r="B120" s="7"/>
      <c r="C120" s="7"/>
    </row>
    <row r="121" spans="1:3" ht="18">
      <c r="A121" s="283" t="s">
        <v>1433</v>
      </c>
      <c r="B121" s="7"/>
      <c r="C121" s="7"/>
    </row>
    <row r="122" spans="1:3" ht="17.399999999999999">
      <c r="A122" s="7"/>
      <c r="B122" s="7"/>
      <c r="C122" s="7"/>
    </row>
    <row r="123" spans="1:3" ht="17.399999999999999">
      <c r="A123" s="7" t="s">
        <v>1434</v>
      </c>
      <c r="B123" s="7"/>
      <c r="C123" s="7"/>
    </row>
    <row r="124" spans="1:3" ht="17.399999999999999">
      <c r="A124" s="7" t="s">
        <v>1435</v>
      </c>
      <c r="B124" s="7"/>
      <c r="C124" s="7"/>
    </row>
    <row r="125" spans="1:3" ht="17.399999999999999">
      <c r="A125" s="7"/>
      <c r="B125" s="7"/>
      <c r="C125" s="7"/>
    </row>
    <row r="126" spans="1:3" ht="17.399999999999999">
      <c r="A126" s="7" t="s">
        <v>1436</v>
      </c>
      <c r="B126" s="7"/>
      <c r="C126" s="7"/>
    </row>
    <row r="127" spans="1:3" ht="17.399999999999999">
      <c r="A127" s="7" t="s">
        <v>1437</v>
      </c>
      <c r="B127" s="7"/>
      <c r="C127" s="7"/>
    </row>
    <row r="128" spans="1:3" ht="17.399999999999999">
      <c r="A128" s="7" t="s">
        <v>1438</v>
      </c>
      <c r="B128" s="7"/>
      <c r="C128" s="7"/>
    </row>
    <row r="129" spans="1:4" ht="17.399999999999999">
      <c r="A129" s="7"/>
      <c r="B129" s="7"/>
      <c r="C129" s="7"/>
      <c r="D129" s="7"/>
    </row>
    <row r="130" spans="1:4" ht="17.399999999999999">
      <c r="A130" s="7" t="s">
        <v>1439</v>
      </c>
      <c r="B130" s="7"/>
      <c r="C130" s="7"/>
      <c r="D130" s="7"/>
    </row>
    <row r="131" spans="1:4" ht="17.399999999999999">
      <c r="A131" s="94"/>
      <c r="B131" s="7"/>
      <c r="C131" s="7"/>
      <c r="D131" s="7"/>
    </row>
    <row r="132" spans="1:4" ht="17.399999999999999">
      <c r="A132" s="96" t="s">
        <v>1440</v>
      </c>
      <c r="B132" s="95"/>
      <c r="C132" s="95"/>
      <c r="D132" s="95"/>
    </row>
    <row r="133" spans="1:4" ht="17.399999999999999">
      <c r="A133" s="96" t="s">
        <v>1441</v>
      </c>
      <c r="B133" s="95"/>
      <c r="C133" s="95"/>
      <c r="D133" s="95"/>
    </row>
    <row r="134" spans="1:4" ht="33" customHeight="1">
      <c r="A134" s="959" t="s">
        <v>1442</v>
      </c>
      <c r="B134" s="959"/>
      <c r="C134" s="959"/>
      <c r="D134" s="513"/>
    </row>
    <row r="135" spans="1:4" ht="17.399999999999999">
      <c r="A135" s="96" t="s">
        <v>1443</v>
      </c>
      <c r="B135" s="95"/>
      <c r="C135" s="95"/>
      <c r="D135" s="95"/>
    </row>
    <row r="136" spans="1:4" ht="17.399999999999999">
      <c r="A136" s="96"/>
      <c r="B136" s="95"/>
      <c r="C136" s="95"/>
      <c r="D136" s="95"/>
    </row>
    <row r="137" spans="1:4" ht="17.399999999999999">
      <c r="A137" s="7" t="s">
        <v>1444</v>
      </c>
      <c r="B137" s="7"/>
      <c r="C137" s="7"/>
      <c r="D137" s="7"/>
    </row>
    <row r="138" spans="1:4" ht="17.399999999999999">
      <c r="B138" s="577" t="s">
        <v>1445</v>
      </c>
      <c r="C138" s="7"/>
      <c r="D138" s="7"/>
    </row>
    <row r="139" spans="1:4" ht="17.399999999999999">
      <c r="B139" s="577" t="s">
        <v>1446</v>
      </c>
      <c r="C139" s="7"/>
      <c r="D139" s="7"/>
    </row>
    <row r="140" spans="1:4" ht="17.399999999999999">
      <c r="B140" s="577" t="s">
        <v>1447</v>
      </c>
      <c r="C140" s="7"/>
      <c r="D140" s="7"/>
    </row>
    <row r="141" spans="1:4" ht="17.399999999999999">
      <c r="B141" s="577" t="s">
        <v>1448</v>
      </c>
      <c r="C141" s="7"/>
      <c r="D141" s="7"/>
    </row>
    <row r="142" spans="1:4" ht="17.399999999999999">
      <c r="B142" s="577" t="s">
        <v>1449</v>
      </c>
      <c r="C142" s="7"/>
      <c r="D142" s="7"/>
    </row>
    <row r="143" spans="1:4" ht="17.399999999999999">
      <c r="A143" s="7"/>
      <c r="B143" s="7"/>
      <c r="C143" s="7"/>
      <c r="D143" s="7"/>
    </row>
    <row r="144" spans="1:4" ht="33" customHeight="1">
      <c r="A144" s="960" t="s">
        <v>1450</v>
      </c>
      <c r="B144" s="960"/>
      <c r="C144" s="960"/>
      <c r="D144" s="514"/>
    </row>
    <row r="145" spans="1:4" ht="13.95" customHeight="1">
      <c r="A145" s="514"/>
      <c r="B145" s="514"/>
      <c r="C145" s="514"/>
      <c r="D145" s="514"/>
    </row>
  </sheetData>
  <mergeCells count="9">
    <mergeCell ref="A134:C134"/>
    <mergeCell ref="A144:C144"/>
    <mergeCell ref="E48:E52"/>
    <mergeCell ref="B1:E1"/>
    <mergeCell ref="A87:A92"/>
    <mergeCell ref="A94:A98"/>
    <mergeCell ref="A99:A107"/>
    <mergeCell ref="A18:B19"/>
    <mergeCell ref="A60:B61"/>
  </mergeCells>
  <hyperlinks>
    <hyperlink ref="C37" r:id="rId1" xr:uid="{E7EDC542-C1A9-43C3-8DD4-C37E8CC3EFE9}"/>
  </hyperlinks>
  <pageMargins left="0.25" right="0.53" top="0.35" bottom="0.44" header="0.3" footer="0.17"/>
  <pageSetup orientation="portrait" r:id="rId2"/>
  <headerFooter>
    <oddFooter>&amp;L&amp;P&amp;C&amp;A&amp;R&amp;F]</oddFooter>
  </headerFooter>
  <rowBreaks count="2" manualBreakCount="2">
    <brk id="40" max="16383" man="1"/>
    <brk id="69" max="2"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FDA461-4D39-48C2-8361-240011A442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12</vt:i4>
      </vt:variant>
    </vt:vector>
  </HeadingPairs>
  <TitlesOfParts>
    <vt:vector size="26" baseType="lpstr">
      <vt:lpstr>docs</vt:lpstr>
      <vt:lpstr>quick chklst</vt:lpstr>
      <vt:lpstr>OFS INITIAL CKLST</vt:lpstr>
      <vt:lpstr>jobinfo(2)</vt:lpstr>
      <vt:lpstr>ROOMS#</vt:lpstr>
      <vt:lpstr>ROOMS-out</vt:lpstr>
      <vt:lpstr>DRAWS</vt:lpstr>
      <vt:lpstr>WIP</vt:lpstr>
      <vt:lpstr>kit bath</vt:lpstr>
      <vt:lpstr>BLD codes</vt:lpstr>
      <vt:lpstr>XACTIMATE</vt:lpstr>
      <vt:lpstr>ENC</vt:lpstr>
      <vt:lpstr>Sheet1</vt:lpstr>
      <vt:lpstr>how2</vt:lpstr>
      <vt:lpstr>'BLD codes'!Print_Area</vt:lpstr>
      <vt:lpstr>DRAWS!Print_Area</vt:lpstr>
      <vt:lpstr>ENC!Print_Area</vt:lpstr>
      <vt:lpstr>'how2'!Print_Area</vt:lpstr>
      <vt:lpstr>'jobinfo(2)'!Print_Area</vt:lpstr>
      <vt:lpstr>'kit bath'!Print_Area</vt:lpstr>
      <vt:lpstr>'OFS INITIAL CKLST'!Print_Area</vt:lpstr>
      <vt:lpstr>'quick chklst'!Print_Area</vt:lpstr>
      <vt:lpstr>'ROOMS#'!Print_Area</vt:lpstr>
      <vt:lpstr>'ROOMS-out'!Print_Area</vt:lpstr>
      <vt:lpstr>Sheet1!Print_Area</vt:lpstr>
      <vt:lpstr>XACTIMATE!Print_Area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joe jones</cp:lastModifiedBy>
  <cp:revision/>
  <cp:lastPrinted>2026-01-03T19:59:29Z</cp:lastPrinted>
  <dcterms:created xsi:type="dcterms:W3CDTF">2017-05-30T20:50:42Z</dcterms:created>
  <dcterms:modified xsi:type="dcterms:W3CDTF">2026-01-04T15:33:29Z</dcterms:modified>
  <cp:category/>
  <cp:contentStatus/>
</cp:coreProperties>
</file>