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597" documentId="14_{3DE5C06B-97B9-4DFC-A152-9352806795F6}" xr6:coauthVersionLast="47" xr6:coauthVersionMax="47" xr10:uidLastSave="{3EA6639A-5CFC-452F-A14B-88D22EAAFC97}"/>
  <bookViews>
    <workbookView xWindow="-108" yWindow="-108" windowWidth="23256" windowHeight="13896" tabRatio="836" firstSheet="6" activeTab="6" xr2:uid="{00000000-000D-0000-FFFF-FFFF00000000}"/>
  </bookViews>
  <sheets>
    <sheet name="quick chklst" sheetId="59" r:id="rId1"/>
    <sheet name="OFS INITIAL CKLST" sheetId="71" r:id="rId2"/>
    <sheet name="jobinfo(2)" sheetId="67" r:id="rId3"/>
    <sheet name="ROOMS#" sheetId="75" r:id="rId4"/>
    <sheet name="ROOMS-out" sheetId="79" r:id="rId5"/>
    <sheet name="DRAWS" sheetId="80" r:id="rId6"/>
    <sheet name="LISTS ENC" sheetId="74" r:id="rId7"/>
    <sheet name="kit bath" sheetId="76" r:id="rId8"/>
    <sheet name="BLD codes" sheetId="72" r:id="rId9"/>
    <sheet name="docs" sheetId="64" r:id="rId10"/>
    <sheet name="XACTIMATE" sheetId="68" r:id="rId11"/>
    <sheet name="ENC" sheetId="58" r:id="rId12"/>
    <sheet name="how2" sheetId="57" r:id="rId13"/>
  </sheets>
  <externalReferences>
    <externalReference r:id="rId14"/>
    <externalReference r:id="rId15"/>
  </externalReferences>
  <definedNames>
    <definedName name="a...new_customer" localSheetId="3">#REF!</definedName>
    <definedName name="a...new_customer" localSheetId="4">#REF!</definedName>
    <definedName name="a...new_customer">#REF!</definedName>
    <definedName name="basicroompichow2">#REF!</definedName>
    <definedName name="box_names">+#REF!</definedName>
    <definedName name="Column.a.new.cst">#REF!</definedName>
    <definedName name="culpepper">#REF!</definedName>
    <definedName name="data">#REF!</definedName>
    <definedName name="Document_Stacking_List">#REF!</definedName>
    <definedName name="Enter_new_cst_data">#REF!</definedName>
    <definedName name="Jefferies">#REF!</definedName>
    <definedName name="LOVEJOY_INTERIOR">#REF!</definedName>
    <definedName name="Lovejoy_ROOF">#REF!</definedName>
    <definedName name="LxWxH">#REF!</definedName>
    <definedName name="new_customer">#REF!</definedName>
    <definedName name="PRICE_P">#REF!</definedName>
    <definedName name="_xlnm.Print_Area" localSheetId="8">'BLD codes'!$A$8:$A$109</definedName>
    <definedName name="_xlnm.Print_Area" localSheetId="5">DRAWS!$H$20:$R$85</definedName>
    <definedName name="_xlnm.Print_Area" localSheetId="11">ENC!$A$1:$D$30</definedName>
    <definedName name="_xlnm.Print_Area" localSheetId="12">'how2'!$A$1:$C$144</definedName>
    <definedName name="_xlnm.Print_Area" localSheetId="2">'jobinfo(2)'!$A$126:$D$177</definedName>
    <definedName name="_xlnm.Print_Area" localSheetId="7">'kit bath'!$A$1:$F$32</definedName>
    <definedName name="_xlnm.Print_Area" localSheetId="1">'OFS INITIAL CKLST'!$A$1:$D$37</definedName>
    <definedName name="_xlnm.Print_Area" localSheetId="0">'quick chklst'!$A$1:$E$35</definedName>
    <definedName name="_xlnm.Print_Area" localSheetId="3">'ROOMS#'!$AZ$1:$CQ$28</definedName>
    <definedName name="_xlnm.Print_Area" localSheetId="4">'ROOMS-out'!$A$1:$K$28</definedName>
    <definedName name="_xlnm.Print_Area" localSheetId="10">XACTIMATE!$A$1:$D$70</definedName>
    <definedName name="Robinson">#REF!</definedName>
    <definedName name="sigtj">"Picture 9859"</definedName>
    <definedName name="SubContractor_Summary">#REF!</definedName>
    <definedName name="Wayside_Builders__LLC_…...OH">#REF!</definedName>
    <definedName name="WSB...GA.Wayside_Builders__LLC……GA">#REF!</definedName>
  </definedNames>
  <calcPr calcId="191028" calcMode="manual" concurrentManualCount="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3" i="80" l="1"/>
  <c r="J81" i="80"/>
  <c r="N78" i="80"/>
  <c r="N80" i="80" s="1"/>
  <c r="Q77" i="80"/>
  <c r="K65" i="80"/>
  <c r="Q53" i="80"/>
  <c r="R53" i="80" s="1"/>
  <c r="N53" i="80"/>
  <c r="O53" i="80" s="1"/>
  <c r="K53" i="80"/>
  <c r="L53" i="80" s="1"/>
  <c r="Q52" i="80"/>
  <c r="R52" i="80" s="1"/>
  <c r="N52" i="80"/>
  <c r="O52" i="80" s="1"/>
  <c r="K52" i="80"/>
  <c r="L52" i="80" s="1"/>
  <c r="K51" i="80"/>
  <c r="Q50" i="80"/>
  <c r="R50" i="80" s="1"/>
  <c r="N50" i="80"/>
  <c r="O50" i="80" s="1"/>
  <c r="K50" i="80"/>
  <c r="L50" i="80" s="1"/>
  <c r="K49" i="80"/>
  <c r="J49" i="80"/>
  <c r="I74" i="80" s="1"/>
  <c r="Q48" i="80"/>
  <c r="R48" i="80" s="1"/>
  <c r="N48" i="80"/>
  <c r="O48" i="80" s="1"/>
  <c r="K48" i="80"/>
  <c r="L48" i="80" s="1"/>
  <c r="K47" i="80"/>
  <c r="J47" i="80"/>
  <c r="R46" i="80"/>
  <c r="O46" i="80"/>
  <c r="Q42" i="80"/>
  <c r="R42" i="80" s="1"/>
  <c r="N42" i="80"/>
  <c r="O42" i="80" s="1"/>
  <c r="L42" i="80"/>
  <c r="Q41" i="80"/>
  <c r="R41" i="80" s="1"/>
  <c r="N41" i="80"/>
  <c r="O41" i="80" s="1"/>
  <c r="L41" i="80"/>
  <c r="J40" i="80"/>
  <c r="J51" i="80" s="1"/>
  <c r="Q39" i="80"/>
  <c r="R39" i="80" s="1"/>
  <c r="N39" i="80"/>
  <c r="O39" i="80" s="1"/>
  <c r="L39" i="80"/>
  <c r="Q38" i="80"/>
  <c r="R38" i="80" s="1"/>
  <c r="N38" i="80"/>
  <c r="O38" i="80" s="1"/>
  <c r="L38" i="80"/>
  <c r="Q37" i="80"/>
  <c r="R37" i="80" s="1"/>
  <c r="N37" i="80"/>
  <c r="O37" i="80" s="1"/>
  <c r="L37" i="80"/>
  <c r="Q36" i="80"/>
  <c r="N36" i="80"/>
  <c r="L36" i="80"/>
  <c r="R35" i="80"/>
  <c r="R32" i="80"/>
  <c r="Q32" i="80"/>
  <c r="P32" i="80"/>
  <c r="O32" i="80"/>
  <c r="L32" i="80"/>
  <c r="K32" i="80"/>
  <c r="I32" i="80"/>
  <c r="H32" i="80"/>
  <c r="R31" i="80"/>
  <c r="Q31" i="80"/>
  <c r="P31" i="80"/>
  <c r="O31" i="80"/>
  <c r="K31" i="80"/>
  <c r="J31" i="80"/>
  <c r="I31" i="80"/>
  <c r="H31" i="80"/>
  <c r="P30" i="80"/>
  <c r="O30" i="80"/>
  <c r="K30" i="80"/>
  <c r="J30" i="80"/>
  <c r="I30" i="80"/>
  <c r="H30" i="80"/>
  <c r="P29" i="80"/>
  <c r="O29" i="80"/>
  <c r="M29" i="80"/>
  <c r="L29" i="80"/>
  <c r="K29" i="80"/>
  <c r="J29" i="80"/>
  <c r="I29" i="80"/>
  <c r="H29" i="80"/>
  <c r="P28" i="80"/>
  <c r="O28" i="80"/>
  <c r="M28" i="80"/>
  <c r="L28" i="80"/>
  <c r="K28" i="80"/>
  <c r="J28" i="80"/>
  <c r="I28" i="80"/>
  <c r="H28" i="80"/>
  <c r="P27" i="80"/>
  <c r="O27" i="80"/>
  <c r="M27" i="80"/>
  <c r="L27" i="80"/>
  <c r="K27" i="80"/>
  <c r="J27" i="80"/>
  <c r="I27" i="80"/>
  <c r="H27" i="80"/>
  <c r="P26" i="80"/>
  <c r="O26" i="80"/>
  <c r="M26" i="80"/>
  <c r="L26" i="80"/>
  <c r="K26" i="80"/>
  <c r="J26" i="80"/>
  <c r="I26" i="80"/>
  <c r="H26" i="80"/>
  <c r="P25" i="80"/>
  <c r="O25" i="80"/>
  <c r="M25" i="80"/>
  <c r="L25" i="80"/>
  <c r="K25" i="80"/>
  <c r="J25" i="80"/>
  <c r="I25" i="80"/>
  <c r="H25" i="80"/>
  <c r="M24" i="80"/>
  <c r="L24" i="80"/>
  <c r="K24" i="80"/>
  <c r="J24" i="80"/>
  <c r="I24" i="80"/>
  <c r="H24" i="80"/>
  <c r="P23" i="80"/>
  <c r="P22" i="80"/>
  <c r="K22" i="80"/>
  <c r="H22" i="80"/>
  <c r="P21" i="80"/>
  <c r="K21" i="80"/>
  <c r="L35" i="80" s="1"/>
  <c r="O35" i="80" s="1"/>
  <c r="H21" i="80"/>
  <c r="P20" i="80"/>
  <c r="F15" i="80"/>
  <c r="F16" i="80" s="1"/>
  <c r="F17" i="80" s="1"/>
  <c r="F18" i="80" s="1"/>
  <c r="F14" i="80"/>
  <c r="D7" i="80"/>
  <c r="C7" i="80"/>
  <c r="D6" i="80"/>
  <c r="C6" i="80"/>
  <c r="B6" i="80"/>
  <c r="D5" i="80"/>
  <c r="C5" i="80"/>
  <c r="B5" i="80"/>
  <c r="D4" i="80"/>
  <c r="C4" i="80"/>
  <c r="B4" i="80"/>
  <c r="D3" i="80"/>
  <c r="C3" i="80"/>
  <c r="B3" i="80"/>
  <c r="D2" i="80"/>
  <c r="C2" i="80"/>
  <c r="B2" i="80"/>
  <c r="Q51" i="80" l="1"/>
  <c r="R51" i="80" s="1"/>
  <c r="N51" i="80"/>
  <c r="O51" i="80" s="1"/>
  <c r="L51" i="80"/>
  <c r="J54" i="80"/>
  <c r="J56" i="80" s="1"/>
  <c r="K80" i="80"/>
  <c r="J75" i="80"/>
  <c r="K75" i="80" s="1"/>
  <c r="O36" i="80"/>
  <c r="R36" i="80"/>
  <c r="L40" i="80"/>
  <c r="L43" i="80" s="1"/>
  <c r="N40" i="80"/>
  <c r="O40" i="80" s="1"/>
  <c r="Q40" i="80"/>
  <c r="R40" i="80" s="1"/>
  <c r="J43" i="80"/>
  <c r="L47" i="80"/>
  <c r="N47" i="80"/>
  <c r="Q47" i="80"/>
  <c r="L49" i="80"/>
  <c r="N49" i="80"/>
  <c r="O49" i="80" s="1"/>
  <c r="Q49" i="80"/>
  <c r="R49" i="80" s="1"/>
  <c r="J57" i="80"/>
  <c r="J58" i="80" s="1"/>
  <c r="J59" i="80" l="1"/>
  <c r="K59" i="80" s="1"/>
  <c r="K76" i="80" s="1"/>
  <c r="K81" i="80" s="1"/>
  <c r="Q54" i="80"/>
  <c r="R47" i="80"/>
  <c r="R54" i="80" s="1"/>
  <c r="N54" i="80"/>
  <c r="O47" i="80"/>
  <c r="O54" i="80" s="1"/>
  <c r="L54" i="80"/>
  <c r="R43" i="80"/>
  <c r="O43" i="80"/>
  <c r="K82" i="80"/>
  <c r="Q78" i="80" s="1"/>
  <c r="Q79" i="80" s="1"/>
  <c r="Q43" i="80"/>
  <c r="N43" i="80"/>
  <c r="J60" i="80" l="1"/>
  <c r="J63" i="80" s="1"/>
  <c r="J67" i="80" s="1"/>
  <c r="J70" i="80" s="1"/>
  <c r="J76" i="80" s="1"/>
  <c r="J80" i="80" s="1"/>
  <c r="J82" i="80" s="1"/>
  <c r="J84" i="80" s="1"/>
  <c r="N81" i="80" s="1"/>
  <c r="Q80" i="80" l="1"/>
  <c r="Q82" i="80" s="1"/>
  <c r="N82" i="80"/>
  <c r="BC4" i="75" l="1"/>
  <c r="BB3" i="75"/>
  <c r="BH3" i="75"/>
  <c r="D31" i="68"/>
  <c r="AT28" i="75" l="1"/>
  <c r="AT27" i="75"/>
  <c r="AT26" i="75"/>
  <c r="AT25" i="75"/>
  <c r="AT24" i="75"/>
  <c r="AT23" i="75"/>
  <c r="AT22" i="75"/>
  <c r="AT21" i="75"/>
  <c r="AT20" i="75"/>
  <c r="AT19" i="75"/>
  <c r="AT18" i="75"/>
  <c r="AT17" i="75"/>
  <c r="AT16" i="75"/>
  <c r="AT15" i="75"/>
  <c r="AT14" i="75"/>
  <c r="AT13" i="75"/>
  <c r="AT12" i="75"/>
  <c r="AT11" i="75"/>
  <c r="AT10" i="75"/>
  <c r="AT9" i="75"/>
  <c r="AT8" i="75"/>
  <c r="AT7" i="75"/>
  <c r="AT6" i="75"/>
  <c r="AT5" i="75"/>
  <c r="AT4" i="75"/>
  <c r="AR3" i="75"/>
  <c r="AS4" i="75"/>
  <c r="AS5" i="75" s="1"/>
  <c r="AS6" i="75" s="1"/>
  <c r="AS7" i="75" s="1"/>
  <c r="AS8" i="75" s="1"/>
  <c r="AS9" i="75" s="1"/>
  <c r="AS10" i="75" s="1"/>
  <c r="AS11" i="75" s="1"/>
  <c r="AS12" i="75" s="1"/>
  <c r="AS13" i="75" s="1"/>
  <c r="AS14" i="75" s="1"/>
  <c r="AS15" i="75" s="1"/>
  <c r="AS16" i="75" s="1"/>
  <c r="AS17" i="75" s="1"/>
  <c r="AS18" i="75" s="1"/>
  <c r="AS19" i="75" s="1"/>
  <c r="AS20" i="75" s="1"/>
  <c r="AS21" i="75" s="1"/>
  <c r="AS22" i="75" s="1"/>
  <c r="AS23" i="75" s="1"/>
  <c r="AS24" i="75" s="1"/>
  <c r="AS25" i="75" s="1"/>
  <c r="AS26" i="75" s="1"/>
  <c r="AS27" i="75" s="1"/>
  <c r="AS28" i="75" s="1"/>
  <c r="AP3" i="75"/>
  <c r="AP4" i="75"/>
  <c r="F5" i="75"/>
  <c r="F6" i="75" s="1"/>
  <c r="F7" i="75" s="1"/>
  <c r="F8" i="75" s="1"/>
  <c r="F9" i="75" s="1"/>
  <c r="F10" i="75" s="1"/>
  <c r="F11" i="75" s="1"/>
  <c r="F12" i="75" s="1"/>
  <c r="F13" i="75" s="1"/>
  <c r="F14" i="75" s="1"/>
  <c r="F15" i="75" s="1"/>
  <c r="F16" i="75" s="1"/>
  <c r="F17" i="75" s="1"/>
  <c r="F18" i="75" s="1"/>
  <c r="F19" i="75" s="1"/>
  <c r="F20" i="75" s="1"/>
  <c r="F21" i="75" s="1"/>
  <c r="F22" i="75" s="1"/>
  <c r="F23" i="75" s="1"/>
  <c r="F24" i="75" s="1"/>
  <c r="F25" i="75" s="1"/>
  <c r="F26" i="75" s="1"/>
  <c r="F27" i="75" s="1"/>
  <c r="F28" i="75" s="1"/>
  <c r="AP28" i="75" s="1"/>
  <c r="AP5" i="75" l="1"/>
  <c r="AP6" i="75"/>
  <c r="AP7" i="75"/>
  <c r="AP8" i="75"/>
  <c r="AP9" i="75"/>
  <c r="AP10" i="75"/>
  <c r="AP11" i="75"/>
  <c r="AP12" i="75"/>
  <c r="AP13" i="75"/>
  <c r="AP14" i="75"/>
  <c r="AP15" i="75"/>
  <c r="AP16" i="75"/>
  <c r="AP17" i="75"/>
  <c r="AP18" i="75"/>
  <c r="AP19" i="75"/>
  <c r="AP20" i="75"/>
  <c r="AP21" i="75"/>
  <c r="AP22" i="75"/>
  <c r="AP23" i="75"/>
  <c r="AP24" i="75"/>
  <c r="AP25" i="75"/>
  <c r="AP26" i="75"/>
  <c r="AP27" i="75"/>
  <c r="CN4" i="75"/>
  <c r="CL4" i="75"/>
  <c r="CL28" i="75"/>
  <c r="CL27" i="75"/>
  <c r="CL26" i="75"/>
  <c r="CL25" i="75"/>
  <c r="CL24" i="75"/>
  <c r="CL23" i="75"/>
  <c r="CL22" i="75"/>
  <c r="CL21" i="75"/>
  <c r="CL20" i="75"/>
  <c r="CL19" i="75"/>
  <c r="CL18" i="75"/>
  <c r="CL17" i="75"/>
  <c r="CL16" i="75"/>
  <c r="CL15" i="75"/>
  <c r="CL14" i="75"/>
  <c r="CL13" i="75"/>
  <c r="CL12" i="75"/>
  <c r="CL11" i="75"/>
  <c r="CL10" i="75"/>
  <c r="CL9" i="75"/>
  <c r="CL8" i="75"/>
  <c r="CL7" i="75"/>
  <c r="CL6" i="75"/>
  <c r="CN5" i="75"/>
  <c r="CN6" i="75" s="1"/>
  <c r="CN7" i="75" s="1"/>
  <c r="CN8" i="75" s="1"/>
  <c r="CN9" i="75" s="1"/>
  <c r="CN10" i="75" s="1"/>
  <c r="CN11" i="75" s="1"/>
  <c r="CN12" i="75" s="1"/>
  <c r="CN13" i="75" s="1"/>
  <c r="CN14" i="75" s="1"/>
  <c r="CN15" i="75" s="1"/>
  <c r="CN16" i="75" s="1"/>
  <c r="CN17" i="75" s="1"/>
  <c r="CN18" i="75" s="1"/>
  <c r="CN19" i="75" s="1"/>
  <c r="CN20" i="75" s="1"/>
  <c r="CN21" i="75" s="1"/>
  <c r="CN22" i="75" s="1"/>
  <c r="CN23" i="75" s="1"/>
  <c r="CN24" i="75" s="1"/>
  <c r="CN25" i="75" s="1"/>
  <c r="CN26" i="75" s="1"/>
  <c r="CN27" i="75" s="1"/>
  <c r="CN28" i="75" s="1"/>
  <c r="CH2" i="75"/>
  <c r="CJ17" i="75"/>
  <c r="CJ16" i="75"/>
  <c r="CJ15" i="75"/>
  <c r="CJ14" i="75"/>
  <c r="CJ13" i="75"/>
  <c r="CJ12" i="75"/>
  <c r="CJ11" i="75"/>
  <c r="CJ10" i="75"/>
  <c r="CJ9" i="75"/>
  <c r="CJ8" i="75"/>
  <c r="CJ7" i="75"/>
  <c r="CJ6" i="75"/>
  <c r="CJ28" i="75"/>
  <c r="CJ27" i="75"/>
  <c r="CJ26" i="75"/>
  <c r="CJ25" i="75"/>
  <c r="CJ24" i="75"/>
  <c r="CJ23" i="75"/>
  <c r="CJ22" i="75"/>
  <c r="CJ21" i="75"/>
  <c r="CJ20" i="75"/>
  <c r="CJ19" i="75"/>
  <c r="CJ18" i="75"/>
  <c r="CH5" i="75" l="1"/>
  <c r="CH6" i="75" s="1"/>
  <c r="CH7" i="75" s="1"/>
  <c r="CH8" i="75" s="1"/>
  <c r="CH9" i="75" s="1"/>
  <c r="CH10" i="75" s="1"/>
  <c r="CH11" i="75" s="1"/>
  <c r="CH12" i="75" s="1"/>
  <c r="CH13" i="75" s="1"/>
  <c r="CH14" i="75" s="1"/>
  <c r="CH15" i="75" s="1"/>
  <c r="CH16" i="75" s="1"/>
  <c r="CH17" i="75" s="1"/>
  <c r="CH18" i="75" s="1"/>
  <c r="CH19" i="75" s="1"/>
  <c r="CH20" i="75" s="1"/>
  <c r="CH21" i="75" s="1"/>
  <c r="CH22" i="75" s="1"/>
  <c r="CH23" i="75" s="1"/>
  <c r="CH24" i="75" s="1"/>
  <c r="CH25" i="75" s="1"/>
  <c r="CH26" i="75" s="1"/>
  <c r="CH27" i="75" s="1"/>
  <c r="CH28" i="75" s="1"/>
  <c r="CJ5" i="75"/>
  <c r="CJ4" i="75"/>
  <c r="V28" i="79" l="1"/>
  <c r="V27" i="79"/>
  <c r="A27" i="79" s="1"/>
  <c r="V26" i="79"/>
  <c r="Z26" i="79" s="1"/>
  <c r="AE26" i="79" s="1"/>
  <c r="AJ26" i="79" s="1"/>
  <c r="AP26" i="79" s="1"/>
  <c r="AU26" i="79" s="1"/>
  <c r="BA26" i="79" s="1"/>
  <c r="BF26" i="79" s="1"/>
  <c r="BL26" i="79" s="1"/>
  <c r="BR26" i="79" s="1"/>
  <c r="V25" i="79"/>
  <c r="CB24" i="79" s="1"/>
  <c r="V24" i="79"/>
  <c r="CB23" i="79" s="1"/>
  <c r="V23" i="79"/>
  <c r="A23" i="79" s="1"/>
  <c r="V22" i="79"/>
  <c r="CB21" i="79" s="1"/>
  <c r="V21" i="79"/>
  <c r="Z21" i="79" s="1"/>
  <c r="AE21" i="79" s="1"/>
  <c r="AJ21" i="79" s="1"/>
  <c r="AP21" i="79" s="1"/>
  <c r="AU21" i="79" s="1"/>
  <c r="BA21" i="79" s="1"/>
  <c r="BF21" i="79" s="1"/>
  <c r="BL21" i="79" s="1"/>
  <c r="BR21" i="79" s="1"/>
  <c r="V20" i="79"/>
  <c r="Z20" i="79" s="1"/>
  <c r="AE20" i="79" s="1"/>
  <c r="AJ20" i="79" s="1"/>
  <c r="AP20" i="79" s="1"/>
  <c r="AU20" i="79" s="1"/>
  <c r="BA20" i="79" s="1"/>
  <c r="BF20" i="79" s="1"/>
  <c r="BL20" i="79" s="1"/>
  <c r="BR20" i="79" s="1"/>
  <c r="V19" i="79"/>
  <c r="CB18" i="79" s="1"/>
  <c r="V18" i="79"/>
  <c r="A18" i="79" s="1"/>
  <c r="V17" i="79"/>
  <c r="Z17" i="79" s="1"/>
  <c r="AE17" i="79" s="1"/>
  <c r="AJ17" i="79" s="1"/>
  <c r="AP17" i="79" s="1"/>
  <c r="AU17" i="79" s="1"/>
  <c r="BA17" i="79" s="1"/>
  <c r="BF17" i="79" s="1"/>
  <c r="BL17" i="79" s="1"/>
  <c r="BR17" i="79" s="1"/>
  <c r="V16" i="79"/>
  <c r="Z16" i="79" s="1"/>
  <c r="AE16" i="79" s="1"/>
  <c r="AJ16" i="79" s="1"/>
  <c r="AP16" i="79" s="1"/>
  <c r="AU16" i="79" s="1"/>
  <c r="BA16" i="79" s="1"/>
  <c r="BF16" i="79" s="1"/>
  <c r="BL16" i="79" s="1"/>
  <c r="BR16" i="79" s="1"/>
  <c r="V15" i="79"/>
  <c r="Z15" i="79" s="1"/>
  <c r="AE15" i="79" s="1"/>
  <c r="AJ15" i="79" s="1"/>
  <c r="AP15" i="79" s="1"/>
  <c r="AU15" i="79" s="1"/>
  <c r="BA15" i="79" s="1"/>
  <c r="BF15" i="79" s="1"/>
  <c r="BL15" i="79" s="1"/>
  <c r="BR15" i="79" s="1"/>
  <c r="V14" i="79"/>
  <c r="CB13" i="79" s="1"/>
  <c r="V13" i="79"/>
  <c r="CB12" i="79" s="1"/>
  <c r="V12" i="79"/>
  <c r="CB11" i="79" s="1"/>
  <c r="V11" i="79"/>
  <c r="Z11" i="79" s="1"/>
  <c r="AE11" i="79" s="1"/>
  <c r="AJ11" i="79" s="1"/>
  <c r="AP11" i="79" s="1"/>
  <c r="AU11" i="79" s="1"/>
  <c r="BA11" i="79" s="1"/>
  <c r="BF11" i="79" s="1"/>
  <c r="BL11" i="79" s="1"/>
  <c r="BR11" i="79" s="1"/>
  <c r="V10" i="79"/>
  <c r="CB9" i="79" s="1"/>
  <c r="V9" i="79"/>
  <c r="CB8" i="79" s="1"/>
  <c r="V8" i="79"/>
  <c r="Z8" i="79" s="1"/>
  <c r="AE8" i="79" s="1"/>
  <c r="AJ8" i="79" s="1"/>
  <c r="AP8" i="79" s="1"/>
  <c r="AU8" i="79" s="1"/>
  <c r="BA8" i="79" s="1"/>
  <c r="BF8" i="79" s="1"/>
  <c r="BL8" i="79" s="1"/>
  <c r="BR8" i="79" s="1"/>
  <c r="V7" i="79"/>
  <c r="CB6" i="79" s="1"/>
  <c r="V6" i="79"/>
  <c r="Z6" i="79" s="1"/>
  <c r="AE6" i="79" s="1"/>
  <c r="AJ6" i="79" s="1"/>
  <c r="AP6" i="79" s="1"/>
  <c r="AU6" i="79" s="1"/>
  <c r="BA6" i="79" s="1"/>
  <c r="BF6" i="79" s="1"/>
  <c r="BL6" i="79" s="1"/>
  <c r="BR6" i="79" s="1"/>
  <c r="V5" i="79"/>
  <c r="A5" i="79" s="1"/>
  <c r="V4" i="79"/>
  <c r="A4" i="79" s="1"/>
  <c r="A3" i="79"/>
  <c r="K3" i="75"/>
  <c r="J3" i="75"/>
  <c r="I3" i="75"/>
  <c r="H3" i="75"/>
  <c r="G3" i="75"/>
  <c r="E3" i="75"/>
  <c r="C3" i="75"/>
  <c r="CC28" i="79"/>
  <c r="CB28" i="79"/>
  <c r="BT28" i="79"/>
  <c r="BN28" i="79"/>
  <c r="BH28" i="79"/>
  <c r="BC28" i="79"/>
  <c r="AW28" i="79"/>
  <c r="AS28" i="79"/>
  <c r="AR28" i="79"/>
  <c r="AQ28" i="79"/>
  <c r="AL28" i="79"/>
  <c r="AK28" i="79"/>
  <c r="AG28" i="79"/>
  <c r="AF28" i="79"/>
  <c r="AB28" i="79"/>
  <c r="Z28" i="79"/>
  <c r="AE28" i="79" s="1"/>
  <c r="AJ28" i="79" s="1"/>
  <c r="AP28" i="79" s="1"/>
  <c r="AU28" i="79" s="1"/>
  <c r="BA28" i="79" s="1"/>
  <c r="BF28" i="79" s="1"/>
  <c r="BL28" i="79" s="1"/>
  <c r="BR28" i="79" s="1"/>
  <c r="Y28" i="79"/>
  <c r="AD28" i="79" s="1"/>
  <c r="AI28" i="79" s="1"/>
  <c r="AO28" i="79" s="1"/>
  <c r="X28" i="79"/>
  <c r="B28" i="79"/>
  <c r="A28" i="79"/>
  <c r="CC27" i="79"/>
  <c r="CB27" i="79"/>
  <c r="BT27" i="79"/>
  <c r="BN27" i="79"/>
  <c r="BH27" i="79"/>
  <c r="BC27" i="79"/>
  <c r="AW27" i="79"/>
  <c r="AS27" i="79"/>
  <c r="AR27" i="79"/>
  <c r="AQ27" i="79"/>
  <c r="AL27" i="79"/>
  <c r="AK27" i="79"/>
  <c r="AG27" i="79"/>
  <c r="AF27" i="79"/>
  <c r="AB27" i="79"/>
  <c r="Y27" i="79"/>
  <c r="AD27" i="79" s="1"/>
  <c r="AI27" i="79" s="1"/>
  <c r="AO27" i="79" s="1"/>
  <c r="X27" i="79"/>
  <c r="B27" i="79"/>
  <c r="CC26" i="79"/>
  <c r="CB26" i="79"/>
  <c r="BT26" i="79"/>
  <c r="BN26" i="79"/>
  <c r="BH26" i="79"/>
  <c r="BC26" i="79"/>
  <c r="AW26" i="79"/>
  <c r="AS26" i="79"/>
  <c r="AR26" i="79"/>
  <c r="AQ26" i="79"/>
  <c r="AL26" i="79"/>
  <c r="AK26" i="79"/>
  <c r="AG26" i="79"/>
  <c r="AF26" i="79"/>
  <c r="AB26" i="79"/>
  <c r="Y26" i="79"/>
  <c r="AD26" i="79" s="1"/>
  <c r="AI26" i="79" s="1"/>
  <c r="AO26" i="79" s="1"/>
  <c r="X26" i="79"/>
  <c r="B26" i="79"/>
  <c r="CC25" i="79"/>
  <c r="BV25" i="79"/>
  <c r="BV26" i="79" s="1"/>
  <c r="BV28" i="79" s="1"/>
  <c r="BU25" i="79"/>
  <c r="BU26" i="79" s="1"/>
  <c r="BU27" i="79" s="1"/>
  <c r="BU28" i="79" s="1"/>
  <c r="BT25" i="79"/>
  <c r="BN25" i="79"/>
  <c r="BH25" i="79"/>
  <c r="BC25" i="79"/>
  <c r="AW25" i="79"/>
  <c r="AS25" i="79"/>
  <c r="AR25" i="79"/>
  <c r="AQ25" i="79"/>
  <c r="AL25" i="79"/>
  <c r="AK25" i="79"/>
  <c r="AG25" i="79"/>
  <c r="AF25" i="79"/>
  <c r="AB25" i="79"/>
  <c r="Z25" i="79"/>
  <c r="AE25" i="79" s="1"/>
  <c r="AJ25" i="79" s="1"/>
  <c r="AP25" i="79" s="1"/>
  <c r="AU25" i="79" s="1"/>
  <c r="BA25" i="79" s="1"/>
  <c r="BF25" i="79" s="1"/>
  <c r="BL25" i="79" s="1"/>
  <c r="BR25" i="79" s="1"/>
  <c r="Y25" i="79"/>
  <c r="AD25" i="79" s="1"/>
  <c r="AI25" i="79" s="1"/>
  <c r="AO25" i="79" s="1"/>
  <c r="X25" i="79"/>
  <c r="B25" i="79"/>
  <c r="CC24" i="79"/>
  <c r="BT24" i="79"/>
  <c r="BN24" i="79"/>
  <c r="BH24" i="79"/>
  <c r="BC24" i="79"/>
  <c r="AW24" i="79"/>
  <c r="AS24" i="79"/>
  <c r="AR24" i="79"/>
  <c r="AQ24" i="79"/>
  <c r="AL24" i="79"/>
  <c r="AK24" i="79"/>
  <c r="AG24" i="79"/>
  <c r="AF24" i="79"/>
  <c r="AB24" i="79"/>
  <c r="Z24" i="79"/>
  <c r="AE24" i="79" s="1"/>
  <c r="AJ24" i="79" s="1"/>
  <c r="AP24" i="79" s="1"/>
  <c r="AU24" i="79" s="1"/>
  <c r="BA24" i="79" s="1"/>
  <c r="BF24" i="79" s="1"/>
  <c r="BL24" i="79" s="1"/>
  <c r="BR24" i="79" s="1"/>
  <c r="Y24" i="79"/>
  <c r="AD24" i="79" s="1"/>
  <c r="AI24" i="79" s="1"/>
  <c r="AO24" i="79" s="1"/>
  <c r="X24" i="79"/>
  <c r="B24" i="79"/>
  <c r="CC23" i="79"/>
  <c r="BT23" i="79"/>
  <c r="BN23" i="79"/>
  <c r="BH23" i="79"/>
  <c r="BC23" i="79"/>
  <c r="AW23" i="79"/>
  <c r="AS23" i="79"/>
  <c r="AR23" i="79"/>
  <c r="AQ23" i="79"/>
  <c r="AL23" i="79"/>
  <c r="AK23" i="79"/>
  <c r="AG23" i="79"/>
  <c r="AF23" i="79"/>
  <c r="AB23" i="79"/>
  <c r="Y23" i="79"/>
  <c r="AD23" i="79" s="1"/>
  <c r="AI23" i="79" s="1"/>
  <c r="AO23" i="79" s="1"/>
  <c r="X23" i="79"/>
  <c r="B23" i="79"/>
  <c r="CC22" i="79"/>
  <c r="BT22" i="79"/>
  <c r="BN22" i="79"/>
  <c r="BH22" i="79"/>
  <c r="BC22" i="79"/>
  <c r="AW22" i="79"/>
  <c r="AS22" i="79"/>
  <c r="AR22" i="79"/>
  <c r="AQ22" i="79"/>
  <c r="AL22" i="79"/>
  <c r="AK22" i="79"/>
  <c r="AG22" i="79"/>
  <c r="AF22" i="79"/>
  <c r="AB22" i="79"/>
  <c r="Y22" i="79"/>
  <c r="AD22" i="79" s="1"/>
  <c r="AI22" i="79" s="1"/>
  <c r="AO22" i="79" s="1"/>
  <c r="X22" i="79"/>
  <c r="B22" i="79"/>
  <c r="CC21" i="79"/>
  <c r="BT21" i="79"/>
  <c r="BN21" i="79"/>
  <c r="BH21" i="79"/>
  <c r="BC21" i="79"/>
  <c r="AW21" i="79"/>
  <c r="AS21" i="79"/>
  <c r="AR21" i="79"/>
  <c r="AQ21" i="79"/>
  <c r="AL21" i="79"/>
  <c r="AK21" i="79"/>
  <c r="AG21" i="79"/>
  <c r="AF21" i="79"/>
  <c r="AB21" i="79"/>
  <c r="Y21" i="79"/>
  <c r="AD21" i="79" s="1"/>
  <c r="AI21" i="79" s="1"/>
  <c r="AO21" i="79" s="1"/>
  <c r="X21" i="79"/>
  <c r="B21" i="79"/>
  <c r="CC20" i="79"/>
  <c r="BT20" i="79"/>
  <c r="BN20" i="79"/>
  <c r="BH20" i="79"/>
  <c r="BC20" i="79"/>
  <c r="AW20" i="79"/>
  <c r="AS20" i="79"/>
  <c r="AR20" i="79"/>
  <c r="AQ20" i="79"/>
  <c r="AL20" i="79"/>
  <c r="AK20" i="79"/>
  <c r="AG20" i="79"/>
  <c r="AF20" i="79"/>
  <c r="AB20" i="79"/>
  <c r="Y20" i="79"/>
  <c r="AD20" i="79" s="1"/>
  <c r="AI20" i="79" s="1"/>
  <c r="AO20" i="79" s="1"/>
  <c r="X20" i="79"/>
  <c r="B20" i="79"/>
  <c r="CC19" i="79"/>
  <c r="BT19" i="79"/>
  <c r="BN19" i="79"/>
  <c r="BH19" i="79"/>
  <c r="BC19" i="79"/>
  <c r="AW19" i="79"/>
  <c r="AS19" i="79"/>
  <c r="AR19" i="79"/>
  <c r="AQ19" i="79"/>
  <c r="AL19" i="79"/>
  <c r="AK19" i="79"/>
  <c r="AG19" i="79"/>
  <c r="AF19" i="79"/>
  <c r="AB19" i="79"/>
  <c r="Y19" i="79"/>
  <c r="AD19" i="79" s="1"/>
  <c r="AI19" i="79" s="1"/>
  <c r="AO19" i="79" s="1"/>
  <c r="X19" i="79"/>
  <c r="B19" i="79"/>
  <c r="CC18" i="79"/>
  <c r="BV18" i="79"/>
  <c r="BV19" i="79" s="1"/>
  <c r="BV21" i="79" s="1"/>
  <c r="BU18" i="79"/>
  <c r="BU19" i="79" s="1"/>
  <c r="BU20" i="79" s="1"/>
  <c r="BU21" i="79" s="1"/>
  <c r="BU22" i="79" s="1"/>
  <c r="BT18" i="79"/>
  <c r="BN18" i="79"/>
  <c r="BH18" i="79"/>
  <c r="BC18" i="79"/>
  <c r="AW18" i="79"/>
  <c r="AS18" i="79"/>
  <c r="AR18" i="79"/>
  <c r="AQ18" i="79"/>
  <c r="AL18" i="79"/>
  <c r="AK18" i="79"/>
  <c r="AG18" i="79"/>
  <c r="AF18" i="79"/>
  <c r="AB18" i="79"/>
  <c r="Y18" i="79"/>
  <c r="AD18" i="79" s="1"/>
  <c r="AI18" i="79" s="1"/>
  <c r="AO18" i="79" s="1"/>
  <c r="X18" i="79"/>
  <c r="B18" i="79"/>
  <c r="CC17" i="79"/>
  <c r="BW17" i="79"/>
  <c r="BW23" i="79" s="1"/>
  <c r="BT17" i="79"/>
  <c r="BN17" i="79"/>
  <c r="BH17" i="79"/>
  <c r="BC17" i="79"/>
  <c r="AW17" i="79"/>
  <c r="AS17" i="79"/>
  <c r="AR17" i="79"/>
  <c r="AQ17" i="79"/>
  <c r="AL17" i="79"/>
  <c r="AK17" i="79"/>
  <c r="AG17" i="79"/>
  <c r="AF17" i="79"/>
  <c r="AB17" i="79"/>
  <c r="Y17" i="79"/>
  <c r="AD17" i="79" s="1"/>
  <c r="AI17" i="79" s="1"/>
  <c r="AO17" i="79" s="1"/>
  <c r="X17" i="79"/>
  <c r="B17" i="79"/>
  <c r="CC16" i="79"/>
  <c r="BT16" i="79"/>
  <c r="BN16" i="79"/>
  <c r="BH16" i="79"/>
  <c r="BC16" i="79"/>
  <c r="AW16" i="79"/>
  <c r="AS16" i="79"/>
  <c r="AR16" i="79"/>
  <c r="AQ16" i="79"/>
  <c r="AL16" i="79"/>
  <c r="AK16" i="79"/>
  <c r="AG16" i="79"/>
  <c r="AF16" i="79"/>
  <c r="AB16" i="79"/>
  <c r="Y16" i="79"/>
  <c r="AD16" i="79" s="1"/>
  <c r="AI16" i="79" s="1"/>
  <c r="AO16" i="79" s="1"/>
  <c r="X16" i="79"/>
  <c r="B16" i="79"/>
  <c r="CC15" i="79"/>
  <c r="BT15" i="79"/>
  <c r="BN15" i="79"/>
  <c r="BH15" i="79"/>
  <c r="BC15" i="79"/>
  <c r="AW15" i="79"/>
  <c r="AS15" i="79"/>
  <c r="AR15" i="79"/>
  <c r="AQ15" i="79"/>
  <c r="AL15" i="79"/>
  <c r="AK15" i="79"/>
  <c r="AG15" i="79"/>
  <c r="AF15" i="79"/>
  <c r="AB15" i="79"/>
  <c r="Y15" i="79"/>
  <c r="AD15" i="79" s="1"/>
  <c r="AI15" i="79" s="1"/>
  <c r="AO15" i="79" s="1"/>
  <c r="X15" i="79"/>
  <c r="B15" i="79"/>
  <c r="CC14" i="79"/>
  <c r="BT14" i="79"/>
  <c r="BN14" i="79"/>
  <c r="BH14" i="79"/>
  <c r="BC14" i="79"/>
  <c r="AW14" i="79"/>
  <c r="AS14" i="79"/>
  <c r="AR14" i="79"/>
  <c r="AQ14" i="79"/>
  <c r="AL14" i="79"/>
  <c r="AK14" i="79"/>
  <c r="AG14" i="79"/>
  <c r="AF14" i="79"/>
  <c r="AB14" i="79"/>
  <c r="Y14" i="79"/>
  <c r="AD14" i="79" s="1"/>
  <c r="AI14" i="79" s="1"/>
  <c r="AO14" i="79" s="1"/>
  <c r="X14" i="79"/>
  <c r="B14" i="79"/>
  <c r="CC13" i="79"/>
  <c r="BT13" i="79"/>
  <c r="BN13" i="79"/>
  <c r="BH13" i="79"/>
  <c r="BC13" i="79"/>
  <c r="AW13" i="79"/>
  <c r="AS13" i="79"/>
  <c r="AR13" i="79"/>
  <c r="AQ13" i="79"/>
  <c r="AL13" i="79"/>
  <c r="AK13" i="79"/>
  <c r="AG13" i="79"/>
  <c r="AF13" i="79"/>
  <c r="AB13" i="79"/>
  <c r="Y13" i="79"/>
  <c r="AD13" i="79" s="1"/>
  <c r="AI13" i="79" s="1"/>
  <c r="AO13" i="79" s="1"/>
  <c r="X13" i="79"/>
  <c r="B13" i="79"/>
  <c r="CC12" i="79"/>
  <c r="BU12" i="79"/>
  <c r="BU13" i="79" s="1"/>
  <c r="BU14" i="79" s="1"/>
  <c r="BU15" i="79" s="1"/>
  <c r="BU16" i="79" s="1"/>
  <c r="BT12" i="79"/>
  <c r="BN12" i="79"/>
  <c r="BH12" i="79"/>
  <c r="BC12" i="79"/>
  <c r="AW12" i="79"/>
  <c r="AS12" i="79"/>
  <c r="AR12" i="79"/>
  <c r="AQ12" i="79"/>
  <c r="AL12" i="79"/>
  <c r="AK12" i="79"/>
  <c r="AG12" i="79"/>
  <c r="AF12" i="79"/>
  <c r="AB12" i="79"/>
  <c r="Z12" i="79"/>
  <c r="AE12" i="79" s="1"/>
  <c r="AJ12" i="79" s="1"/>
  <c r="AP12" i="79" s="1"/>
  <c r="AU12" i="79" s="1"/>
  <c r="BA12" i="79" s="1"/>
  <c r="BF12" i="79" s="1"/>
  <c r="BL12" i="79" s="1"/>
  <c r="BR12" i="79" s="1"/>
  <c r="Y12" i="79"/>
  <c r="AD12" i="79" s="1"/>
  <c r="AI12" i="79" s="1"/>
  <c r="AO12" i="79" s="1"/>
  <c r="X12" i="79"/>
  <c r="B12" i="79"/>
  <c r="A12" i="79"/>
  <c r="CC11" i="79"/>
  <c r="BV11" i="79"/>
  <c r="BV12" i="79" s="1"/>
  <c r="BT11" i="79"/>
  <c r="BN11" i="79"/>
  <c r="BH11" i="79"/>
  <c r="BC11" i="79"/>
  <c r="AW11" i="79"/>
  <c r="AS11" i="79"/>
  <c r="AR11" i="79"/>
  <c r="AQ11" i="79"/>
  <c r="AL11" i="79"/>
  <c r="AK11" i="79"/>
  <c r="AG11" i="79"/>
  <c r="AF11" i="79"/>
  <c r="AB11" i="79"/>
  <c r="Y11" i="79"/>
  <c r="AD11" i="79" s="1"/>
  <c r="AI11" i="79" s="1"/>
  <c r="AO11" i="79" s="1"/>
  <c r="X11" i="79"/>
  <c r="B11" i="79"/>
  <c r="CC10" i="79"/>
  <c r="CB10" i="79"/>
  <c r="BW10" i="79"/>
  <c r="BU10" i="79"/>
  <c r="BT10" i="79"/>
  <c r="BN10" i="79"/>
  <c r="BH10" i="79"/>
  <c r="BC10" i="79"/>
  <c r="AW10" i="79"/>
  <c r="AS10" i="79"/>
  <c r="AR10" i="79"/>
  <c r="AQ10" i="79"/>
  <c r="AL10" i="79"/>
  <c r="AK10" i="79"/>
  <c r="AI10" i="79"/>
  <c r="AO10" i="79" s="1"/>
  <c r="AG10" i="79"/>
  <c r="AF10" i="79"/>
  <c r="AB10" i="79"/>
  <c r="Y10" i="79"/>
  <c r="AD10" i="79" s="1"/>
  <c r="X10" i="79"/>
  <c r="S10" i="79"/>
  <c r="S12" i="79" s="1"/>
  <c r="S14" i="79" s="1"/>
  <c r="S16" i="79" s="1"/>
  <c r="S18" i="79" s="1"/>
  <c r="R10" i="79"/>
  <c r="R12" i="79" s="1"/>
  <c r="R14" i="79" s="1"/>
  <c r="R16" i="79" s="1"/>
  <c r="R18" i="79" s="1"/>
  <c r="Q10" i="79"/>
  <c r="Q12" i="79" s="1"/>
  <c r="Q14" i="79" s="1"/>
  <c r="Q16" i="79" s="1"/>
  <c r="Q18" i="79" s="1"/>
  <c r="P10" i="79"/>
  <c r="P12" i="79" s="1"/>
  <c r="P14" i="79" s="1"/>
  <c r="P16" i="79" s="1"/>
  <c r="P18" i="79" s="1"/>
  <c r="B10" i="79"/>
  <c r="CC9" i="79"/>
  <c r="BT9" i="79"/>
  <c r="BN9" i="79"/>
  <c r="BH9" i="79"/>
  <c r="BC9" i="79"/>
  <c r="AW9" i="79"/>
  <c r="AS9" i="79"/>
  <c r="AR9" i="79"/>
  <c r="AQ9" i="79"/>
  <c r="AL9" i="79"/>
  <c r="AK9" i="79"/>
  <c r="AG9" i="79"/>
  <c r="AF9" i="79"/>
  <c r="AB9" i="79"/>
  <c r="Y9" i="79"/>
  <c r="AD9" i="79" s="1"/>
  <c r="AI9" i="79" s="1"/>
  <c r="AO9" i="79" s="1"/>
  <c r="X9" i="79"/>
  <c r="B9" i="79"/>
  <c r="CC8" i="79"/>
  <c r="BT8" i="79"/>
  <c r="BN8" i="79"/>
  <c r="BH8" i="79"/>
  <c r="BC8" i="79"/>
  <c r="AW8" i="79"/>
  <c r="AS8" i="79"/>
  <c r="AR8" i="79"/>
  <c r="AQ8" i="79"/>
  <c r="AL8" i="79"/>
  <c r="AK8" i="79"/>
  <c r="AG8" i="79"/>
  <c r="AF8" i="79"/>
  <c r="AB8" i="79"/>
  <c r="Y8" i="79"/>
  <c r="AD8" i="79" s="1"/>
  <c r="AI8" i="79" s="1"/>
  <c r="AO8" i="79" s="1"/>
  <c r="X8" i="79"/>
  <c r="B8" i="79"/>
  <c r="CC7" i="79"/>
  <c r="BT7" i="79"/>
  <c r="BN7" i="79"/>
  <c r="BH7" i="79"/>
  <c r="BC7" i="79"/>
  <c r="AW7" i="79"/>
  <c r="AS7" i="79"/>
  <c r="AR7" i="79"/>
  <c r="AQ7" i="79"/>
  <c r="AL7" i="79"/>
  <c r="AK7" i="79"/>
  <c r="AG7" i="79"/>
  <c r="AF7" i="79"/>
  <c r="AB7" i="79"/>
  <c r="Y7" i="79"/>
  <c r="AD7" i="79" s="1"/>
  <c r="AI7" i="79" s="1"/>
  <c r="AO7" i="79" s="1"/>
  <c r="X7" i="79"/>
  <c r="B7" i="79"/>
  <c r="CC6" i="79"/>
  <c r="BU6" i="79"/>
  <c r="BU7" i="79" s="1"/>
  <c r="BU8" i="79" s="1"/>
  <c r="BU9" i="79" s="1"/>
  <c r="BT6" i="79"/>
  <c r="BN6" i="79"/>
  <c r="BH6" i="79"/>
  <c r="BC6" i="79"/>
  <c r="AW6" i="79"/>
  <c r="AS6" i="79"/>
  <c r="AR6" i="79"/>
  <c r="AQ6" i="79"/>
  <c r="AL6" i="79"/>
  <c r="AK6" i="79"/>
  <c r="AG6" i="79"/>
  <c r="AF6" i="79"/>
  <c r="AB6" i="79"/>
  <c r="Y6" i="79"/>
  <c r="AD6" i="79" s="1"/>
  <c r="AI6" i="79" s="1"/>
  <c r="AO6" i="79" s="1"/>
  <c r="X6" i="79"/>
  <c r="Q6" i="79"/>
  <c r="P6" i="79"/>
  <c r="B6" i="79"/>
  <c r="CC5" i="79"/>
  <c r="BV5" i="79"/>
  <c r="BV6" i="79" s="1"/>
  <c r="BV7" i="79" s="1"/>
  <c r="BV8" i="79" s="1"/>
  <c r="BV9" i="79" s="1"/>
  <c r="BT5" i="79"/>
  <c r="BN5" i="79"/>
  <c r="BH5" i="79"/>
  <c r="BC5" i="79"/>
  <c r="AW5" i="79"/>
  <c r="AS5" i="79"/>
  <c r="AR5" i="79"/>
  <c r="AQ5" i="79"/>
  <c r="AL5" i="79"/>
  <c r="AK5" i="79"/>
  <c r="AG5" i="79"/>
  <c r="AF5" i="79"/>
  <c r="AB5" i="79"/>
  <c r="Y5" i="79"/>
  <c r="AD5" i="79" s="1"/>
  <c r="AI5" i="79" s="1"/>
  <c r="AO5" i="79" s="1"/>
  <c r="X5" i="79"/>
  <c r="O5" i="79"/>
  <c r="O6" i="79" s="1"/>
  <c r="N5" i="79"/>
  <c r="BI5" i="79" s="1"/>
  <c r="M5" i="79"/>
  <c r="M6" i="79" s="1"/>
  <c r="M7" i="79" s="1"/>
  <c r="BD7" i="79" s="1"/>
  <c r="L5" i="79"/>
  <c r="L6" i="79" s="1"/>
  <c r="AX6" i="79" s="1"/>
  <c r="H5" i="79"/>
  <c r="F5" i="79"/>
  <c r="F6" i="79" s="1"/>
  <c r="AH6" i="79" s="1"/>
  <c r="D5" i="79"/>
  <c r="D6" i="79" s="1"/>
  <c r="AC6" i="79" s="1"/>
  <c r="B5" i="79"/>
  <c r="CC4" i="79"/>
  <c r="BV4" i="79"/>
  <c r="BT4" i="79"/>
  <c r="BO4" i="79"/>
  <c r="BO3" i="79" s="1"/>
  <c r="BN4" i="79"/>
  <c r="BI4" i="79"/>
  <c r="BI3" i="79" s="1"/>
  <c r="BH4" i="79"/>
  <c r="BD4" i="79"/>
  <c r="BC4" i="79"/>
  <c r="BB4" i="79"/>
  <c r="BB5" i="79" s="1"/>
  <c r="BB6" i="79" s="1"/>
  <c r="BB7" i="79" s="1"/>
  <c r="BB8" i="79" s="1"/>
  <c r="BB9" i="79" s="1"/>
  <c r="BB10" i="79" s="1"/>
  <c r="BB11" i="79" s="1"/>
  <c r="BB12" i="79" s="1"/>
  <c r="BB13" i="79" s="1"/>
  <c r="BB14" i="79" s="1"/>
  <c r="BB15" i="79" s="1"/>
  <c r="BB16" i="79" s="1"/>
  <c r="BB17" i="79" s="1"/>
  <c r="BB18" i="79" s="1"/>
  <c r="BB19" i="79" s="1"/>
  <c r="BB20" i="79" s="1"/>
  <c r="BB21" i="79" s="1"/>
  <c r="BB22" i="79" s="1"/>
  <c r="BB23" i="79" s="1"/>
  <c r="BB24" i="79" s="1"/>
  <c r="BB25" i="79" s="1"/>
  <c r="BB26" i="79" s="1"/>
  <c r="BB27" i="79" s="1"/>
  <c r="BB28" i="79" s="1"/>
  <c r="AZ4" i="79"/>
  <c r="AZ5" i="79" s="1"/>
  <c r="AZ6" i="79" s="1"/>
  <c r="AZ7" i="79" s="1"/>
  <c r="AZ8" i="79" s="1"/>
  <c r="AZ9" i="79" s="1"/>
  <c r="AZ10" i="79" s="1"/>
  <c r="AZ11" i="79" s="1"/>
  <c r="AZ12" i="79" s="1"/>
  <c r="AZ13" i="79" s="1"/>
  <c r="AZ14" i="79" s="1"/>
  <c r="AZ15" i="79" s="1"/>
  <c r="AZ16" i="79" s="1"/>
  <c r="AZ17" i="79" s="1"/>
  <c r="AZ18" i="79" s="1"/>
  <c r="AZ19" i="79" s="1"/>
  <c r="AZ20" i="79" s="1"/>
  <c r="AZ21" i="79" s="1"/>
  <c r="AZ22" i="79" s="1"/>
  <c r="AZ23" i="79" s="1"/>
  <c r="AZ24" i="79" s="1"/>
  <c r="AZ25" i="79" s="1"/>
  <c r="AZ26" i="79" s="1"/>
  <c r="AZ27" i="79" s="1"/>
  <c r="AZ28" i="79" s="1"/>
  <c r="AX4" i="79"/>
  <c r="AX3" i="79" s="1"/>
  <c r="AW4" i="79"/>
  <c r="AV4" i="79"/>
  <c r="AV5" i="79" s="1"/>
  <c r="AV6" i="79" s="1"/>
  <c r="AV7" i="79" s="1"/>
  <c r="AV8" i="79" s="1"/>
  <c r="AV9" i="79" s="1"/>
  <c r="AV10" i="79" s="1"/>
  <c r="AV11" i="79" s="1"/>
  <c r="AV12" i="79" s="1"/>
  <c r="AV13" i="79" s="1"/>
  <c r="AV14" i="79" s="1"/>
  <c r="AV15" i="79" s="1"/>
  <c r="AV16" i="79" s="1"/>
  <c r="AV17" i="79" s="1"/>
  <c r="AV18" i="79" s="1"/>
  <c r="AV19" i="79" s="1"/>
  <c r="AV20" i="79" s="1"/>
  <c r="AV21" i="79" s="1"/>
  <c r="AV22" i="79" s="1"/>
  <c r="AV23" i="79" s="1"/>
  <c r="AV24" i="79" s="1"/>
  <c r="AV25" i="79" s="1"/>
  <c r="AV26" i="79" s="1"/>
  <c r="AV27" i="79" s="1"/>
  <c r="AV28" i="79" s="1"/>
  <c r="AS4" i="79"/>
  <c r="AR4" i="79"/>
  <c r="AQ4" i="79"/>
  <c r="AO4" i="79"/>
  <c r="AN4" i="79"/>
  <c r="AL4" i="79"/>
  <c r="AK4" i="79"/>
  <c r="AH4" i="79"/>
  <c r="AG4" i="79"/>
  <c r="AF4" i="79"/>
  <c r="AC4" i="79"/>
  <c r="AB4" i="79"/>
  <c r="Y4" i="79"/>
  <c r="AD4" i="79" s="1"/>
  <c r="AI4" i="79" s="1"/>
  <c r="X4" i="79"/>
  <c r="B4" i="79"/>
  <c r="B3" i="79" s="1"/>
  <c r="CC3" i="79"/>
  <c r="BU3" i="79"/>
  <c r="BT3" i="79"/>
  <c r="BQ3" i="79"/>
  <c r="BQ4" i="79" s="1"/>
  <c r="BQ5" i="79" s="1"/>
  <c r="BQ6" i="79" s="1"/>
  <c r="BQ7" i="79" s="1"/>
  <c r="BQ8" i="79" s="1"/>
  <c r="BQ9" i="79" s="1"/>
  <c r="BQ10" i="79" s="1"/>
  <c r="BQ11" i="79" s="1"/>
  <c r="BQ12" i="79" s="1"/>
  <c r="BQ13" i="79" s="1"/>
  <c r="BQ14" i="79" s="1"/>
  <c r="BQ15" i="79" s="1"/>
  <c r="BQ16" i="79" s="1"/>
  <c r="BQ17" i="79" s="1"/>
  <c r="BQ18" i="79" s="1"/>
  <c r="BQ19" i="79" s="1"/>
  <c r="BQ20" i="79" s="1"/>
  <c r="BQ21" i="79" s="1"/>
  <c r="BQ22" i="79" s="1"/>
  <c r="BQ23" i="79" s="1"/>
  <c r="BQ24" i="79" s="1"/>
  <c r="BQ25" i="79" s="1"/>
  <c r="BQ26" i="79" s="1"/>
  <c r="BQ27" i="79" s="1"/>
  <c r="BQ28" i="79" s="1"/>
  <c r="BN3" i="79"/>
  <c r="BK3" i="79"/>
  <c r="BK4" i="79" s="1"/>
  <c r="BK5" i="79" s="1"/>
  <c r="BK6" i="79" s="1"/>
  <c r="BK7" i="79" s="1"/>
  <c r="BK8" i="79" s="1"/>
  <c r="BK9" i="79" s="1"/>
  <c r="BK10" i="79" s="1"/>
  <c r="BK11" i="79" s="1"/>
  <c r="BK12" i="79" s="1"/>
  <c r="BK13" i="79" s="1"/>
  <c r="BK14" i="79" s="1"/>
  <c r="BK15" i="79" s="1"/>
  <c r="BK16" i="79" s="1"/>
  <c r="BK17" i="79" s="1"/>
  <c r="BK18" i="79" s="1"/>
  <c r="BK19" i="79" s="1"/>
  <c r="BK20" i="79" s="1"/>
  <c r="BK21" i="79" s="1"/>
  <c r="BK22" i="79" s="1"/>
  <c r="BK23" i="79" s="1"/>
  <c r="BK24" i="79" s="1"/>
  <c r="BK25" i="79" s="1"/>
  <c r="BK26" i="79" s="1"/>
  <c r="BK27" i="79" s="1"/>
  <c r="BK28" i="79" s="1"/>
  <c r="BH3" i="79"/>
  <c r="BD3" i="79"/>
  <c r="BC3" i="79"/>
  <c r="AZ3" i="79"/>
  <c r="AP3" i="79"/>
  <c r="AJ3" i="79"/>
  <c r="AE3" i="79"/>
  <c r="Y3" i="79"/>
  <c r="AD3" i="79" s="1"/>
  <c r="AI3" i="79" s="1"/>
  <c r="AO3" i="79" s="1"/>
  <c r="T3" i="79"/>
  <c r="X3" i="79" s="1"/>
  <c r="O3" i="79"/>
  <c r="N3" i="79"/>
  <c r="M3" i="79"/>
  <c r="L3" i="79"/>
  <c r="J3" i="79"/>
  <c r="AS3" i="79" s="1"/>
  <c r="H3" i="79"/>
  <c r="AN3" i="79" s="1"/>
  <c r="F3" i="79"/>
  <c r="AH3" i="79" s="1"/>
  <c r="D3" i="79"/>
  <c r="AC3" i="79" s="1"/>
  <c r="AS2" i="79"/>
  <c r="AQ2" i="79"/>
  <c r="X2" i="79"/>
  <c r="AA9" i="79" s="1"/>
  <c r="A2" i="79"/>
  <c r="BI1" i="79"/>
  <c r="BM4" i="79" s="1"/>
  <c r="BM5" i="79" s="1"/>
  <c r="BM6" i="79" s="1"/>
  <c r="BM7" i="79" s="1"/>
  <c r="BM8" i="79" s="1"/>
  <c r="BM9" i="79" s="1"/>
  <c r="BM10" i="79" s="1"/>
  <c r="BM11" i="79" s="1"/>
  <c r="BM12" i="79" s="1"/>
  <c r="BM13" i="79" s="1"/>
  <c r="BM14" i="79" s="1"/>
  <c r="BM15" i="79" s="1"/>
  <c r="BM16" i="79" s="1"/>
  <c r="BM17" i="79" s="1"/>
  <c r="BM18" i="79" s="1"/>
  <c r="BM19" i="79" s="1"/>
  <c r="BM20" i="79" s="1"/>
  <c r="BM21" i="79" s="1"/>
  <c r="BM22" i="79" s="1"/>
  <c r="BM23" i="79" s="1"/>
  <c r="BM24" i="79" s="1"/>
  <c r="BM25" i="79" s="1"/>
  <c r="BM26" i="79" s="1"/>
  <c r="BM27" i="79" s="1"/>
  <c r="BM28" i="79" s="1"/>
  <c r="BD1" i="79"/>
  <c r="BG4" i="79" s="1"/>
  <c r="BG5" i="79" s="1"/>
  <c r="BG6" i="79" s="1"/>
  <c r="BG7" i="79" s="1"/>
  <c r="BG8" i="79" s="1"/>
  <c r="BG9" i="79" s="1"/>
  <c r="BG10" i="79" s="1"/>
  <c r="BG11" i="79" s="1"/>
  <c r="BG12" i="79" s="1"/>
  <c r="BG13" i="79" s="1"/>
  <c r="BG14" i="79" s="1"/>
  <c r="BG15" i="79" s="1"/>
  <c r="BG16" i="79" s="1"/>
  <c r="BG17" i="79" s="1"/>
  <c r="BG18" i="79" s="1"/>
  <c r="BG19" i="79" s="1"/>
  <c r="BG20" i="79" s="1"/>
  <c r="BG21" i="79" s="1"/>
  <c r="BG22" i="79" s="1"/>
  <c r="BG23" i="79" s="1"/>
  <c r="BG24" i="79" s="1"/>
  <c r="BG25" i="79" s="1"/>
  <c r="BG26" i="79" s="1"/>
  <c r="BG27" i="79" s="1"/>
  <c r="BG28" i="79" s="1"/>
  <c r="B1" i="79"/>
  <c r="A1" i="79"/>
  <c r="V28" i="75"/>
  <c r="AA28" i="75" s="1"/>
  <c r="V27" i="75"/>
  <c r="AA27" i="75" s="1"/>
  <c r="V26" i="75"/>
  <c r="V25" i="75"/>
  <c r="AA25" i="75" s="1"/>
  <c r="V24" i="75"/>
  <c r="AA24" i="75" s="1"/>
  <c r="V23" i="75"/>
  <c r="AA23" i="75" s="1"/>
  <c r="V22" i="75"/>
  <c r="AA22" i="75" s="1"/>
  <c r="V21" i="75"/>
  <c r="V20" i="75"/>
  <c r="V19" i="75"/>
  <c r="V18" i="75"/>
  <c r="V17" i="75"/>
  <c r="AA17" i="75" s="1"/>
  <c r="V16" i="75"/>
  <c r="V15" i="75"/>
  <c r="V14" i="75"/>
  <c r="V13" i="75"/>
  <c r="V12" i="75"/>
  <c r="AA12" i="75" s="1"/>
  <c r="V11" i="75"/>
  <c r="V10" i="75"/>
  <c r="V9" i="75"/>
  <c r="V8" i="75"/>
  <c r="V7" i="75"/>
  <c r="V6" i="75"/>
  <c r="V5" i="75"/>
  <c r="AA5" i="75" s="1"/>
  <c r="V4" i="75"/>
  <c r="V3" i="75"/>
  <c r="AA3" i="75" s="1"/>
  <c r="BV17" i="75"/>
  <c r="BV23" i="75" s="1"/>
  <c r="BV10" i="75"/>
  <c r="W28" i="75"/>
  <c r="W27" i="75"/>
  <c r="U28" i="75"/>
  <c r="U27" i="75"/>
  <c r="U26" i="75"/>
  <c r="U25" i="75"/>
  <c r="U24" i="75"/>
  <c r="U23" i="75"/>
  <c r="U22" i="75"/>
  <c r="U21" i="75"/>
  <c r="U20" i="75"/>
  <c r="U19" i="75"/>
  <c r="U18" i="75"/>
  <c r="U17" i="75"/>
  <c r="U16" i="75"/>
  <c r="U15" i="75"/>
  <c r="U14" i="75"/>
  <c r="U13" i="75"/>
  <c r="U12" i="75"/>
  <c r="U11" i="75"/>
  <c r="U10" i="75"/>
  <c r="U9" i="75"/>
  <c r="U8" i="75"/>
  <c r="U7" i="75"/>
  <c r="U6" i="75"/>
  <c r="U5" i="75"/>
  <c r="U4" i="75"/>
  <c r="B1" i="75"/>
  <c r="A2" i="75"/>
  <c r="A1" i="75"/>
  <c r="B28" i="75"/>
  <c r="B27" i="75"/>
  <c r="B26" i="75"/>
  <c r="B25" i="75"/>
  <c r="B24" i="75"/>
  <c r="B23" i="75"/>
  <c r="B22" i="75"/>
  <c r="B21" i="75"/>
  <c r="B20" i="75"/>
  <c r="B19" i="75"/>
  <c r="B18" i="75"/>
  <c r="B17" i="75"/>
  <c r="B16" i="75"/>
  <c r="B15" i="75"/>
  <c r="B14" i="75"/>
  <c r="B13" i="75"/>
  <c r="B12" i="75"/>
  <c r="B11" i="75"/>
  <c r="B10" i="75"/>
  <c r="B9" i="75"/>
  <c r="B8" i="75"/>
  <c r="B7" i="75"/>
  <c r="B6" i="75"/>
  <c r="B5" i="75"/>
  <c r="B4" i="75"/>
  <c r="B3" i="75" s="1"/>
  <c r="A3" i="75"/>
  <c r="A28" i="75"/>
  <c r="A27" i="75"/>
  <c r="A26" i="75"/>
  <c r="A25" i="75"/>
  <c r="A24" i="75"/>
  <c r="A23" i="75"/>
  <c r="A22" i="75"/>
  <c r="A21" i="75"/>
  <c r="A20" i="75"/>
  <c r="A19" i="75"/>
  <c r="A18" i="75"/>
  <c r="A17" i="75"/>
  <c r="A16" i="75"/>
  <c r="A15" i="75"/>
  <c r="A14" i="75"/>
  <c r="A13" i="75"/>
  <c r="A12" i="75"/>
  <c r="A11" i="75"/>
  <c r="A10" i="75"/>
  <c r="A9" i="75"/>
  <c r="A8" i="75"/>
  <c r="A7" i="75"/>
  <c r="A6" i="75"/>
  <c r="A5" i="75"/>
  <c r="A4" i="75"/>
  <c r="CQ28" i="75"/>
  <c r="CQ27" i="75"/>
  <c r="CQ26" i="75"/>
  <c r="CQ25" i="75"/>
  <c r="CQ24" i="75"/>
  <c r="CQ23" i="75"/>
  <c r="CQ22" i="75"/>
  <c r="CQ21" i="75"/>
  <c r="CQ20" i="75"/>
  <c r="CQ19" i="75"/>
  <c r="CQ18" i="75"/>
  <c r="CQ17" i="75"/>
  <c r="CQ16" i="75"/>
  <c r="CQ15" i="75"/>
  <c r="CQ14" i="75"/>
  <c r="CQ13" i="75"/>
  <c r="CQ12" i="75"/>
  <c r="CQ11" i="75"/>
  <c r="CQ10" i="75"/>
  <c r="CQ9" i="75"/>
  <c r="CQ8" i="75"/>
  <c r="CQ7" i="75"/>
  <c r="CQ6" i="75"/>
  <c r="CQ5" i="75"/>
  <c r="CQ4" i="75"/>
  <c r="CQ3" i="75"/>
  <c r="CP28" i="75"/>
  <c r="CP27" i="75"/>
  <c r="CP26" i="75"/>
  <c r="CP25" i="75"/>
  <c r="CP24" i="75"/>
  <c r="CP23" i="75"/>
  <c r="CP22" i="75"/>
  <c r="CP21" i="75"/>
  <c r="CP20" i="75"/>
  <c r="CP19" i="75"/>
  <c r="CP18" i="75"/>
  <c r="CP17" i="75"/>
  <c r="CP16" i="75"/>
  <c r="CP15" i="75"/>
  <c r="CP14" i="75"/>
  <c r="CP13" i="75"/>
  <c r="CP12" i="75"/>
  <c r="CP11" i="75"/>
  <c r="CP10" i="75"/>
  <c r="CP9" i="75"/>
  <c r="CP8" i="75"/>
  <c r="CP7" i="75"/>
  <c r="CP6" i="75"/>
  <c r="CP5" i="75"/>
  <c r="CP4" i="75"/>
  <c r="CP3" i="75"/>
  <c r="BU18" i="75"/>
  <c r="BU19" i="75" s="1"/>
  <c r="BU20" i="75" s="1"/>
  <c r="BU21" i="75" s="1"/>
  <c r="BU22" i="75" s="1"/>
  <c r="BW11" i="75"/>
  <c r="BT28" i="75"/>
  <c r="BT27" i="75"/>
  <c r="BT26" i="75"/>
  <c r="BT25" i="75"/>
  <c r="BT24" i="75"/>
  <c r="BT23" i="75"/>
  <c r="BT22" i="75"/>
  <c r="BT21" i="75"/>
  <c r="BT20" i="75"/>
  <c r="BT19" i="75"/>
  <c r="BT18" i="75"/>
  <c r="BT17" i="75"/>
  <c r="BT16" i="75"/>
  <c r="BT15" i="75"/>
  <c r="BT14" i="75"/>
  <c r="BT13" i="75"/>
  <c r="BT12" i="75"/>
  <c r="BT11" i="75"/>
  <c r="BT10" i="75"/>
  <c r="BT9" i="75"/>
  <c r="BT8" i="75"/>
  <c r="BT7" i="75"/>
  <c r="BT6" i="75"/>
  <c r="BT5" i="75"/>
  <c r="BT4" i="75"/>
  <c r="BO28" i="75"/>
  <c r="BO27" i="75"/>
  <c r="BO26" i="75"/>
  <c r="BO25" i="75"/>
  <c r="BO24" i="75"/>
  <c r="BO23" i="75"/>
  <c r="BO22" i="75"/>
  <c r="BO21" i="75"/>
  <c r="BO20" i="75"/>
  <c r="BO19" i="75"/>
  <c r="BO18" i="75"/>
  <c r="BO17" i="75"/>
  <c r="BO16" i="75"/>
  <c r="BO15" i="75"/>
  <c r="BO14" i="75"/>
  <c r="BO13" i="75"/>
  <c r="BO12" i="75"/>
  <c r="BO11" i="75"/>
  <c r="BO10" i="75"/>
  <c r="BO9" i="75"/>
  <c r="BO8" i="75"/>
  <c r="BO7" i="75"/>
  <c r="BO6" i="75"/>
  <c r="BO5" i="75"/>
  <c r="BO4" i="75"/>
  <c r="BJ28" i="75"/>
  <c r="BJ27" i="75"/>
  <c r="BJ26" i="75"/>
  <c r="BJ25" i="75"/>
  <c r="BJ24" i="75"/>
  <c r="BJ23" i="75"/>
  <c r="BJ22" i="75"/>
  <c r="BJ21" i="75"/>
  <c r="BJ20" i="75"/>
  <c r="BJ19" i="75"/>
  <c r="BJ18" i="75"/>
  <c r="BJ17" i="75"/>
  <c r="BJ16" i="75"/>
  <c r="BJ15" i="75"/>
  <c r="BJ14" i="75"/>
  <c r="BJ13" i="75"/>
  <c r="BJ12" i="75"/>
  <c r="BJ11" i="75"/>
  <c r="BJ10" i="75"/>
  <c r="BJ9" i="75"/>
  <c r="BJ8" i="75"/>
  <c r="BJ7" i="75"/>
  <c r="BJ6" i="75"/>
  <c r="BJ5" i="75"/>
  <c r="BJ4" i="75"/>
  <c r="BE28" i="75"/>
  <c r="BE27" i="75"/>
  <c r="BE26" i="75"/>
  <c r="BE25" i="75"/>
  <c r="BE24" i="75"/>
  <c r="BE23" i="75"/>
  <c r="BE22" i="75"/>
  <c r="BE21" i="75"/>
  <c r="BE20" i="75"/>
  <c r="BE19" i="75"/>
  <c r="BE18" i="75"/>
  <c r="BE17" i="75"/>
  <c r="BE16" i="75"/>
  <c r="BE15" i="75"/>
  <c r="BE14" i="75"/>
  <c r="BE13" i="75"/>
  <c r="BE12" i="75"/>
  <c r="BE11" i="75"/>
  <c r="BE10" i="75"/>
  <c r="BE9" i="75"/>
  <c r="BE8" i="75"/>
  <c r="BE7" i="75"/>
  <c r="BE6" i="75"/>
  <c r="BE5" i="75"/>
  <c r="BE4" i="75"/>
  <c r="AY28" i="75"/>
  <c r="AY27" i="75"/>
  <c r="AY26" i="75"/>
  <c r="AY25" i="75"/>
  <c r="AY24" i="75"/>
  <c r="AY23" i="75"/>
  <c r="AY22" i="75"/>
  <c r="AY21" i="75"/>
  <c r="AY20" i="75"/>
  <c r="AY19" i="75"/>
  <c r="AY18" i="75"/>
  <c r="AY17" i="75"/>
  <c r="AY16" i="75"/>
  <c r="AY15" i="75"/>
  <c r="AY14" i="75"/>
  <c r="AY13" i="75"/>
  <c r="AY12" i="75"/>
  <c r="AY11" i="75"/>
  <c r="AY10" i="75"/>
  <c r="AY9" i="75"/>
  <c r="AY8" i="75"/>
  <c r="AY7" i="75"/>
  <c r="AY6" i="75"/>
  <c r="AY5" i="75"/>
  <c r="AY4" i="75"/>
  <c r="AO28" i="75"/>
  <c r="AO27" i="75"/>
  <c r="AO26" i="75"/>
  <c r="AO25" i="75"/>
  <c r="AO24" i="75"/>
  <c r="AO23" i="75"/>
  <c r="AO22" i="75"/>
  <c r="AO21" i="75"/>
  <c r="AO20" i="75"/>
  <c r="AO19" i="75"/>
  <c r="AO18" i="75"/>
  <c r="AO17" i="75"/>
  <c r="AO16" i="75"/>
  <c r="AO15" i="75"/>
  <c r="AO14" i="75"/>
  <c r="AO13" i="75"/>
  <c r="AO12" i="75"/>
  <c r="AO11" i="75"/>
  <c r="AO10" i="75"/>
  <c r="AO9" i="75"/>
  <c r="AO8" i="75"/>
  <c r="AO7" i="75"/>
  <c r="AO6" i="75"/>
  <c r="AO5" i="75"/>
  <c r="AO4" i="75"/>
  <c r="AI28" i="75"/>
  <c r="AI27" i="75"/>
  <c r="AI26" i="75"/>
  <c r="AI25" i="75"/>
  <c r="AI24" i="75"/>
  <c r="AI23" i="75"/>
  <c r="AI22" i="75"/>
  <c r="AI21" i="75"/>
  <c r="AI20" i="75"/>
  <c r="AI19" i="75"/>
  <c r="AI18" i="75"/>
  <c r="AI17" i="75"/>
  <c r="AI16" i="75"/>
  <c r="AI15" i="75"/>
  <c r="AI14" i="75"/>
  <c r="AI13" i="75"/>
  <c r="AI12" i="75"/>
  <c r="AI11" i="75"/>
  <c r="AI10" i="75"/>
  <c r="AI9" i="75"/>
  <c r="AI8" i="75"/>
  <c r="AI7" i="75"/>
  <c r="AI6" i="75"/>
  <c r="AI5" i="75"/>
  <c r="AI4" i="75"/>
  <c r="AD28" i="75"/>
  <c r="AD27" i="75"/>
  <c r="AD26" i="75"/>
  <c r="AD25" i="75"/>
  <c r="AD24" i="75"/>
  <c r="AD23" i="75"/>
  <c r="AD22" i="75"/>
  <c r="AD21" i="75"/>
  <c r="AD20" i="75"/>
  <c r="AD19" i="75"/>
  <c r="AD18" i="75"/>
  <c r="AD17" i="75"/>
  <c r="AD16" i="75"/>
  <c r="AD15" i="75"/>
  <c r="AD14" i="75"/>
  <c r="AD13" i="75"/>
  <c r="AD12" i="75"/>
  <c r="AD11" i="75"/>
  <c r="AD10" i="75"/>
  <c r="AD9" i="75"/>
  <c r="AD8" i="75"/>
  <c r="AD7" i="75"/>
  <c r="AD6" i="75"/>
  <c r="AD5" i="75"/>
  <c r="AD4" i="75"/>
  <c r="Y28" i="75"/>
  <c r="Y27" i="75"/>
  <c r="Y26" i="75"/>
  <c r="Y25" i="75"/>
  <c r="Y24" i="75"/>
  <c r="Y23" i="75"/>
  <c r="Y22" i="75"/>
  <c r="Y21" i="75"/>
  <c r="Y20" i="75"/>
  <c r="Y19" i="75"/>
  <c r="Y18" i="75"/>
  <c r="Y17" i="75"/>
  <c r="Y16" i="75"/>
  <c r="Y15" i="75"/>
  <c r="Y14" i="75"/>
  <c r="Y13" i="75"/>
  <c r="Y12" i="75"/>
  <c r="Y11" i="75"/>
  <c r="Y10" i="75"/>
  <c r="Y9" i="75"/>
  <c r="Y8" i="75"/>
  <c r="Y7" i="75"/>
  <c r="Y6" i="75"/>
  <c r="Y5" i="75"/>
  <c r="Y4" i="75"/>
  <c r="A11" i="79" l="1"/>
  <c r="A25" i="79"/>
  <c r="CB7" i="79"/>
  <c r="Z27" i="79"/>
  <c r="AE27" i="79" s="1"/>
  <c r="AJ27" i="79" s="1"/>
  <c r="AP27" i="79" s="1"/>
  <c r="AU27" i="79" s="1"/>
  <c r="BA27" i="79" s="1"/>
  <c r="BF27" i="79" s="1"/>
  <c r="BL27" i="79" s="1"/>
  <c r="BR27" i="79" s="1"/>
  <c r="A10" i="79"/>
  <c r="AA21" i="75"/>
  <c r="A8" i="79"/>
  <c r="A9" i="79"/>
  <c r="Z9" i="79"/>
  <c r="AE9" i="79" s="1"/>
  <c r="AJ9" i="79" s="1"/>
  <c r="AP9" i="79" s="1"/>
  <c r="AU9" i="79" s="1"/>
  <c r="BA9" i="79" s="1"/>
  <c r="BF9" i="79" s="1"/>
  <c r="BL9" i="79" s="1"/>
  <c r="BR9" i="79" s="1"/>
  <c r="A13" i="79"/>
  <c r="AA13" i="75"/>
  <c r="AF13" i="75" s="1"/>
  <c r="AL13" i="75" s="1"/>
  <c r="CB19" i="79"/>
  <c r="AF5" i="75"/>
  <c r="AF23" i="75"/>
  <c r="AF24" i="75"/>
  <c r="AF25" i="75"/>
  <c r="AF17" i="75"/>
  <c r="AF3" i="75"/>
  <c r="AF22" i="75"/>
  <c r="AF27" i="75"/>
  <c r="AF12" i="75"/>
  <c r="AF28" i="75"/>
  <c r="AA19" i="75"/>
  <c r="AA18" i="75"/>
  <c r="AA4" i="75"/>
  <c r="AA20" i="75"/>
  <c r="AA15" i="75"/>
  <c r="AA7" i="75"/>
  <c r="AA8" i="75"/>
  <c r="AA16" i="75"/>
  <c r="AA6" i="75"/>
  <c r="AA9" i="75"/>
  <c r="AA14" i="75"/>
  <c r="AA10" i="75"/>
  <c r="AA26" i="75"/>
  <c r="AA11" i="75"/>
  <c r="Z23" i="79"/>
  <c r="AE23" i="79" s="1"/>
  <c r="AJ23" i="79" s="1"/>
  <c r="AP23" i="79" s="1"/>
  <c r="AU23" i="79" s="1"/>
  <c r="BA23" i="79" s="1"/>
  <c r="BF23" i="79" s="1"/>
  <c r="BL23" i="79" s="1"/>
  <c r="BR23" i="79" s="1"/>
  <c r="A21" i="79"/>
  <c r="A24" i="79"/>
  <c r="Z4" i="79"/>
  <c r="AE4" i="79" s="1"/>
  <c r="AJ4" i="79" s="1"/>
  <c r="AP4" i="79" s="1"/>
  <c r="AU4" i="79" s="1"/>
  <c r="BA4" i="79" s="1"/>
  <c r="BF4" i="79" s="1"/>
  <c r="BL4" i="79" s="1"/>
  <c r="BR4" i="79" s="1"/>
  <c r="A20" i="79"/>
  <c r="CB20" i="79"/>
  <c r="Z13" i="79"/>
  <c r="AE13" i="79" s="1"/>
  <c r="AJ13" i="79" s="1"/>
  <c r="AP13" i="79" s="1"/>
  <c r="AU13" i="79" s="1"/>
  <c r="BA13" i="79" s="1"/>
  <c r="BF13" i="79" s="1"/>
  <c r="BL13" i="79" s="1"/>
  <c r="BR13" i="79" s="1"/>
  <c r="Z10" i="79"/>
  <c r="AE10" i="79" s="1"/>
  <c r="AJ10" i="79" s="1"/>
  <c r="AP10" i="79" s="1"/>
  <c r="AU10" i="79" s="1"/>
  <c r="BA10" i="79" s="1"/>
  <c r="BF10" i="79" s="1"/>
  <c r="BL10" i="79" s="1"/>
  <c r="BR10" i="79" s="1"/>
  <c r="Z5" i="79"/>
  <c r="AE5" i="79" s="1"/>
  <c r="AJ5" i="79" s="1"/>
  <c r="AP5" i="79" s="1"/>
  <c r="AU5" i="79" s="1"/>
  <c r="BA5" i="79" s="1"/>
  <c r="BF5" i="79" s="1"/>
  <c r="BL5" i="79" s="1"/>
  <c r="BR5" i="79" s="1"/>
  <c r="CB3" i="79"/>
  <c r="A7" i="79"/>
  <c r="CB4" i="79"/>
  <c r="A14" i="79"/>
  <c r="CB14" i="79"/>
  <c r="Z19" i="79"/>
  <c r="AE19" i="79" s="1"/>
  <c r="AJ19" i="79" s="1"/>
  <c r="AP19" i="79" s="1"/>
  <c r="AU19" i="79" s="1"/>
  <c r="BA19" i="79" s="1"/>
  <c r="BF19" i="79" s="1"/>
  <c r="BL19" i="79" s="1"/>
  <c r="BR19" i="79" s="1"/>
  <c r="Z14" i="79"/>
  <c r="AE14" i="79" s="1"/>
  <c r="AJ14" i="79" s="1"/>
  <c r="AP14" i="79" s="1"/>
  <c r="AU14" i="79" s="1"/>
  <c r="BA14" i="79" s="1"/>
  <c r="BF14" i="79" s="1"/>
  <c r="BL14" i="79" s="1"/>
  <c r="BR14" i="79" s="1"/>
  <c r="A15" i="79"/>
  <c r="CB15" i="79"/>
  <c r="A16" i="79"/>
  <c r="A17" i="79"/>
  <c r="A19" i="79"/>
  <c r="CB17" i="79"/>
  <c r="A22" i="79"/>
  <c r="CB25" i="79"/>
  <c r="A6" i="79"/>
  <c r="Z7" i="79"/>
  <c r="AE7" i="79" s="1"/>
  <c r="AJ7" i="79" s="1"/>
  <c r="AP7" i="79" s="1"/>
  <c r="AU7" i="79" s="1"/>
  <c r="BA7" i="79" s="1"/>
  <c r="BF7" i="79" s="1"/>
  <c r="BL7" i="79" s="1"/>
  <c r="BR7" i="79" s="1"/>
  <c r="CB5" i="79"/>
  <c r="Z18" i="79"/>
  <c r="AE18" i="79" s="1"/>
  <c r="AJ18" i="79" s="1"/>
  <c r="AP18" i="79" s="1"/>
  <c r="AU18" i="79" s="1"/>
  <c r="BA18" i="79" s="1"/>
  <c r="BF18" i="79" s="1"/>
  <c r="BL18" i="79" s="1"/>
  <c r="BR18" i="79" s="1"/>
  <c r="CB22" i="79"/>
  <c r="A26" i="79"/>
  <c r="Z22" i="79"/>
  <c r="AE22" i="79" s="1"/>
  <c r="AJ22" i="79" s="1"/>
  <c r="AP22" i="79" s="1"/>
  <c r="AU22" i="79" s="1"/>
  <c r="BA22" i="79" s="1"/>
  <c r="BF22" i="79" s="1"/>
  <c r="BL22" i="79" s="1"/>
  <c r="BR22" i="79" s="1"/>
  <c r="CB16" i="79"/>
  <c r="BO5" i="79"/>
  <c r="AX5" i="79"/>
  <c r="BD5" i="79"/>
  <c r="AA28" i="79"/>
  <c r="AH5" i="79"/>
  <c r="AA8" i="79"/>
  <c r="AA14" i="79"/>
  <c r="AA26" i="79"/>
  <c r="AA21" i="79"/>
  <c r="AA24" i="79"/>
  <c r="AA4" i="79"/>
  <c r="F7" i="79"/>
  <c r="AA19" i="79"/>
  <c r="N6" i="79"/>
  <c r="N7" i="79" s="1"/>
  <c r="BI7" i="79" s="1"/>
  <c r="AA13" i="79"/>
  <c r="AA11" i="79"/>
  <c r="AA23" i="79"/>
  <c r="M8" i="79"/>
  <c r="M9" i="79" s="1"/>
  <c r="BD9" i="79" s="1"/>
  <c r="AA16" i="79"/>
  <c r="AA6" i="79"/>
  <c r="AC5" i="79"/>
  <c r="BV13" i="79"/>
  <c r="BV15" i="79" s="1"/>
  <c r="BV14" i="79"/>
  <c r="BV16" i="79" s="1"/>
  <c r="BV20" i="79"/>
  <c r="BV22" i="79" s="1"/>
  <c r="BO1" i="79"/>
  <c r="BS4" i="79" s="1"/>
  <c r="BS5" i="79" s="1"/>
  <c r="BS6" i="79" s="1"/>
  <c r="BS7" i="79" s="1"/>
  <c r="BS8" i="79" s="1"/>
  <c r="BS9" i="79" s="1"/>
  <c r="BS10" i="79" s="1"/>
  <c r="BS11" i="79" s="1"/>
  <c r="BS12" i="79" s="1"/>
  <c r="BS13" i="79" s="1"/>
  <c r="BS14" i="79" s="1"/>
  <c r="BS15" i="79" s="1"/>
  <c r="BS16" i="79" s="1"/>
  <c r="BS17" i="79" s="1"/>
  <c r="BS18" i="79" s="1"/>
  <c r="BS19" i="79" s="1"/>
  <c r="BS20" i="79" s="1"/>
  <c r="BS21" i="79" s="1"/>
  <c r="BS22" i="79" s="1"/>
  <c r="BS23" i="79" s="1"/>
  <c r="BS24" i="79" s="1"/>
  <c r="BS25" i="79" s="1"/>
  <c r="BS26" i="79" s="1"/>
  <c r="BS27" i="79" s="1"/>
  <c r="BS28" i="79" s="1"/>
  <c r="H6" i="79"/>
  <c r="AN5" i="79"/>
  <c r="BD6" i="79"/>
  <c r="D7" i="79"/>
  <c r="L7" i="79"/>
  <c r="BV27" i="79"/>
  <c r="O7" i="79"/>
  <c r="BO6" i="79"/>
  <c r="AA18" i="79"/>
  <c r="AA15" i="79"/>
  <c r="Z3" i="79"/>
  <c r="AA22" i="79"/>
  <c r="AA10" i="79"/>
  <c r="AA20" i="79"/>
  <c r="AA5" i="79"/>
  <c r="AA12" i="79"/>
  <c r="AA17" i="79"/>
  <c r="AA25" i="79"/>
  <c r="AA27" i="79"/>
  <c r="AA7" i="79"/>
  <c r="E4" i="71"/>
  <c r="E5" i="71" s="1"/>
  <c r="E6" i="71" s="1"/>
  <c r="E7" i="71" s="1"/>
  <c r="E8" i="71" s="1"/>
  <c r="E9" i="71" s="1"/>
  <c r="E10" i="71" s="1"/>
  <c r="E11" i="71" s="1"/>
  <c r="E12" i="71" s="1"/>
  <c r="E14" i="71" s="1"/>
  <c r="E15" i="71" s="1"/>
  <c r="E16" i="71" s="1"/>
  <c r="E17" i="71" s="1"/>
  <c r="E18" i="71" s="1"/>
  <c r="E19" i="71" s="1"/>
  <c r="E20" i="71" s="1"/>
  <c r="E21" i="71" s="1"/>
  <c r="E22" i="71" s="1"/>
  <c r="E23" i="71" s="1"/>
  <c r="E24" i="71" s="1"/>
  <c r="E25" i="71" s="1"/>
  <c r="E26" i="71" s="1"/>
  <c r="E27" i="71" s="1"/>
  <c r="E28" i="71" s="1"/>
  <c r="BW25" i="75"/>
  <c r="BU25" i="75"/>
  <c r="BU26" i="75" s="1"/>
  <c r="BU27" i="75" s="1"/>
  <c r="BW18" i="75"/>
  <c r="BW19" i="75" s="1"/>
  <c r="BU10" i="75"/>
  <c r="BU12" i="75"/>
  <c r="BU13" i="75" s="1"/>
  <c r="BU14" i="75" s="1"/>
  <c r="BU15" i="75" s="1"/>
  <c r="BU16" i="75" s="1"/>
  <c r="BW4" i="75"/>
  <c r="BW5" i="75"/>
  <c r="BW6" i="75" s="1"/>
  <c r="BW7" i="75" s="1"/>
  <c r="BW8" i="75" s="1"/>
  <c r="BW9" i="75" s="1"/>
  <c r="BU6" i="75"/>
  <c r="BU7" i="75" s="1"/>
  <c r="BU8" i="75" s="1"/>
  <c r="BU9" i="75" s="1"/>
  <c r="BU3" i="75"/>
  <c r="BT3" i="75"/>
  <c r="BR3" i="75"/>
  <c r="BM3" i="75"/>
  <c r="BN4" i="75"/>
  <c r="BN5" i="75" s="1"/>
  <c r="BN6" i="75" s="1"/>
  <c r="BN7" i="75" s="1"/>
  <c r="BN8" i="75" s="1"/>
  <c r="BN9" i="75" s="1"/>
  <c r="BN10" i="75" s="1"/>
  <c r="BN11" i="75" s="1"/>
  <c r="BN12" i="75" s="1"/>
  <c r="BN13" i="75" s="1"/>
  <c r="BN14" i="75" s="1"/>
  <c r="BN15" i="75" s="1"/>
  <c r="BN16" i="75" s="1"/>
  <c r="BN17" i="75" s="1"/>
  <c r="BN18" i="75" s="1"/>
  <c r="BN19" i="75" s="1"/>
  <c r="BN20" i="75" s="1"/>
  <c r="BN21" i="75" s="1"/>
  <c r="BN22" i="75" s="1"/>
  <c r="BN23" i="75" s="1"/>
  <c r="BN24" i="75" s="1"/>
  <c r="BN25" i="75" s="1"/>
  <c r="BN26" i="75" s="1"/>
  <c r="BN27" i="75" s="1"/>
  <c r="BN28" i="75" s="1"/>
  <c r="BI4" i="75"/>
  <c r="BI5" i="75" s="1"/>
  <c r="BI6" i="75" s="1"/>
  <c r="BI7" i="75" s="1"/>
  <c r="BI8" i="75" s="1"/>
  <c r="BI9" i="75" s="1"/>
  <c r="BI10" i="75" s="1"/>
  <c r="BI11" i="75" s="1"/>
  <c r="BI12" i="75" s="1"/>
  <c r="BI13" i="75" s="1"/>
  <c r="BI14" i="75" s="1"/>
  <c r="BI15" i="75" s="1"/>
  <c r="BI16" i="75" s="1"/>
  <c r="BI17" i="75" s="1"/>
  <c r="BI18" i="75" s="1"/>
  <c r="BI19" i="75" s="1"/>
  <c r="BI20" i="75" s="1"/>
  <c r="BI21" i="75" s="1"/>
  <c r="BI22" i="75" s="1"/>
  <c r="BI23" i="75" s="1"/>
  <c r="BI24" i="75" s="1"/>
  <c r="BI25" i="75" s="1"/>
  <c r="BI26" i="75" s="1"/>
  <c r="BI27" i="75" s="1"/>
  <c r="BI28" i="75" s="1"/>
  <c r="BC5" i="75"/>
  <c r="BC6" i="75" s="1"/>
  <c r="BC7" i="75" s="1"/>
  <c r="BC8" i="75" s="1"/>
  <c r="BC9" i="75" s="1"/>
  <c r="BC10" i="75" s="1"/>
  <c r="BC11" i="75" s="1"/>
  <c r="BC12" i="75" s="1"/>
  <c r="BC13" i="75" s="1"/>
  <c r="BC14" i="75" s="1"/>
  <c r="BC15" i="75" s="1"/>
  <c r="BC16" i="75" s="1"/>
  <c r="BC17" i="75" s="1"/>
  <c r="BC18" i="75" s="1"/>
  <c r="BC19" i="75" s="1"/>
  <c r="BC20" i="75" s="1"/>
  <c r="BC21" i="75" s="1"/>
  <c r="BC22" i="75" s="1"/>
  <c r="BC23" i="75" s="1"/>
  <c r="BC24" i="75" s="1"/>
  <c r="BC25" i="75" s="1"/>
  <c r="BC26" i="75" s="1"/>
  <c r="BC27" i="75" s="1"/>
  <c r="BC28" i="75" s="1"/>
  <c r="T1" i="76"/>
  <c r="F1" i="76"/>
  <c r="E1" i="76"/>
  <c r="C1" i="76"/>
  <c r="B1" i="76"/>
  <c r="AX4" i="75"/>
  <c r="AX5" i="75" s="1"/>
  <c r="AX6" i="75" s="1"/>
  <c r="AX7" i="75" s="1"/>
  <c r="AX8" i="75" s="1"/>
  <c r="AX9" i="75" s="1"/>
  <c r="AX10" i="75" s="1"/>
  <c r="AX11" i="75" s="1"/>
  <c r="AX12" i="75" s="1"/>
  <c r="AX13" i="75" s="1"/>
  <c r="AX14" i="75" s="1"/>
  <c r="AX15" i="75" s="1"/>
  <c r="AX16" i="75" s="1"/>
  <c r="AX17" i="75" s="1"/>
  <c r="AX18" i="75" s="1"/>
  <c r="AX19" i="75" s="1"/>
  <c r="AX20" i="75" s="1"/>
  <c r="AX21" i="75" s="1"/>
  <c r="AX22" i="75" s="1"/>
  <c r="AX23" i="75" s="1"/>
  <c r="AX24" i="75" s="1"/>
  <c r="AX25" i="75" s="1"/>
  <c r="AX26" i="75" s="1"/>
  <c r="AX27" i="75" s="1"/>
  <c r="AX28" i="75" s="1"/>
  <c r="AN4" i="75"/>
  <c r="AN2" i="75"/>
  <c r="M6" i="75"/>
  <c r="L6" i="75"/>
  <c r="AM3" i="75"/>
  <c r="AE4" i="75"/>
  <c r="AU3" i="75"/>
  <c r="AK3" i="75"/>
  <c r="AE3" i="75"/>
  <c r="Z3" i="75"/>
  <c r="P3" i="75"/>
  <c r="AU28" i="75"/>
  <c r="AU27" i="75"/>
  <c r="AU26" i="75"/>
  <c r="AU25" i="75"/>
  <c r="AU24" i="75"/>
  <c r="AU23" i="75"/>
  <c r="AU22" i="75"/>
  <c r="AU21" i="75"/>
  <c r="AU20" i="75"/>
  <c r="AU19" i="75"/>
  <c r="AU18" i="75"/>
  <c r="AU17" i="75"/>
  <c r="AU16" i="75"/>
  <c r="AU15" i="75"/>
  <c r="AU14" i="75"/>
  <c r="AU13" i="75"/>
  <c r="AU12" i="75"/>
  <c r="AU11" i="75"/>
  <c r="AU10" i="75"/>
  <c r="AU9" i="75"/>
  <c r="AU8" i="75"/>
  <c r="AU7" i="75"/>
  <c r="AU6" i="75"/>
  <c r="AU5" i="75"/>
  <c r="AU4" i="75"/>
  <c r="BP4" i="75"/>
  <c r="BP3" i="75" s="1"/>
  <c r="BK4" i="75"/>
  <c r="BK3" i="75" s="1"/>
  <c r="BF4" i="75"/>
  <c r="BF3" i="75" s="1"/>
  <c r="AZ4" i="75"/>
  <c r="AZ3" i="75" s="1"/>
  <c r="AU2" i="75"/>
  <c r="AK4" i="75"/>
  <c r="AN26" i="75"/>
  <c r="W25" i="75"/>
  <c r="W22" i="75"/>
  <c r="W21" i="75"/>
  <c r="W19" i="75"/>
  <c r="W18" i="75"/>
  <c r="W17" i="75"/>
  <c r="W16" i="75"/>
  <c r="W15" i="75"/>
  <c r="W14" i="75"/>
  <c r="W13" i="75"/>
  <c r="W12" i="75"/>
  <c r="W11" i="75"/>
  <c r="W9" i="75"/>
  <c r="W8" i="75"/>
  <c r="W7" i="75"/>
  <c r="W6" i="75"/>
  <c r="W5" i="75"/>
  <c r="W4" i="75"/>
  <c r="AH20" i="75"/>
  <c r="Z4" i="75"/>
  <c r="AC26" i="75"/>
  <c r="E5" i="75"/>
  <c r="AK5" i="75" s="1"/>
  <c r="D5" i="75"/>
  <c r="D6" i="75" s="1"/>
  <c r="AE6" i="75" s="1"/>
  <c r="C5" i="75"/>
  <c r="C6" i="75" s="1"/>
  <c r="C7" i="75" s="1"/>
  <c r="C8" i="75" s="1"/>
  <c r="C9" i="75" s="1"/>
  <c r="C10" i="75" s="1"/>
  <c r="C11" i="75" s="1"/>
  <c r="C12" i="75" s="1"/>
  <c r="C13" i="75" s="1"/>
  <c r="C14" i="75" s="1"/>
  <c r="C15" i="75" s="1"/>
  <c r="C16" i="75" s="1"/>
  <c r="C17" i="75" s="1"/>
  <c r="C18" i="75" s="1"/>
  <c r="C19" i="75" s="1"/>
  <c r="C20" i="75" s="1"/>
  <c r="C21" i="75" s="1"/>
  <c r="C22" i="75" s="1"/>
  <c r="C23" i="75" s="1"/>
  <c r="C24" i="75" s="1"/>
  <c r="C25" i="75" s="1"/>
  <c r="C26" i="75" s="1"/>
  <c r="C27" i="75" s="1"/>
  <c r="C28" i="75" s="1"/>
  <c r="O10" i="75"/>
  <c r="O12" i="75" s="1"/>
  <c r="O14" i="75" s="1"/>
  <c r="O16" i="75" s="1"/>
  <c r="O18" i="75" s="1"/>
  <c r="N10" i="75"/>
  <c r="N12" i="75" s="1"/>
  <c r="N14" i="75" s="1"/>
  <c r="N16" i="75" s="1"/>
  <c r="N18" i="75" s="1"/>
  <c r="M10" i="75"/>
  <c r="M12" i="75" s="1"/>
  <c r="M14" i="75" s="1"/>
  <c r="M16" i="75" s="1"/>
  <c r="M18" i="75" s="1"/>
  <c r="L10" i="75"/>
  <c r="L12" i="75" s="1"/>
  <c r="L14" i="75" s="1"/>
  <c r="L16" i="75" s="1"/>
  <c r="L18" i="75" s="1"/>
  <c r="K5" i="75"/>
  <c r="K6" i="75" s="1"/>
  <c r="BP6" i="75" s="1"/>
  <c r="J5" i="75"/>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BK28" i="75" s="1"/>
  <c r="I5" i="75"/>
  <c r="I6" i="75" s="1"/>
  <c r="I7" i="75" s="1"/>
  <c r="I8" i="75" s="1"/>
  <c r="I9" i="75" s="1"/>
  <c r="I10" i="75" s="1"/>
  <c r="I11" i="75" s="1"/>
  <c r="I12" i="75" s="1"/>
  <c r="I13" i="75" s="1"/>
  <c r="I14" i="75" s="1"/>
  <c r="I15" i="75" s="1"/>
  <c r="I16" i="75" s="1"/>
  <c r="I17" i="75" s="1"/>
  <c r="I18" i="75" s="1"/>
  <c r="I19" i="75" s="1"/>
  <c r="I20" i="75" s="1"/>
  <c r="I21" i="75" s="1"/>
  <c r="I22" i="75" s="1"/>
  <c r="I23" i="75" s="1"/>
  <c r="I24" i="75" s="1"/>
  <c r="I25" i="75" s="1"/>
  <c r="I26" i="75" s="1"/>
  <c r="I27" i="75" s="1"/>
  <c r="I28" i="75" s="1"/>
  <c r="BF28" i="75" s="1"/>
  <c r="H5" i="75"/>
  <c r="H6" i="75" s="1"/>
  <c r="H7" i="75" s="1"/>
  <c r="H8" i="75" s="1"/>
  <c r="H9" i="75" s="1"/>
  <c r="H10" i="75" s="1"/>
  <c r="H11" i="75" s="1"/>
  <c r="H12" i="75" s="1"/>
  <c r="H13" i="75" s="1"/>
  <c r="H14" i="75" s="1"/>
  <c r="H15" i="75" s="1"/>
  <c r="H16" i="75" s="1"/>
  <c r="H17" i="75" s="1"/>
  <c r="H18" i="75" s="1"/>
  <c r="H19" i="75" s="1"/>
  <c r="H20" i="75" s="1"/>
  <c r="H21" i="75" s="1"/>
  <c r="H22" i="75" s="1"/>
  <c r="H23" i="75" s="1"/>
  <c r="H24" i="75" s="1"/>
  <c r="H25" i="75" s="1"/>
  <c r="H26" i="75" s="1"/>
  <c r="H27" i="75" s="1"/>
  <c r="H28" i="75" s="1"/>
  <c r="AZ28" i="75" s="1"/>
  <c r="U2" i="75"/>
  <c r="X28" i="75" s="1"/>
  <c r="D25" i="71"/>
  <c r="AF21" i="75" l="1"/>
  <c r="AL21" i="75" s="1"/>
  <c r="AL5" i="75"/>
  <c r="AF7" i="75"/>
  <c r="AL27" i="75"/>
  <c r="AF10" i="75"/>
  <c r="AF16" i="75"/>
  <c r="AF14" i="75"/>
  <c r="AF19" i="75"/>
  <c r="AL17" i="75"/>
  <c r="AF8" i="75"/>
  <c r="AL25" i="75"/>
  <c r="AF9" i="75"/>
  <c r="AF15" i="75"/>
  <c r="AF20" i="75"/>
  <c r="AF4" i="75"/>
  <c r="AL3" i="75"/>
  <c r="AL24" i="75"/>
  <c r="AL22" i="75"/>
  <c r="AF11" i="75"/>
  <c r="AL28" i="75"/>
  <c r="AF18" i="75"/>
  <c r="AF6" i="75"/>
  <c r="AL23" i="75"/>
  <c r="AF26" i="75"/>
  <c r="AL12" i="75"/>
  <c r="BD8" i="79"/>
  <c r="F8" i="79"/>
  <c r="AH7" i="79"/>
  <c r="BI6" i="79"/>
  <c r="M10" i="79"/>
  <c r="BD10" i="79" s="1"/>
  <c r="N8" i="79"/>
  <c r="BO7" i="79"/>
  <c r="O8" i="79"/>
  <c r="N9" i="79"/>
  <c r="BI8" i="79"/>
  <c r="L8" i="79"/>
  <c r="AX7" i="79"/>
  <c r="D8" i="79"/>
  <c r="AC7" i="79"/>
  <c r="H7" i="79"/>
  <c r="AN6" i="79"/>
  <c r="U3" i="75"/>
  <c r="AB4" i="75"/>
  <c r="AB25" i="75"/>
  <c r="AB6" i="75"/>
  <c r="AB15" i="75"/>
  <c r="AB21" i="75"/>
  <c r="AB8" i="75"/>
  <c r="AB14" i="75"/>
  <c r="AB16" i="75"/>
  <c r="AB18" i="75"/>
  <c r="AB9" i="75"/>
  <c r="AB11" i="75"/>
  <c r="AB17" i="75"/>
  <c r="AB19" i="75"/>
  <c r="AB22" i="75"/>
  <c r="AB7" i="75"/>
  <c r="AB12" i="75"/>
  <c r="AB13" i="75"/>
  <c r="AB5" i="75"/>
  <c r="BU28" i="75"/>
  <c r="BW26" i="75"/>
  <c r="BW28" i="75" s="1"/>
  <c r="BW27" i="75"/>
  <c r="BW20" i="75"/>
  <c r="BW22" i="75" s="1"/>
  <c r="BW21" i="75"/>
  <c r="BW12" i="75"/>
  <c r="BS4" i="75"/>
  <c r="BS5" i="75" s="1"/>
  <c r="BS6" i="75" s="1"/>
  <c r="BS7" i="75" s="1"/>
  <c r="BS8" i="75" s="1"/>
  <c r="BS9" i="75" s="1"/>
  <c r="BS10" i="75" s="1"/>
  <c r="BS11" i="75" s="1"/>
  <c r="BS12" i="75" s="1"/>
  <c r="BS13" i="75" s="1"/>
  <c r="BS14" i="75" s="1"/>
  <c r="BS15" i="75" s="1"/>
  <c r="BS16" i="75" s="1"/>
  <c r="BS17" i="75" s="1"/>
  <c r="BS18" i="75" s="1"/>
  <c r="BS19" i="75" s="1"/>
  <c r="BS20" i="75" s="1"/>
  <c r="BS21" i="75" s="1"/>
  <c r="BS22" i="75" s="1"/>
  <c r="BS23" i="75" s="1"/>
  <c r="BS24" i="75" s="1"/>
  <c r="BS25" i="75" s="1"/>
  <c r="BS26" i="75" s="1"/>
  <c r="BS27" i="75" s="1"/>
  <c r="BS28" i="75" s="1"/>
  <c r="AB3" i="75"/>
  <c r="W3" i="75"/>
  <c r="AG3" i="75"/>
  <c r="AZ14" i="75"/>
  <c r="BF21" i="75"/>
  <c r="BF5" i="75"/>
  <c r="BK12" i="75"/>
  <c r="AZ17" i="75"/>
  <c r="BF8" i="75"/>
  <c r="BF24" i="75"/>
  <c r="BK15" i="75"/>
  <c r="AZ18" i="75"/>
  <c r="BF9" i="75"/>
  <c r="BF25" i="75"/>
  <c r="BK16" i="75"/>
  <c r="AZ19" i="75"/>
  <c r="BF10" i="75"/>
  <c r="BF26" i="75"/>
  <c r="BK17" i="75"/>
  <c r="AZ20" i="75"/>
  <c r="BF11" i="75"/>
  <c r="BF27" i="75"/>
  <c r="BK18" i="75"/>
  <c r="AZ5" i="75"/>
  <c r="AZ21" i="75"/>
  <c r="BF12" i="75"/>
  <c r="BK19" i="75"/>
  <c r="BK5" i="75"/>
  <c r="AZ7" i="75"/>
  <c r="AZ8" i="75"/>
  <c r="AZ24" i="75"/>
  <c r="BF15" i="75"/>
  <c r="BK6" i="75"/>
  <c r="BK22" i="75"/>
  <c r="AZ6" i="75"/>
  <c r="BF13" i="75"/>
  <c r="AZ9" i="75"/>
  <c r="AZ25" i="75"/>
  <c r="BF16" i="75"/>
  <c r="BK7" i="75"/>
  <c r="BK23" i="75"/>
  <c r="AZ23" i="75"/>
  <c r="BK21" i="75"/>
  <c r="AZ10" i="75"/>
  <c r="AZ26" i="75"/>
  <c r="BF17" i="75"/>
  <c r="BK8" i="75"/>
  <c r="BK24" i="75"/>
  <c r="AZ22" i="75"/>
  <c r="BK20" i="75"/>
  <c r="BF14" i="75"/>
  <c r="AZ11" i="75"/>
  <c r="AZ27" i="75"/>
  <c r="BF18" i="75"/>
  <c r="BK9" i="75"/>
  <c r="BK25" i="75"/>
  <c r="BK26" i="75"/>
  <c r="AZ12" i="75"/>
  <c r="BF19" i="75"/>
  <c r="BK10" i="75"/>
  <c r="AZ13" i="75"/>
  <c r="BF20" i="75"/>
  <c r="BK11" i="75"/>
  <c r="BK27" i="75"/>
  <c r="AZ15" i="75"/>
  <c r="BF6" i="75"/>
  <c r="BF22" i="75"/>
  <c r="BK13" i="75"/>
  <c r="AZ16" i="75"/>
  <c r="BF7" i="75"/>
  <c r="BF23" i="75"/>
  <c r="BK14" i="75"/>
  <c r="BP5" i="75"/>
  <c r="AB28" i="75"/>
  <c r="W26" i="75"/>
  <c r="AN7" i="75"/>
  <c r="AN27" i="75"/>
  <c r="W20" i="75"/>
  <c r="W23" i="75"/>
  <c r="AN23" i="75"/>
  <c r="AN28" i="75"/>
  <c r="W24" i="75"/>
  <c r="AN11" i="75"/>
  <c r="AN12" i="75"/>
  <c r="AN13" i="75"/>
  <c r="AN16" i="75"/>
  <c r="AB27" i="75"/>
  <c r="AN19" i="75"/>
  <c r="AN14" i="75"/>
  <c r="AN15" i="75"/>
  <c r="Z5" i="75"/>
  <c r="AN17" i="75"/>
  <c r="Z28" i="75"/>
  <c r="Z6" i="75"/>
  <c r="AN18" i="75"/>
  <c r="Z8" i="75"/>
  <c r="Z9" i="75"/>
  <c r="AN20" i="75"/>
  <c r="Z10" i="75"/>
  <c r="AN5" i="75"/>
  <c r="AN21" i="75"/>
  <c r="Z24" i="75"/>
  <c r="Z25" i="75"/>
  <c r="W10" i="75"/>
  <c r="Z12" i="75"/>
  <c r="AN6" i="75"/>
  <c r="AN22" i="75"/>
  <c r="Z19" i="75"/>
  <c r="AN8" i="75"/>
  <c r="AN24" i="75"/>
  <c r="Z17" i="75"/>
  <c r="Z21" i="75"/>
  <c r="AN9" i="75"/>
  <c r="AN25" i="75"/>
  <c r="Z22" i="75"/>
  <c r="AN10" i="75"/>
  <c r="Z20" i="75"/>
  <c r="Z7" i="75"/>
  <c r="Z23" i="75"/>
  <c r="Z26" i="75"/>
  <c r="Z11" i="75"/>
  <c r="Z27" i="75"/>
  <c r="Z13" i="75"/>
  <c r="Z14" i="75"/>
  <c r="AE5" i="75"/>
  <c r="Z15" i="75"/>
  <c r="Z16" i="75"/>
  <c r="Z18" i="75"/>
  <c r="AH6" i="75"/>
  <c r="AH17" i="75"/>
  <c r="AH25" i="75"/>
  <c r="AH14" i="75"/>
  <c r="AH12" i="75"/>
  <c r="AH9" i="75"/>
  <c r="AH7" i="75"/>
  <c r="AH19" i="75"/>
  <c r="AH27" i="75"/>
  <c r="AH21" i="75"/>
  <c r="AH26" i="75"/>
  <c r="AH24" i="75"/>
  <c r="AH13" i="75"/>
  <c r="AH18" i="75"/>
  <c r="AH10" i="75"/>
  <c r="AH23" i="75"/>
  <c r="AH5" i="75"/>
  <c r="AH4" i="75"/>
  <c r="AH28" i="75"/>
  <c r="AH22" i="75"/>
  <c r="AH11" i="75"/>
  <c r="AH15" i="75"/>
  <c r="AH8" i="75"/>
  <c r="AH16" i="75"/>
  <c r="AC4" i="75"/>
  <c r="AC5" i="75"/>
  <c r="AC12" i="75"/>
  <c r="X16" i="75"/>
  <c r="E6" i="75"/>
  <c r="D7" i="75"/>
  <c r="AC20" i="75"/>
  <c r="AC7" i="75"/>
  <c r="AC11" i="75"/>
  <c r="AC28" i="75"/>
  <c r="AC9" i="75"/>
  <c r="AC6" i="75"/>
  <c r="AC8" i="75"/>
  <c r="AC25" i="75"/>
  <c r="AC10" i="75"/>
  <c r="AC23" i="75"/>
  <c r="AC27" i="75"/>
  <c r="X6" i="75"/>
  <c r="X17" i="75"/>
  <c r="X5" i="75"/>
  <c r="X15" i="75"/>
  <c r="X24" i="75"/>
  <c r="X18" i="75"/>
  <c r="X7" i="75"/>
  <c r="X20" i="75"/>
  <c r="K7" i="75"/>
  <c r="BP7" i="75" s="1"/>
  <c r="X23" i="75"/>
  <c r="AC13" i="75"/>
  <c r="AC14" i="75"/>
  <c r="AC21" i="75"/>
  <c r="AC22" i="75"/>
  <c r="X25" i="75"/>
  <c r="X19" i="75"/>
  <c r="AC24" i="75"/>
  <c r="X11" i="75"/>
  <c r="X8" i="75"/>
  <c r="AC15" i="75"/>
  <c r="AC16" i="75"/>
  <c r="AC17" i="75"/>
  <c r="AC18" i="75"/>
  <c r="X12" i="75"/>
  <c r="X26" i="75"/>
  <c r="X4" i="75"/>
  <c r="AC19" i="75"/>
  <c r="X9" i="75"/>
  <c r="X27" i="75"/>
  <c r="X13" i="75"/>
  <c r="X14" i="75"/>
  <c r="X21" i="75"/>
  <c r="X22" i="75"/>
  <c r="X10" i="75"/>
  <c r="AL6" i="75" l="1"/>
  <c r="AL20" i="75"/>
  <c r="AL16" i="75"/>
  <c r="AL19" i="75"/>
  <c r="AL18" i="75"/>
  <c r="AL15" i="75"/>
  <c r="AL10" i="75"/>
  <c r="AL9" i="75"/>
  <c r="AL8" i="75"/>
  <c r="AL14" i="75"/>
  <c r="AL4" i="75"/>
  <c r="AL11" i="75"/>
  <c r="AL7" i="75"/>
  <c r="AL26" i="75"/>
  <c r="M11" i="79"/>
  <c r="AH8" i="79"/>
  <c r="F9" i="79"/>
  <c r="BD11" i="79"/>
  <c r="M12" i="79"/>
  <c r="H8" i="79"/>
  <c r="AN7" i="79"/>
  <c r="AC8" i="79"/>
  <c r="D9" i="79"/>
  <c r="AX8" i="79"/>
  <c r="L9" i="79"/>
  <c r="BI9" i="79"/>
  <c r="N10" i="79"/>
  <c r="O9" i="79"/>
  <c r="BO8" i="79"/>
  <c r="AG28" i="75"/>
  <c r="AG4" i="75"/>
  <c r="AG27" i="75"/>
  <c r="AG18" i="75"/>
  <c r="AG16" i="75"/>
  <c r="AG14" i="75"/>
  <c r="AG8" i="75"/>
  <c r="AB24" i="75"/>
  <c r="AG22" i="75"/>
  <c r="AG19" i="75"/>
  <c r="AG21" i="75"/>
  <c r="AB26" i="75"/>
  <c r="AG17" i="75"/>
  <c r="AG15" i="75"/>
  <c r="AB20" i="75"/>
  <c r="AG13" i="75"/>
  <c r="AG12" i="75"/>
  <c r="AG7" i="75"/>
  <c r="AG11" i="75"/>
  <c r="AB23" i="75"/>
  <c r="AG6" i="75"/>
  <c r="AB10" i="75"/>
  <c r="AG9" i="75"/>
  <c r="AG25" i="75"/>
  <c r="AG5" i="75"/>
  <c r="BW14" i="75"/>
  <c r="BW16" i="75" s="1"/>
  <c r="BW13" i="75"/>
  <c r="BW15" i="75" s="1"/>
  <c r="E7" i="75"/>
  <c r="AK6" i="75"/>
  <c r="D8" i="75"/>
  <c r="AE7" i="75"/>
  <c r="K8" i="75"/>
  <c r="I54" i="67"/>
  <c r="I55" i="67" s="1"/>
  <c r="I56" i="67" s="1"/>
  <c r="I57" i="67" s="1"/>
  <c r="I58" i="67" s="1"/>
  <c r="I59" i="67" s="1"/>
  <c r="I60" i="67" s="1"/>
  <c r="I61" i="67" s="1"/>
  <c r="I62" i="67" s="1"/>
  <c r="I63" i="67" s="1"/>
  <c r="I64" i="67" s="1"/>
  <c r="I65" i="67" s="1"/>
  <c r="I66" i="67" s="1"/>
  <c r="I67" i="67" s="1"/>
  <c r="I68" i="67" s="1"/>
  <c r="I69" i="67" s="1"/>
  <c r="I70" i="67" s="1"/>
  <c r="I71" i="67" s="1"/>
  <c r="I72" i="67" s="1"/>
  <c r="I73" i="67" s="1"/>
  <c r="I74" i="67" s="1"/>
  <c r="I75" i="67" s="1"/>
  <c r="I76" i="67" s="1"/>
  <c r="I77" i="67" s="1"/>
  <c r="I78" i="67" s="1"/>
  <c r="I79" i="67" s="1"/>
  <c r="I80" i="67" s="1"/>
  <c r="I81" i="67" s="1"/>
  <c r="I82" i="67" s="1"/>
  <c r="I83" i="67" s="1"/>
  <c r="I84" i="67" s="1"/>
  <c r="I85" i="67" s="1"/>
  <c r="I86" i="67" s="1"/>
  <c r="I87" i="67" s="1"/>
  <c r="I88" i="67" s="1"/>
  <c r="I89" i="67" s="1"/>
  <c r="I90" i="67" s="1"/>
  <c r="I91" i="67" s="1"/>
  <c r="I92" i="67" s="1"/>
  <c r="I93" i="67" s="1"/>
  <c r="I94" i="67" s="1"/>
  <c r="I95" i="67" s="1"/>
  <c r="I96" i="67" s="1"/>
  <c r="I97" i="67" s="1"/>
  <c r="I98" i="67" s="1"/>
  <c r="I99" i="67" s="1"/>
  <c r="H54" i="67"/>
  <c r="H55" i="67" s="1"/>
  <c r="H56" i="67" s="1"/>
  <c r="H57" i="67" s="1"/>
  <c r="H58" i="67" s="1"/>
  <c r="H59" i="67" s="1"/>
  <c r="H60" i="67" s="1"/>
  <c r="H61" i="67" s="1"/>
  <c r="H62" i="67" s="1"/>
  <c r="H63" i="67" s="1"/>
  <c r="H64" i="67" s="1"/>
  <c r="H65" i="67" s="1"/>
  <c r="H66" i="67" s="1"/>
  <c r="H67" i="67" s="1"/>
  <c r="H68" i="67" s="1"/>
  <c r="H69" i="67" s="1"/>
  <c r="H70" i="67" s="1"/>
  <c r="H71" i="67" s="1"/>
  <c r="H72" i="67" s="1"/>
  <c r="H73" i="67" s="1"/>
  <c r="H74" i="67" s="1"/>
  <c r="H75" i="67" s="1"/>
  <c r="H76" i="67" s="1"/>
  <c r="H77" i="67" s="1"/>
  <c r="H78" i="67" s="1"/>
  <c r="H79" i="67" s="1"/>
  <c r="H80" i="67" s="1"/>
  <c r="H81" i="67" s="1"/>
  <c r="H82" i="67" s="1"/>
  <c r="H83" i="67" s="1"/>
  <c r="H84" i="67" s="1"/>
  <c r="H85" i="67" s="1"/>
  <c r="H86" i="67" s="1"/>
  <c r="H87" i="67" s="1"/>
  <c r="H88" i="67" s="1"/>
  <c r="H89" i="67" s="1"/>
  <c r="H90" i="67" s="1"/>
  <c r="H91" i="67" s="1"/>
  <c r="H92" i="67" s="1"/>
  <c r="H93" i="67" s="1"/>
  <c r="H94" i="67" s="1"/>
  <c r="H95" i="67" s="1"/>
  <c r="H96" i="67" s="1"/>
  <c r="H97" i="67" s="1"/>
  <c r="H98" i="67" s="1"/>
  <c r="H99" i="67" s="1"/>
  <c r="J54" i="67"/>
  <c r="J55" i="67" s="1"/>
  <c r="J56" i="67" s="1"/>
  <c r="J57" i="67" s="1"/>
  <c r="J58" i="67" s="1"/>
  <c r="J59" i="67" s="1"/>
  <c r="J60" i="67" s="1"/>
  <c r="J61" i="67" s="1"/>
  <c r="J62" i="67" s="1"/>
  <c r="J63" i="67" s="1"/>
  <c r="J64" i="67" s="1"/>
  <c r="J65" i="67" s="1"/>
  <c r="J66" i="67" s="1"/>
  <c r="J67" i="67" s="1"/>
  <c r="J68" i="67" s="1"/>
  <c r="J69" i="67" s="1"/>
  <c r="J70" i="67" s="1"/>
  <c r="J71" i="67" s="1"/>
  <c r="J72" i="67" s="1"/>
  <c r="J73" i="67" s="1"/>
  <c r="J74" i="67" s="1"/>
  <c r="J75" i="67" s="1"/>
  <c r="J76" i="67" s="1"/>
  <c r="J77" i="67" s="1"/>
  <c r="J78" i="67" s="1"/>
  <c r="J79" i="67" s="1"/>
  <c r="J80" i="67" s="1"/>
  <c r="J81" i="67" s="1"/>
  <c r="J82" i="67" s="1"/>
  <c r="J83" i="67" s="1"/>
  <c r="J84" i="67" s="1"/>
  <c r="J85" i="67" s="1"/>
  <c r="J86" i="67" s="1"/>
  <c r="J87" i="67" s="1"/>
  <c r="J88" i="67" s="1"/>
  <c r="J89" i="67" s="1"/>
  <c r="J90" i="67" s="1"/>
  <c r="J91" i="67" s="1"/>
  <c r="J92" i="67" s="1"/>
  <c r="J93" i="67" s="1"/>
  <c r="J94" i="67" s="1"/>
  <c r="J95" i="67" s="1"/>
  <c r="J96" i="67" s="1"/>
  <c r="J97" i="67" s="1"/>
  <c r="J98" i="67" s="1"/>
  <c r="J99" i="67" s="1"/>
  <c r="G54" i="67"/>
  <c r="G55" i="67" s="1"/>
  <c r="G56" i="67" s="1"/>
  <c r="G57" i="67" s="1"/>
  <c r="G58" i="67" s="1"/>
  <c r="G59" i="67" s="1"/>
  <c r="G60" i="67" s="1"/>
  <c r="G61" i="67" s="1"/>
  <c r="G62" i="67" s="1"/>
  <c r="G63" i="67" s="1"/>
  <c r="G64" i="67" s="1"/>
  <c r="G65" i="67" s="1"/>
  <c r="G66" i="67" s="1"/>
  <c r="G67" i="67" s="1"/>
  <c r="G68" i="67" s="1"/>
  <c r="G69" i="67" s="1"/>
  <c r="G70" i="67" s="1"/>
  <c r="G71" i="67" s="1"/>
  <c r="G72" i="67" s="1"/>
  <c r="G73" i="67" s="1"/>
  <c r="G74" i="67" s="1"/>
  <c r="G75" i="67" s="1"/>
  <c r="G76" i="67" s="1"/>
  <c r="G77" i="67" s="1"/>
  <c r="G78" i="67" s="1"/>
  <c r="G79" i="67" s="1"/>
  <c r="G80" i="67" s="1"/>
  <c r="G81" i="67" s="1"/>
  <c r="G82" i="67" s="1"/>
  <c r="G83" i="67" s="1"/>
  <c r="G84" i="67" s="1"/>
  <c r="G85" i="67" s="1"/>
  <c r="G86" i="67" s="1"/>
  <c r="G87" i="67" s="1"/>
  <c r="G88" i="67" s="1"/>
  <c r="G89" i="67" s="1"/>
  <c r="G90" i="67" s="1"/>
  <c r="G91" i="67" s="1"/>
  <c r="G92" i="67" s="1"/>
  <c r="G93" i="67" s="1"/>
  <c r="G94" i="67" s="1"/>
  <c r="G95" i="67" s="1"/>
  <c r="G96" i="67" s="1"/>
  <c r="G97" i="67" s="1"/>
  <c r="G98" i="67" s="1"/>
  <c r="G99" i="67" s="1"/>
  <c r="F54" i="67"/>
  <c r="F55" i="67" s="1"/>
  <c r="F56" i="67" s="1"/>
  <c r="F57" i="67" s="1"/>
  <c r="F58" i="67" s="1"/>
  <c r="F59" i="67" s="1"/>
  <c r="F60" i="67" s="1"/>
  <c r="F61" i="67" s="1"/>
  <c r="F62" i="67" s="1"/>
  <c r="F63" i="67" s="1"/>
  <c r="F64" i="67" s="1"/>
  <c r="F65" i="67" s="1"/>
  <c r="F66" i="67" s="1"/>
  <c r="F67" i="67" s="1"/>
  <c r="F68" i="67" s="1"/>
  <c r="F69" i="67" s="1"/>
  <c r="F70" i="67" s="1"/>
  <c r="F71" i="67" s="1"/>
  <c r="F72" i="67" s="1"/>
  <c r="F73" i="67" s="1"/>
  <c r="F74" i="67" s="1"/>
  <c r="F75" i="67" s="1"/>
  <c r="F76" i="67" s="1"/>
  <c r="F77" i="67" s="1"/>
  <c r="F78" i="67" s="1"/>
  <c r="F79" i="67" s="1"/>
  <c r="F80" i="67" s="1"/>
  <c r="F81" i="67" s="1"/>
  <c r="F82" i="67" s="1"/>
  <c r="F83" i="67" s="1"/>
  <c r="F84" i="67" s="1"/>
  <c r="F85" i="67" s="1"/>
  <c r="F86" i="67" s="1"/>
  <c r="F87" i="67" s="1"/>
  <c r="F88" i="67" s="1"/>
  <c r="F89" i="67" s="1"/>
  <c r="F90" i="67" s="1"/>
  <c r="F91" i="67" s="1"/>
  <c r="F92" i="67" s="1"/>
  <c r="F93" i="67" s="1"/>
  <c r="F94" i="67" s="1"/>
  <c r="F95" i="67" s="1"/>
  <c r="F96" i="67" s="1"/>
  <c r="F97" i="67" s="1"/>
  <c r="F98" i="67" s="1"/>
  <c r="F99" i="67" s="1"/>
  <c r="D7" i="71"/>
  <c r="D10" i="71"/>
  <c r="D1" i="71"/>
  <c r="D4" i="71"/>
  <c r="D8" i="71"/>
  <c r="D16" i="71"/>
  <c r="C2" i="59"/>
  <c r="D37" i="59"/>
  <c r="C38" i="59"/>
  <c r="D38" i="59"/>
  <c r="D39" i="59"/>
  <c r="D40" i="59"/>
  <c r="D79" i="59"/>
  <c r="D80" i="59"/>
  <c r="D81" i="59"/>
  <c r="D83" i="59"/>
  <c r="D84" i="59"/>
  <c r="D87" i="59"/>
  <c r="D88" i="59"/>
  <c r="D89" i="59"/>
  <c r="D90" i="59"/>
  <c r="D91" i="59"/>
  <c r="D92" i="59"/>
  <c r="J84" i="71"/>
  <c r="J83" i="71"/>
  <c r="J82" i="71"/>
  <c r="J81" i="71"/>
  <c r="J80" i="71"/>
  <c r="J79" i="71"/>
  <c r="J77" i="71"/>
  <c r="J76" i="71"/>
  <c r="J74" i="71"/>
  <c r="J73" i="71"/>
  <c r="J72" i="71"/>
  <c r="J51" i="71"/>
  <c r="I51" i="71"/>
  <c r="J50" i="71"/>
  <c r="I49" i="71"/>
  <c r="B17" i="68"/>
  <c r="D19" i="68"/>
  <c r="F10" i="79" l="1"/>
  <c r="AH9" i="79"/>
  <c r="BO9" i="79"/>
  <c r="O10" i="79"/>
  <c r="N11" i="79"/>
  <c r="BI10" i="79"/>
  <c r="D10" i="79"/>
  <c r="AC9" i="79"/>
  <c r="AN8" i="79"/>
  <c r="H9" i="79"/>
  <c r="L10" i="79"/>
  <c r="AX9" i="79"/>
  <c r="M13" i="79"/>
  <c r="BD12" i="79"/>
  <c r="AM4" i="75"/>
  <c r="AM28" i="75"/>
  <c r="AM27" i="75"/>
  <c r="AG24" i="75"/>
  <c r="AM11" i="75"/>
  <c r="AM21" i="75"/>
  <c r="AM9" i="75"/>
  <c r="AG20" i="75"/>
  <c r="AM8" i="75"/>
  <c r="AM7" i="75"/>
  <c r="AM25" i="75"/>
  <c r="AG10" i="75"/>
  <c r="AM15" i="75"/>
  <c r="AM14" i="75"/>
  <c r="AM19" i="75"/>
  <c r="AM12" i="75"/>
  <c r="AM22" i="75"/>
  <c r="AM13" i="75"/>
  <c r="AM6" i="75"/>
  <c r="AM17" i="75"/>
  <c r="AM16" i="75"/>
  <c r="AG23" i="75"/>
  <c r="AG26" i="75"/>
  <c r="AM18" i="75"/>
  <c r="AM5" i="75"/>
  <c r="K9" i="75"/>
  <c r="BP9" i="75" s="1"/>
  <c r="BP8" i="75"/>
  <c r="E8" i="75"/>
  <c r="AK7" i="75"/>
  <c r="D9" i="75"/>
  <c r="AE8" i="75"/>
  <c r="A57" i="68"/>
  <c r="C56" i="68"/>
  <c r="A56" i="68"/>
  <c r="C55" i="68"/>
  <c r="A55" i="68"/>
  <c r="C54" i="68"/>
  <c r="A54" i="68"/>
  <c r="C53" i="68"/>
  <c r="A53" i="68"/>
  <c r="C52" i="68"/>
  <c r="A52" i="68"/>
  <c r="C51" i="68"/>
  <c r="A51" i="68"/>
  <c r="C50" i="68"/>
  <c r="A50" i="68"/>
  <c r="C49" i="68"/>
  <c r="A49" i="68"/>
  <c r="C48" i="68"/>
  <c r="A48" i="68"/>
  <c r="C47" i="68"/>
  <c r="A47" i="68"/>
  <c r="C46" i="68"/>
  <c r="A46" i="68"/>
  <c r="C45" i="68"/>
  <c r="A45" i="68"/>
  <c r="I75" i="68"/>
  <c r="I76" i="68" s="1"/>
  <c r="I77" i="68" s="1"/>
  <c r="I78" i="68" s="1"/>
  <c r="I79" i="68" s="1"/>
  <c r="I80" i="68" s="1"/>
  <c r="I81" i="68" s="1"/>
  <c r="I82" i="68" s="1"/>
  <c r="AW5" i="75" l="1"/>
  <c r="AR5" i="75"/>
  <c r="AW18" i="75"/>
  <c r="AR18" i="75"/>
  <c r="AW16" i="75"/>
  <c r="AR16" i="75"/>
  <c r="AW17" i="75"/>
  <c r="AR17" i="75"/>
  <c r="AW6" i="75"/>
  <c r="AR6" i="75"/>
  <c r="AW13" i="75"/>
  <c r="AR13" i="75"/>
  <c r="AW22" i="75"/>
  <c r="AR22" i="75"/>
  <c r="AW12" i="75"/>
  <c r="AR12" i="75"/>
  <c r="AW19" i="75"/>
  <c r="AR19" i="75"/>
  <c r="AW14" i="75"/>
  <c r="AR14" i="75"/>
  <c r="AW15" i="75"/>
  <c r="AR15" i="75"/>
  <c r="AW25" i="75"/>
  <c r="AR25" i="75"/>
  <c r="AW7" i="75"/>
  <c r="AR7" i="75"/>
  <c r="AW8" i="75"/>
  <c r="AR8" i="75"/>
  <c r="AW9" i="75"/>
  <c r="AR9" i="75"/>
  <c r="AW21" i="75"/>
  <c r="AR21" i="75"/>
  <c r="AW11" i="75"/>
  <c r="AR11" i="75"/>
  <c r="AW27" i="75"/>
  <c r="AR27" i="75"/>
  <c r="AW28" i="75"/>
  <c r="AR28" i="75"/>
  <c r="AW4" i="75"/>
  <c r="AR4" i="75"/>
  <c r="BB5" i="75"/>
  <c r="BH5" i="75" s="1"/>
  <c r="BM5" i="75" s="1"/>
  <c r="BR5" i="75" s="1"/>
  <c r="BB18" i="75"/>
  <c r="BH18" i="75" s="1"/>
  <c r="BM18" i="75" s="1"/>
  <c r="BR18" i="75" s="1"/>
  <c r="BB16" i="75"/>
  <c r="BH16" i="75" s="1"/>
  <c r="BM16" i="75" s="1"/>
  <c r="BR16" i="75" s="1"/>
  <c r="BB17" i="75"/>
  <c r="BH17" i="75" s="1"/>
  <c r="BM17" i="75" s="1"/>
  <c r="BR17" i="75" s="1"/>
  <c r="BB6" i="75"/>
  <c r="BH6" i="75" s="1"/>
  <c r="BM6" i="75" s="1"/>
  <c r="BR6" i="75" s="1"/>
  <c r="BB13" i="75"/>
  <c r="BH13" i="75" s="1"/>
  <c r="BB22" i="75"/>
  <c r="BH22" i="75" s="1"/>
  <c r="BM22" i="75" s="1"/>
  <c r="BR22" i="75" s="1"/>
  <c r="BB12" i="75"/>
  <c r="BH12" i="75" s="1"/>
  <c r="BB19" i="75"/>
  <c r="BH19" i="75" s="1"/>
  <c r="BM19" i="75" s="1"/>
  <c r="BR19" i="75" s="1"/>
  <c r="BB14" i="75"/>
  <c r="BH14" i="75" s="1"/>
  <c r="BB15" i="75"/>
  <c r="BH15" i="75" s="1"/>
  <c r="BB25" i="75"/>
  <c r="BH25" i="75" s="1"/>
  <c r="BM25" i="75" s="1"/>
  <c r="BR25" i="75" s="1"/>
  <c r="BB7" i="75"/>
  <c r="BH7" i="75" s="1"/>
  <c r="BM7" i="75" s="1"/>
  <c r="BR7" i="75" s="1"/>
  <c r="BB8" i="75"/>
  <c r="BH8" i="75" s="1"/>
  <c r="BM8" i="75" s="1"/>
  <c r="BR8" i="75" s="1"/>
  <c r="BB9" i="75"/>
  <c r="BH9" i="75" s="1"/>
  <c r="BM9" i="75" s="1"/>
  <c r="BR9" i="75" s="1"/>
  <c r="BB21" i="75"/>
  <c r="BH21" i="75" s="1"/>
  <c r="BM21" i="75" s="1"/>
  <c r="BR21" i="75" s="1"/>
  <c r="BB11" i="75"/>
  <c r="BH11" i="75" s="1"/>
  <c r="BM11" i="75" s="1"/>
  <c r="BR11" i="75" s="1"/>
  <c r="BB27" i="75"/>
  <c r="BH27" i="75" s="1"/>
  <c r="BM27" i="75" s="1"/>
  <c r="BR27" i="75" s="1"/>
  <c r="BB28" i="75"/>
  <c r="BH28" i="75" s="1"/>
  <c r="BM28" i="75" s="1"/>
  <c r="BR28" i="75" s="1"/>
  <c r="BB4" i="75"/>
  <c r="BH4" i="75" s="1"/>
  <c r="F11" i="79"/>
  <c r="AH10" i="79"/>
  <c r="M14" i="79"/>
  <c r="BD13" i="79"/>
  <c r="H10" i="79"/>
  <c r="AN9" i="79"/>
  <c r="N12" i="79"/>
  <c r="BI11" i="79"/>
  <c r="L11" i="79"/>
  <c r="AX10" i="79"/>
  <c r="AC10" i="79"/>
  <c r="D11" i="79"/>
  <c r="O11" i="79"/>
  <c r="BO10" i="79"/>
  <c r="AM20" i="75"/>
  <c r="AM23" i="75"/>
  <c r="AM26" i="75"/>
  <c r="AM10" i="75"/>
  <c r="AM24" i="75"/>
  <c r="K10" i="75"/>
  <c r="BP10" i="75" s="1"/>
  <c r="E9" i="75"/>
  <c r="AK8" i="75"/>
  <c r="D10" i="75"/>
  <c r="AE9" i="75"/>
  <c r="A7" i="68"/>
  <c r="BM4" i="75" l="1"/>
  <c r="BR4" i="75" s="1"/>
  <c r="BM15" i="75"/>
  <c r="BR15" i="75" s="1"/>
  <c r="BM14" i="75"/>
  <c r="BR14" i="75" s="1"/>
  <c r="BM12" i="75"/>
  <c r="BR12" i="75" s="1"/>
  <c r="BM13" i="75"/>
  <c r="BR13" i="75" s="1"/>
  <c r="AW24" i="75"/>
  <c r="AR24" i="75"/>
  <c r="AW10" i="75"/>
  <c r="AR10" i="75"/>
  <c r="AW26" i="75"/>
  <c r="AR26" i="75"/>
  <c r="AW23" i="75"/>
  <c r="AR23" i="75"/>
  <c r="AW20" i="75"/>
  <c r="AR20" i="75"/>
  <c r="BB24" i="75"/>
  <c r="BH24" i="75" s="1"/>
  <c r="BM24" i="75" s="1"/>
  <c r="BR24" i="75" s="1"/>
  <c r="BB10" i="75"/>
  <c r="BH10" i="75" s="1"/>
  <c r="BM10" i="75" s="1"/>
  <c r="BR10" i="75" s="1"/>
  <c r="BB26" i="75"/>
  <c r="BH26" i="75" s="1"/>
  <c r="BM26" i="75" s="1"/>
  <c r="BR26" i="75" s="1"/>
  <c r="BB23" i="75"/>
  <c r="BH23" i="75" s="1"/>
  <c r="BM23" i="75" s="1"/>
  <c r="BR23" i="75" s="1"/>
  <c r="BB20" i="75"/>
  <c r="BH20" i="75" s="1"/>
  <c r="BM20" i="75" s="1"/>
  <c r="BR20" i="75" s="1"/>
  <c r="F12" i="79"/>
  <c r="AH11" i="79"/>
  <c r="BO11" i="79"/>
  <c r="O12" i="79"/>
  <c r="D12" i="79"/>
  <c r="AC11" i="79"/>
  <c r="AX11" i="79"/>
  <c r="L12" i="79"/>
  <c r="BI12" i="79"/>
  <c r="N13" i="79"/>
  <c r="H11" i="79"/>
  <c r="AN10" i="79"/>
  <c r="BD14" i="79"/>
  <c r="M15" i="79"/>
  <c r="K11" i="75"/>
  <c r="BP11" i="75" s="1"/>
  <c r="E10" i="75"/>
  <c r="AK9" i="75"/>
  <c r="D11" i="75"/>
  <c r="AE10" i="75"/>
  <c r="B8" i="64"/>
  <c r="B7" i="64"/>
  <c r="F13" i="79" l="1"/>
  <c r="AH12" i="79"/>
  <c r="M16" i="79"/>
  <c r="BD15" i="79"/>
  <c r="AN11" i="79"/>
  <c r="H12" i="79"/>
  <c r="N14" i="79"/>
  <c r="BI13" i="79"/>
  <c r="L13" i="79"/>
  <c r="AX12" i="79"/>
  <c r="D13" i="79"/>
  <c r="AC12" i="79"/>
  <c r="BO12" i="79"/>
  <c r="O13" i="79"/>
  <c r="K12" i="75"/>
  <c r="K13" i="75" s="1"/>
  <c r="E11" i="75"/>
  <c r="AK10" i="75"/>
  <c r="D12" i="75"/>
  <c r="AE11" i="75"/>
  <c r="D17" i="68"/>
  <c r="D4" i="59"/>
  <c r="A23" i="58"/>
  <c r="C11" i="68"/>
  <c r="AH13" i="79" l="1"/>
  <c r="F14" i="79"/>
  <c r="BO13" i="79"/>
  <c r="O14" i="79"/>
  <c r="AC13" i="79"/>
  <c r="D14" i="79"/>
  <c r="AX13" i="79"/>
  <c r="L14" i="79"/>
  <c r="N15" i="79"/>
  <c r="BI14" i="79"/>
  <c r="H13" i="79"/>
  <c r="AN12" i="79"/>
  <c r="M17" i="79"/>
  <c r="BD16" i="79"/>
  <c r="BP12" i="75"/>
  <c r="K14" i="75"/>
  <c r="BP13" i="75"/>
  <c r="E12" i="75"/>
  <c r="AK11" i="75"/>
  <c r="D13" i="75"/>
  <c r="AE12" i="75"/>
  <c r="N43" i="67"/>
  <c r="AH14" i="79" l="1"/>
  <c r="F15" i="79"/>
  <c r="M18" i="79"/>
  <c r="BD17" i="79"/>
  <c r="L15" i="79"/>
  <c r="AX14" i="79"/>
  <c r="AN13" i="79"/>
  <c r="H14" i="79"/>
  <c r="N16" i="79"/>
  <c r="BI15" i="79"/>
  <c r="D15" i="79"/>
  <c r="AC14" i="79"/>
  <c r="BO14" i="79"/>
  <c r="O15" i="79"/>
  <c r="BP14" i="75"/>
  <c r="K15" i="75"/>
  <c r="E13" i="75"/>
  <c r="AK12" i="75"/>
  <c r="D14" i="75"/>
  <c r="AE13" i="75"/>
  <c r="F16" i="79" l="1"/>
  <c r="AH15" i="79"/>
  <c r="O16" i="79"/>
  <c r="BO15" i="79"/>
  <c r="N17" i="79"/>
  <c r="BI16" i="79"/>
  <c r="AN14" i="79"/>
  <c r="H15" i="79"/>
  <c r="AX15" i="79"/>
  <c r="L16" i="79"/>
  <c r="M19" i="79"/>
  <c r="BD18" i="79"/>
  <c r="AC15" i="79"/>
  <c r="D16" i="79"/>
  <c r="K16" i="75"/>
  <c r="BP15" i="75"/>
  <c r="E14" i="75"/>
  <c r="AK13" i="75"/>
  <c r="D15" i="75"/>
  <c r="AE14" i="75"/>
  <c r="G36" i="59"/>
  <c r="AH16" i="79" l="1"/>
  <c r="F17" i="79"/>
  <c r="AX16" i="79"/>
  <c r="L17" i="79"/>
  <c r="H16" i="79"/>
  <c r="AN15" i="79"/>
  <c r="BI17" i="79"/>
  <c r="N18" i="79"/>
  <c r="AC16" i="79"/>
  <c r="D17" i="79"/>
  <c r="BD19" i="79"/>
  <c r="M20" i="79"/>
  <c r="BO16" i="79"/>
  <c r="O17" i="79"/>
  <c r="K17" i="75"/>
  <c r="BP16" i="75"/>
  <c r="E15" i="75"/>
  <c r="AK14" i="75"/>
  <c r="D16" i="75"/>
  <c r="AE15" i="75"/>
  <c r="C19" i="58"/>
  <c r="C38" i="68"/>
  <c r="D56" i="68"/>
  <c r="D55" i="68"/>
  <c r="D54" i="68"/>
  <c r="D53" i="68"/>
  <c r="D52" i="68"/>
  <c r="D51" i="68"/>
  <c r="D50" i="68"/>
  <c r="D49" i="68"/>
  <c r="D48" i="68"/>
  <c r="D47" i="68"/>
  <c r="D46" i="68"/>
  <c r="D45" i="68"/>
  <c r="B57" i="68"/>
  <c r="B56" i="68"/>
  <c r="B55" i="68"/>
  <c r="B54" i="68"/>
  <c r="B53" i="68"/>
  <c r="B52" i="68"/>
  <c r="B51" i="68"/>
  <c r="B50" i="68"/>
  <c r="B49" i="68"/>
  <c r="B48" i="68"/>
  <c r="B47" i="68"/>
  <c r="B46" i="68"/>
  <c r="B45" i="68"/>
  <c r="D20" i="68"/>
  <c r="B10" i="68"/>
  <c r="B27" i="68" s="1"/>
  <c r="A10" i="68"/>
  <c r="AH17" i="79" l="1"/>
  <c r="F18" i="79"/>
  <c r="BO17" i="79"/>
  <c r="O18" i="79"/>
  <c r="D18" i="79"/>
  <c r="AC17" i="79"/>
  <c r="N19" i="79"/>
  <c r="BI18" i="79"/>
  <c r="AN16" i="79"/>
  <c r="H17" i="79"/>
  <c r="L18" i="79"/>
  <c r="AX17" i="79"/>
  <c r="M21" i="79"/>
  <c r="BD20" i="79"/>
  <c r="K18" i="75"/>
  <c r="BP17" i="75"/>
  <c r="E16" i="75"/>
  <c r="AK15" i="75"/>
  <c r="D17" i="75"/>
  <c r="AE16" i="75"/>
  <c r="C20" i="68"/>
  <c r="A20" i="68"/>
  <c r="A21" i="58"/>
  <c r="B1" i="68"/>
  <c r="B5" i="58"/>
  <c r="D5" i="58" s="1"/>
  <c r="B28" i="68"/>
  <c r="A17" i="58"/>
  <c r="B7" i="68"/>
  <c r="A25" i="58"/>
  <c r="A5" i="58"/>
  <c r="D17" i="58"/>
  <c r="B9" i="58"/>
  <c r="D9" i="58"/>
  <c r="A9" i="58"/>
  <c r="B13" i="58"/>
  <c r="D2" i="59"/>
  <c r="A13" i="58"/>
  <c r="D1" i="59"/>
  <c r="A14" i="68"/>
  <c r="AH18" i="79" l="1"/>
  <c r="F19" i="79"/>
  <c r="BD21" i="79"/>
  <c r="M22" i="79"/>
  <c r="AX18" i="79"/>
  <c r="L19" i="79"/>
  <c r="AC18" i="79"/>
  <c r="D19" i="79"/>
  <c r="H18" i="79"/>
  <c r="AN17" i="79"/>
  <c r="BI19" i="79"/>
  <c r="N20" i="79"/>
  <c r="O19" i="79"/>
  <c r="BO18" i="79"/>
  <c r="BP18" i="75"/>
  <c r="K19" i="75"/>
  <c r="E17" i="75"/>
  <c r="AK16" i="75"/>
  <c r="D18" i="75"/>
  <c r="AE17" i="75"/>
  <c r="A19" i="58"/>
  <c r="AH19" i="79" l="1"/>
  <c r="F20" i="79"/>
  <c r="BO19" i="79"/>
  <c r="O20" i="79"/>
  <c r="N21" i="79"/>
  <c r="BI20" i="79"/>
  <c r="D20" i="79"/>
  <c r="AC19" i="79"/>
  <c r="AX19" i="79"/>
  <c r="L20" i="79"/>
  <c r="M23" i="79"/>
  <c r="BD22" i="79"/>
  <c r="H19" i="79"/>
  <c r="AN18" i="79"/>
  <c r="BP19" i="75"/>
  <c r="K20" i="75"/>
  <c r="E18" i="75"/>
  <c r="AK17" i="75"/>
  <c r="D19" i="75"/>
  <c r="AE18" i="75"/>
  <c r="F21" i="79" l="1"/>
  <c r="AH20" i="79"/>
  <c r="BD23" i="79"/>
  <c r="M24" i="79"/>
  <c r="AX20" i="79"/>
  <c r="L21" i="79"/>
  <c r="AC20" i="79"/>
  <c r="D21" i="79"/>
  <c r="BI21" i="79"/>
  <c r="N22" i="79"/>
  <c r="O21" i="79"/>
  <c r="BO20" i="79"/>
  <c r="AN19" i="79"/>
  <c r="H20" i="79"/>
  <c r="BP20" i="75"/>
  <c r="K21" i="75"/>
  <c r="E19" i="75"/>
  <c r="AK18" i="75"/>
  <c r="D20" i="75"/>
  <c r="AE19" i="75"/>
  <c r="B11" i="64"/>
  <c r="B10" i="64"/>
  <c r="B9" i="64"/>
  <c r="B4" i="64"/>
  <c r="B6" i="64"/>
  <c r="F22" i="79" l="1"/>
  <c r="AH21" i="79"/>
  <c r="H21" i="79"/>
  <c r="AN20" i="79"/>
  <c r="O22" i="79"/>
  <c r="BO21" i="79"/>
  <c r="L22" i="79"/>
  <c r="AX21" i="79"/>
  <c r="N23" i="79"/>
  <c r="BI22" i="79"/>
  <c r="D22" i="79"/>
  <c r="AC21" i="79"/>
  <c r="M25" i="79"/>
  <c r="BD24" i="79"/>
  <c r="K22" i="75"/>
  <c r="BP21" i="75"/>
  <c r="E20" i="75"/>
  <c r="AK19" i="75"/>
  <c r="D21" i="75"/>
  <c r="AE20" i="75"/>
  <c r="F23" i="79" l="1"/>
  <c r="AH22" i="79"/>
  <c r="BI23" i="79"/>
  <c r="N24" i="79"/>
  <c r="BD25" i="79"/>
  <c r="M26" i="79"/>
  <c r="AC22" i="79"/>
  <c r="D23" i="79"/>
  <c r="AX22" i="79"/>
  <c r="L23" i="79"/>
  <c r="O23" i="79"/>
  <c r="BO22" i="79"/>
  <c r="AN21" i="79"/>
  <c r="H22" i="79"/>
  <c r="BP22" i="75"/>
  <c r="K23" i="75"/>
  <c r="E21" i="75"/>
  <c r="AK20" i="75"/>
  <c r="D22" i="75"/>
  <c r="AE21" i="75"/>
  <c r="AH23" i="79" l="1"/>
  <c r="F24" i="79"/>
  <c r="H23" i="79"/>
  <c r="AN22" i="79"/>
  <c r="BO23" i="79"/>
  <c r="O24" i="79"/>
  <c r="D24" i="79"/>
  <c r="AC23" i="79"/>
  <c r="M27" i="79"/>
  <c r="BD26" i="79"/>
  <c r="N25" i="79"/>
  <c r="BI24" i="79"/>
  <c r="L24" i="79"/>
  <c r="AX23" i="79"/>
  <c r="BP23" i="75"/>
  <c r="K24" i="75"/>
  <c r="E22" i="75"/>
  <c r="AK21" i="75"/>
  <c r="D23" i="75"/>
  <c r="AE22" i="75"/>
  <c r="AH24" i="79" l="1"/>
  <c r="F25" i="79"/>
  <c r="AX24" i="79"/>
  <c r="L25" i="79"/>
  <c r="BI25" i="79"/>
  <c r="N26" i="79"/>
  <c r="BD27" i="79"/>
  <c r="M28" i="79"/>
  <c r="BD28" i="79" s="1"/>
  <c r="AC24" i="79"/>
  <c r="D25" i="79"/>
  <c r="BO24" i="79"/>
  <c r="O25" i="79"/>
  <c r="AN23" i="79"/>
  <c r="H24" i="79"/>
  <c r="BP24" i="75"/>
  <c r="K25" i="75"/>
  <c r="E23" i="75"/>
  <c r="AK22" i="75"/>
  <c r="D24" i="75"/>
  <c r="AE23" i="75"/>
  <c r="F26" i="79" l="1"/>
  <c r="AH25" i="79"/>
  <c r="BO25" i="79"/>
  <c r="O26" i="79"/>
  <c r="H25" i="79"/>
  <c r="AN24" i="79"/>
  <c r="D26" i="79"/>
  <c r="AC25" i="79"/>
  <c r="N27" i="79"/>
  <c r="BI26" i="79"/>
  <c r="L26" i="79"/>
  <c r="AX25" i="79"/>
  <c r="BP25" i="75"/>
  <c r="K26" i="75"/>
  <c r="E24" i="75"/>
  <c r="AK23" i="75"/>
  <c r="D25" i="75"/>
  <c r="AE24" i="75"/>
  <c r="AH26" i="79" l="1"/>
  <c r="F27" i="79"/>
  <c r="AX26" i="79"/>
  <c r="L27" i="79"/>
  <c r="BI27" i="79"/>
  <c r="N28" i="79"/>
  <c r="BI28" i="79" s="1"/>
  <c r="AC26" i="79"/>
  <c r="D27" i="79"/>
  <c r="H26" i="79"/>
  <c r="AN25" i="79"/>
  <c r="O27" i="79"/>
  <c r="BO26" i="79"/>
  <c r="BP26" i="75"/>
  <c r="K27" i="75"/>
  <c r="E25" i="75"/>
  <c r="AK24" i="75"/>
  <c r="D26" i="75"/>
  <c r="AE25" i="75"/>
  <c r="AH27" i="79" l="1"/>
  <c r="F28" i="79"/>
  <c r="AH28" i="79" s="1"/>
  <c r="D28" i="79"/>
  <c r="AC28" i="79" s="1"/>
  <c r="AC27" i="79"/>
  <c r="BO27" i="79"/>
  <c r="O28" i="79"/>
  <c r="BO28" i="79" s="1"/>
  <c r="H27" i="79"/>
  <c r="AN26" i="79"/>
  <c r="L28" i="79"/>
  <c r="AX28" i="79" s="1"/>
  <c r="AX27" i="79"/>
  <c r="BP27" i="75"/>
  <c r="K28" i="75"/>
  <c r="E26" i="75"/>
  <c r="AK25" i="75"/>
  <c r="D27" i="75"/>
  <c r="AE26" i="75"/>
  <c r="H28" i="79" l="1"/>
  <c r="AN28" i="79" s="1"/>
  <c r="AN27" i="79"/>
  <c r="BP28" i="75"/>
  <c r="E27" i="75"/>
  <c r="AK26" i="75"/>
  <c r="D28" i="75"/>
  <c r="AE28" i="75" s="1"/>
  <c r="AE27" i="75"/>
  <c r="E28" i="75" l="1"/>
  <c r="AK28" i="75" s="1"/>
  <c r="AK27" i="7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<sst xmlns="http://schemas.openxmlformats.org/spreadsheetml/2006/main" count="2488" uniqueCount="1272">
  <si>
    <t>BASIC SUMMARY OF RESTORATION PROCESS; (Quick version).</t>
  </si>
  <si>
    <t>JOB</t>
  </si>
  <si>
    <t>Introduction, Analysis &amp; Verification</t>
  </si>
  <si>
    <t>Introduction, Analysis &amp; Verification  /source/referred by:</t>
  </si>
  <si>
    <t>Status Notes / %</t>
  </si>
  <si>
    <t xml:space="preserve">Who is the Insurance Company ?!? </t>
  </si>
  <si>
    <t>POI</t>
  </si>
  <si>
    <t>Does customer Comprehend Our Role in the process?</t>
  </si>
  <si>
    <t>Y</t>
  </si>
  <si>
    <t>Is this a COVERED INSURANCE Claim? Or Self Pay ?</t>
  </si>
  <si>
    <t>IS THE DAMAGE $ MORE THAN THE DEDUCTIBLE?</t>
  </si>
  <si>
    <t>Do they have coverage; for AOB? = POLICY &amp; DEC PAGE</t>
  </si>
  <si>
    <t>Contracts &amp; Documentation</t>
  </si>
  <si>
    <t xml:space="preserve"> Contracts &amp; Documentation </t>
  </si>
  <si>
    <t>Has Customer been fully advised of Contract Contents?</t>
  </si>
  <si>
    <t>Has Customer had a full Consultation to Our Terms &amp; Conditions?</t>
  </si>
  <si>
    <t>DOC</t>
  </si>
  <si>
    <t>Does Customer FULLY Agree to Terms &amp;Conditions? Signed / Initials?</t>
  </si>
  <si>
    <t>Notary Page explained/ Fast track</t>
  </si>
  <si>
    <t>mou</t>
  </si>
  <si>
    <t>Company investment (dollars, time ,materials)into their Project?</t>
  </si>
  <si>
    <t>Mutual trust , cooperation &amp; confidence</t>
  </si>
  <si>
    <t>CLAIM REPORTING;DOES THE CUSTOMER HAVE REQUIRED INFO?</t>
  </si>
  <si>
    <t>INS</t>
  </si>
  <si>
    <t>Insurer Mitigation / DMO / CPS Approval Info Sheet</t>
  </si>
  <si>
    <t>PICS</t>
  </si>
  <si>
    <r>
      <t xml:space="preserve">Create </t>
    </r>
    <r>
      <rPr>
        <i/>
        <u/>
        <sz val="14"/>
        <color rgb="FF000000"/>
        <rFont val="Arial Narrow"/>
        <family val="2"/>
      </rPr>
      <t>ENCIRCLE</t>
    </r>
    <r>
      <rPr>
        <b/>
        <i/>
        <u/>
        <sz val="14"/>
        <color rgb="FF000000"/>
        <rFont val="Arial Narrow"/>
        <family val="2"/>
      </rPr>
      <t xml:space="preserve"> project      (Pictures critical part of PAYMENTprocess!</t>
    </r>
  </si>
  <si>
    <t>mit</t>
  </si>
  <si>
    <t>Mitigation &amp; Demolition</t>
  </si>
  <si>
    <t>Mitigation &amp; Demolition   (ROOM LABELS POSTED)</t>
  </si>
  <si>
    <t>Roof &amp; EXT Mitigation  TEMPORARY &amp; EMERGENCY REPAIRS</t>
  </si>
  <si>
    <t>Contents_ item list_; storage details; security explained?</t>
  </si>
  <si>
    <t>Interior Mitigation; household disruption explained?</t>
  </si>
  <si>
    <t>NA</t>
  </si>
  <si>
    <t>HMR / Secondary Damages; Equipment &amp; Electricity $</t>
  </si>
  <si>
    <t>esx</t>
  </si>
  <si>
    <t xml:space="preserve"> Estimates</t>
  </si>
  <si>
    <t xml:space="preserve"> Estimates   (Inspection/Scope Form)  </t>
  </si>
  <si>
    <t xml:space="preserve"> SKETCH/DRAWING;[1] sheet per floor</t>
  </si>
  <si>
    <t xml:space="preserve">Interior  &amp;  EXTERIOR REBUILD  </t>
  </si>
  <si>
    <t>EXTERIOR MITIGATION</t>
  </si>
  <si>
    <t>INTERIOR Mitigation &amp; Demolition</t>
  </si>
  <si>
    <t>Insurance Company Meetings</t>
  </si>
  <si>
    <t>adj</t>
  </si>
  <si>
    <r>
      <t xml:space="preserve">Docs for adjuster meeting; Print &amp; bind docs </t>
    </r>
    <r>
      <rPr>
        <sz val="12"/>
        <rFont val="Arial Narrow"/>
        <family val="2"/>
      </rPr>
      <t>BE PRESENT WHEN ADJUSTER VISITS The PROPERTY.</t>
    </r>
  </si>
  <si>
    <t>Cashflow    General Contractor / Subcontracts</t>
  </si>
  <si>
    <t xml:space="preserve"> Cashflow                  General Contractor / Subcontracts </t>
  </si>
  <si>
    <t>job</t>
  </si>
  <si>
    <t>Contents</t>
  </si>
  <si>
    <r>
      <rPr>
        <sz val="12"/>
        <rFont val="Arial Black"/>
        <family val="2"/>
      </rPr>
      <t xml:space="preserve">&amp;                 </t>
    </r>
    <r>
      <rPr>
        <sz val="12"/>
        <rFont val="Arial"/>
        <family val="2"/>
        <scheme val="minor"/>
      </rPr>
      <t>EXterior Mitigation &amp; Demolition</t>
    </r>
  </si>
  <si>
    <t>Interior Mitigation &amp; Demolition</t>
  </si>
  <si>
    <t>Closeout                  Interior Mitigation &amp; Demolition</t>
  </si>
  <si>
    <t>Rebuild</t>
  </si>
  <si>
    <t>Does customer Comprehend DEDUCTABLE PAYMENT?       PAID____</t>
  </si>
  <si>
    <t>Customer full Consultation to Our Terms &amp; Conditions? Comprehend Our Role in process?</t>
  </si>
  <si>
    <t>CONTRACT SIGNED / Notary Page explained/ Fast track</t>
  </si>
  <si>
    <t>Mutual trust/cooperation &amp; confidence/Company investment dollars, time ,materials?</t>
  </si>
  <si>
    <t>EGV</t>
  </si>
  <si>
    <t xml:space="preserve">Order REPORT ; Eagleview Roof/ Siding / PLUMBERS / FIRE  / POLICE </t>
  </si>
  <si>
    <r>
      <t xml:space="preserve">Create </t>
    </r>
    <r>
      <rPr>
        <i/>
        <u/>
        <sz val="14"/>
        <color rgb="FF000000"/>
        <rFont val="Arial Narrow"/>
        <family val="2"/>
      </rPr>
      <t>ENCIRCLE</t>
    </r>
    <r>
      <rPr>
        <b/>
        <i/>
        <u/>
        <sz val="14"/>
        <color rgb="FF000000"/>
        <rFont val="Arial Narrow"/>
        <family val="2"/>
      </rPr>
      <t xml:space="preserve"> project; ENTER NEW CUSTOMER INFO; SHARE 2 TEAM</t>
    </r>
  </si>
  <si>
    <t>Create ENCIRCLE FLOOR PLAN &amp; VERIFY COMPLETE</t>
  </si>
  <si>
    <t>EXCEL</t>
  </si>
  <si>
    <t>CREATE EXCEL FILE; Copy &amp; Paste DATA from Encircle</t>
  </si>
  <si>
    <t>RUN EXCEL MACRO &amp; VERIFY</t>
  </si>
  <si>
    <t>CREATE &amp; SEND; MIT EQUIPMENT SETUP / CPS / ROOMS SCOPE FORM /</t>
  </si>
  <si>
    <t>CREATE XACTIMATE PROJECT; Copy &amp; Paste DATA from Encircle</t>
  </si>
  <si>
    <t>GET Inspection/Scope Form [ ENCIRCLE or Genius Scan]</t>
  </si>
  <si>
    <t>IMPORT The ENCIRCLE FLOOR PLAN to XACTIMATE/ CREATE PROJECT SKETCH</t>
  </si>
  <si>
    <t>Insurance Company Meetings ENCIRCLE FLOOR PLAN &amp; SCOPE SHEET</t>
  </si>
  <si>
    <r>
      <t xml:space="preserve">Adjuster meeting DOCS; Print &amp; bind docs      / </t>
    </r>
    <r>
      <rPr>
        <sz val="12"/>
        <rFont val="Arial Narrow"/>
        <family val="2"/>
      </rPr>
      <t>PRESENT FOR ADJUSTER VISITS</t>
    </r>
  </si>
  <si>
    <r>
      <t>ENCIRLE / EXCEL / XACTIMATE REPORTS: …</t>
    </r>
    <r>
      <rPr>
        <sz val="14"/>
        <color theme="1"/>
        <rFont val="Arial Narrow"/>
        <family val="2"/>
      </rPr>
      <t>Retrieve/DOWNLOAD REPORTS; (</t>
    </r>
    <r>
      <rPr>
        <sz val="12"/>
        <color theme="1"/>
        <rFont val="Arial Narrow"/>
        <family val="2"/>
      </rPr>
      <t>Create as needed</t>
    </r>
    <r>
      <rPr>
        <sz val="14"/>
        <color theme="1"/>
        <rFont val="Arial Narrow"/>
        <family val="2"/>
      </rPr>
      <t>)</t>
    </r>
  </si>
  <si>
    <t>MIT …. Ext &amp; INT …...CPS….... REPL = CON …..... REBUILD</t>
  </si>
  <si>
    <t xml:space="preserve"> EMAIL Estimates &amp; REPORTS to Insurer.  </t>
  </si>
  <si>
    <t>Followup &amp; Collect Payments</t>
  </si>
  <si>
    <t>BASIC JOB WORKFLOW</t>
  </si>
  <si>
    <t>Has Customer had a full Consultation to  WORK PROCESS</t>
  </si>
  <si>
    <t>explain</t>
  </si>
  <si>
    <t>CPS; storage details; security explained?</t>
  </si>
  <si>
    <t>INT MIT DMO household disruption?</t>
  </si>
  <si>
    <t>MIT EQUIPMENT RUNNING (3 DAYS); ELECTRIC BILL REIMBURSEMENT</t>
  </si>
  <si>
    <r>
      <t xml:space="preserve">Create </t>
    </r>
    <r>
      <rPr>
        <i/>
        <u/>
        <sz val="14"/>
        <color rgb="FF000000"/>
        <rFont val="Arial Narrow"/>
        <family val="2"/>
      </rPr>
      <t>ENCIRCLE</t>
    </r>
    <r>
      <rPr>
        <b/>
        <i/>
        <u/>
        <sz val="14"/>
        <color rgb="FF000000"/>
        <rFont val="Arial Narrow"/>
        <family val="2"/>
      </rPr>
      <t xml:space="preserve"> project      </t>
    </r>
    <r>
      <rPr>
        <b/>
        <i/>
        <u/>
        <sz val="12"/>
        <color rgb="FF000000"/>
        <rFont val="Arial Narrow"/>
        <family val="2"/>
      </rPr>
      <t>(Pictures critical part of PAYMENTprocess!)</t>
    </r>
  </si>
  <si>
    <t>CREW TO   …...... JOB</t>
  </si>
  <si>
    <t>Create &amp; Post room Labels            (Traffic Area  = foot coverings)</t>
  </si>
  <si>
    <t xml:space="preserve"> Verify &amp; Add Rooms to Encircle; as needed; Verify</t>
  </si>
  <si>
    <t>Take Room Overview Pics =      ….   Job Scope FORM</t>
  </si>
  <si>
    <t>Inspection/Scope Form [Send to ENCIRCLE or via Genius scan]</t>
  </si>
  <si>
    <t>Take CPS # 1 Pics contents Overview Pics ... (CPS#2, Cps#3, CPS#4)</t>
  </si>
  <si>
    <r>
      <t>Scan/Create Floor Plan / Submit to Encircle; /</t>
    </r>
    <r>
      <rPr>
        <sz val="14"/>
        <rFont val="Arial"/>
        <family val="2"/>
        <scheme val="minor"/>
      </rPr>
      <t xml:space="preserve"> Print Copy for Adjuster</t>
    </r>
  </si>
  <si>
    <t>MITIGATION CHECKLIST/WORK  FLOW</t>
  </si>
  <si>
    <t>Set Up Basic Equipment….... / ....... Protect Contents, Floors, &amp; Walls</t>
  </si>
  <si>
    <t>Roof &amp; EXT / Interior Mitigation  TEMPORARY &amp; EMERGENCY REPAIRS</t>
  </si>
  <si>
    <t>INTERIOR Mitigation &amp; Demolition; household disruption explained?</t>
  </si>
  <si>
    <t xml:space="preserve">Interior  &amp;  EXTERIOR REBUILD    Estimates   (Inspection/Scope Forms)   </t>
  </si>
  <si>
    <t>Run Excel Macro; create Templates &amp; Subfolders</t>
  </si>
  <si>
    <r>
      <t xml:space="preserve">Enter Room Sizes (from Encircle Floor Plan) &amp; Damage Percentages %: @ </t>
    </r>
    <r>
      <rPr>
        <b/>
        <sz val="12"/>
        <rFont val="Arial"/>
        <family val="2"/>
        <scheme val="minor"/>
      </rPr>
      <t>jobinfo2</t>
    </r>
  </si>
  <si>
    <t>Calculate MIT Equipment (MITEqpmnt ALL) &amp; Deliver To Jobsite/Set Up Equipment</t>
  </si>
  <si>
    <t>Calculate CPS Supplies &amp; Deliver to Jobsite…..... Packout Contents; boxes/tape/wrap</t>
  </si>
  <si>
    <t>Email # 1                         1 &amp; 2 .    CONTRACT        . 3.    W9      .4. JOB VERIFICATION /SOURCE OF LOSS</t>
  </si>
  <si>
    <t>5.   MIT.. CPS .. REBUILD ,,, REPLACE ITEMS      6. XACT INVOICE &amp; ESX</t>
  </si>
  <si>
    <t xml:space="preserve">  Email  # 2  …   7..ROOMS Overview …./.. 8. MIT CPS REBUILD REPLACE  /… 9. TMPL30  /…10 OTHER</t>
  </si>
  <si>
    <t>Adjuster Meeting… Onsite or Phone Conference</t>
  </si>
  <si>
    <t>Subcontract Rebuild Work</t>
  </si>
  <si>
    <t>OFFICE QUICKLIST</t>
  </si>
  <si>
    <t>INITIAL DOCS IN ( to start claim)</t>
  </si>
  <si>
    <r>
      <t xml:space="preserve">VERIFY / ASSESS DAMAGE; Full Consultation to Our Terms/Conditions?  </t>
    </r>
    <r>
      <rPr>
        <b/>
        <u/>
        <sz val="14"/>
        <color rgb="FF000000"/>
        <rFont val="Arial Narrow"/>
        <family val="2"/>
      </rPr>
      <t>MOU</t>
    </r>
    <r>
      <rPr>
        <u/>
        <sz val="14"/>
        <color rgb="FF000000"/>
        <rFont val="Arial Narrow"/>
        <family val="2"/>
      </rPr>
      <t xml:space="preserve">    Our Role in process?</t>
    </r>
  </si>
  <si>
    <t>REQUEST IN &amp; OUT</t>
  </si>
  <si>
    <r>
      <rPr>
        <b/>
        <i/>
        <u/>
        <sz val="14"/>
        <color rgb="FF000000"/>
        <rFont val="Arial Narrow"/>
        <family val="2"/>
      </rPr>
      <t>POLICY &amp; DEC PAGE</t>
    </r>
    <r>
      <rPr>
        <i/>
        <u/>
        <sz val="14"/>
        <color rgb="FF000000"/>
        <rFont val="Arial Narrow"/>
        <family val="2"/>
      </rPr>
      <t xml:space="preserve"> = ACV or Replacement</t>
    </r>
    <r>
      <rPr>
        <b/>
        <i/>
        <u/>
        <sz val="14"/>
        <color rgb="FF000000"/>
        <rFont val="Arial Narrow"/>
        <family val="2"/>
      </rPr>
      <t xml:space="preserve"> </t>
    </r>
    <r>
      <rPr>
        <i/>
        <u/>
        <sz val="14"/>
        <color rgb="FF000000"/>
        <rFont val="Arial Narrow"/>
        <family val="2"/>
      </rPr>
      <t xml:space="preserve"> Do they have coverage;</t>
    </r>
    <r>
      <rPr>
        <b/>
        <i/>
        <u/>
        <sz val="14"/>
        <color rgb="FF000000"/>
        <rFont val="Arial Narrow"/>
        <family val="2"/>
      </rPr>
      <t xml:space="preserve"> </t>
    </r>
  </si>
  <si>
    <t>REQUEST IN</t>
  </si>
  <si>
    <r>
      <t>Does customer Comprehend</t>
    </r>
    <r>
      <rPr>
        <b/>
        <i/>
        <u/>
        <sz val="14"/>
        <color rgb="FF000000"/>
        <rFont val="Arial Narrow"/>
        <family val="2"/>
      </rPr>
      <t xml:space="preserve">  AOB?     DEDUCTABLE PAYMENT?       PAID_</t>
    </r>
    <r>
      <rPr>
        <i/>
        <u/>
        <sz val="14"/>
        <color rgb="FF000000"/>
        <rFont val="Arial Narrow"/>
        <family val="2"/>
      </rPr>
      <t>___</t>
    </r>
  </si>
  <si>
    <r>
      <t>Create ENCIRCLE project; CONTRACT SIGNED</t>
    </r>
    <r>
      <rPr>
        <sz val="12"/>
        <rFont val="Arial"/>
        <family val="2"/>
        <scheme val="minor"/>
      </rPr>
      <t xml:space="preserve"> / Notary Page explained = Fast track</t>
    </r>
    <r>
      <rPr>
        <b/>
        <i/>
        <u/>
        <sz val="12"/>
        <rFont val="Arial"/>
        <family val="2"/>
        <scheme val="minor"/>
      </rPr>
      <t xml:space="preserve"> ….AOB?  </t>
    </r>
  </si>
  <si>
    <t>REQUEST SENT &amp; IN</t>
  </si>
  <si>
    <t xml:space="preserve">JOBSITE VERIFICATION PICS &amp; ROOMS VIDEO …..&amp;  SHORT ROOM LIST...   (upon initial visit)  </t>
  </si>
  <si>
    <t>CREATE</t>
  </si>
  <si>
    <t>INITIAL DOCS OUT TO CUSTOMER ( to start claim)</t>
  </si>
  <si>
    <r>
      <rPr>
        <b/>
        <sz val="12"/>
        <color rgb="FF000000"/>
        <rFont val="Arial"/>
        <family val="2"/>
        <scheme val="minor"/>
      </rPr>
      <t>CLAIM REPORTING Info Sheet;Insurer Approval [</t>
    </r>
    <r>
      <rPr>
        <sz val="12"/>
        <color rgb="FF000000"/>
        <rFont val="Arial"/>
        <family val="2"/>
        <scheme val="minor"/>
      </rPr>
      <t>Mitigation/DMO/CPS] DOCUMENT CONTACT</t>
    </r>
  </si>
  <si>
    <t>MOU SENT OUT TO CUSTOMER</t>
  </si>
  <si>
    <t xml:space="preserve"> INITIAL REPORTS/DOCS GENERATED ( to start claim) </t>
  </si>
  <si>
    <t xml:space="preserve">Order REPORT ..; Eagleview Roof / …. Siding  / ….. PLUMBERS  / …. FIRE  / …..POLICE </t>
  </si>
  <si>
    <t>LEAD HMR TESTING</t>
  </si>
  <si>
    <t>ENCIRCLE FLOOR PLAN         …...................         CREATED @ JOBSITE</t>
  </si>
  <si>
    <r>
      <t xml:space="preserve">Create </t>
    </r>
    <r>
      <rPr>
        <i/>
        <u/>
        <sz val="14"/>
        <color rgb="FF000000"/>
        <rFont val="Arial Narrow"/>
        <family val="2"/>
      </rPr>
      <t>ENCIRCLE</t>
    </r>
    <r>
      <rPr>
        <b/>
        <i/>
        <u/>
        <sz val="14"/>
        <color rgb="FF000000"/>
        <rFont val="Arial Narrow"/>
        <family val="2"/>
      </rPr>
      <t xml:space="preserve"> Project;   ROOM LISTS…..       SHARE 2 TEAM     Option ( V2 then Merge)</t>
    </r>
  </si>
  <si>
    <r>
      <t xml:space="preserve">SELECT JOB TYPE   per </t>
    </r>
    <r>
      <rPr>
        <i/>
        <u/>
        <sz val="14"/>
        <color rgb="FF000000"/>
        <rFont val="Arial Narrow"/>
        <family val="2"/>
      </rPr>
      <t>STOCK ROOM LISTS;</t>
    </r>
    <r>
      <rPr>
        <b/>
        <i/>
        <u/>
        <sz val="14"/>
        <color rgb="FF000000"/>
        <rFont val="Arial Narrow"/>
        <family val="2"/>
      </rPr>
      <t xml:space="preserve"> </t>
    </r>
    <r>
      <rPr>
        <i/>
        <u/>
        <sz val="14"/>
        <color rgb="FF000000"/>
        <rFont val="Arial Narrow"/>
        <family val="2"/>
      </rPr>
      <t xml:space="preserve"> =   WTR / FIRE    or  RFG  &amp; WTR</t>
    </r>
  </si>
  <si>
    <t>Determine / Input job Room names per jobsite visit      ROOM ORDER SET-UP</t>
  </si>
  <si>
    <t>GENERATE  ROOM LABELS  &amp;   CPS BOX LABELS ;  EMAIL OUT</t>
  </si>
  <si>
    <t>100 ROOMS Overview / 360   =    Scope Form</t>
  </si>
  <si>
    <t xml:space="preserve">400 SOURCE OF LOSS      500 CPS DAY 1  / 2 / 3 / 4     </t>
  </si>
  <si>
    <t xml:space="preserve">800 MIT W.I.P. &amp;  EQPT               Mitigation LABELS (Demolition)    </t>
  </si>
  <si>
    <t>READINGS DAY  1 / 2  / 3  / 4 …  6000 MC    &amp;    7000 RHT+GPP</t>
  </si>
  <si>
    <t>IMPORT &amp; EDIT The ENCIRCLE FLOOR PLAN                (PRINT AS NEEDED)</t>
  </si>
  <si>
    <t>IN</t>
  </si>
  <si>
    <t xml:space="preserve">(UPDATE AS NEEDED) CREATE ROOM Names LISTS in ENCIRCLE &amp; EXCEL                </t>
  </si>
  <si>
    <r>
      <rPr>
        <b/>
        <sz val="14"/>
        <color theme="1"/>
        <rFont val="Arial"/>
        <family val="2"/>
        <scheme val="minor"/>
      </rPr>
      <t>RUN EXCEL MACRO</t>
    </r>
    <r>
      <rPr>
        <b/>
        <sz val="14"/>
        <rFont val="Arial"/>
        <family val="2"/>
        <scheme val="minor"/>
      </rPr>
      <t xml:space="preserve"> &amp; VERIFY TEMPLATES</t>
    </r>
  </si>
  <si>
    <t xml:space="preserve">AUTOMATE THE FOLLOWING </t>
  </si>
  <si>
    <t>GENERATE LABELS = ROOMS / CPS BOXES / MITIGATION EQUIPTMENT PLACEMENT; ….</t>
  </si>
  <si>
    <t>EMAIL OUT</t>
  </si>
  <si>
    <t>RUN EXCEL MACRO 4 MITIGATION WORK &amp; EQUIPMENT</t>
  </si>
  <si>
    <t>CREATE &amp; SEND; ROOMS SCOPE FORM                   (FUTURE = 360 CAMERA)</t>
  </si>
  <si>
    <t xml:space="preserve"> Mitigation LABELS (Demolition)    </t>
  </si>
  <si>
    <t>Calculate MIT Equipment (MIT Eqpmnt ALL) &amp; Deliver To Jobsite/Set Up Equipment</t>
  </si>
  <si>
    <t>CREATE &amp; SEND; MIT EQUIPMENT SETUP  WORK &amp; EQUIPMENT FORM</t>
  </si>
  <si>
    <t xml:space="preserve">Calculate/Estimate CPS Supplies </t>
  </si>
  <si>
    <t>Order &amp; Deliver to Jobsite…..... Packout Supplies =  boxes / tape / shrink wrap</t>
  </si>
  <si>
    <t>GET Inspection/Scope Form [ ENCIRCLE or Genius Scan] sent from app</t>
  </si>
  <si>
    <t>CREATE XACTIMATE PROJECT;                    (Copy &amp; Paste DATA from Encircle)</t>
  </si>
  <si>
    <t>JOBSITE FLOW SHEET</t>
  </si>
  <si>
    <t xml:space="preserve">ACCESS or Create ENCIRCLE project;  SHARE 2 TEAM </t>
  </si>
  <si>
    <t xml:space="preserve"> Create ENCIRCLE FLOOR PLAN &amp; VERIFY COMPLETE </t>
  </si>
  <si>
    <t xml:space="preserve">Customer </t>
  </si>
  <si>
    <t>Property-Owner Name</t>
  </si>
  <si>
    <t>THOMAS, ANITA</t>
  </si>
  <si>
    <t>Enter info here</t>
  </si>
  <si>
    <t>ADD SOS LINK</t>
  </si>
  <si>
    <t>Property address: street</t>
  </si>
  <si>
    <t>6600 GERTRUDE</t>
  </si>
  <si>
    <t>New Customer Info required</t>
  </si>
  <si>
    <t>NEEDS TO SELF POPULATE</t>
  </si>
  <si>
    <t>LINK TO VIDEOS</t>
  </si>
  <si>
    <t>Property city, state, zip</t>
  </si>
  <si>
    <t>Cleveland, OH 44105</t>
  </si>
  <si>
    <t>BEFORE AND AFTER P[CS</t>
  </si>
  <si>
    <t>Customer Email</t>
  </si>
  <si>
    <t>A@EM</t>
  </si>
  <si>
    <t>CLE ATL NY NC NY</t>
  </si>
  <si>
    <t>Cst-owner Phone#</t>
  </si>
  <si>
    <t>(216) 315-2040</t>
  </si>
  <si>
    <t>Co-Owner.cst#2</t>
  </si>
  <si>
    <t>cst ph # 2</t>
  </si>
  <si>
    <t>RFG WIP…CURRENT JOBS</t>
  </si>
  <si>
    <t>Cst address # 2</t>
  </si>
  <si>
    <t>SIGNAGE</t>
  </si>
  <si>
    <t>city, state-cst#2</t>
  </si>
  <si>
    <t>email-cst #2</t>
  </si>
  <si>
    <t>Loss Info</t>
  </si>
  <si>
    <t>Cause of Loss</t>
  </si>
  <si>
    <t xml:space="preserve">Water Damage=WTR </t>
  </si>
  <si>
    <t>Wind = Roof</t>
  </si>
  <si>
    <t>Fire Smoke</t>
  </si>
  <si>
    <t>Wind=Tree</t>
  </si>
  <si>
    <t>Hurricane =HURR</t>
  </si>
  <si>
    <t>date of loss</t>
  </si>
  <si>
    <t>Friday, September 12, 2025</t>
  </si>
  <si>
    <t xml:space="preserve">rebuild  type </t>
  </si>
  <si>
    <t>rebuild  type 1</t>
  </si>
  <si>
    <t>interior repairs LVL1</t>
  </si>
  <si>
    <t>roofing shingles replacement</t>
  </si>
  <si>
    <t>fencing</t>
  </si>
  <si>
    <t>rebuild  type 2</t>
  </si>
  <si>
    <t>interior repairs LVL2</t>
  </si>
  <si>
    <t>interior repairs</t>
  </si>
  <si>
    <t>shed</t>
  </si>
  <si>
    <t>rebuild  type 3</t>
  </si>
  <si>
    <t>interior repairs LVL13</t>
  </si>
  <si>
    <t>exterior repairs</t>
  </si>
  <si>
    <t>porch patio</t>
  </si>
  <si>
    <t>DEMO</t>
  </si>
  <si>
    <t>Mitigation</t>
  </si>
  <si>
    <t>Other Structures</t>
  </si>
  <si>
    <t>CPS</t>
  </si>
  <si>
    <t>Replacement</t>
  </si>
  <si>
    <t>CPS / CLN / CON/ CGN</t>
  </si>
  <si>
    <t>Year Built</t>
  </si>
  <si>
    <t>TBD</t>
  </si>
  <si>
    <t>Contract Date</t>
  </si>
  <si>
    <t xml:space="preserve">pre 1980 </t>
  </si>
  <si>
    <t>post 1980</t>
  </si>
  <si>
    <t>Loss of use/ ALE</t>
  </si>
  <si>
    <t>sample cost 3</t>
  </si>
  <si>
    <t>Breathing issue</t>
  </si>
  <si>
    <t>doctor letter</t>
  </si>
  <si>
    <t>HMR</t>
  </si>
  <si>
    <t>lab test</t>
  </si>
  <si>
    <t xml:space="preserve">Insurance Co. Name </t>
  </si>
  <si>
    <t>ALLSTATE INS CO.</t>
  </si>
  <si>
    <t xml:space="preserve">    Insurance Company Supplied Info</t>
  </si>
  <si>
    <t>Per declaration pages</t>
  </si>
  <si>
    <t>34-H-6822C9-2</t>
  </si>
  <si>
    <t>Insurance Co.</t>
  </si>
  <si>
    <t xml:space="preserve">Claim # </t>
  </si>
  <si>
    <t>CLM</t>
  </si>
  <si>
    <t>Assigned by Insurer</t>
  </si>
  <si>
    <t>policy #</t>
  </si>
  <si>
    <t>880 022 226</t>
  </si>
  <si>
    <t>OFP DWF 7266580</t>
  </si>
  <si>
    <t>Email INS. co.</t>
  </si>
  <si>
    <t>DESK Adjuster DA</t>
  </si>
  <si>
    <t>DA Phone</t>
  </si>
  <si>
    <t>customer service rep</t>
  </si>
  <si>
    <t>DA Ph. Ext. #</t>
  </si>
  <si>
    <t>Hazel</t>
  </si>
  <si>
    <t xml:space="preserve">DA Email </t>
  </si>
  <si>
    <t>Field Adjuster Name</t>
  </si>
  <si>
    <t>5pm</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</si>
  <si>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</si>
  <si>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</si>
  <si>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</si>
  <si>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</si>
  <si>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</si>
  <si>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</si>
  <si>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</si>
  <si>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</si>
  <si>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</si>
  <si>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</si>
  <si>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</si>
  <si>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</si>
  <si>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</si>
  <si>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</si>
  <si>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</si>
  <si>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Leave Label/ID tag in place for each room/area until final completion !!!</t>
  </si>
  <si>
    <t>FAX Ins. Co</t>
  </si>
  <si>
    <t>NEW CUSTOMER #</t>
  </si>
  <si>
    <t>OH25THOMAS@GERTRUDE</t>
  </si>
  <si>
    <t>ROOM ID</t>
  </si>
  <si>
    <t>Scope</t>
  </si>
  <si>
    <t>Pics</t>
  </si>
  <si>
    <t>SOURCE of LOSS</t>
  </si>
  <si>
    <t>CPS #5</t>
  </si>
  <si>
    <t>DMO</t>
  </si>
  <si>
    <t>MITIGATION</t>
  </si>
  <si>
    <t>Floor 1</t>
  </si>
  <si>
    <t>Floor 2</t>
  </si>
  <si>
    <t>BASEMENT</t>
  </si>
  <si>
    <t>Affected Areas, Include Line of Sight room /areas</t>
  </si>
  <si>
    <t xml:space="preserve">  Room/Area 101  </t>
  </si>
  <si>
    <t xml:space="preserve">Living Room, </t>
  </si>
  <si>
    <t>Foyer</t>
  </si>
  <si>
    <t>Stairs UP</t>
  </si>
  <si>
    <t>Basement</t>
  </si>
  <si>
    <t xml:space="preserve"> ROOM Name &amp; Number </t>
  </si>
  <si>
    <t>LOCATION &amp; Basic damage / work Description</t>
  </si>
  <si>
    <t xml:space="preserve">  Room/Area 102  </t>
  </si>
  <si>
    <t>GUEST CLOSET</t>
  </si>
  <si>
    <t>Guest Closet</t>
  </si>
  <si>
    <t>Bathroom</t>
  </si>
  <si>
    <t>Stairs 1</t>
  </si>
  <si>
    <t>example # 0 = Master bedroom</t>
  </si>
  <si>
    <t xml:space="preserve"> Ceilings N corner </t>
  </si>
  <si>
    <t xml:space="preserve"> repair water damage  drywall paint </t>
  </si>
  <si>
    <t xml:space="preserve">  Room/Area 103  </t>
  </si>
  <si>
    <t xml:space="preserve">Dining Room, </t>
  </si>
  <si>
    <t>Front Hall</t>
  </si>
  <si>
    <t xml:space="preserve"> Hallway- up</t>
  </si>
  <si>
    <t>Storage</t>
  </si>
  <si>
    <t xml:space="preserve"> Scope</t>
  </si>
  <si>
    <t xml:space="preserve">   Pics</t>
  </si>
  <si>
    <t>Sketch</t>
  </si>
  <si>
    <t xml:space="preserve">  Room/Area 104  </t>
  </si>
  <si>
    <t>DEN</t>
  </si>
  <si>
    <t>Living Room</t>
  </si>
  <si>
    <t>Linen CLST</t>
  </si>
  <si>
    <t>Hallway- DN</t>
  </si>
  <si>
    <t xml:space="preserve"> {#=_1_} </t>
  </si>
  <si>
    <t xml:space="preserve">                                                       {____} </t>
  </si>
  <si>
    <t xml:space="preserve"> {_______}     {_ _____} </t>
  </si>
  <si>
    <t xml:space="preserve">  Room/Area 105  </t>
  </si>
  <si>
    <t xml:space="preserve">Kitchen, </t>
  </si>
  <si>
    <t>Dining Room</t>
  </si>
  <si>
    <t>Bedroom # 1</t>
  </si>
  <si>
    <t>Laundry</t>
  </si>
  <si>
    <t xml:space="preserve">   Room/Area 1   </t>
  </si>
  <si>
    <t xml:space="preserve">  Room/Area 106  </t>
  </si>
  <si>
    <t>STAIRS UP</t>
  </si>
  <si>
    <t xml:space="preserve"> Hallway- DN</t>
  </si>
  <si>
    <t>Closet  BR # 1</t>
  </si>
  <si>
    <t>Utility</t>
  </si>
  <si>
    <t xml:space="preserve">  Room/Area 107  </t>
  </si>
  <si>
    <t>HALL UP</t>
  </si>
  <si>
    <t>Bedroom  # 2</t>
  </si>
  <si>
    <t>Man cave</t>
  </si>
  <si>
    <t xml:space="preserve">  Room/Area 8  </t>
  </si>
  <si>
    <t>LINEN CLOSET</t>
  </si>
  <si>
    <t>FAMILY ROOM</t>
  </si>
  <si>
    <t>Closet  BR # 2</t>
  </si>
  <si>
    <t>Crawlspace</t>
  </si>
  <si>
    <t xml:space="preserve">  Room/Area 9  </t>
  </si>
  <si>
    <t>BATH UP</t>
  </si>
  <si>
    <t>Kitchen</t>
  </si>
  <si>
    <t>Bedroom # 3</t>
  </si>
  <si>
    <t>EXTERIOR</t>
  </si>
  <si>
    <t>Jobsite Verification (Address Photos)</t>
  </si>
  <si>
    <t xml:space="preserve">  Room/Area 10  </t>
  </si>
  <si>
    <t xml:space="preserve">Bedroom 1, </t>
  </si>
  <si>
    <t>Pantry</t>
  </si>
  <si>
    <t>Closet  BR # 3</t>
  </si>
  <si>
    <t>Roof shingle replace</t>
  </si>
  <si>
    <t>Source of Loss Pics</t>
  </si>
  <si>
    <t xml:space="preserve">  Room/Area 11  </t>
  </si>
  <si>
    <t>BR1 Closet</t>
  </si>
  <si>
    <t>Nook</t>
  </si>
  <si>
    <t>Master Bedroom</t>
  </si>
  <si>
    <t>Vinyl siding</t>
  </si>
  <si>
    <t>FOYER/ENTRY ROOM</t>
  </si>
  <si>
    <t xml:space="preserve">  Room/Area 12  </t>
  </si>
  <si>
    <t>Bedroom 2</t>
  </si>
  <si>
    <t>Guest Bath</t>
  </si>
  <si>
    <t>Master BR Closet</t>
  </si>
  <si>
    <t xml:space="preserve">  Room/Area 13  </t>
  </si>
  <si>
    <t>BR2 Closet</t>
  </si>
  <si>
    <t>Office</t>
  </si>
  <si>
    <t>Master Bathroom</t>
  </si>
  <si>
    <t xml:space="preserve">  Room/Area 14  </t>
  </si>
  <si>
    <t>STAIRS TO BASEMENT</t>
  </si>
  <si>
    <t>SUNROOM</t>
  </si>
  <si>
    <t xml:space="preserve">  Room/Area 15  </t>
  </si>
  <si>
    <t>LAUNDRY/UTILITY ROOM</t>
  </si>
  <si>
    <t xml:space="preserve"> ATTIC </t>
  </si>
  <si>
    <t>Porches</t>
  </si>
  <si>
    <t xml:space="preserve">  Room/Area 16  </t>
  </si>
  <si>
    <t>STORAGE UNDER STAIRS</t>
  </si>
  <si>
    <t xml:space="preserve"> Garage </t>
  </si>
  <si>
    <t xml:space="preserve">  Room/Area 17  </t>
  </si>
  <si>
    <t xml:space="preserve">STORAGE ROOM # 1 </t>
  </si>
  <si>
    <t>Stairs 2</t>
  </si>
  <si>
    <t>Deck/patio</t>
  </si>
  <si>
    <t xml:space="preserve">  Room/Area 18  </t>
  </si>
  <si>
    <t>STORAGE ROOM # 2</t>
  </si>
  <si>
    <t>yard area</t>
  </si>
  <si>
    <t xml:space="preserve">  Room/Area 19  </t>
  </si>
  <si>
    <t>STORAGE ROOM # 3</t>
  </si>
  <si>
    <t>Windows</t>
  </si>
  <si>
    <t xml:space="preserve">  Room/Area 20  </t>
  </si>
  <si>
    <t xml:space="preserve">  Room/Area 21</t>
  </si>
  <si>
    <t xml:space="preserve">  Room/Area 22</t>
  </si>
  <si>
    <t xml:space="preserve">  Room/Area 23</t>
  </si>
  <si>
    <t xml:space="preserve">  Room/Area 24</t>
  </si>
  <si>
    <t xml:space="preserve">  Room/Area 25</t>
  </si>
  <si>
    <t xml:space="preserve">Mortgage co       </t>
  </si>
  <si>
    <t xml:space="preserve">    Customer Supplied Info</t>
  </si>
  <si>
    <t>Per mortgage statement</t>
  </si>
  <si>
    <t>Account# Mtge Co.</t>
  </si>
  <si>
    <t>Loan status</t>
  </si>
  <si>
    <t>Loan status =
current,   
foreclosure,
  Paid in full,  
Late days</t>
  </si>
  <si>
    <t>contact person mtge</t>
  </si>
  <si>
    <t>Phone # MTGE contact</t>
  </si>
  <si>
    <t>Ph. Ext. Mtge contact</t>
  </si>
  <si>
    <t>Mortgage Company</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</si>
  <si>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</si>
  <si>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</si>
  <si>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</si>
  <si>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</si>
  <si>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</si>
  <si>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</si>
  <si>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</si>
  <si>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</si>
  <si>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</si>
  <si>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</si>
  <si>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</si>
  <si>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</si>
  <si>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co name</t>
  </si>
  <si>
    <t>All Phase Consulting, LLC</t>
  </si>
  <si>
    <t>AK Builders Group LLC</t>
  </si>
  <si>
    <t>Platinum One Properties, LLC </t>
  </si>
  <si>
    <t>PROVISO INVESTMENTS</t>
  </si>
  <si>
    <t xml:space="preserve">J THOMAS CONTRACTING, LLC </t>
  </si>
  <si>
    <t>ALL PHASE CONSULTING, LLC</t>
  </si>
  <si>
    <t>Wayside Builders, LLC</t>
  </si>
  <si>
    <t>Alpha Omega Construction</t>
  </si>
  <si>
    <t>YASMEEN PROPERTIES.INC</t>
  </si>
  <si>
    <t>Co. website</t>
  </si>
  <si>
    <t>WWW.MYAPCLLC.COM</t>
  </si>
  <si>
    <t>How may we verify my online order is in stock?</t>
  </si>
  <si>
    <t>www.akbuilds.com</t>
  </si>
  <si>
    <t>PROVISOINVESTMENTS.COM</t>
  </si>
  <si>
    <t xml:space="preserve">      www.myapcllc.com.      </t>
  </si>
  <si>
    <t>waysidebuilders.com</t>
  </si>
  <si>
    <t>WEB</t>
  </si>
  <si>
    <t>co. EMAIL/co. status</t>
  </si>
  <si>
    <t>Insured  &amp; GA Registered #09073201</t>
  </si>
  <si>
    <t>mail@akbuilds.com</t>
  </si>
  <si>
    <t>Properties.platinum@gmail.com</t>
  </si>
  <si>
    <t>PROVISOINVESTMENTS@GMAIL.COM</t>
  </si>
  <si>
    <t>jthomascontracting@gmail.com</t>
  </si>
  <si>
    <t>info@myapcllc.com</t>
  </si>
  <si>
    <t>Licensed Insured Bonded</t>
  </si>
  <si>
    <t>co adress</t>
  </si>
  <si>
    <t>375 Rockbridge Road, Suite 172-343</t>
  </si>
  <si>
    <t>1700 Northside Drive Suite A7 PMB 887</t>
  </si>
  <si>
    <t>4447 Lee RD</t>
  </si>
  <si>
    <t>1898 CARONIA DR</t>
  </si>
  <si>
    <t>1094 DORSH RD.</t>
  </si>
  <si>
    <t>375 Rockbridge Rd, #172-343</t>
  </si>
  <si>
    <t>34194 Aurora Rd #218</t>
  </si>
  <si>
    <t>23209 Vera Str</t>
  </si>
  <si>
    <t>CLAUDECarson@yahoo.com</t>
  </si>
  <si>
    <t>LAYLAMYBABY@AOL.COM</t>
  </si>
  <si>
    <t>co. city state</t>
  </si>
  <si>
    <t>Lilburn, GA, 30047</t>
  </si>
  <si>
    <t>Atlanta, GA 30318</t>
  </si>
  <si>
    <t>Cleveland Ohio 44128</t>
  </si>
  <si>
    <t>CLEVELAND, OH 44124</t>
  </si>
  <si>
    <t>S. EUCLID, OH 44121</t>
  </si>
  <si>
    <t>Solon, Oh 44139</t>
  </si>
  <si>
    <t>Cleveland, OH 44128</t>
  </si>
  <si>
    <t>34194 Aurora Rd #252</t>
  </si>
  <si>
    <t>(216) 214-5700</t>
  </si>
  <si>
    <t>co. address 2</t>
  </si>
  <si>
    <t>ECI 531 FIFTH AVE,</t>
  </si>
  <si>
    <t>Solon OH 44139</t>
  </si>
  <si>
    <t>co. city state 2</t>
  </si>
  <si>
    <t>PELHAM, NY 10803</t>
  </si>
  <si>
    <t>co adress 3</t>
  </si>
  <si>
    <t>20810 AURORA RD</t>
  </si>
  <si>
    <t>co. city state 3</t>
  </si>
  <si>
    <t>BEDFORD,OH 44146</t>
  </si>
  <si>
    <t>Co. logo 1</t>
  </si>
  <si>
    <t>Providing Cost Estimating &amp; Project Management Services</t>
  </si>
  <si>
    <t>"We seek to provide an enabling environment</t>
  </si>
  <si>
    <t>PREMIER SERVICE</t>
  </si>
  <si>
    <t xml:space="preserve"> WHERE VISIONS ARE CREATED </t>
  </si>
  <si>
    <t xml:space="preserve">      Providing Cost Estimating &amp; Project Management Services      </t>
  </si>
  <si>
    <t>Five Generations of Great Work</t>
  </si>
  <si>
    <t>Co. logo 2</t>
  </si>
  <si>
    <t xml:space="preserve">" for people to enjoy </t>
  </si>
  <si>
    <t>QUALITY WORK</t>
  </si>
  <si>
    <t>Five Generations of Pride &amp; Skills</t>
  </si>
  <si>
    <t>Co. logo 3</t>
  </si>
  <si>
    <t>long, healthy and creative lives."</t>
  </si>
  <si>
    <t>FAMILY OWNED</t>
  </si>
  <si>
    <t>Co. REP. / PH</t>
  </si>
  <si>
    <t>Joe Jones, PM  216.450.7228</t>
  </si>
  <si>
    <t>Akumba Ashanti (678) 590-5736</t>
  </si>
  <si>
    <t>QUINTON DURHAM 216 214 6747</t>
  </si>
  <si>
    <t>JAMAL (216) 835-8544</t>
  </si>
  <si>
    <t>JOHN FLOWERS 216 466 4751</t>
  </si>
  <si>
    <t>Tony Jones 216.347.2656</t>
  </si>
  <si>
    <t>Joe Jones   216.450.7228</t>
  </si>
  <si>
    <t>CO.REP.
email</t>
  </si>
  <si>
    <t>wsbjoe9@gmail.com</t>
  </si>
  <si>
    <t>akbuildersgroupllc@gmail.com</t>
  </si>
  <si>
    <t>tonyjonesteam247@gmail.com</t>
  </si>
  <si>
    <t>phone 216 990 8132</t>
  </si>
  <si>
    <t>Co PH # 2</t>
  </si>
  <si>
    <t>404-446-9060</t>
  </si>
  <si>
    <t>CO.REP. email 2</t>
  </si>
  <si>
    <t>tonyjonesteam365@gmail.com</t>
  </si>
  <si>
    <t>MO (216) 214-5700</t>
  </si>
  <si>
    <t>TIN W9</t>
  </si>
  <si>
    <t>TIN 83-226 0563</t>
  </si>
  <si>
    <t>EIN # 81 477 4379</t>
  </si>
  <si>
    <t>EIN # 270 62 7387</t>
  </si>
  <si>
    <t>EIN #  46 111 9340</t>
  </si>
  <si>
    <t>EIN # 85-171 1092</t>
  </si>
  <si>
    <t>83- 226-0563</t>
  </si>
  <si>
    <t>TIN 26-1574654</t>
  </si>
  <si>
    <t xml:space="preserve">  FedEx     account # </t>
  </si>
  <si>
    <t xml:space="preserve">  FEDEX    # 9836-2151-1</t>
  </si>
  <si>
    <t>9836-2151-1</t>
  </si>
  <si>
    <t>claim report date</t>
  </si>
  <si>
    <t>FEDEX#</t>
  </si>
  <si>
    <t>Time OF CLAIM REPORT</t>
  </si>
  <si>
    <t>co.represesntative</t>
  </si>
  <si>
    <t>phone ext</t>
  </si>
  <si>
    <t>Tarp ext TMP ok</t>
  </si>
  <si>
    <t>Int TMP ok</t>
  </si>
  <si>
    <t>#N/A A</t>
  </si>
  <si>
    <t>DRY/PLA CUTOUT MOLD SPRAY  OK</t>
  </si>
  <si>
    <t>Save</t>
  </si>
  <si>
    <t>ALE INFO</t>
  </si>
  <si>
    <t>tenant lesee</t>
  </si>
  <si>
    <t>Lesse info</t>
  </si>
  <si>
    <t>CLAIM INFO</t>
  </si>
  <si>
    <t>end date</t>
  </si>
  <si>
    <t>1/0/1900</t>
  </si>
  <si>
    <t xml:space="preserve">START DATE </t>
  </si>
  <si>
    <t>END DATE</t>
  </si>
  <si>
    <t>LESSOR</t>
  </si>
  <si>
    <t>OH25 ANITA @GERTRUDE</t>
  </si>
  <si>
    <t>ENTER DATA BELOW</t>
  </si>
  <si>
    <t>bedrooms</t>
  </si>
  <si>
    <t>months</t>
  </si>
  <si>
    <t>start</t>
  </si>
  <si>
    <t>BEDROOMS=</t>
  </si>
  <si>
    <t>TERMS $ AMOUNT</t>
  </si>
  <si>
    <t>Amount / Month</t>
  </si>
  <si>
    <t>===========</t>
  </si>
  <si>
    <t>Lessor</t>
  </si>
  <si>
    <t>Leased Address</t>
  </si>
  <si>
    <t>city zip</t>
  </si>
  <si>
    <t>phone #</t>
  </si>
  <si>
    <t>Email</t>
  </si>
  <si>
    <t>++++++++++</t>
  </si>
  <si>
    <t>Lessor mailing Address</t>
  </si>
  <si>
    <t>Picture</t>
  </si>
  <si>
    <t>SOURCE of  LOSS</t>
  </si>
  <si>
    <t>PPR</t>
  </si>
  <si>
    <t>DMO DEMO</t>
  </si>
  <si>
    <t>MIT WTR</t>
  </si>
  <si>
    <t>MC ...  READ INGS</t>
  </si>
  <si>
    <t>RH &amp;T &amp; GPP  DRY CHAMBERS [DC] .READ INGS</t>
  </si>
  <si>
    <t>LISTS</t>
  </si>
  <si>
    <t>INPUT = ROOM NAMES</t>
  </si>
  <si>
    <t>LOS / TRAVEL</t>
  </si>
  <si>
    <t>OUTPUT =</t>
  </si>
  <si>
    <t xml:space="preserve"> ROOM NAME ADD TO ENCIRCLE ROOM LISTS</t>
  </si>
  <si>
    <t>OUTPUT = ENC ROOM NAME</t>
  </si>
  <si>
    <t>?</t>
  </si>
  <si>
    <t>… MITIGATION  EQUIPMENT &amp; W.I.P . ...</t>
  </si>
  <si>
    <t xml:space="preserve">  ...  DAY1    MC READINGS ..</t>
  </si>
  <si>
    <t xml:space="preserve">  ...  DAY2    MC READINGS ..</t>
  </si>
  <si>
    <t xml:space="preserve">  ...  DAY3    MC READINGS ..</t>
  </si>
  <si>
    <t xml:space="preserve">  ...  DAY4    MC READINGS </t>
  </si>
  <si>
    <t>DEFAULT TMP1 1</t>
  </si>
  <si>
    <t>WTR METER</t>
  </si>
  <si>
    <t>ADD CPS OVERVIEW =  MULTIPLE ROOMS / WITH LABELS</t>
  </si>
  <si>
    <t>… DAY # 0  … MC READINGS STABILIZATION</t>
  </si>
  <si>
    <t>ROOM LABELS</t>
  </si>
  <si>
    <t>DAY1</t>
  </si>
  <si>
    <t>DAY2</t>
  </si>
  <si>
    <t>DAY3</t>
  </si>
  <si>
    <t>DAY4</t>
  </si>
  <si>
    <t xml:space="preserve"> = … JOB/ROOMS OVERVIEW PICS ..</t>
  </si>
  <si>
    <t>….. SOURCE of  LOSS PICS …..</t>
  </si>
  <si>
    <t>…..  C.P.S.  …...</t>
  </si>
  <si>
    <t>NON SALVAGEABLE ITEMS</t>
  </si>
  <si>
    <t>,,,,,, DMO = DEMOLITION …....</t>
  </si>
  <si>
    <t>.. DAY 1 …</t>
  </si>
  <si>
    <t xml:space="preserve">….. DAY 2 ….. </t>
  </si>
  <si>
    <t xml:space="preserve">….. DAY 3 ….. </t>
  </si>
  <si>
    <t xml:space="preserve">….. DAY 4 ….. </t>
  </si>
  <si>
    <t xml:space="preserve">….. DAY 1 ….. </t>
  </si>
  <si>
    <t>KITCHEN CABINETS SIZES</t>
  </si>
  <si>
    <t>BATHROOM VANITY SIZE &amp; FIXTURES</t>
  </si>
  <si>
    <t>….</t>
  </si>
  <si>
    <t>JOB/ROOMS OVERVIEW PICS</t>
  </si>
  <si>
    <t>,</t>
  </si>
  <si>
    <t>=======</t>
  </si>
  <si>
    <t>======</t>
  </si>
  <si>
    <t>====================</t>
  </si>
  <si>
    <t>==============</t>
  </si>
  <si>
    <t>==============================</t>
  </si>
  <si>
    <t>.</t>
  </si>
  <si>
    <t>MITIGATION  EQUIPMENT &amp; W.I.P. ================ MIT &amp; WIP  ===</t>
  </si>
  <si>
    <t>=========</t>
  </si>
  <si>
    <t>===============</t>
  </si>
  <si>
    <t>=====</t>
  </si>
  <si>
    <t>=====================</t>
  </si>
  <si>
    <t>STABILIZATION READINGS</t>
  </si>
  <si>
    <t>----------------</t>
  </si>
  <si>
    <t>…..</t>
  </si>
  <si>
    <t>DEFAULT LIST EXISTS (AS BELOW); CLICK DROPDOWN  MENU; ADD JOB TYPES AS NEEDED</t>
  </si>
  <si>
    <t>======= DAY # 0  …..  MC READINGS STABILIZATION ===============</t>
  </si>
  <si>
    <t>….........</t>
  </si>
  <si>
    <t>RH &amp;T &amp; GPP  DRY CHAMBERS [DC] .READ INGS  ===========</t>
  </si>
  <si>
    <t>JOBSITE VERIFICATION</t>
  </si>
  <si>
    <t>…..........</t>
  </si>
  <si>
    <t>EXTERIOR &amp; UNAFFECTED AREA</t>
  </si>
  <si>
    <t>MECHANICALS =  WATER METER READING &amp; PLUMBING REPORT/INVOICE</t>
  </si>
  <si>
    <t>N/A</t>
  </si>
  <si>
    <t>DRY CHAMBER # 1</t>
  </si>
  <si>
    <t xml:space="preserve">RH &amp;T &amp; GPP </t>
  </si>
  <si>
    <t>MECHANICALS =  ELECTRICAL HAZARDS</t>
  </si>
  <si>
    <t>DRY CHAMBER # 2</t>
  </si>
  <si>
    <t xml:space="preserve">EXT DAMAGE IF APPLICABLE </t>
  </si>
  <si>
    <t>ROOF TARPS ….............................</t>
  </si>
  <si>
    <t>DRY CHAMBER # 3</t>
  </si>
  <si>
    <t>LEAD &amp; HMR TESTING</t>
  </si>
  <si>
    <t>LAB RESULTS</t>
  </si>
  <si>
    <t>DRY CHAMBER 1</t>
  </si>
  <si>
    <t>DRY CHAMBER # 4</t>
  </si>
  <si>
    <t>U &amp; L =LF/ CT = SF;     APPLIANCES</t>
  </si>
  <si>
    <t>BATHROOM FIXTURES</t>
  </si>
  <si>
    <t>CAB SIZE &amp; FIXTURES &amp; TYPE</t>
  </si>
  <si>
    <t>DRY CHAMBER 2</t>
  </si>
  <si>
    <t>CPS DAY2 WIP</t>
  </si>
  <si>
    <t>OVERVIEW WIP BOXES PACKOUT PICS</t>
  </si>
  <si>
    <t>CPS3 DAY3 STORAGE</t>
  </si>
  <si>
    <t>OVERVIEW STORAGE MOVE OUT PICS</t>
  </si>
  <si>
    <t>DRY CHAMBER 3</t>
  </si>
  <si>
    <t>Bedroom 1</t>
  </si>
  <si>
    <t>CPS4 DAY4 PACKBACK</t>
  </si>
  <si>
    <t>OVERVIEW PACK-BACK / RESET PICS</t>
  </si>
  <si>
    <t xml:space="preserve">REPLACEMENT 1 CON OVERVIEW DAY PICS, </t>
  </si>
  <si>
    <t>DRY CHAMBER 4</t>
  </si>
  <si>
    <t xml:space="preserve">REPLACEMENT 2 CON WIP, </t>
  </si>
  <si>
    <t>BR2 Closet,</t>
  </si>
  <si>
    <t>DRY CHAMBER # 5</t>
  </si>
  <si>
    <t xml:space="preserve">REPLACEMENT 3 CON STORAGE </t>
  </si>
  <si>
    <t>DRY CHAMBER 5</t>
  </si>
  <si>
    <t xml:space="preserve">REPLACEMENT 4 CON DISPOSAL, </t>
  </si>
  <si>
    <t xml:space="preserve">REBUILD OVERVIEW WORK IN PROGRESS.......WIP, </t>
  </si>
  <si>
    <t xml:space="preserve">REBUILD INTERIOR COMPLETED WORK, </t>
  </si>
  <si>
    <t>FORMAT OF ROOM LISTS</t>
  </si>
  <si>
    <t>FCC CARPET/FCW</t>
  </si>
  <si>
    <t>MUST BE 5 COLUMNS WIDE</t>
  </si>
  <si>
    <t>103.. Dining Room ... = ROOM OVERVIEW PICS ...DAY 1 ...LOS</t>
  </si>
  <si>
    <t xml:space="preserve">   Room/Area 8   </t>
  </si>
  <si>
    <t xml:space="preserve">   BATH UP   </t>
  </si>
  <si>
    <t xml:space="preserve">FLOORING/STONE </t>
  </si>
  <si>
    <t>WALL/PLASTER</t>
  </si>
  <si>
    <t xml:space="preserve">   Room/Area 9   </t>
  </si>
  <si>
    <t xml:space="preserve">   Bedroom 1,    </t>
  </si>
  <si>
    <t xml:space="preserve">   Room/Area 10   </t>
  </si>
  <si>
    <t xml:space="preserve">   Bedroom 2   </t>
  </si>
  <si>
    <t>MIT</t>
  </si>
  <si>
    <t>OUTPUT = ROOM NAME ADD TO ENCIRCLE ROOM LISTS</t>
  </si>
  <si>
    <t xml:space="preserve">  ...  MC READINGS ..</t>
  </si>
  <si>
    <t xml:space="preserve"> = … ROOM OVERVIEW PICS ... DAY 1 …</t>
  </si>
  <si>
    <t>….. SOURCE of  LOSS …..</t>
  </si>
  <si>
    <t xml:space="preserve">  …...  MC READINGS …</t>
  </si>
  <si>
    <t>LOS</t>
  </si>
  <si>
    <t>DRAW SCHEDULE</t>
  </si>
  <si>
    <t xml:space="preserve">Property-owner Name </t>
  </si>
  <si>
    <t>_______________________</t>
  </si>
  <si>
    <t>Customer may wish to alter the original job work scope and or add additional work.</t>
  </si>
  <si>
    <t>Each item will be individually addressed with the best interest of the customer in mind.</t>
  </si>
  <si>
    <t>Scope notes</t>
  </si>
  <si>
    <t>Photos</t>
  </si>
  <si>
    <t># 0 = Master bedroom</t>
  </si>
  <si>
    <t>Ceilings N corner</t>
  </si>
  <si>
    <t>repair water damage  drywall paint</t>
  </si>
  <si>
    <t>DRAW #</t>
  </si>
  <si>
    <t>PERCENTAGE OF WORK COMPLETED</t>
  </si>
  <si>
    <t>{_______}</t>
  </si>
  <si>
    <t>TTD</t>
  </si>
  <si>
    <t>INITIAL DEPOSIT</t>
  </si>
  <si>
    <t>GC &amp; SUB TERMS %</t>
  </si>
  <si>
    <t xml:space="preserve">CASH FLOW </t>
  </si>
  <si>
    <t>JOB =</t>
  </si>
  <si>
    <t>APC</t>
  </si>
  <si>
    <t>ESTIMATES</t>
  </si>
  <si>
    <t>BEST CASE SCENARIO</t>
  </si>
  <si>
    <t>MOST LIKELY</t>
  </si>
  <si>
    <t>WORST CASE SCENARIO</t>
  </si>
  <si>
    <t>SUB</t>
  </si>
  <si>
    <t>Roof &amp; EXT Mitigation  TEMP. &amp; EMERGENCY REPAIRS</t>
  </si>
  <si>
    <t>TREE &amp; EXT Mitigation  TEMP. &amp; EMERGENCY REPAIRS</t>
  </si>
  <si>
    <t xml:space="preserve">Mitigation  INTERIOR </t>
  </si>
  <si>
    <t>Contents_ PERSONAL PROPERTY Packout = CPS</t>
  </si>
  <si>
    <t xml:space="preserve">REBUILD  Interior  &amp;  EXTERIOR </t>
  </si>
  <si>
    <t xml:space="preserve">Roof &amp; EXT REBUILD </t>
  </si>
  <si>
    <t>PERSONAL PROPERTY REPLACEMENT Customer's *</t>
  </si>
  <si>
    <t>TOTALS</t>
  </si>
  <si>
    <t>POTENTIAL ADDITIONAL FUNDS</t>
  </si>
  <si>
    <t>GROSS TOTAL TO DATE</t>
  </si>
  <si>
    <t>HENDKING</t>
  </si>
  <si>
    <t>advance</t>
  </si>
  <si>
    <t>repayment</t>
  </si>
  <si>
    <t>MIT TOTAL T APC</t>
  </si>
  <si>
    <t>NET DUE</t>
  </si>
  <si>
    <t>DEPRECIATION HELD</t>
  </si>
  <si>
    <t>DUE IAN/HARDROCK</t>
  </si>
  <si>
    <t xml:space="preserve">HOW2 </t>
  </si>
  <si>
    <t>L3</t>
  </si>
  <si>
    <t>3 LEVELS NO ROOF; 2NDFLOOR WATER LEAK ; CPS [Y]</t>
  </si>
  <si>
    <t>RETREIVE</t>
  </si>
  <si>
    <t>3 LEVELS NO ROOF; 2NDFLOOR WATER LEAK ; CPS [N]</t>
  </si>
  <si>
    <t>ATTIC ROOMS ONLY</t>
  </si>
  <si>
    <t>All Room list Fire Smoke All</t>
  </si>
  <si>
    <t>3 LEVELS HOUSE; NO ROOF; 2NDFLOOR WATER LEAK ; CPS [Y]</t>
  </si>
  <si>
    <t>Jobsite Verification</t>
  </si>
  <si>
    <t>LEVEL1 = PRIMARY ROOM [A]</t>
  </si>
  <si>
    <t xml:space="preserve">Garage, </t>
  </si>
  <si>
    <t xml:space="preserve">FOYER, </t>
  </si>
  <si>
    <t xml:space="preserve">Guest Closet, </t>
  </si>
  <si>
    <t>Kitchen,</t>
  </si>
  <si>
    <t xml:space="preserve">Nook, </t>
  </si>
  <si>
    <t xml:space="preserve">Pantry, </t>
  </si>
  <si>
    <t>Hallway,</t>
  </si>
  <si>
    <t>Nook,</t>
  </si>
  <si>
    <t xml:space="preserve">Linen Closet, </t>
  </si>
  <si>
    <t xml:space="preserve">Hallway, </t>
  </si>
  <si>
    <t xml:space="preserve">Bedroom Closet 1, </t>
  </si>
  <si>
    <t xml:space="preserve">Bedroom 2, </t>
  </si>
  <si>
    <t>DEN/SUNROOM/REC ROOM</t>
  </si>
  <si>
    <t>BATH GUEST</t>
  </si>
  <si>
    <t>FOYER, REAR/SIDE</t>
  </si>
  <si>
    <t>ADD A ROOM LEVEL 1</t>
  </si>
  <si>
    <t>LEVEL1 = POTENTIAL ADDITIONAL ROOMS [B]</t>
  </si>
  <si>
    <t>OFFICE</t>
  </si>
  <si>
    <t>LAUNDRY</t>
  </si>
  <si>
    <t xml:space="preserve">Primary Bedroom, </t>
  </si>
  <si>
    <t>PBR Closet 1</t>
  </si>
  <si>
    <t>PBR Closet 2</t>
  </si>
  <si>
    <t xml:space="preserve">PBR Bathroom, </t>
  </si>
  <si>
    <t xml:space="preserve">Rec Room/ office, </t>
  </si>
  <si>
    <t>FIREPLACE DN</t>
  </si>
  <si>
    <t>LEVEL  2  = PRIMARY ROOM [A]</t>
  </si>
  <si>
    <t xml:space="preserve">Bedroom Closet 2, </t>
  </si>
  <si>
    <t xml:space="preserve">Primary Bedroom Closet 2, </t>
  </si>
  <si>
    <t xml:space="preserve">Primary Bathroom, </t>
  </si>
  <si>
    <t>Bath 2</t>
  </si>
  <si>
    <t>Guest Bathroom</t>
  </si>
  <si>
    <t>LEVEL 2  =  POTENTIAL ADDITIONAL ROOMS [B]</t>
  </si>
  <si>
    <t>LINEN CLOSET 2</t>
  </si>
  <si>
    <t>Bath 3</t>
  </si>
  <si>
    <t>LEVEL BASEMENT  = PRIMARY ROOMS [A]</t>
  </si>
  <si>
    <t>FOYER SIDE ENTRY</t>
  </si>
  <si>
    <t>FAMILYROOM/MAN CAVE</t>
  </si>
  <si>
    <t>UTILITY ROOM</t>
  </si>
  <si>
    <t>LAUNDRY ROOM</t>
  </si>
  <si>
    <t>Bathroom DN</t>
  </si>
  <si>
    <t>PHASE 2</t>
  </si>
  <si>
    <t>SELECT ANY ROOMS THAT ARE TRAVEL AREAS ONLY</t>
  </si>
  <si>
    <t>SELECT ANY ROOMS THAT ARE LINE OF SIGHT/CONTINUOS ROOMS= LOS</t>
  </si>
  <si>
    <t xml:space="preserve">MAYBE BOTH ADD "TRAVEL AREAS" AND /OR L.O.S. TO SELECTED ROOM NAMES </t>
  </si>
  <si>
    <t xml:space="preserve"> ADD "TRAVEL AREAS" AND /OR L.O.S. TO SELECTED ROOM NAMES (SUFFIX)</t>
  </si>
  <si>
    <t xml:space="preserve">552. CPS2 DAY2 CONTENTS OVERVIEW WIP BOXES PACKOUT PICS, </t>
  </si>
  <si>
    <t xml:space="preserve">553. CPS3 DAY3 CONTENTS OVERVIEW STORAGE MOVE OUT PICS , </t>
  </si>
  <si>
    <t xml:space="preserve">554. CPS4 CONTENTS OVERVIEW PACK-BACK / RESET PICS, </t>
  </si>
  <si>
    <t>ADD KITCHEN CABINETS SIZE ; COUNTERTOP &amp; APPLIANCES PIC &amp; TYPE</t>
  </si>
  <si>
    <t>ADD BATHROOM VANITY CABINETS SIZE &amp; APPLIANCES PIC &amp; TYPE</t>
  </si>
  <si>
    <t>OPERATIONAL FUNCTIONALITY</t>
  </si>
  <si>
    <t>OPTION TO EITHER SELECT ROOMS TO USE OR DELETE ROOMS</t>
  </si>
  <si>
    <t>BASEMENT Yor NO</t>
  </si>
  <si>
    <t>Attic Yes  or No</t>
  </si>
  <si>
    <t>FUTURE</t>
  </si>
  <si>
    <t>PULL ROOM NAMES FROM FLOOR PLAN SKETCH</t>
  </si>
  <si>
    <t xml:space="preserve">ARRANGE ROOMS IN CLOCKWISE / LEFT TO RIGHT ORDER </t>
  </si>
  <si>
    <t>STARTING AT FRONT ENTRY, LEVEL1  THEN LEVEL 2, THEN BASEMENT</t>
  </si>
  <si>
    <r>
      <t>15.</t>
    </r>
    <r>
      <rPr>
        <sz val="11"/>
        <color theme="1"/>
        <rFont val="Arial"/>
        <family val="2"/>
        <scheme val="minor"/>
      </rPr>
      <t xml:space="preserve">   </t>
    </r>
    <r>
      <rPr>
        <sz val="10"/>
        <color rgb="FF637183"/>
        <rFont val="Arial"/>
        <family val="2"/>
      </rPr>
      <t xml:space="preserve">11. REPLACEMENT 1 CON OVERVIEW DAY PICS, </t>
    </r>
  </si>
  <si>
    <r>
      <t>16.</t>
    </r>
    <r>
      <rPr>
        <sz val="11"/>
        <color theme="1"/>
        <rFont val="Arial"/>
        <family val="2"/>
        <scheme val="minor"/>
      </rPr>
      <t xml:space="preserve">   </t>
    </r>
    <r>
      <rPr>
        <sz val="10"/>
        <color rgb="FF637183"/>
        <rFont val="Arial"/>
        <family val="2"/>
      </rPr>
      <t xml:space="preserve">12. REPLACEMENT 2 CON WIP, </t>
    </r>
  </si>
  <si>
    <r>
      <t>17.</t>
    </r>
    <r>
      <rPr>
        <sz val="11"/>
        <color theme="1"/>
        <rFont val="Arial"/>
        <family val="2"/>
        <scheme val="minor"/>
      </rPr>
      <t xml:space="preserve">   </t>
    </r>
    <r>
      <rPr>
        <sz val="10"/>
        <color rgb="FF637183"/>
        <rFont val="Arial"/>
        <family val="2"/>
      </rPr>
      <t xml:space="preserve">13. REPLACEMENT 3 CON STORAGE </t>
    </r>
  </si>
  <si>
    <r>
      <t>18.</t>
    </r>
    <r>
      <rPr>
        <sz val="11"/>
        <color theme="1"/>
        <rFont val="Arial"/>
        <family val="2"/>
        <scheme val="minor"/>
      </rPr>
      <t xml:space="preserve">   </t>
    </r>
    <r>
      <rPr>
        <sz val="10"/>
        <color rgb="FF637183"/>
        <rFont val="Arial"/>
        <family val="2"/>
      </rPr>
      <t xml:space="preserve">14. REPLACEMENT 4 CON DISPOSAL, </t>
    </r>
  </si>
  <si>
    <r>
      <t>19.</t>
    </r>
    <r>
      <rPr>
        <sz val="11"/>
        <color theme="1"/>
        <rFont val="Arial"/>
        <family val="2"/>
        <scheme val="minor"/>
      </rPr>
      <t xml:space="preserve">   </t>
    </r>
    <r>
      <rPr>
        <sz val="10"/>
        <color rgb="FF637183"/>
        <rFont val="Arial"/>
        <family val="2"/>
      </rPr>
      <t xml:space="preserve">15. REBUILD OVERVIEW WORK IN PROGRESS.......WIP, </t>
    </r>
  </si>
  <si>
    <r>
      <t>20.</t>
    </r>
    <r>
      <rPr>
        <sz val="11"/>
        <color theme="1"/>
        <rFont val="Arial"/>
        <family val="2"/>
        <scheme val="minor"/>
      </rPr>
      <t xml:space="preserve">   </t>
    </r>
    <r>
      <rPr>
        <sz val="10"/>
        <color rgb="FF637183"/>
        <rFont val="Arial"/>
        <family val="2"/>
      </rPr>
      <t xml:space="preserve">16. REBUILD INTERIOR COMPLETED WORK, </t>
    </r>
  </si>
  <si>
    <t>Interior list &amp; ROOF</t>
  </si>
  <si>
    <r>
      <t>1.</t>
    </r>
    <r>
      <rPr>
        <sz val="11"/>
        <color theme="1"/>
        <rFont val="Arial"/>
        <family val="2"/>
        <scheme val="minor"/>
      </rPr>
      <t xml:space="preserve">      </t>
    </r>
    <r>
      <rPr>
        <sz val="10"/>
        <color rgb="FF637183"/>
        <rFont val="Arial"/>
        <family val="2"/>
      </rPr>
      <t>1.Jobsite Verification (Address Photos)</t>
    </r>
  </si>
  <si>
    <t>Foyer DN</t>
  </si>
  <si>
    <r>
      <t>2.</t>
    </r>
    <r>
      <rPr>
        <sz val="11"/>
        <color theme="1"/>
        <rFont val="Arial"/>
        <family val="2"/>
        <scheme val="minor"/>
      </rPr>
      <t xml:space="preserve">      </t>
    </r>
    <r>
      <rPr>
        <sz val="10"/>
        <color rgb="FF637183"/>
        <rFont val="Arial"/>
        <family val="2"/>
      </rPr>
      <t xml:space="preserve">2.Source of Loss Pics (ROOMS / STRUCTURAL) , </t>
    </r>
  </si>
  <si>
    <t>Living Room DN</t>
  </si>
  <si>
    <r>
      <t>3.</t>
    </r>
    <r>
      <rPr>
        <sz val="11"/>
        <color theme="1"/>
        <rFont val="Arial"/>
        <family val="2"/>
        <scheme val="minor"/>
      </rPr>
      <t xml:space="preserve">      </t>
    </r>
    <r>
      <rPr>
        <sz val="10"/>
        <color rgb="FF637183"/>
        <rFont val="Arial"/>
        <family val="2"/>
      </rPr>
      <t>3.FOYER/ENTRY ROOM,</t>
    </r>
  </si>
  <si>
    <t>Guest Closet DN</t>
  </si>
  <si>
    <r>
      <t>4.</t>
    </r>
    <r>
      <rPr>
        <sz val="11"/>
        <color theme="1"/>
        <rFont val="Arial"/>
        <family val="2"/>
        <scheme val="minor"/>
      </rPr>
      <t xml:space="preserve">      </t>
    </r>
    <r>
      <rPr>
        <sz val="10"/>
        <color rgb="FF637183"/>
        <rFont val="Arial"/>
        <family val="2"/>
      </rPr>
      <t>ROOM2</t>
    </r>
  </si>
  <si>
    <r>
      <t>5.</t>
    </r>
    <r>
      <rPr>
        <sz val="11"/>
        <color theme="1"/>
        <rFont val="Arial"/>
        <family val="2"/>
        <scheme val="minor"/>
      </rPr>
      <t xml:space="preserve">      </t>
    </r>
    <r>
      <rPr>
        <sz val="10"/>
        <color rgb="FF637183"/>
        <rFont val="Arial"/>
        <family val="2"/>
      </rPr>
      <t>ROOM3</t>
    </r>
  </si>
  <si>
    <t>Dining Room DN</t>
  </si>
  <si>
    <r>
      <t>6.</t>
    </r>
    <r>
      <rPr>
        <sz val="11"/>
        <color theme="1"/>
        <rFont val="Arial"/>
        <family val="2"/>
        <scheme val="minor"/>
      </rPr>
      <t xml:space="preserve">      </t>
    </r>
    <r>
      <rPr>
        <sz val="10"/>
        <color rgb="FF637183"/>
        <rFont val="Arial"/>
        <family val="2"/>
      </rPr>
      <t>ROOM4</t>
    </r>
  </si>
  <si>
    <t>Hallway DN @ BR&amp;BATH</t>
  </si>
  <si>
    <r>
      <t>7.</t>
    </r>
    <r>
      <rPr>
        <sz val="11"/>
        <color theme="1"/>
        <rFont val="Arial"/>
        <family val="2"/>
        <scheme val="minor"/>
      </rPr>
      <t xml:space="preserve">      </t>
    </r>
    <r>
      <rPr>
        <sz val="10"/>
        <color rgb="FF637183"/>
        <rFont val="Arial"/>
        <family val="2"/>
      </rPr>
      <t xml:space="preserve">ROOM5 </t>
    </r>
  </si>
  <si>
    <t>Bedroom 1 DN</t>
  </si>
  <si>
    <r>
      <t>8.</t>
    </r>
    <r>
      <rPr>
        <sz val="11"/>
        <color theme="1"/>
        <rFont val="Arial"/>
        <family val="2"/>
        <scheme val="minor"/>
      </rPr>
      <t xml:space="preserve">      </t>
    </r>
    <r>
      <rPr>
        <sz val="10"/>
        <color rgb="FF637183"/>
        <rFont val="Arial"/>
        <family val="2"/>
      </rPr>
      <t>4. CPS1 DAY 1 CONTENTS ROOM OVERVIEW / DOCUMENT PICS</t>
    </r>
  </si>
  <si>
    <t>Primary BR DN</t>
  </si>
  <si>
    <r>
      <t>9.</t>
    </r>
    <r>
      <rPr>
        <sz val="11"/>
        <color theme="1"/>
        <rFont val="Arial"/>
        <family val="2"/>
        <scheme val="minor"/>
      </rPr>
      <t xml:space="preserve">      </t>
    </r>
    <r>
      <rPr>
        <sz val="10"/>
        <color rgb="FF637183"/>
        <rFont val="Arial"/>
        <family val="2"/>
      </rPr>
      <t xml:space="preserve">5. CPS2 DAY2 CONTENTS OVERVIEW WIP BOXES PACKOUT PICS, </t>
    </r>
  </si>
  <si>
    <t>Primary BR Closet DN</t>
  </si>
  <si>
    <r>
      <t>10.</t>
    </r>
    <r>
      <rPr>
        <sz val="11"/>
        <color theme="1"/>
        <rFont val="Arial"/>
        <family val="2"/>
        <scheme val="minor"/>
      </rPr>
      <t xml:space="preserve">   </t>
    </r>
    <r>
      <rPr>
        <sz val="10"/>
        <color rgb="FF637183"/>
        <rFont val="Arial"/>
        <family val="2"/>
      </rPr>
      <t xml:space="preserve">6. CPS3 DAY3 CONTENTS OVERVIEW STORAGE MOVE OUT PICS, </t>
    </r>
  </si>
  <si>
    <t>Bedroom 2 DN</t>
  </si>
  <si>
    <r>
      <t>11.</t>
    </r>
    <r>
      <rPr>
        <sz val="11"/>
        <color theme="1"/>
        <rFont val="Arial"/>
        <family val="2"/>
        <scheme val="minor"/>
      </rPr>
      <t xml:space="preserve">   </t>
    </r>
    <r>
      <rPr>
        <sz val="10"/>
        <color rgb="FF637183"/>
        <rFont val="Arial"/>
        <family val="2"/>
      </rPr>
      <t xml:space="preserve">7. CPS4 CONTENTS OVERVIEW PACK-BACK / RESET PICS, </t>
    </r>
  </si>
  <si>
    <t>BR 2 Closet DN</t>
  </si>
  <si>
    <r>
      <t>12.</t>
    </r>
    <r>
      <rPr>
        <sz val="11"/>
        <color theme="1"/>
        <rFont val="Arial"/>
        <family val="2"/>
        <scheme val="minor"/>
      </rPr>
      <t xml:space="preserve">   </t>
    </r>
    <r>
      <rPr>
        <sz val="10"/>
        <color rgb="FF637183"/>
        <rFont val="Arial"/>
        <family val="2"/>
      </rPr>
      <t xml:space="preserve">8. MITIGATION EQUIPMENT OVERVIEW INTERIOR &amp; WIP, </t>
    </r>
  </si>
  <si>
    <r>
      <t>13.</t>
    </r>
    <r>
      <rPr>
        <sz val="11"/>
        <color theme="1"/>
        <rFont val="Arial"/>
        <family val="2"/>
        <scheme val="minor"/>
      </rPr>
      <t xml:space="preserve">   </t>
    </r>
    <r>
      <rPr>
        <sz val="10"/>
        <color rgb="FF637183"/>
        <rFont val="Arial"/>
        <family val="2"/>
      </rPr>
      <t xml:space="preserve">9. MITIGATION Readings Moisture = MC, </t>
    </r>
  </si>
  <si>
    <t>Linen Closet DN</t>
  </si>
  <si>
    <r>
      <t>14.</t>
    </r>
    <r>
      <rPr>
        <sz val="11"/>
        <color theme="1"/>
        <rFont val="Arial"/>
        <family val="2"/>
        <scheme val="minor"/>
      </rPr>
      <t xml:space="preserve">   </t>
    </r>
    <r>
      <rPr>
        <sz val="10"/>
        <color rgb="FF637183"/>
        <rFont val="Arial"/>
        <family val="2"/>
      </rPr>
      <t xml:space="preserve">10. MITIGATION READINGS = RH, TEMP F &amp; DEH &amp; EXTERIOR, </t>
    </r>
  </si>
  <si>
    <t>Kitchen DN</t>
  </si>
  <si>
    <t>Pantry Down DN</t>
  </si>
  <si>
    <t>Hallway/ Closet Dn</t>
  </si>
  <si>
    <t>SIDE DN FOYER HALL STAIRS</t>
  </si>
  <si>
    <t>Frt Stairwell / Hallway Up ======</t>
  </si>
  <si>
    <t>Living Room 2nd</t>
  </si>
  <si>
    <t>Guest Closet 2nd</t>
  </si>
  <si>
    <r>
      <t>21.</t>
    </r>
    <r>
      <rPr>
        <sz val="11"/>
        <color theme="1"/>
        <rFont val="Arial"/>
        <family val="2"/>
        <scheme val="minor"/>
      </rPr>
      <t xml:space="preserve">   </t>
    </r>
    <r>
      <rPr>
        <sz val="10"/>
        <color rgb="FF637183"/>
        <rFont val="Arial"/>
        <family val="2"/>
      </rPr>
      <t xml:space="preserve">17. Roof Scope = DAMAGES &amp; LINE ITEMS, </t>
    </r>
  </si>
  <si>
    <t>Fireplace 2nd up</t>
  </si>
  <si>
    <r>
      <t>22.</t>
    </r>
    <r>
      <rPr>
        <sz val="11"/>
        <color theme="1"/>
        <rFont val="Arial"/>
        <family val="2"/>
        <scheme val="minor"/>
      </rPr>
      <t xml:space="preserve">   </t>
    </r>
    <r>
      <rPr>
        <sz val="10"/>
        <color rgb="FF637183"/>
        <rFont val="Arial"/>
        <family val="2"/>
      </rPr>
      <t xml:space="preserve">18. ROOF EXTERIOR PAID WHEN INSTALLED (PWI ITEMS), </t>
    </r>
  </si>
  <si>
    <t>Dining Room 2nd</t>
  </si>
  <si>
    <r>
      <t>23.</t>
    </r>
    <r>
      <rPr>
        <sz val="11"/>
        <color theme="1"/>
        <rFont val="Arial"/>
        <family val="2"/>
        <scheme val="minor"/>
      </rPr>
      <t xml:space="preserve">   </t>
    </r>
    <r>
      <rPr>
        <sz val="10"/>
        <color rgb="FF637183"/>
        <rFont val="Arial"/>
        <family val="2"/>
      </rPr>
      <t xml:space="preserve">EMPLOYEES SIGNATURE CHECK LIST ROOM, </t>
    </r>
  </si>
  <si>
    <t>Hallway Bathroom 2nd</t>
  </si>
  <si>
    <r>
      <t>24.</t>
    </r>
    <r>
      <rPr>
        <sz val="11"/>
        <color theme="1"/>
        <rFont val="Arial"/>
        <family val="2"/>
        <scheme val="minor"/>
      </rPr>
      <t xml:space="preserve">   </t>
    </r>
    <r>
      <rPr>
        <sz val="10"/>
        <color rgb="FF637183"/>
        <rFont val="Arial"/>
        <family val="2"/>
      </rPr>
      <t>RHT DAY 1,</t>
    </r>
  </si>
  <si>
    <t>Bedroom 1 2nd</t>
  </si>
  <si>
    <r>
      <t>25.</t>
    </r>
    <r>
      <rPr>
        <sz val="11"/>
        <color theme="1"/>
        <rFont val="Arial"/>
        <family val="2"/>
        <scheme val="minor"/>
      </rPr>
      <t xml:space="preserve">   </t>
    </r>
    <r>
      <rPr>
        <sz val="10"/>
        <color rgb="FF637183"/>
        <rFont val="Arial"/>
        <family val="2"/>
      </rPr>
      <t xml:space="preserve">RHT DAY 2, </t>
    </r>
  </si>
  <si>
    <t>Primary Bedroom 2nd</t>
  </si>
  <si>
    <r>
      <t>26.</t>
    </r>
    <r>
      <rPr>
        <sz val="11"/>
        <color theme="1"/>
        <rFont val="Arial"/>
        <family val="2"/>
        <scheme val="minor"/>
      </rPr>
      <t xml:space="preserve">   </t>
    </r>
    <r>
      <rPr>
        <sz val="10"/>
        <color rgb="FF637183"/>
        <rFont val="Arial"/>
        <family val="2"/>
      </rPr>
      <t xml:space="preserve">RHT DAY 3, </t>
    </r>
  </si>
  <si>
    <t>Primary Bedroom Closet 2nd</t>
  </si>
  <si>
    <r>
      <t>27.</t>
    </r>
    <r>
      <rPr>
        <sz val="11"/>
        <color theme="1"/>
        <rFont val="Arial"/>
        <family val="2"/>
        <scheme val="minor"/>
      </rPr>
      <t xml:space="preserve">   </t>
    </r>
    <r>
      <rPr>
        <sz val="10"/>
        <color rgb="FF637183"/>
        <rFont val="Arial"/>
        <family val="2"/>
      </rPr>
      <t xml:space="preserve">RHT DAY 4, </t>
    </r>
  </si>
  <si>
    <t>Bedroom 2 2nd</t>
  </si>
  <si>
    <r>
      <t>28.</t>
    </r>
    <r>
      <rPr>
        <sz val="11"/>
        <color theme="1"/>
        <rFont val="Arial"/>
        <family val="2"/>
        <scheme val="minor"/>
      </rPr>
      <t xml:space="preserve">   </t>
    </r>
    <r>
      <rPr>
        <sz val="10"/>
        <color rgb="FF637183"/>
        <rFont val="Arial"/>
        <family val="2"/>
      </rPr>
      <t xml:space="preserve">RHT DAY 5, </t>
    </r>
  </si>
  <si>
    <t>BR 2 Closet 2nd</t>
  </si>
  <si>
    <r>
      <t>29.</t>
    </r>
    <r>
      <rPr>
        <sz val="11"/>
        <color theme="1"/>
        <rFont val="Arial"/>
        <family val="2"/>
        <scheme val="minor"/>
      </rPr>
      <t xml:space="preserve">   </t>
    </r>
    <r>
      <rPr>
        <sz val="10"/>
        <color rgb="FF637183"/>
        <rFont val="Arial"/>
        <family val="2"/>
      </rPr>
      <t xml:space="preserve">MC DAY 1, </t>
    </r>
  </si>
  <si>
    <t>Linen Closet 2ND</t>
  </si>
  <si>
    <r>
      <t>30.</t>
    </r>
    <r>
      <rPr>
        <sz val="11"/>
        <color theme="1"/>
        <rFont val="Arial"/>
        <family val="2"/>
        <scheme val="minor"/>
      </rPr>
      <t xml:space="preserve">   </t>
    </r>
    <r>
      <rPr>
        <sz val="10"/>
        <color rgb="FF637183"/>
        <rFont val="Arial"/>
        <family val="2"/>
      </rPr>
      <t xml:space="preserve">MC DAY 2, </t>
    </r>
  </si>
  <si>
    <t>Bathroom UP 2nd</t>
  </si>
  <si>
    <r>
      <t>31.</t>
    </r>
    <r>
      <rPr>
        <sz val="11"/>
        <color theme="1"/>
        <rFont val="Arial"/>
        <family val="2"/>
        <scheme val="minor"/>
      </rPr>
      <t xml:space="preserve">   </t>
    </r>
    <r>
      <rPr>
        <sz val="10"/>
        <color rgb="FF637183"/>
        <rFont val="Arial"/>
        <family val="2"/>
      </rPr>
      <t xml:space="preserve">MC DAY 3, </t>
    </r>
  </si>
  <si>
    <t>Kitchen 2nd</t>
  </si>
  <si>
    <r>
      <t>32.</t>
    </r>
    <r>
      <rPr>
        <sz val="11"/>
        <color theme="1"/>
        <rFont val="Arial"/>
        <family val="2"/>
        <scheme val="minor"/>
      </rPr>
      <t xml:space="preserve">   </t>
    </r>
    <r>
      <rPr>
        <sz val="10"/>
        <color rgb="FF637183"/>
        <rFont val="Arial"/>
        <family val="2"/>
      </rPr>
      <t xml:space="preserve">MC DAY 4, </t>
    </r>
  </si>
  <si>
    <t>Rear/entry Foyer 2nd</t>
  </si>
  <si>
    <r>
      <t>33.</t>
    </r>
    <r>
      <rPr>
        <sz val="11"/>
        <color theme="1"/>
        <rFont val="Arial"/>
        <family val="2"/>
        <scheme val="minor"/>
      </rPr>
      <t xml:space="preserve">   </t>
    </r>
    <r>
      <rPr>
        <sz val="10"/>
        <color rgb="FF637183"/>
        <rFont val="Arial"/>
        <family val="2"/>
      </rPr>
      <t xml:space="preserve">MC DAY 5, </t>
    </r>
  </si>
  <si>
    <t>Stairs -Up =REAR ========</t>
  </si>
  <si>
    <r>
      <t>34.</t>
    </r>
    <r>
      <rPr>
        <sz val="11"/>
        <color theme="1"/>
        <rFont val="Arial"/>
        <family val="2"/>
        <scheme val="minor"/>
      </rPr>
      <t xml:space="preserve">   </t>
    </r>
    <r>
      <rPr>
        <sz val="10"/>
        <color rgb="FF637183"/>
        <rFont val="Arial"/>
        <family val="2"/>
      </rPr>
      <t xml:space="preserve">STABILIZATION READINGS, </t>
    </r>
  </si>
  <si>
    <t>Pantry 2nd</t>
  </si>
  <si>
    <r>
      <t>35.</t>
    </r>
    <r>
      <rPr>
        <sz val="11"/>
        <color theme="1"/>
        <rFont val="Arial"/>
        <family val="2"/>
        <scheme val="minor"/>
      </rPr>
      <t xml:space="preserve">   </t>
    </r>
    <r>
      <rPr>
        <sz val="10"/>
        <color rgb="FF637183"/>
        <rFont val="Arial"/>
        <family val="2"/>
      </rPr>
      <t xml:space="preserve">MIT LABELS, </t>
    </r>
  </si>
  <si>
    <t>=== ATTIC 3RD FLOOR=====</t>
  </si>
  <si>
    <r>
      <t>36.</t>
    </r>
    <r>
      <rPr>
        <sz val="11"/>
        <color theme="1"/>
        <rFont val="Arial"/>
        <family val="2"/>
        <scheme val="minor"/>
      </rPr>
      <t xml:space="preserve">   </t>
    </r>
    <r>
      <rPr>
        <sz val="10"/>
        <color rgb="FF637183"/>
        <rFont val="Arial"/>
        <family val="2"/>
      </rPr>
      <t>ROOM LABELS</t>
    </r>
  </si>
  <si>
    <t>3rd Floor Up Stairs</t>
  </si>
  <si>
    <t>3rd Floot Bedroom Closet</t>
  </si>
  <si>
    <t>3rd Floor Bedroom/REC 1</t>
  </si>
  <si>
    <t>3rd Floor Living Room</t>
  </si>
  <si>
    <t>3rd Floor Kitchen</t>
  </si>
  <si>
    <t>3rd Floor Storage 1</t>
  </si>
  <si>
    <t>3rd Floor Hallway Bedroom</t>
  </si>
  <si>
    <t>Interior list &amp; ROOF / 5DAY MIT</t>
  </si>
  <si>
    <t>3rd Floor Closet Hall</t>
  </si>
  <si>
    <t>1. Jobsite Verification (Address Photos),</t>
  </si>
  <si>
    <t>3rd Floor Guest Closet 1</t>
  </si>
  <si>
    <t xml:space="preserve"> 2. Source of Loss Pics (ROOMS / STRUCTURAL) , </t>
  </si>
  <si>
    <t>3rd Floor Guest Closet 2</t>
  </si>
  <si>
    <t xml:space="preserve">3.FOYER/ENTRY ROOM, </t>
  </si>
  <si>
    <t>Bathroom 3rd Floor</t>
  </si>
  <si>
    <t xml:space="preserve">5. CPS2 DAY2 CONTENTS OVERVIEW WIP BOXES PACKOUT PICS, </t>
  </si>
  <si>
    <t>3RD FLR Storage 2</t>
  </si>
  <si>
    <t xml:space="preserve">6. CPS3 DAY3 CONTENTS OVERVIEW STORAGE MOVE OUT PICS , </t>
  </si>
  <si>
    <t>3rd Floor Porch</t>
  </si>
  <si>
    <t xml:space="preserve">7. CPS4 CONTENTS OVERVIEW PACK-BACK / RESET PICS, </t>
  </si>
  <si>
    <t>Basement COMMON AREA ====</t>
  </si>
  <si>
    <t xml:space="preserve">8. MITIGATION EQUIPMENT OVERVIEW INTERIOR &amp; WIP , </t>
  </si>
  <si>
    <t>Laundry Room</t>
  </si>
  <si>
    <t xml:space="preserve">9. MITIGATION Readings Moisture = MC, </t>
  </si>
  <si>
    <t>STORAGE RR</t>
  </si>
  <si>
    <t xml:space="preserve">10. MITIGATION READINGS = RH, TEMP F &amp; DEH &amp; EXTERIOR, </t>
  </si>
  <si>
    <t>=== MITIGATION LABELS =====</t>
  </si>
  <si>
    <t xml:space="preserve">11. REPLACEMENT 1 CON OVERVIEW DAY PICS, </t>
  </si>
  <si>
    <t>Mitigation Equipment</t>
  </si>
  <si>
    <t xml:space="preserve">12. REPLACEMENT 2 CON WIP, </t>
  </si>
  <si>
    <t>STABILIZATION</t>
  </si>
  <si>
    <t xml:space="preserve">13. REPLACEMENT 3 CON STORAGE , </t>
  </si>
  <si>
    <t>MC DAY1</t>
  </si>
  <si>
    <t xml:space="preserve">14. REPLACEMENT 4 CON DISPOSAL, </t>
  </si>
  <si>
    <t>MC DAY2</t>
  </si>
  <si>
    <t xml:space="preserve">15. REBUILD OVERVIEW WORK IN PROGRESS.......WIP, </t>
  </si>
  <si>
    <t>MC DAY 3</t>
  </si>
  <si>
    <t xml:space="preserve">16. REBUILD INTERIOR COMPLETED WORK, </t>
  </si>
  <si>
    <t>MC DAY 4</t>
  </si>
  <si>
    <t xml:space="preserve">17. Roof Scope = DAMAGES &amp; LINE ITEMS, </t>
  </si>
  <si>
    <t>MC DAY 5</t>
  </si>
  <si>
    <t xml:space="preserve">18. ROOF EXTERIOR PAID WHEN INSTALLED (PWI ITEMS), </t>
  </si>
  <si>
    <t>RHT DAY 1</t>
  </si>
  <si>
    <t xml:space="preserve">4. CPS1 DAY 1 CONTENTS ROOM OVERVIEW / DOCUMENT PICS, </t>
  </si>
  <si>
    <t>RHT DAY 2</t>
  </si>
  <si>
    <t>RHT DAY 1,</t>
  </si>
  <si>
    <t>RHT DAY 3</t>
  </si>
  <si>
    <t xml:space="preserve"> RHT DAY 2,</t>
  </si>
  <si>
    <t>RHT DAY 4</t>
  </si>
  <si>
    <t xml:space="preserve"> RHT DAY 3,</t>
  </si>
  <si>
    <t>RHT DAY 5</t>
  </si>
  <si>
    <t xml:space="preserve"> RHT DAY 4, </t>
  </si>
  <si>
    <t>PPR REPLACEMENT ITEMS</t>
  </si>
  <si>
    <t xml:space="preserve">RHT DAY 5, </t>
  </si>
  <si>
    <t xml:space="preserve">MC DAY1 , </t>
  </si>
  <si>
    <t xml:space="preserve">MC DAY 2, </t>
  </si>
  <si>
    <t xml:space="preserve">MC DAY3, </t>
  </si>
  <si>
    <t xml:space="preserve">MC DAY 4, </t>
  </si>
  <si>
    <t xml:space="preserve">MC DAY 5, </t>
  </si>
  <si>
    <t xml:space="preserve">STABILIZATION READINGS, </t>
  </si>
  <si>
    <t>MIT LABELS,</t>
  </si>
  <si>
    <t xml:space="preserve"> ROOM LABELS</t>
  </si>
  <si>
    <t>Jobsite Verification &amp; Source of Loss</t>
  </si>
  <si>
    <r>
      <t>1.</t>
    </r>
    <r>
      <rPr>
        <sz val="11"/>
        <color theme="1"/>
        <rFont val="Arial"/>
        <family val="2"/>
        <scheme val="minor"/>
      </rPr>
      <t xml:space="preserve">     </t>
    </r>
    <r>
      <rPr>
        <sz val="11"/>
        <color theme="1"/>
        <rFont val="Arial"/>
        <family val="2"/>
        <scheme val="minor"/>
      </rPr>
      <t>Jobsite Verification (Address Photos)</t>
    </r>
  </si>
  <si>
    <r>
      <t>2.</t>
    </r>
    <r>
      <rPr>
        <sz val="11"/>
        <color theme="1"/>
        <rFont val="Arial"/>
        <family val="2"/>
        <scheme val="minor"/>
      </rPr>
      <t xml:space="preserve">     </t>
    </r>
    <r>
      <rPr>
        <sz val="11"/>
        <color theme="1"/>
        <rFont val="Arial"/>
        <family val="2"/>
        <scheme val="minor"/>
      </rPr>
      <t>Pics (ROOMS / STRUCTURAL) ----- ---------------------------------------                                                                                                         ROOMS ------------------------------------------------------------------------------</t>
    </r>
  </si>
  <si>
    <r>
      <t>3.</t>
    </r>
    <r>
      <rPr>
        <sz val="11"/>
        <color theme="1"/>
        <rFont val="Arial"/>
        <family val="2"/>
        <scheme val="minor"/>
      </rPr>
      <t xml:space="preserve">     </t>
    </r>
    <r>
      <rPr>
        <sz val="11"/>
        <color theme="1"/>
        <rFont val="Arial"/>
        <family val="2"/>
        <scheme val="minor"/>
      </rPr>
      <t xml:space="preserve">FOYER/ENTRY ROOM  </t>
    </r>
  </si>
  <si>
    <r>
      <t>4.</t>
    </r>
    <r>
      <rPr>
        <sz val="11"/>
        <color theme="1"/>
        <rFont val="Arial"/>
        <family val="2"/>
        <scheme val="minor"/>
      </rPr>
      <t xml:space="preserve">     </t>
    </r>
    <r>
      <rPr>
        <sz val="11"/>
        <color theme="1"/>
        <rFont val="Arial"/>
        <family val="2"/>
        <scheme val="minor"/>
      </rPr>
      <t>ROOMS TRAVEL AREAS</t>
    </r>
  </si>
  <si>
    <r>
      <t>5.</t>
    </r>
    <r>
      <rPr>
        <sz val="11"/>
        <color theme="1"/>
        <rFont val="Arial"/>
        <family val="2"/>
        <scheme val="minor"/>
      </rPr>
      <t xml:space="preserve">     </t>
    </r>
    <r>
      <rPr>
        <sz val="11"/>
        <color theme="1"/>
        <rFont val="Arial"/>
        <family val="2"/>
        <scheme val="minor"/>
      </rPr>
      <t>AFFECTED ROOM ______________</t>
    </r>
  </si>
  <si>
    <r>
      <t>6.</t>
    </r>
    <r>
      <rPr>
        <sz val="11"/>
        <color theme="1"/>
        <rFont val="Arial"/>
        <family val="2"/>
        <scheme val="minor"/>
      </rPr>
      <t xml:space="preserve">     </t>
    </r>
    <r>
      <rPr>
        <sz val="11"/>
        <color theme="1"/>
        <rFont val="Arial"/>
        <family val="2"/>
        <scheme val="minor"/>
      </rPr>
      <t>AFFECTED ROOM ______________</t>
    </r>
  </si>
  <si>
    <r>
      <t>7.</t>
    </r>
    <r>
      <rPr>
        <sz val="11"/>
        <color theme="1"/>
        <rFont val="Arial"/>
        <family val="2"/>
        <scheme val="minor"/>
      </rPr>
      <t xml:space="preserve">     </t>
    </r>
    <r>
      <rPr>
        <sz val="11"/>
        <color theme="1"/>
        <rFont val="Arial"/>
        <family val="2"/>
        <scheme val="minor"/>
      </rPr>
      <t>AFFECTED ROOM ______________</t>
    </r>
  </si>
  <si>
    <r>
      <t>8.</t>
    </r>
    <r>
      <rPr>
        <sz val="11"/>
        <color theme="1"/>
        <rFont val="Arial"/>
        <family val="2"/>
        <scheme val="minor"/>
      </rPr>
      <t xml:space="preserve">     </t>
    </r>
    <r>
      <rPr>
        <sz val="11"/>
        <color theme="1"/>
        <rFont val="Arial"/>
        <family val="2"/>
        <scheme val="minor"/>
      </rPr>
      <t>AFFECTED ROOM ______________</t>
    </r>
  </si>
  <si>
    <r>
      <t>9.</t>
    </r>
    <r>
      <rPr>
        <sz val="11"/>
        <color theme="1"/>
        <rFont val="Arial"/>
        <family val="2"/>
        <scheme val="minor"/>
      </rPr>
      <t xml:space="preserve">     </t>
    </r>
    <r>
      <rPr>
        <sz val="11"/>
        <color theme="1"/>
        <rFont val="Arial"/>
        <family val="2"/>
        <scheme val="minor"/>
      </rPr>
      <t>AFFECTED ROOM ______________</t>
    </r>
  </si>
  <si>
    <r>
      <t>10.</t>
    </r>
    <r>
      <rPr>
        <sz val="11"/>
        <color theme="1"/>
        <rFont val="Arial"/>
        <family val="2"/>
        <scheme val="minor"/>
      </rPr>
      <t xml:space="preserve">  </t>
    </r>
    <r>
      <rPr>
        <sz val="11"/>
        <color theme="1"/>
        <rFont val="Arial"/>
        <family val="2"/>
        <scheme val="minor"/>
      </rPr>
      <t>AFFECTED ROOM ______________</t>
    </r>
  </si>
  <si>
    <t xml:space="preserve"> CPS ----------------</t>
  </si>
  <si>
    <r>
      <t>11.</t>
    </r>
    <r>
      <rPr>
        <sz val="11"/>
        <color theme="1"/>
        <rFont val="Arial"/>
        <family val="2"/>
        <scheme val="minor"/>
      </rPr>
      <t xml:space="preserve">  </t>
    </r>
    <r>
      <rPr>
        <sz val="11"/>
        <color theme="1"/>
        <rFont val="Arial"/>
        <family val="2"/>
        <scheme val="minor"/>
      </rPr>
      <t>CPS1 DAY1 CONTENTS OVERVIEW/DOCUMENT PICS</t>
    </r>
  </si>
  <si>
    <r>
      <t>12.</t>
    </r>
    <r>
      <rPr>
        <sz val="11"/>
        <color theme="1"/>
        <rFont val="Arial"/>
        <family val="2"/>
        <scheme val="minor"/>
      </rPr>
      <t xml:space="preserve">  </t>
    </r>
    <r>
      <rPr>
        <sz val="11"/>
        <color theme="1"/>
        <rFont val="Arial"/>
        <family val="2"/>
        <scheme val="minor"/>
      </rPr>
      <t>CPS2 DAY2 CONTENTS OVERVIEW WIP BOXES PACKOUT PICS</t>
    </r>
  </si>
  <si>
    <r>
      <t>13.</t>
    </r>
    <r>
      <rPr>
        <sz val="11"/>
        <color theme="1"/>
        <rFont val="Arial"/>
        <family val="2"/>
        <scheme val="minor"/>
      </rPr>
      <t xml:space="preserve">  </t>
    </r>
    <r>
      <rPr>
        <sz val="11"/>
        <color theme="1"/>
        <rFont val="Arial"/>
        <family val="2"/>
        <scheme val="minor"/>
      </rPr>
      <t>CPS3 DAY3 CONTENTS OVERVIEW STORAGE MOVE OUT PICS</t>
    </r>
  </si>
  <si>
    <r>
      <t>14.</t>
    </r>
    <r>
      <rPr>
        <sz val="11"/>
        <color theme="1"/>
        <rFont val="Arial"/>
        <family val="2"/>
        <scheme val="minor"/>
      </rPr>
      <t xml:space="preserve">  </t>
    </r>
    <r>
      <rPr>
        <sz val="11"/>
        <color theme="1"/>
        <rFont val="Arial"/>
        <family val="2"/>
        <scheme val="minor"/>
      </rPr>
      <t xml:space="preserve">CPS4 CONTENTS OVERVIEW PACK-BACK / RESET PICS ---------------------------------------------- </t>
    </r>
  </si>
  <si>
    <t>MITIGATION ---------------------------------------------------------</t>
  </si>
  <si>
    <r>
      <t>15.</t>
    </r>
    <r>
      <rPr>
        <sz val="11"/>
        <color theme="1"/>
        <rFont val="Arial"/>
        <family val="2"/>
        <scheme val="minor"/>
      </rPr>
      <t xml:space="preserve">  </t>
    </r>
    <r>
      <rPr>
        <sz val="11"/>
        <color theme="1"/>
        <rFont val="Arial"/>
        <family val="2"/>
        <scheme val="minor"/>
      </rPr>
      <t>MITIGATION EQUIPMENT OVERVIEW INTERIOR &amp; WIP</t>
    </r>
  </si>
  <si>
    <r>
      <t>16.</t>
    </r>
    <r>
      <rPr>
        <sz val="11"/>
        <color theme="1"/>
        <rFont val="Arial"/>
        <family val="2"/>
        <scheme val="minor"/>
      </rPr>
      <t xml:space="preserve">  </t>
    </r>
    <r>
      <rPr>
        <sz val="11"/>
        <color theme="1"/>
        <rFont val="Arial"/>
        <family val="2"/>
        <scheme val="minor"/>
      </rPr>
      <t>MITIGATION Readings Moisture = MC</t>
    </r>
  </si>
  <si>
    <r>
      <t>17.</t>
    </r>
    <r>
      <rPr>
        <sz val="11"/>
        <color theme="1"/>
        <rFont val="Arial"/>
        <family val="2"/>
        <scheme val="minor"/>
      </rPr>
      <t xml:space="preserve">  </t>
    </r>
    <r>
      <rPr>
        <sz val="11"/>
        <color theme="1"/>
        <rFont val="Arial"/>
        <family val="2"/>
        <scheme val="minor"/>
      </rPr>
      <t>MITIGATION READINGS = RH, TEMP F &amp; DEH &amp; EXTERIOR ----------------------------------------- REPLACEMENT ------------------</t>
    </r>
  </si>
  <si>
    <r>
      <t>18.</t>
    </r>
    <r>
      <rPr>
        <sz val="11"/>
        <color theme="1"/>
        <rFont val="Arial"/>
        <family val="2"/>
        <scheme val="minor"/>
      </rPr>
      <t xml:space="preserve">  </t>
    </r>
    <r>
      <rPr>
        <sz val="11"/>
        <color theme="1"/>
        <rFont val="Arial"/>
        <family val="2"/>
        <scheme val="minor"/>
      </rPr>
      <t>REPLACEMENT 1 CON OVERVIEW DAY PICS</t>
    </r>
  </si>
  <si>
    <r>
      <t>19.</t>
    </r>
    <r>
      <rPr>
        <sz val="11"/>
        <color theme="1"/>
        <rFont val="Arial"/>
        <family val="2"/>
        <scheme val="minor"/>
      </rPr>
      <t xml:space="preserve">  </t>
    </r>
    <r>
      <rPr>
        <sz val="11"/>
        <color theme="1"/>
        <rFont val="Arial"/>
        <family val="2"/>
        <scheme val="minor"/>
      </rPr>
      <t>REPLACEMENT 2 CON WIP</t>
    </r>
  </si>
  <si>
    <r>
      <t>20.</t>
    </r>
    <r>
      <rPr>
        <sz val="11"/>
        <color theme="1"/>
        <rFont val="Arial"/>
        <family val="2"/>
        <scheme val="minor"/>
      </rPr>
      <t xml:space="preserve">  </t>
    </r>
    <r>
      <rPr>
        <sz val="11"/>
        <color theme="1"/>
        <rFont val="Arial"/>
        <family val="2"/>
        <scheme val="minor"/>
      </rPr>
      <t>REPLACEMENT 3 CON STORAGE</t>
    </r>
  </si>
  <si>
    <r>
      <t>21.</t>
    </r>
    <r>
      <rPr>
        <sz val="11"/>
        <color theme="1"/>
        <rFont val="Arial"/>
        <family val="2"/>
        <scheme val="minor"/>
      </rPr>
      <t xml:space="preserve">  </t>
    </r>
    <r>
      <rPr>
        <sz val="11"/>
        <color theme="1"/>
        <rFont val="Arial"/>
        <family val="2"/>
        <scheme val="minor"/>
      </rPr>
      <t>REPLACEMENT 4 CON DISPOSAL----          ---------------------------------------------------------------------REBUILD --------------------</t>
    </r>
  </si>
  <si>
    <r>
      <t>22.</t>
    </r>
    <r>
      <rPr>
        <sz val="11"/>
        <color theme="1"/>
        <rFont val="Arial"/>
        <family val="2"/>
        <scheme val="minor"/>
      </rPr>
      <t xml:space="preserve">  </t>
    </r>
    <r>
      <rPr>
        <sz val="11"/>
        <color theme="1"/>
        <rFont val="Arial"/>
        <family val="2"/>
        <scheme val="minor"/>
      </rPr>
      <t>REBUILD OVERVIEW WORK IN PROGRESS.......WIP</t>
    </r>
  </si>
  <si>
    <r>
      <t>23.</t>
    </r>
    <r>
      <rPr>
        <sz val="11"/>
        <color theme="1"/>
        <rFont val="Arial"/>
        <family val="2"/>
        <scheme val="minor"/>
      </rPr>
      <t xml:space="preserve">  </t>
    </r>
    <r>
      <rPr>
        <sz val="11"/>
        <color theme="1"/>
        <rFont val="Arial"/>
        <family val="2"/>
        <scheme val="minor"/>
      </rPr>
      <t>REBUILD INTERIOR COMPLETED WORK --  ---------------------------------------------------------------------------------------------------------------------------------------------------------                                                                                                ROOF &amp; EXTERIOR ----------</t>
    </r>
  </si>
  <si>
    <r>
      <t>24.</t>
    </r>
    <r>
      <rPr>
        <sz val="11"/>
        <color theme="1"/>
        <rFont val="Arial"/>
        <family val="2"/>
        <scheme val="minor"/>
      </rPr>
      <t xml:space="preserve">  </t>
    </r>
    <r>
      <rPr>
        <sz val="11"/>
        <color theme="1"/>
        <rFont val="Arial"/>
        <family val="2"/>
        <scheme val="minor"/>
      </rPr>
      <t>Roof Scope = DAMAGES &amp; LINE ITEMS</t>
    </r>
  </si>
  <si>
    <t xml:space="preserve">ROOF EXTERIOR PAID WHEN INSTALLED </t>
  </si>
  <si>
    <t>CABINETS</t>
  </si>
  <si>
    <t>Type /Quality / Grade:</t>
  </si>
  <si>
    <t xml:space="preserve">   Standard- Builder Grade   /    High Grade   /   Premium   /   Deluxe   / CUSTOM</t>
  </si>
  <si>
    <t>BASE</t>
  </si>
  <si>
    <t>_______________</t>
  </si>
  <si>
    <t>LF total =____________</t>
  </si>
  <si>
    <t>SB SIZE</t>
  </si>
  <si>
    <t>DB SIZE</t>
  </si>
  <si>
    <t>B ____SIZES</t>
  </si>
  <si>
    <t>SPECIALTY</t>
  </si>
  <si>
    <t>UPPER Cabinets</t>
  </si>
  <si>
    <t>WIDTH X HEIGHT</t>
  </si>
  <si>
    <t>FULL HEIGHT CAB</t>
  </si>
  <si>
    <t>COUNTER TOP</t>
  </si>
  <si>
    <t>FORMICA</t>
  </si>
  <si>
    <t>GRANITE</t>
  </si>
  <si>
    <t>OTHER __________</t>
  </si>
  <si>
    <t>SF total =____________</t>
  </si>
  <si>
    <t>NOTES:</t>
  </si>
  <si>
    <t>APPLIANCES</t>
  </si>
  <si>
    <t>REFRIGERATOR</t>
  </si>
  <si>
    <t>ICE MAKER</t>
  </si>
  <si>
    <t xml:space="preserve">STOVE/OVEN </t>
  </si>
  <si>
    <t>GAS or ELECTRIC</t>
  </si>
  <si>
    <t>BUILT IN or Stand Alone</t>
  </si>
  <si>
    <t xml:space="preserve">Micro wave </t>
  </si>
  <si>
    <t>__________________________</t>
  </si>
  <si>
    <t>EXHAUST/VENT FAN</t>
  </si>
  <si>
    <t>Dishwasher</t>
  </si>
  <si>
    <t>Garbage disposal</t>
  </si>
  <si>
    <t>BATHROOM</t>
  </si>
  <si>
    <t>VANITY</t>
  </si>
  <si>
    <t>SIZE _________</t>
  </si>
  <si>
    <t>GRADE ________</t>
  </si>
  <si>
    <t xml:space="preserve"> ____  COUNTER TOP __________</t>
  </si>
  <si>
    <t>TOWEL RACKS</t>
  </si>
  <si>
    <t>QTY =</t>
  </si>
  <si>
    <t>BATHTUB</t>
  </si>
  <si>
    <t>___________________</t>
  </si>
  <si>
    <t>Shower surround Type</t>
  </si>
  <si>
    <t>Shower doors</t>
  </si>
  <si>
    <t>Shower Curtain &amp; Rod</t>
  </si>
  <si>
    <t>VENT FAN</t>
  </si>
  <si>
    <t>3137.11   Conformity With National Electrical Code</t>
  </si>
  <si>
    <r>
      <t xml:space="preserve">§ </t>
    </r>
    <r>
      <rPr>
        <b/>
        <sz val="10"/>
        <color indexed="18"/>
        <rFont val="Times New Roman"/>
        <family val="1"/>
        <charset val="204"/>
      </rPr>
      <t xml:space="preserve">3131.06 Repairs after Fire Damage
</t>
    </r>
    <r>
      <rPr>
        <sz val="10"/>
        <color indexed="8"/>
        <rFont val="Times New Roman"/>
        <family val="1"/>
        <charset val="204"/>
      </rPr>
      <t>Whenever the operation of a system has been the cause of a fire, such system shall not be used or operated until it has been inspected by
the Commissioner and such alterations and changes made as are deemed necessary by him or her to permit safe operation of the system, and no alterations or repairs shall be made without a permit issued by the Commissioner.</t>
    </r>
  </si>
  <si>
    <t>§ 3131.08 Firestopping   (a)   Where the installation of pipes or ducts in walls or partitions requires the removal of any firestopping, the space around the pipes or ducts at the points where firestopping was removed shall be tightly filled with mineral wool or other noncombustible insulating material.   (b)   Where pipes, ducts, stacks, or fittings pass through a floor construction, all open spaces around them shall be filled with mineral wood, or other incombustible insulating material.   (c)   Whenever baseboard or wall registers located at the top of supply or return air ducts are installed in stud framed walls or partitions or in construction having concealed interior spaces, an approved firestop shall be installed approximately three (3) inches above such register or grille. In stud framed construction such firestops shall extend the full width and depth of the stud space.</t>
  </si>
  <si>
    <t>Cleveland, OH primarily adopts the International Residential Code (IRC) for residential buildings.</t>
  </si>
  <si>
    <t>The city may also reference the International Building Code (IBC) for certain aspects of construction.</t>
  </si>
  <si>
    <t>Ensure compliance with zoning regulations that may affect residential construction.</t>
  </si>
  <si>
    <t>Always verify the latest code updates, as building regulations can change frequently.</t>
  </si>
  <si>
    <t xml:space="preserve"> § 3137.11 Conformity With National Electrical Code   Except as otherwise provided in this Building Code, or in statutes, or in rules or regulations promulgated by authority of statute, all electrical wiring and equipment shall be in accordance with the provisions of NFiPA 70 entitled “National Electrical Code,” as listed in OAC Chapter 4101:2-46.</t>
  </si>
  <si>
    <t>§ 3137.12 Residential Electrical Rehabilitation   (a)   Scope. The provisions of this section shall apply to the rehabilitation of electrical systems in one (1), two (2) and three (3) familydwelling units when they have been determined to be inadequate as specified in subsection (b) hereof.</t>
  </si>
  <si>
    <t>dwelling units when they have been determined to be inadequate as specified in subsection (b)</t>
  </si>
  <si>
    <t>hereof.</t>
  </si>
  <si>
    <t>(b) Evidence of inadequate Wiring. Evidence of inadequate wiring shall include one (1) or more of</t>
  </si>
  <si>
    <t>the following:</t>
  </si>
  <si>
    <t>(1) Excessive use of flexible cords in lieu of permanent wiring;</t>
  </si>
  <si>
    <t>(2) The use of oversized overcurrent protection device for branch circuits, feeders or service;</t>
  </si>
  <si>
    <t>(3) Unapproved extensions to the wiring system in order to provide light, heat or power;</t>
  </si>
  <si>
    <t>(4) The lack of two (2) duplex receptacles in every habitable room, except there shall be a duplex</t>
  </si>
  <si>
    <t>receptacle outlet on each wall in the living room and at least one (1) duplex receptacle in the</t>
  </si>
  <si>
    <t>bathroom;</t>
  </si>
  <si>
    <t>(5) Electrical overloads resulting in frequent operation of an overcurrent device;</t>
  </si>
  <si>
    <t>(6) Misapplication of electrical equipment;</t>
  </si>
  <si>
    <t>(7) Lack of an operable switched light fixture in every toilet room, bathroom, laundry areas,</t>
  </si>
  <si>
    <t>furnace room, hall or stairwell;</t>
  </si>
  <si>
    <t>(8) Lack of an independent circuit and a grounded receptacle for laundry facilities;</t>
  </si>
  <si>
    <t>(9) Lack of at least one (1) lighting outlet for each two hundred (200) square feet of basement</t>
  </si>
  <si>
    <t>area;</t>
  </si>
  <si>
    <t>(10) Lack of service premises grounding.</t>
  </si>
  <si>
    <t>(c) Minimum Standards.</t>
  </si>
  <si>
    <t>The following requirements are the minimum standards and shall satisfy the</t>
  </si>
  <si>
    <t>intent of this section.</t>
  </si>
  <si>
    <t xml:space="preserve">(1)   Entrances and Exits. Entrances and exits shall be illuminated by exterior lighting fixtures. These shall be controlled by interior wall switches, located for convenient and readily accessible use.     </t>
  </si>
  <si>
    <t xml:space="preserve"> (2)   Living Rooms. The living room shall be provided with illumination. The lighting outlet shall be controlled by an interior wall switch located for convenient and readily accessible use, near the entrance to the room.      Receptacle outlets controlled by a wall switch are permitted in lieu of a lighting outlet.      Convenient duplex electrical receptacle outlets shall be provided equally spaced around the room, with at least one (1) duplex outlet on each wall where practical.      </t>
  </si>
  <si>
    <t xml:space="preserve">(3)   Kitchens. Kitchens shall be provided with illumination. The main lighting outlet shall be controlled by a wall switch, located for convenient and readily accessible use, near the entrance to the room. Fixtures over the sink shall be grounded and have a separate wall switch.      Two (2) appliance circuits shall be provided, supplying a minimum of four (4) grounding-type receptacle outlets. One (1) or two (2) shall be suitably placed for connection of stove and refrigerator, and there shall be a minimum of three (3) receptacles above table or counter height for the convenient connection of small appliances, where practical. Appliance circuits shall be twenty (20) ampere capacity.      </t>
  </si>
  <si>
    <t xml:space="preserve">(4)   Bathrooms. Bathrooms shall be illuminated. The main lighting outlet shall be controlled by a wall switch next to the entrance. Fixtures over the sink shall be grounded and have a separate wall switch. Fixtures with receptacles shall have the receptacles permanently disconnected.      A grounding-type receptacle outlet separate from the light fixture shall be provided and shall be located at least thirty (30) and not more than forty-eight (48) inches above the floor adjacent to the wash basin and not more than four (4) feet from the basin.     </t>
  </si>
  <si>
    <t xml:space="preserve"> (5)   All Other Habitable Rooms. Illumination for each habitable room shall be provided. Lighting outlets shall be controlled by a wall switch. Wall switches shall be located for convenient and readily accessible use. Convenience duplex receptacle outlets shall be provided with a minimum of two (2) receptacle outlets equally spaced around the room. An additional receptacle outlet controlled by a wall switch is acceptable in lieu of a lighting outlet.    </t>
  </si>
  <si>
    <t xml:space="preserve">  (6)   Basements. Basements shall be wired for a minimum of one (1) lighting outlet in each two hundred (200) square feet of major fraction of area for use as general illumination. All enclosed areas, except coal bins, that may be walked into, such as toilet rooms, fruit storage rooms, utility rooms, excavated areas under porches, etc., shall be provided with at least one (1) lighting outlet.      Stairwell, laundry and electrical service area lighting outlets shall not be counted as part of the required basement lighting outlets.      </t>
  </si>
  <si>
    <t xml:space="preserve">(7)   Laundry Areas. The laundry area shall be provided with separate illumination. The laundry receptacle circuit shall be an individual twenty (20) ampere circuit. A wall mounted grounding-type duplex receptacle outlet shall be provided and located near the laundry equipment.      </t>
  </si>
  <si>
    <t xml:space="preserve">(8)   Space Heating System. Heating equipment requiring electrical energy for operation and/or control shall be provided with an individual circuit. A disconnect switch shall be provided on or adjacent to the heating equipment, except for a thermopile controlled furnace.     </t>
  </si>
  <si>
    <t xml:space="preserve"> (9)   Stairwells and Hallways. Stairwells and hallways shall be adequately illuminated. Lighting outlets shall be controlled by wall switches. Wall switches shall be located for convenient and readily accessible use. Switches shall not be located where it is necessary to use darkened stair sections for their operation. Stairways to all finished portions of a dwelling shall be provided with a three (3) way or multiple switch control.     </t>
  </si>
  <si>
    <t xml:space="preserve"> (10)   Service. Service to existing dwelling unit shall be a minimum of one hundred (100) ampere, three (3) wire capacity. Service equipment shall be dead front having no live parts exposed whereby accidental contact could be made. Type “S” fuses shall be installed when fused equipment is used.      Existing service of fifty (50) amperes or larger, two (2) or three (3) wire capacity shall be accepted as an exception if adequate for the electrical load being served.     </t>
  </si>
  <si>
    <t xml:space="preserve"> (11)   Service Meters. Supply to each dwelling unit shall be individually metered. No service shall be supplied through a meter to an area other than that controlled by the occupant, except where the owner pays for the electricity.     </t>
  </si>
  <si>
    <t xml:space="preserve"> (12)   Service Main Disconnects and Panels. The area around the main disconnect and branch panel shall be illuminated. The maximum height from the floor to the top of any overcurrent device shall be six and one-half (6-1/2) feet. Clearance in front shall be a minimum of three (3) feet for ready access.      </t>
  </si>
  <si>
    <t xml:space="preserve">(13)   Grounding Electrode Conductors. One end of the grounding electrode conductor shall be connected to the grounded conductor in the service equipment on the supply side. The other end shall be connected to a metallic cold water pipe system, and a jumper shall be placed around the water meter. If there is no metallic cold water pipe system, then a ground rod electrode shall be installed. The ground rod shall be a minimum of eight (8) feet long and of approved diameter and material.      </t>
  </si>
  <si>
    <t xml:space="preserve">(14)   Existing Receptacles. Replacements for existing receptacles in rooms other than kitchen, bathrooms, basement or outdoor areas may be nongrounding type. All new receptacles shall be of the grounded type.     </t>
  </si>
  <si>
    <t xml:space="preserve"> (15)   Existing Knob and Tube Circuits in Dwelling Units.         A.   Number fourteen (14) wire shall be fused at fifteen (15) amperes.         B.   Number twelve (12) wire shall be fused at twenty (20) amperes.         C.   All splices and joints to other wiring methods shall be in boxes.         D.   Any extension of knob and tube wiring shall be prohibited, except by special permission.         E.   All new and existing fixtures shall be mounted on shallow workboxes if boxes are nonexistent.         F.   All exposed abandoned wiring and equipment shall be removed.      </t>
  </si>
  <si>
    <t xml:space="preserve">(16)   Door Bells. Existing door bell system shall be restored to operating condition.     </t>
  </si>
  <si>
    <t xml:space="preserve"> (17)   Basement Wiring. Basement wiring in dwelling units shall:         A.   Be in protective raceways or armored cable when bottom of joist is less than seven (7) feet above the floor;         B.   The size of the hole through the joist for nonmetallic sheathed cable shall be one-fourth (1/4) inches to three-eighths (3/8) inches larger than the diameter of the cable;         C.   Only one (1) cable shall pass through each hole.</t>
  </si>
  <si>
    <t>§ 3137.08 Energizing the System</t>
  </si>
  <si>
    <t xml:space="preserve">(a) Whenever a permit to install electrical wiring or equipment is required by OBBC and this </t>
  </si>
  <si>
    <t xml:space="preserve">Building Code, electric current shall not be supplied to such wiring to such equipment, except for </t>
  </si>
  <si>
    <t xml:space="preserve">testing, until authorization to do so has been given by the authorized inspector of the </t>
  </si>
  <si>
    <t xml:space="preserve">Commissioner. However, such authorization shall not be required for electrical wiring or equipment </t>
  </si>
  <si>
    <t>installed under a blanket permit.</t>
  </si>
  <si>
    <t xml:space="preserve">(b) When electrical current has not been previously supplied to premises where an installation of </t>
  </si>
  <si>
    <t xml:space="preserve">electrical wiring has been made, the service lines of the utility company supplying the electrical </t>
  </si>
  <si>
    <t xml:space="preserve">current, if connected prior to final inspection and approval, shall be connected through an opened </t>
  </si>
  <si>
    <t xml:space="preserve">switch which shall be so sealed that it shall be impossible to close the switch without breaking </t>
  </si>
  <si>
    <t xml:space="preserve">the seal. Such switch shall be closed only by a person authorized to do so by the C01mnissioner and </t>
  </si>
  <si>
    <t xml:space="preserve">it shall be a violation of OBBC and this Building Code for any other person to break such seal or </t>
  </si>
  <si>
    <t xml:space="preserve">close such switch. Each such switch shall have a tag attached thereto specifying the penalty for </t>
  </si>
  <si>
    <t xml:space="preserve">unauthorized operation. Whenever such switch is installed, a written notification thereof shall be </t>
  </si>
  <si>
    <t>sent to the Commissioner.</t>
  </si>
  <si>
    <r>
      <t xml:space="preserve">§ </t>
    </r>
    <r>
      <rPr>
        <b/>
        <sz val="11"/>
        <color indexed="18"/>
        <rFont val="Times New Roman"/>
        <family val="1"/>
        <charset val="204"/>
      </rPr>
      <t xml:space="preserve">3137.09 Switching and Metering
</t>
    </r>
    <r>
      <rPr>
        <sz val="11"/>
        <color indexed="8"/>
        <rFont val="Times New Roman"/>
        <family val="1"/>
        <charset val="204"/>
      </rPr>
      <t xml:space="preserve">(a)   </t>
    </r>
    <r>
      <rPr>
        <i/>
        <sz val="11"/>
        <color indexed="8"/>
        <rFont val="Times New Roman"/>
        <family val="1"/>
        <charset val="204"/>
      </rPr>
      <t xml:space="preserve">Lighting Switching. </t>
    </r>
    <r>
      <rPr>
        <sz val="11"/>
        <color indexed="8"/>
        <rFont val="Times New Roman"/>
        <family val="1"/>
        <charset val="204"/>
      </rPr>
      <t xml:space="preserve">Switching </t>
    </r>
    <r>
      <rPr>
        <sz val="11"/>
        <color indexed="63"/>
        <rFont val="Times New Roman"/>
        <family val="1"/>
        <charset val="204"/>
      </rPr>
      <t xml:space="preserve">shall </t>
    </r>
    <r>
      <rPr>
        <sz val="11"/>
        <color indexed="8"/>
        <rFont val="Times New Roman"/>
        <family val="1"/>
        <charset val="204"/>
      </rPr>
      <t>be provided for each lighting circuit, or for portions of each circuit</t>
    </r>
    <r>
      <rPr>
        <sz val="11"/>
        <color indexed="63"/>
        <rFont val="Times New Roman"/>
        <family val="1"/>
        <charset val="204"/>
      </rPr>
      <t xml:space="preserve">, </t>
    </r>
    <r>
      <rPr>
        <sz val="11"/>
        <color indexed="8"/>
        <rFont val="Times New Roman"/>
        <family val="1"/>
        <charset val="204"/>
      </rPr>
      <t xml:space="preserve">so that only those </t>
    </r>
    <r>
      <rPr>
        <sz val="11"/>
        <color indexed="63"/>
        <rFont val="Times New Roman"/>
        <family val="1"/>
        <charset val="204"/>
      </rPr>
      <t xml:space="preserve">areas </t>
    </r>
    <r>
      <rPr>
        <sz val="11"/>
        <color indexed="8"/>
        <rFont val="Times New Roman"/>
        <family val="1"/>
        <charset val="204"/>
      </rPr>
      <t xml:space="preserve">where lighting is necessary need be illuminated.
(b)   </t>
    </r>
    <r>
      <rPr>
        <i/>
        <sz val="11"/>
        <color indexed="8"/>
        <rFont val="Times New Roman"/>
        <family val="1"/>
        <charset val="204"/>
      </rPr>
      <t xml:space="preserve">Three-Way </t>
    </r>
    <r>
      <rPr>
        <i/>
        <sz val="11"/>
        <color indexed="63"/>
        <rFont val="Times New Roman"/>
        <family val="1"/>
        <charset val="204"/>
      </rPr>
      <t xml:space="preserve">Switches. </t>
    </r>
    <r>
      <rPr>
        <sz val="11"/>
        <color indexed="8"/>
        <rFont val="Times New Roman"/>
        <family val="1"/>
        <charset val="204"/>
      </rPr>
      <t xml:space="preserve">Three (3) way </t>
    </r>
    <r>
      <rPr>
        <sz val="11"/>
        <color indexed="63"/>
        <rFont val="Times New Roman"/>
        <family val="1"/>
        <charset val="204"/>
      </rPr>
      <t xml:space="preserve">switches </t>
    </r>
    <r>
      <rPr>
        <sz val="11"/>
        <color indexed="8"/>
        <rFont val="Times New Roman"/>
        <family val="1"/>
        <charset val="204"/>
      </rPr>
      <t xml:space="preserve">shall be provided for all </t>
    </r>
    <r>
      <rPr>
        <sz val="11"/>
        <color indexed="63"/>
        <rFont val="Times New Roman"/>
        <family val="1"/>
        <charset val="204"/>
      </rPr>
      <t xml:space="preserve">stairways </t>
    </r>
    <r>
      <rPr>
        <sz val="11"/>
        <color indexed="8"/>
        <rFont val="Times New Roman"/>
        <family val="1"/>
        <charset val="204"/>
      </rPr>
      <t xml:space="preserve">to control lighting outlets illuminating </t>
    </r>
    <r>
      <rPr>
        <sz val="11"/>
        <color indexed="63"/>
        <rFont val="Times New Roman"/>
        <family val="1"/>
        <charset val="204"/>
      </rPr>
      <t xml:space="preserve">such </t>
    </r>
    <r>
      <rPr>
        <sz val="11"/>
        <color indexed="8"/>
        <rFont val="Times New Roman"/>
        <family val="1"/>
        <charset val="204"/>
      </rPr>
      <t xml:space="preserve">stairways.
( </t>
    </r>
    <r>
      <rPr>
        <b/>
        <sz val="11"/>
        <color indexed="8"/>
        <rFont val="Times New Roman"/>
        <family val="1"/>
        <charset val="204"/>
      </rPr>
      <t xml:space="preserve">l)   </t>
    </r>
    <r>
      <rPr>
        <i/>
        <sz val="11"/>
        <color indexed="63"/>
        <rFont val="Times New Roman"/>
        <family val="1"/>
        <charset val="204"/>
      </rPr>
      <t xml:space="preserve">Exception No. </t>
    </r>
    <r>
      <rPr>
        <sz val="11"/>
        <color indexed="8"/>
        <rFont val="Times New Roman"/>
        <family val="1"/>
        <charset val="204"/>
      </rPr>
      <t xml:space="preserve">I:  Automatic control of lighting may be </t>
    </r>
    <r>
      <rPr>
        <sz val="11"/>
        <color indexed="63"/>
        <rFont val="Times New Roman"/>
        <family val="1"/>
        <charset val="204"/>
      </rPr>
      <t xml:space="preserve">substituted </t>
    </r>
    <r>
      <rPr>
        <sz val="11"/>
        <color indexed="8"/>
        <rFont val="Times New Roman"/>
        <family val="1"/>
        <charset val="204"/>
      </rPr>
      <t xml:space="preserve">in lieu of three (3) way switches.
(2)   </t>
    </r>
    <r>
      <rPr>
        <i/>
        <sz val="11"/>
        <color indexed="63"/>
        <rFont val="Times New Roman"/>
        <family val="1"/>
        <charset val="204"/>
      </rPr>
      <t xml:space="preserve">Exception No. </t>
    </r>
    <r>
      <rPr>
        <sz val="11"/>
        <color indexed="8"/>
        <rFont val="Times New Roman"/>
        <family val="1"/>
        <charset val="204"/>
      </rPr>
      <t xml:space="preserve">2: </t>
    </r>
    <r>
      <rPr>
        <sz val="11"/>
        <color indexed="63"/>
        <rFont val="Times New Roman"/>
        <family val="1"/>
        <charset val="204"/>
      </rPr>
      <t xml:space="preserve">Three </t>
    </r>
    <r>
      <rPr>
        <sz val="11"/>
        <color indexed="8"/>
        <rFont val="Times New Roman"/>
        <family val="1"/>
        <charset val="204"/>
      </rPr>
      <t xml:space="preserve">(3) way switches are not required for stairways to unoccupied  </t>
    </r>
    <r>
      <rPr>
        <sz val="11"/>
        <color indexed="63"/>
        <rFont val="Times New Roman"/>
        <family val="1"/>
        <charset val="204"/>
      </rPr>
      <t xml:space="preserve">attics </t>
    </r>
    <r>
      <rPr>
        <sz val="11"/>
        <color indexed="8"/>
        <rFont val="Times New Roman"/>
        <family val="1"/>
        <charset val="204"/>
      </rPr>
      <t xml:space="preserve">or basements </t>
    </r>
    <r>
      <rPr>
        <sz val="11"/>
        <color indexed="63"/>
        <rFont val="Times New Roman"/>
        <family val="1"/>
        <charset val="204"/>
      </rPr>
      <t xml:space="preserve">which </t>
    </r>
    <r>
      <rPr>
        <sz val="11"/>
        <color indexed="8"/>
        <rFont val="Times New Roman"/>
        <family val="1"/>
        <charset val="204"/>
      </rPr>
      <t>have only one
(</t>
    </r>
    <r>
      <rPr>
        <b/>
        <sz val="11"/>
        <color indexed="8"/>
        <rFont val="Times New Roman"/>
        <family val="1"/>
        <charset val="204"/>
      </rPr>
      <t xml:space="preserve">l) means of egress.
</t>
    </r>
    <r>
      <rPr>
        <sz val="11"/>
        <color indexed="8"/>
        <rFont val="Times New Roman"/>
        <family val="1"/>
        <charset val="204"/>
      </rPr>
      <t xml:space="preserve">(c)   In </t>
    </r>
    <r>
      <rPr>
        <sz val="11"/>
        <color indexed="63"/>
        <rFont val="Times New Roman"/>
        <family val="1"/>
        <charset val="204"/>
      </rPr>
      <t xml:space="preserve">all </t>
    </r>
    <r>
      <rPr>
        <sz val="11"/>
        <color indexed="8"/>
        <rFont val="Times New Roman"/>
        <family val="1"/>
        <charset val="204"/>
      </rPr>
      <t>dwellings provisions shall be made to detennine the electrical energy consumed  by each tenant</t>
    </r>
    <r>
      <rPr>
        <sz val="11"/>
        <color indexed="63"/>
        <rFont val="Times New Roman"/>
        <family val="1"/>
        <charset val="204"/>
      </rPr>
      <t xml:space="preserve">, </t>
    </r>
    <r>
      <rPr>
        <sz val="11"/>
        <color indexed="8"/>
        <rFont val="Times New Roman"/>
        <family val="1"/>
        <charset val="204"/>
      </rPr>
      <t>excepting those dwellings where the owner pays for the energy consumed.</t>
    </r>
  </si>
  <si>
    <t xml:space="preserve">(b) Three-Way Switches. Three (3) way switches shall be provided for all stairways to control </t>
  </si>
  <si>
    <t>lighting outlets illuminating such stairways.</t>
  </si>
  <si>
    <t xml:space="preserve">( l) Exception No. I: Automatic control of lighting may be substituted in lieu of three (3) way </t>
  </si>
  <si>
    <t>switches.</t>
  </si>
  <si>
    <t xml:space="preserve">(2) Exception No. 2: Three (3) way switches are not required for stairways to unoccupied attics or </t>
  </si>
  <si>
    <t>basements which have only one</t>
  </si>
  <si>
    <t>(l) means of egress.</t>
  </si>
  <si>
    <t xml:space="preserve">(c) In all dwellings provisions shall be made to detennine the electrical energy consumed by each </t>
  </si>
  <si>
    <t>tenant, excepting those dwellings where the owner pays for the energy consumed.</t>
  </si>
  <si>
    <t>DOCS Table of Contents</t>
  </si>
  <si>
    <t>01 Info Page Only</t>
  </si>
  <si>
    <t>O</t>
  </si>
  <si>
    <t>JOB INFO</t>
  </si>
  <si>
    <t>JOB INFO (2)      ….........  for exporting</t>
  </si>
  <si>
    <t>Xactimate NEW PROJECTS </t>
  </si>
  <si>
    <t>00.   SKETCH            SKTH</t>
  </si>
  <si>
    <t>XACT Supplement[SPLM] </t>
  </si>
  <si>
    <t>01 Rebuild,                  RBLD</t>
  </si>
  <si>
    <t>90 CPS</t>
  </si>
  <si>
    <t>65, exterior mitigation   EXT-EMS</t>
  </si>
  <si>
    <t>80. Interior Mitigation       EMS  MIT</t>
  </si>
  <si>
    <t>INSURED INFO</t>
  </si>
  <si>
    <t>NAME</t>
  </si>
  <si>
    <t>EMAIL</t>
  </si>
  <si>
    <t>ADDRESS TYPE</t>
  </si>
  <si>
    <t xml:space="preserve">HOME </t>
  </si>
  <si>
    <t>DEFAULT</t>
  </si>
  <si>
    <t>STREET</t>
  </si>
  <si>
    <t>CITY</t>
  </si>
  <si>
    <t>STATE / ZIP CODE</t>
  </si>
  <si>
    <t>COUNTRY</t>
  </si>
  <si>
    <t>USA</t>
  </si>
  <si>
    <t>PHONE Type</t>
  </si>
  <si>
    <t>CELLULAR</t>
  </si>
  <si>
    <t>DATES        Date Entered</t>
  </si>
  <si>
    <t>DATE ASSIGNED</t>
  </si>
  <si>
    <t>EST. COMPLETED</t>
  </si>
  <si>
    <t>JOB COMPLETED</t>
  </si>
  <si>
    <t xml:space="preserve"> TBD </t>
  </si>
  <si>
    <t>PERSONNEL</t>
  </si>
  <si>
    <t>ESTIMATOR</t>
  </si>
  <si>
    <t xml:space="preserve">REFERENCE -==  Insurance Co. Name  </t>
  </si>
  <si>
    <t>Type Of Estimate/LOSS</t>
  </si>
  <si>
    <t>Deductible</t>
  </si>
  <si>
    <t xml:space="preserve">File Number =  Claim #  </t>
  </si>
  <si>
    <t>tbd</t>
  </si>
  <si>
    <t>XACTIMATE</t>
  </si>
  <si>
    <t>NEW  CUSTOMER INFO</t>
  </si>
  <si>
    <t>PAGE 2</t>
  </si>
  <si>
    <t>PARAMETERS</t>
  </si>
  <si>
    <t>PRICING</t>
  </si>
  <si>
    <t>Checkpoint Price List</t>
  </si>
  <si>
    <t>Price List</t>
  </si>
  <si>
    <t>Tax Jurisdiction</t>
  </si>
  <si>
    <t>Price lIst filter</t>
  </si>
  <si>
    <t>HIGHEST AVAILABLE</t>
  </si>
  <si>
    <t>REPRICE</t>
  </si>
  <si>
    <t xml:space="preserve">N/A </t>
  </si>
  <si>
    <t>CONTRACTOR</t>
  </si>
  <si>
    <t>ADD ONS</t>
  </si>
  <si>
    <t>[__]</t>
  </si>
  <si>
    <t>Depreciation Options</t>
  </si>
  <si>
    <t>Overhead and Profit (O&amp;P)</t>
  </si>
  <si>
    <t>Overhead</t>
  </si>
  <si>
    <t>Profit</t>
  </si>
  <si>
    <t>Report Text</t>
  </si>
  <si>
    <t>COMPANY HEADER</t>
  </si>
  <si>
    <t>OPENING STATEMENT</t>
  </si>
  <si>
    <t>APC FULL STATEMENT</t>
  </si>
  <si>
    <t>DEFAULT =APC</t>
  </si>
  <si>
    <t>CLOSING STATEMENT</t>
  </si>
  <si>
    <t>THNAK YOU</t>
  </si>
  <si>
    <t>SUPPLIED OR ENTERED BY OTHERS</t>
  </si>
  <si>
    <t>SKETCHES</t>
  </si>
  <si>
    <t>Retrieve</t>
  </si>
  <si>
    <t>FLR PLAN @ ENCIRCLE</t>
  </si>
  <si>
    <t>IMPORT FPLN</t>
  </si>
  <si>
    <t>Thought For The Day </t>
  </si>
  <si>
    <t>SCOPE INPUT</t>
  </si>
  <si>
    <t>You can tell whether a man is clever by his answers.</t>
  </si>
  <si>
    <t xml:space="preserve"> You can tell whether a man is wise by his questions.</t>
  </si>
  <si>
    <t>1. Xactimate Supplements [SPLM] </t>
  </si>
  <si>
    <t> 01 Rebuild </t>
  </si>
  <si>
    <t>65 Exterior mitigation </t>
  </si>
  <si>
    <t>80 Interior mitigation</t>
  </si>
  <si>
    <t>Other</t>
  </si>
  <si>
    <t>00</t>
  </si>
  <si>
    <t xml:space="preserve"> 00 SKETCH</t>
  </si>
  <si>
    <t>UPLOAD TO ENCIRCLE</t>
  </si>
  <si>
    <t>65, exterior mitigation </t>
  </si>
  <si>
    <t>80, Interior mitigation</t>
  </si>
  <si>
    <t>Misc/Other Xactimate</t>
  </si>
  <si>
    <t>XACTIMATE = Estimates Supplemental [SPLM]</t>
  </si>
  <si>
    <t>01</t>
  </si>
  <si>
    <t xml:space="preserve"> 01 Rebuild</t>
  </si>
  <si>
    <t>MICA or ENCIRCLE or XACTIMATE</t>
  </si>
  <si>
    <t>MICA or ENCIRCLE</t>
  </si>
  <si>
    <t>Staff Notifications</t>
  </si>
  <si>
    <t>ENCIRCLE</t>
  </si>
  <si>
    <t>ENCIRCLE     NEW CUSTOMER CREATED</t>
  </si>
  <si>
    <t>CREATED INSIDE ENCIRCLE AS INDIVIDUAL ROOMS = 1 REPORT SET UP</t>
  </si>
  <si>
    <t>cklst 60 contract rep docs/initial pics</t>
  </si>
  <si>
    <t xml:space="preserve">cklst 70 interior scope </t>
  </si>
  <si>
    <t>cklst 80 int mitigation</t>
  </si>
  <si>
    <t>cklst 90 CON CPS 01</t>
  </si>
  <si>
    <t xml:space="preserve">ENCIRCLE </t>
  </si>
  <si>
    <t>CLAIM INBOX</t>
  </si>
  <si>
    <t>NEW CUSTOMER INFO</t>
  </si>
  <si>
    <t>Claim Identifier</t>
  </si>
  <si>
    <t>CARRIER IDENTIFIER</t>
  </si>
  <si>
    <t>CONTRACTOR IDENTIFIER</t>
  </si>
  <si>
    <t xml:space="preserve">ASSIGNMENT IDENTIFIER </t>
  </si>
  <si>
    <t>Policyholder Details</t>
  </si>
  <si>
    <t>POLICYHOLDER NAME</t>
  </si>
  <si>
    <t>POLICYHOLDER EMAIL</t>
  </si>
  <si>
    <t>POLICYHOLDER PHONE NUMBER</t>
  </si>
  <si>
    <t>Address Details</t>
  </si>
  <si>
    <t>ADDRESS</t>
  </si>
  <si>
    <t>Claim Details</t>
  </si>
  <si>
    <t>DATE OF LOSS</t>
  </si>
  <si>
    <t>POLICY NUMBER</t>
  </si>
  <si>
    <t>DATE CLAIM CREATED</t>
  </si>
  <si>
    <t>PROJECT MANAGER</t>
  </si>
  <si>
    <t>TYPE OF LOSS</t>
  </si>
  <si>
    <t>CAT CODE</t>
  </si>
  <si>
    <t>INSURANCE COMPANY</t>
  </si>
  <si>
    <t>CLAIM SUMMARY (LOSS DETAILS)</t>
  </si>
  <si>
    <t>INPUT DETAILS/INFO PROVIDED</t>
  </si>
  <si>
    <t>ADJUSTER</t>
  </si>
  <si>
    <t>BROKER / AGENT</t>
  </si>
  <si>
    <t>AS NEEDED</t>
  </si>
  <si>
    <t>Insurance Customer new contract "HOW TO CREATE"</t>
  </si>
  <si>
    <t>Open the Computer to Microsoft Excel and open "Checklists/Estimates /" file.</t>
  </si>
  <si>
    <t xml:space="preserve">Go to sheet "(job info" tab) Verify company name  and or update </t>
  </si>
  <si>
    <t>To update Go to sheet/tab COMPANY HEADER (co header)</t>
  </si>
  <si>
    <r>
      <t xml:space="preserve">Selct and copy header info and paste into </t>
    </r>
    <r>
      <rPr>
        <b/>
        <i/>
        <u/>
        <sz val="12"/>
        <color rgb="FF000000"/>
        <rFont val="Arial Narrow"/>
        <family val="2"/>
      </rPr>
      <t>contract</t>
    </r>
    <r>
      <rPr>
        <sz val="12"/>
        <color rgb="FF000000"/>
        <rFont val="Arial Narrow"/>
        <family val="2"/>
      </rPr>
      <t xml:space="preserve"> tab/sheet @ A1</t>
    </r>
  </si>
  <si>
    <t>Template  - A</t>
  </si>
  <si>
    <t>WSB TJ</t>
  </si>
  <si>
    <t>Template  - C</t>
  </si>
  <si>
    <t>APC JJ</t>
  </si>
  <si>
    <t>Template  - B</t>
  </si>
  <si>
    <t>WSB JJ GA</t>
  </si>
  <si>
    <t>Template  - D</t>
  </si>
  <si>
    <t>WSB JJ OH</t>
  </si>
  <si>
    <t>Or go to google drive and open/download file template</t>
  </si>
  <si>
    <t>(File, Open, Browse, Checklist, New Customer)</t>
  </si>
  <si>
    <t>After Opening file Template, Save As  A New File:</t>
  </si>
  <si>
    <t>Required</t>
  </si>
  <si>
    <r>
      <t>Create (New) Sub-Folder for job, inside "</t>
    </r>
    <r>
      <rPr>
        <i/>
        <u/>
        <sz val="12"/>
        <color rgb="FF000000"/>
        <rFont val="Arial"/>
        <family val="2"/>
        <scheme val="minor"/>
      </rPr>
      <t>Estimates</t>
    </r>
    <r>
      <rPr>
        <u/>
        <sz val="12"/>
        <color rgb="FF000000"/>
        <rFont val="Arial"/>
        <family val="2"/>
        <scheme val="minor"/>
      </rPr>
      <t xml:space="preserve">" Folder, </t>
    </r>
  </si>
  <si>
    <t>Or go to google drive and upload the new file open/download file template</t>
  </si>
  <si>
    <t>Save as per file naming format (See Below)</t>
  </si>
  <si>
    <t>City/Area - Year-Company- Customer Name - Job Type - Insurer Abbreviation</t>
  </si>
  <si>
    <t>example =       ATL 2019 Brown 05 RFG- SFI</t>
  </si>
  <si>
    <t>Job Types &amp; Codes:</t>
  </si>
  <si>
    <t>Roofing = RFG</t>
  </si>
  <si>
    <t>Wind=Wind</t>
  </si>
  <si>
    <t>TREE</t>
  </si>
  <si>
    <t>FIRE</t>
  </si>
  <si>
    <t>Go to ….. "job info(2)"….. tab &amp; Enter Data:</t>
  </si>
  <si>
    <t>If info is already in job info tab then erase info, enter TBD in all cells or overwrite existing data with new info.</t>
  </si>
  <si>
    <t>A}</t>
  </si>
  <si>
    <t>Customer Info</t>
  </si>
  <si>
    <t>B}</t>
  </si>
  <si>
    <t xml:space="preserve"> Loss/damage Info</t>
  </si>
  <si>
    <t>C}</t>
  </si>
  <si>
    <t xml:space="preserve"> Insurer Info (policy # required)</t>
  </si>
  <si>
    <t>D}</t>
  </si>
  <si>
    <t>Room Index/AREA ID (If Available)</t>
  </si>
  <si>
    <t xml:space="preserve"> E}                   </t>
  </si>
  <si>
    <t xml:space="preserve"> Mortgage company info; if applicable &amp; when available (loan status)</t>
  </si>
  <si>
    <t>Brief Claim Narrative (if Available)</t>
  </si>
  <si>
    <t>Save File</t>
  </si>
  <si>
    <t>Print entire workbook as PDF; save to new named folder (see above)</t>
  </si>
  <si>
    <t>print areas are preset, for some tabs only one page may print , as per design</t>
  </si>
  <si>
    <r>
      <t xml:space="preserve">Email PDF as attachment   (subject = contract docs out to </t>
    </r>
    <r>
      <rPr>
        <i/>
        <u/>
        <sz val="12"/>
        <color rgb="FF404040"/>
        <rFont val="Segoe UI"/>
        <family val="2"/>
      </rPr>
      <t>customer name</t>
    </r>
    <r>
      <rPr>
        <u/>
        <sz val="12"/>
        <color rgb="FF404040"/>
        <rFont val="Segoe UI"/>
        <family val="2"/>
      </rPr>
      <t>):</t>
    </r>
  </si>
  <si>
    <t>Include MOU {PDF}(copy &amp; paste job info tab to update or use stock form)</t>
  </si>
  <si>
    <t>CC:</t>
  </si>
  <si>
    <t>manage.apc@gmail.com</t>
  </si>
  <si>
    <t xml:space="preserve">Field Rep. </t>
  </si>
  <si>
    <t>Customer</t>
  </si>
  <si>
    <t>Upload a copy to Google Drive</t>
  </si>
  <si>
    <t>Estimates  =  Proof of Loss Supporting Documentation</t>
  </si>
  <si>
    <t>work in progress 10192019</t>
  </si>
  <si>
    <t>Index of Required Pictures</t>
  </si>
  <si>
    <t>*********    Using the ENCIRCLE &amp; APC APP will guide you thru this process                  *********</t>
  </si>
  <si>
    <t>Pictures are a critical part of the full process for payment !!!</t>
  </si>
  <si>
    <r>
      <t xml:space="preserve">Open the following file templates and update or use </t>
    </r>
    <r>
      <rPr>
        <b/>
        <i/>
        <u/>
        <sz val="12"/>
        <color rgb="FF000000"/>
        <rFont val="Arial Narrow"/>
        <family val="2"/>
      </rPr>
      <t>"Master Forms Field Docs Template"</t>
    </r>
  </si>
  <si>
    <t>Mitigation$_______</t>
  </si>
  <si>
    <t>WTR</t>
  </si>
  <si>
    <t>(File, Open,Browse</t>
  </si>
  <si>
    <t>Demo        $________</t>
  </si>
  <si>
    <t>New CST</t>
  </si>
  <si>
    <t>Rebuild     $________</t>
  </si>
  <si>
    <t>Contents  $________</t>
  </si>
  <si>
    <t>Sub Contractor</t>
  </si>
  <si>
    <t xml:space="preserve">Create (New) Sub-Folder for job, inside Estimates Folder, </t>
  </si>
  <si>
    <t>City/Area - Year - Customer Name - Job Type - Insurer Abbreviation</t>
  </si>
  <si>
    <t>example =       Atl - 2019 - Brown - RFG- SFI</t>
  </si>
  <si>
    <t>( File, Open, Browse )</t>
  </si>
  <si>
    <t>Go to job info tab &amp; Enter Data:</t>
  </si>
  <si>
    <t>Copy &amp; paste job info tab to update or use stock form)</t>
  </si>
  <si>
    <t>ROOF &amp; EXTERIOR  MITIGATION</t>
  </si>
  <si>
    <t>INTERIOR  MITIGATION &amp; DEMO</t>
  </si>
  <si>
    <t xml:space="preserve">DEMOLITION                                                                               DMO </t>
  </si>
  <si>
    <t xml:space="preserve"> SECONDARY DAMAGES HAZARDOUS MATERIALS REMEDIATION/HMR</t>
  </si>
  <si>
    <t xml:space="preserve"> MITIGATION EQUIPMENT</t>
  </si>
  <si>
    <t>DRY LOGS DOCS &amp; TRIP MONITORING</t>
  </si>
  <si>
    <t>CONTENTS;</t>
  </si>
  <si>
    <t>a</t>
  </si>
  <si>
    <t xml:space="preserve"> PACKOUT Storage Only</t>
  </si>
  <si>
    <t>b</t>
  </si>
  <si>
    <t xml:space="preserve">Cleaning INHOUSE </t>
  </si>
  <si>
    <t>c</t>
  </si>
  <si>
    <t>Cleaning Sent to outside  vendor</t>
  </si>
  <si>
    <t>d</t>
  </si>
  <si>
    <t>CONTENTS, REPLACEMENT ITEMS                       CPS / CON</t>
  </si>
  <si>
    <t>REBUILD CLOSEOUT</t>
  </si>
  <si>
    <t>OFS DOCS</t>
  </si>
  <si>
    <t>cklst 01 Job info page only</t>
  </si>
  <si>
    <t>BINDER TABS</t>
  </si>
  <si>
    <t>cklst 20 Intial contact Forms POI</t>
  </si>
  <si>
    <t xml:space="preserve">cklst 30 Insurer,, mtge ,, cst </t>
  </si>
  <si>
    <t>cklst 25 CLAIM BRIEF</t>
  </si>
  <si>
    <t>cklst 99 cashflow</t>
  </si>
  <si>
    <t>CUSTOMER</t>
  </si>
  <si>
    <t>cklst 50 contract sig pgs</t>
  </si>
  <si>
    <t>cklst 51 contract notary pgs</t>
  </si>
  <si>
    <t>cklst 52 claim reporting info</t>
  </si>
  <si>
    <t>cklst 56 MOU</t>
  </si>
  <si>
    <t>REP / CREW   @       JOB</t>
  </si>
  <si>
    <t>cklst 60 contract rep docs</t>
  </si>
  <si>
    <t xml:space="preserve">Order EagleView, ROOF QS __ </t>
  </si>
  <si>
    <t>PREM report____Xact EV#_____</t>
  </si>
  <si>
    <t>00 Pics ENCIRCLE NEW CST CREATED</t>
  </si>
  <si>
    <t>cklst 65 Ext mitigation   Roof</t>
  </si>
  <si>
    <t>cklst 1155 Job Forms ONLY</t>
  </si>
  <si>
    <t>Note on creating the New Custmer Contract &amp; Docs</t>
  </si>
  <si>
    <t>Actually we send an individualized preprinted contract and associated docs to each customer.</t>
  </si>
  <si>
    <t> See next email for info that we need to create those docs.</t>
  </si>
  <si>
    <t>Also, we will send over to you the Excel file</t>
  </si>
  <si>
    <t> The Excel populates the individualized preprinted contract and associated docs.</t>
  </si>
  <si>
    <t>So you may use the email to gather the info and </t>
  </si>
  <si>
    <t> then copy and paste into the Excel "contract doc".</t>
  </si>
  <si>
    <t>Or you may enter the info directly into the Excel file and</t>
  </si>
  <si>
    <t>  then create a PDF file to forward to the customer for signature. </t>
  </si>
  <si>
    <t>             See the HOW TO tab or below in the Excel file for further details.</t>
  </si>
  <si>
    <t>This process creates the following:</t>
  </si>
  <si>
    <t>professional-looking documents</t>
  </si>
  <si>
    <t>a first impression of our comprehensive work and skills</t>
  </si>
  <si>
    <t>puts the recipients on notice that we are seriously knowledgeable about how to handle the restoration and it's related aspects</t>
  </si>
  <si>
    <t>greater legality and more enforceable contract docs</t>
  </si>
  <si>
    <t>Please recall that we also working to create an app that serves;</t>
  </si>
  <si>
    <t xml:space="preserve">the young single person, first-time homeowner, </t>
  </si>
  <si>
    <t>like our water damage customer; a 22-year-old mom </t>
  </si>
  <si>
    <t xml:space="preserve">the senior persons, </t>
  </si>
  <si>
    <t>like our wind damaged roof 94-year-old widowed customer</t>
  </si>
  <si>
    <t>&amp; everyone in between, scalable to serve the masses.</t>
  </si>
  <si>
    <t>Thank you for invaluable input and feedback on your insights as we build and keep fine-tuning this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</si>
</sst>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F800]dddd\,\ mmmm\ dd\,\ yyyy"/>
    <numFmt numFmtId="165" formatCode="_(* #,##0_);_(* \(#,##0\);_(* &quot;-&quot;??_);_(@_)"/>
    <numFmt numFmtId="166" formatCode="[&lt;=9999999]###\-####;\(###\)\ ###\-####"/>
    <numFmt numFmtId="167" formatCode="0.0"/>
    <numFmt numFmtId="168" formatCode="0.0000"/>
    <numFmt numFmtId="169" formatCode="_(&quot;$&quot;* #,##0_);_(&quot;$&quot;* \(#,##0\);_(&quot;$&quot;* &quot;-&quot;??_);_(@_)"/>
  </numFmts>
  <fonts count="263">
    <font>
      <sz val="11"/>
      <color theme="1"/>
      <name val="Arial"/>
      <family val="2"/>
      <scheme val="minor"/>
    </font>
    <font>
      <sz val="14"/>
      <color theme="1"/>
      <name val="Arial Narrow"/>
      <family val="2"/>
    </font>
    <font>
      <sz val="14"/>
      <color theme="1"/>
      <name val="Arial Narrow"/>
      <family val="2"/>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1"/>
      <color theme="1"/>
      <name val="Arial"/>
      <family val="2"/>
      <scheme val="minor"/>
    </font>
    <font>
      <sz val="11"/>
      <color indexed="8"/>
      <name val="Calibri"/>
      <family val="2"/>
    </font>
    <font>
      <u/>
      <sz val="11"/>
      <color theme="10"/>
      <name val="Calibri"/>
      <family val="2"/>
    </font>
    <font>
      <sz val="12"/>
      <color rgb="FF000000"/>
      <name val="Arial"/>
      <family val="2"/>
      <scheme val="minor"/>
    </font>
    <font>
      <i/>
      <u/>
      <sz val="12"/>
      <color rgb="FF000000"/>
      <name val="Arial Narrow"/>
      <family val="2"/>
    </font>
    <font>
      <sz val="12"/>
      <color theme="1"/>
      <name val="Arial"/>
      <family val="2"/>
      <scheme val="minor"/>
    </font>
    <font>
      <sz val="12"/>
      <color rgb="FF006100"/>
      <name val="Arial"/>
      <family val="2"/>
      <scheme val="minor"/>
    </font>
    <font>
      <sz val="12"/>
      <color theme="0"/>
      <name val="Arial"/>
      <family val="2"/>
      <scheme val="minor"/>
    </font>
    <font>
      <b/>
      <sz val="12"/>
      <color rgb="FFFA7D00"/>
      <name val="Arial"/>
      <family val="2"/>
      <scheme val="minor"/>
    </font>
    <font>
      <b/>
      <sz val="12"/>
      <color theme="0"/>
      <name val="Arial"/>
      <family val="2"/>
      <scheme val="minor"/>
    </font>
    <font>
      <sz val="10"/>
      <name val="Arial"/>
      <family val="2"/>
    </font>
    <font>
      <u/>
      <sz val="10"/>
      <color indexed="12"/>
      <name val="Arial"/>
      <family val="2"/>
    </font>
    <font>
      <sz val="14"/>
      <color theme="1"/>
      <name val="Arial"/>
      <family val="2"/>
      <scheme val="minor"/>
    </font>
    <font>
      <sz val="14"/>
      <color rgb="FF000000"/>
      <name val="Arial Narrow"/>
      <family val="2"/>
    </font>
    <font>
      <b/>
      <i/>
      <u/>
      <sz val="14"/>
      <color rgb="FF000000"/>
      <name val="Arial"/>
      <family val="2"/>
      <scheme val="minor"/>
    </font>
    <font>
      <i/>
      <sz val="12"/>
      <color rgb="FF000000"/>
      <name val="Arial Narrow"/>
      <family val="2"/>
    </font>
    <font>
      <b/>
      <i/>
      <u/>
      <sz val="14"/>
      <color rgb="FF000000"/>
      <name val="Arial Narrow"/>
      <family val="2"/>
    </font>
    <font>
      <i/>
      <u/>
      <sz val="14"/>
      <color rgb="FF000000"/>
      <name val="Arial Narrow"/>
      <family val="2"/>
    </font>
    <font>
      <u/>
      <sz val="12"/>
      <color theme="10"/>
      <name val="Arial"/>
      <family val="2"/>
      <scheme val="minor"/>
    </font>
    <font>
      <sz val="12"/>
      <color theme="1"/>
      <name val="NEW Times"/>
      <family val="2"/>
    </font>
    <font>
      <b/>
      <sz val="12"/>
      <color rgb="FFFA7D00"/>
      <name val="NEW Times"/>
      <family val="2"/>
    </font>
    <font>
      <u/>
      <sz val="12"/>
      <color theme="10"/>
      <name val="NEW Times"/>
      <family val="2"/>
    </font>
    <font>
      <b/>
      <sz val="18"/>
      <color theme="3"/>
      <name val="Arial"/>
      <family val="2"/>
      <scheme val="major"/>
    </font>
    <font>
      <b/>
      <sz val="12"/>
      <color rgb="FF3F3F3F"/>
      <name val="Arial"/>
      <family val="2"/>
      <scheme val="minor"/>
    </font>
    <font>
      <sz val="12"/>
      <color theme="1"/>
      <name val="Arial Narrow"/>
      <family val="2"/>
    </font>
    <font>
      <sz val="12"/>
      <color rgb="FFFA7D00"/>
      <name val="NEW Times"/>
      <family val="2"/>
    </font>
    <font>
      <sz val="12"/>
      <color rgb="FF000000"/>
      <name val="Arial Narrow"/>
      <family val="2"/>
    </font>
    <font>
      <sz val="14"/>
      <name val="Arial Narrow"/>
      <family val="2"/>
    </font>
    <font>
      <i/>
      <sz val="18"/>
      <color rgb="FF000000"/>
      <name val="Arial Narrow"/>
      <family val="2"/>
    </font>
    <font>
      <i/>
      <sz val="11"/>
      <color rgb="FF000000"/>
      <name val="Arial Narrow"/>
      <family val="2"/>
    </font>
    <font>
      <i/>
      <u/>
      <sz val="12"/>
      <color rgb="FF000000"/>
      <name val="Arial"/>
      <family val="2"/>
      <scheme val="minor"/>
    </font>
    <font>
      <b/>
      <sz val="12"/>
      <color rgb="FF000000"/>
      <name val="Arial"/>
      <family val="2"/>
      <scheme val="minor"/>
    </font>
    <font>
      <i/>
      <u/>
      <sz val="12"/>
      <color indexed="8"/>
      <name val="Times New Roman"/>
      <family val="1"/>
    </font>
    <font>
      <i/>
      <u/>
      <sz val="12"/>
      <name val="Arial"/>
      <family val="2"/>
      <scheme val="minor"/>
    </font>
    <font>
      <sz val="11"/>
      <color rgb="FF000000"/>
      <name val="Arial"/>
      <family val="2"/>
      <scheme val="minor"/>
    </font>
    <font>
      <u/>
      <sz val="11"/>
      <color theme="10"/>
      <name val="Arial"/>
      <family val="2"/>
      <scheme val="minor"/>
    </font>
    <font>
      <sz val="11"/>
      <color rgb="FF222222"/>
      <name val="Arial"/>
      <family val="2"/>
    </font>
    <font>
      <b/>
      <sz val="13.5"/>
      <color rgb="FF202124"/>
      <name val="Arial"/>
      <family val="2"/>
    </font>
    <font>
      <sz val="11"/>
      <color rgb="FF5F6368"/>
      <name val="Arial"/>
      <family val="2"/>
    </font>
    <font>
      <sz val="11"/>
      <color rgb="FF444444"/>
      <name val="Arial"/>
      <family val="2"/>
    </font>
    <font>
      <b/>
      <sz val="12"/>
      <color theme="1"/>
      <name val="Arial"/>
      <family val="2"/>
      <scheme val="minor"/>
    </font>
    <font>
      <sz val="12"/>
      <color rgb="FFFA7D00"/>
      <name val="Arial"/>
      <family val="2"/>
      <scheme val="minor"/>
    </font>
    <font>
      <u/>
      <sz val="14"/>
      <name val="Arial Narrow"/>
      <family val="2"/>
    </font>
    <font>
      <sz val="16"/>
      <name val="Arial Narrow"/>
      <family val="2"/>
    </font>
    <font>
      <b/>
      <i/>
      <sz val="16"/>
      <name val="Arial Narrow"/>
      <family val="2"/>
    </font>
    <font>
      <sz val="16"/>
      <color rgb="FF000000"/>
      <name val="Arial"/>
      <family val="2"/>
      <scheme val="minor"/>
    </font>
    <font>
      <sz val="14"/>
      <color rgb="FFFA7D00"/>
      <name val="Arial Narrow"/>
      <family val="2"/>
    </font>
    <font>
      <i/>
      <u/>
      <sz val="12"/>
      <color rgb="FF000000"/>
      <name val="Times New Roman"/>
      <family val="1"/>
    </font>
    <font>
      <sz val="11"/>
      <color theme="1"/>
      <name val="Arial Narrow"/>
      <family val="2"/>
    </font>
    <font>
      <sz val="11"/>
      <color rgb="FFFA7D00"/>
      <name val="Arial"/>
      <family val="2"/>
      <scheme val="minor"/>
    </font>
    <font>
      <sz val="12"/>
      <name val="Arial"/>
      <family val="2"/>
      <scheme val="minor"/>
    </font>
    <font>
      <u/>
      <sz val="12"/>
      <color rgb="FF000000"/>
      <name val="Calibri"/>
      <family val="2"/>
    </font>
    <font>
      <u/>
      <sz val="12"/>
      <color rgb="FF000000"/>
      <name val="Arial"/>
      <family val="2"/>
      <scheme val="minor"/>
    </font>
    <font>
      <sz val="12"/>
      <name val="Arial Narrow"/>
      <family val="2"/>
    </font>
    <font>
      <u/>
      <sz val="12"/>
      <color rgb="FF404040"/>
      <name val="Segoe UI"/>
      <family val="2"/>
    </font>
    <font>
      <sz val="12"/>
      <color rgb="FFFF0000"/>
      <name val="Arial"/>
      <family val="2"/>
      <scheme val="minor"/>
    </font>
    <font>
      <u/>
      <sz val="12"/>
      <color theme="1"/>
      <name val="Arial"/>
      <family val="2"/>
      <scheme val="minor"/>
    </font>
    <font>
      <b/>
      <i/>
      <u/>
      <sz val="12"/>
      <color rgb="FF000000"/>
      <name val="Arial Narrow"/>
      <family val="2"/>
    </font>
    <font>
      <b/>
      <i/>
      <u/>
      <sz val="12"/>
      <color rgb="FF000000"/>
      <name val="Arial"/>
      <family val="2"/>
      <scheme val="minor"/>
    </font>
    <font>
      <sz val="12"/>
      <color rgb="FF222222"/>
      <name val="Arial Narrow"/>
      <family val="2"/>
    </font>
    <font>
      <b/>
      <u/>
      <sz val="12"/>
      <color rgb="FF444444"/>
      <name val="Arial Narrow"/>
      <family val="2"/>
    </font>
    <font>
      <b/>
      <u/>
      <sz val="14"/>
      <color rgb="FF000000"/>
      <name val="Arial Narrow"/>
      <family val="2"/>
    </font>
    <font>
      <sz val="12"/>
      <color rgb="FF222222"/>
      <name val="Arial"/>
      <family val="2"/>
      <scheme val="minor"/>
    </font>
    <font>
      <u/>
      <sz val="12"/>
      <color theme="10"/>
      <name val="Calibri"/>
      <family val="2"/>
    </font>
    <font>
      <i/>
      <u/>
      <sz val="12"/>
      <color rgb="FF404040"/>
      <name val="Segoe UI"/>
      <family val="2"/>
    </font>
    <font>
      <sz val="12"/>
      <color indexed="8"/>
      <name val="Arial Narrow"/>
      <family val="2"/>
    </font>
    <font>
      <u/>
      <sz val="12"/>
      <color rgb="FF404040"/>
      <name val="Arial Narrow"/>
      <family val="2"/>
    </font>
    <font>
      <b/>
      <u/>
      <sz val="12"/>
      <color rgb="FF000000"/>
      <name val="Arial"/>
      <family val="2"/>
      <scheme val="minor"/>
    </font>
    <font>
      <u/>
      <sz val="12"/>
      <color rgb="FF0563C1"/>
      <name val="Arial Narrow"/>
      <family val="2"/>
    </font>
    <font>
      <b/>
      <i/>
      <u/>
      <sz val="18"/>
      <color theme="1"/>
      <name val="Arial"/>
      <family val="2"/>
      <scheme val="minor"/>
    </font>
    <font>
      <sz val="8"/>
      <color theme="1"/>
      <name val="Arial Narrow"/>
      <family val="2"/>
    </font>
    <font>
      <sz val="10"/>
      <color rgb="FF000000"/>
      <name val="Arial Narrow"/>
      <family val="2"/>
    </font>
    <font>
      <i/>
      <sz val="14"/>
      <color rgb="FF000000"/>
      <name val="Arial Narrow"/>
      <family val="2"/>
    </font>
    <font>
      <sz val="14"/>
      <color theme="1"/>
      <name val="Algerian"/>
      <family val="5"/>
    </font>
    <font>
      <b/>
      <sz val="11"/>
      <color rgb="FFFA7D00"/>
      <name val="Arial"/>
      <family val="2"/>
      <scheme val="minor"/>
    </font>
    <font>
      <i/>
      <u val="singleAccounting"/>
      <sz val="14"/>
      <color theme="1"/>
      <name val="Arial"/>
      <family val="2"/>
      <scheme val="minor"/>
    </font>
    <font>
      <u/>
      <sz val="14"/>
      <color theme="1"/>
      <name val="Algerian"/>
      <family val="5"/>
    </font>
    <font>
      <sz val="14"/>
      <name val="Arial"/>
      <family val="2"/>
      <scheme val="minor"/>
    </font>
    <font>
      <i/>
      <u val="singleAccounting"/>
      <sz val="16"/>
      <color theme="1"/>
      <name val="Arial"/>
      <family val="2"/>
      <scheme val="minor"/>
    </font>
    <font>
      <b/>
      <sz val="12"/>
      <name val="Arial"/>
      <family val="2"/>
      <scheme val="minor"/>
    </font>
    <font>
      <i/>
      <u/>
      <sz val="14"/>
      <name val="Arial"/>
      <family val="2"/>
      <scheme val="minor"/>
    </font>
    <font>
      <b/>
      <i/>
      <u/>
      <sz val="12"/>
      <name val="Arial"/>
      <family val="2"/>
      <scheme val="minor"/>
    </font>
    <font>
      <b/>
      <sz val="11"/>
      <name val="Arial"/>
      <family val="2"/>
      <scheme val="minor"/>
    </font>
    <font>
      <i/>
      <u/>
      <sz val="16"/>
      <name val="Arial"/>
      <family val="2"/>
      <scheme val="minor"/>
    </font>
    <font>
      <u/>
      <sz val="14"/>
      <color rgb="FF000000"/>
      <name val="Arial Narrow"/>
      <family val="2"/>
    </font>
    <font>
      <i/>
      <u/>
      <sz val="14"/>
      <color rgb="FF000000"/>
      <name val="Algerian"/>
      <family val="5"/>
    </font>
    <font>
      <u/>
      <sz val="14"/>
      <color rgb="FF000000"/>
      <name val="Algerian"/>
      <family val="5"/>
    </font>
    <font>
      <i/>
      <u val="singleAccounting"/>
      <sz val="14"/>
      <color rgb="FF000000"/>
      <name val="Arial"/>
      <family val="2"/>
      <scheme val="minor"/>
    </font>
    <font>
      <i/>
      <sz val="16"/>
      <color theme="1"/>
      <name val="Arial"/>
      <family val="2"/>
      <scheme val="minor"/>
    </font>
    <font>
      <i/>
      <u val="doubleAccounting"/>
      <sz val="14"/>
      <color theme="1"/>
      <name val="Arial"/>
      <family val="2"/>
      <scheme val="minor"/>
    </font>
    <font>
      <i/>
      <u val="doubleAccounting"/>
      <sz val="14"/>
      <color theme="1"/>
      <name val="Algerian"/>
      <family val="5"/>
    </font>
    <font>
      <i/>
      <u val="doubleAccounting"/>
      <sz val="14"/>
      <color theme="1"/>
      <name val="Arial Narrow"/>
      <family val="2"/>
    </font>
    <font>
      <i/>
      <u/>
      <sz val="16"/>
      <color rgb="FF000000"/>
      <name val="Arial"/>
      <family val="2"/>
      <scheme val="minor"/>
    </font>
    <font>
      <sz val="14"/>
      <color rgb="FF000000"/>
      <name val="Arial"/>
      <family val="2"/>
      <scheme val="minor"/>
    </font>
    <font>
      <b/>
      <u/>
      <sz val="12"/>
      <name val="Arial"/>
      <family val="2"/>
      <scheme val="minor"/>
    </font>
    <font>
      <i/>
      <u/>
      <sz val="14"/>
      <name val="Arial Narrow"/>
      <family val="2"/>
    </font>
    <font>
      <sz val="11"/>
      <color rgb="FF000000"/>
      <name val="Arial Narrow"/>
      <family val="2"/>
    </font>
    <font>
      <b/>
      <sz val="16"/>
      <color theme="3"/>
      <name val="Arial"/>
      <family val="2"/>
      <scheme val="major"/>
    </font>
    <font>
      <sz val="16"/>
      <color theme="3"/>
      <name val="Arial Black"/>
      <family val="2"/>
    </font>
    <font>
      <i/>
      <sz val="14"/>
      <color theme="1"/>
      <name val="Arial"/>
      <family val="2"/>
      <scheme val="minor"/>
    </font>
    <font>
      <sz val="16"/>
      <color theme="1"/>
      <name val="Arial Narrow"/>
      <family val="2"/>
    </font>
    <font>
      <sz val="10"/>
      <color theme="1"/>
      <name val="Arial"/>
      <family val="2"/>
      <scheme val="minor"/>
    </font>
    <font>
      <sz val="20"/>
      <color rgb="FF000000"/>
      <name val="Arial"/>
      <family val="2"/>
      <scheme val="minor"/>
    </font>
    <font>
      <b/>
      <i/>
      <u/>
      <sz val="16"/>
      <color theme="1"/>
      <name val="Arial"/>
      <family val="2"/>
      <scheme val="minor"/>
    </font>
    <font>
      <b/>
      <i/>
      <u/>
      <sz val="14"/>
      <color theme="1"/>
      <name val="Arial Narrow"/>
      <family val="2"/>
    </font>
    <font>
      <b/>
      <sz val="14"/>
      <color theme="1"/>
      <name val="Arial"/>
      <family val="2"/>
      <scheme val="minor"/>
    </font>
    <font>
      <sz val="8"/>
      <color rgb="FFFFFFFF"/>
      <name val="Arial"/>
      <family val="2"/>
    </font>
    <font>
      <sz val="8"/>
      <color rgb="FFFA7D00"/>
      <name val="NEW Times"/>
      <family val="2"/>
    </font>
    <font>
      <u val="singleAccounting"/>
      <sz val="12"/>
      <color rgb="FFFA7D00"/>
      <name val="NEW Times"/>
      <family val="2"/>
    </font>
    <font>
      <sz val="14"/>
      <color rgb="FFFA7D00"/>
      <name val="NEW Times"/>
      <family val="2"/>
    </font>
    <font>
      <sz val="14"/>
      <color rgb="FF222222"/>
      <name val="Arial"/>
      <family val="2"/>
    </font>
    <font>
      <sz val="20"/>
      <color theme="1"/>
      <name val="Arial"/>
      <family val="2"/>
      <scheme val="minor"/>
    </font>
    <font>
      <i/>
      <u/>
      <sz val="16"/>
      <name val="Arial"/>
      <family val="2"/>
    </font>
    <font>
      <sz val="16"/>
      <color theme="1"/>
      <name val="Arial"/>
      <family val="2"/>
    </font>
    <font>
      <i/>
      <u/>
      <sz val="16"/>
      <color rgb="FF000000"/>
      <name val="Arial"/>
      <family val="2"/>
    </font>
    <font>
      <b/>
      <i/>
      <u/>
      <sz val="16"/>
      <color rgb="FFFFFFFF"/>
      <name val="Arial"/>
      <family val="2"/>
    </font>
    <font>
      <b/>
      <sz val="14"/>
      <color theme="1"/>
      <name val="Arial Narrow"/>
      <family val="2"/>
    </font>
    <font>
      <u/>
      <sz val="14"/>
      <color theme="1"/>
      <name val="Arial Narrow"/>
      <family val="2"/>
    </font>
    <font>
      <b/>
      <sz val="9"/>
      <color rgb="FF000000"/>
      <name val="Arial"/>
      <family val="2"/>
      <scheme val="minor"/>
    </font>
    <font>
      <sz val="14"/>
      <color rgb="FF222222"/>
      <name val="Arial Narrow"/>
      <family val="2"/>
    </font>
    <font>
      <b/>
      <sz val="14"/>
      <color rgb="FF222222"/>
      <name val="Arial"/>
      <family val="2"/>
    </font>
    <font>
      <b/>
      <sz val="14"/>
      <color rgb="FF000000"/>
      <name val="Arial Narrow"/>
      <family val="2"/>
    </font>
    <font>
      <b/>
      <sz val="18"/>
      <color theme="1"/>
      <name val="Arial"/>
      <family val="2"/>
      <scheme val="minor"/>
    </font>
    <font>
      <b/>
      <i/>
      <sz val="14"/>
      <color theme="1"/>
      <name val="Arial Narrow"/>
      <family val="2"/>
    </font>
    <font>
      <sz val="10"/>
      <color theme="1"/>
      <name val="Arial Narrow"/>
      <family val="2"/>
    </font>
    <font>
      <b/>
      <i/>
      <sz val="12"/>
      <color theme="1"/>
      <name val="Arial Narrow"/>
      <family val="2"/>
    </font>
    <font>
      <u val="singleAccounting"/>
      <sz val="14"/>
      <color theme="1"/>
      <name val="Arial Narrow"/>
      <family val="2"/>
    </font>
    <font>
      <u/>
      <sz val="11"/>
      <color theme="1"/>
      <name val="Arial Narrow"/>
      <family val="2"/>
    </font>
    <font>
      <u/>
      <sz val="11"/>
      <color theme="1"/>
      <name val="Arial"/>
      <family val="2"/>
      <scheme val="minor"/>
    </font>
    <font>
      <u/>
      <sz val="11"/>
      <color rgb="FF000000"/>
      <name val="Arial Narrow"/>
      <family val="2"/>
    </font>
    <font>
      <b/>
      <u/>
      <sz val="16"/>
      <color theme="1"/>
      <name val="Arial Narrow"/>
      <family val="2"/>
    </font>
    <font>
      <u/>
      <sz val="10"/>
      <color theme="1"/>
      <name val="Arial Narrow"/>
      <family val="2"/>
    </font>
    <font>
      <i/>
      <sz val="14"/>
      <color theme="1"/>
      <name val="Arial Narrow"/>
      <family val="2"/>
    </font>
    <font>
      <b/>
      <sz val="14"/>
      <name val="Arial Narrow"/>
      <family val="2"/>
    </font>
    <font>
      <i/>
      <u val="singleAccounting"/>
      <sz val="14"/>
      <color theme="1"/>
      <name val="Arial Narrow"/>
      <family val="2"/>
    </font>
    <font>
      <u val="singleAccounting"/>
      <sz val="11"/>
      <color theme="1"/>
      <name val="Arial Narrow"/>
      <family val="2"/>
    </font>
    <font>
      <u/>
      <sz val="14"/>
      <color rgb="FF45474D"/>
      <name val="Arial Narrow"/>
      <family val="2"/>
    </font>
    <font>
      <sz val="12"/>
      <color rgb="FF00FF00"/>
      <name val="Arial Narrow"/>
      <family val="2"/>
    </font>
    <font>
      <u/>
      <sz val="12"/>
      <color rgb="FF00FF00"/>
      <name val="Arial Narrow"/>
      <family val="2"/>
    </font>
    <font>
      <u/>
      <sz val="12"/>
      <name val="Arial Narrow"/>
      <family val="2"/>
    </font>
    <font>
      <i/>
      <u/>
      <sz val="14"/>
      <color rgb="FF222222"/>
      <name val="Arial Narrow"/>
      <family val="2"/>
    </font>
    <font>
      <b/>
      <sz val="14"/>
      <color rgb="FF45474D"/>
      <name val="Arial Narrow"/>
      <family val="2"/>
    </font>
    <font>
      <b/>
      <i/>
      <u val="singleAccounting"/>
      <sz val="16"/>
      <color theme="1"/>
      <name val="Arial Narrow"/>
      <family val="2"/>
    </font>
    <font>
      <sz val="14"/>
      <color rgb="FF45474D"/>
      <name val="Arial Narrow"/>
      <family val="2"/>
    </font>
    <font>
      <sz val="12"/>
      <color rgb="FF45474D"/>
      <name val="Arial Narrow"/>
      <family val="2"/>
    </font>
    <font>
      <sz val="12"/>
      <name val="Arial Black"/>
      <family val="2"/>
    </font>
    <font>
      <b/>
      <i/>
      <u val="doubleAccounting"/>
      <sz val="14"/>
      <color theme="1"/>
      <name val="Arial"/>
      <family val="2"/>
      <scheme val="minor"/>
    </font>
    <font>
      <b/>
      <sz val="11"/>
      <color theme="1"/>
      <name val="Arial Narrow"/>
      <family val="2"/>
    </font>
    <font>
      <sz val="10"/>
      <color rgb="FF637183"/>
      <name val="Arial"/>
      <family val="2"/>
      <scheme val="minor"/>
    </font>
    <font>
      <sz val="12"/>
      <color rgb="FF323C46"/>
      <name val="Arial"/>
      <family val="2"/>
      <scheme val="minor"/>
    </font>
    <font>
      <sz val="14"/>
      <color rgb="FF323C46"/>
      <name val="Arial"/>
      <family val="2"/>
      <scheme val="minor"/>
    </font>
    <font>
      <sz val="8"/>
      <color rgb="FF637183"/>
      <name val="Arial"/>
      <family val="2"/>
      <scheme val="minor"/>
    </font>
    <font>
      <sz val="10"/>
      <color rgb="FFFFFFFF"/>
      <name val="Arial"/>
      <family val="2"/>
      <scheme val="minor"/>
    </font>
    <font>
      <sz val="10"/>
      <color rgb="FFFC4D00"/>
      <name val="Arial"/>
      <family val="2"/>
      <scheme val="minor"/>
    </font>
    <font>
      <sz val="7"/>
      <color rgb="FFAAB4BE"/>
      <name val="Arial"/>
      <family val="2"/>
      <scheme val="minor"/>
    </font>
    <font>
      <sz val="11"/>
      <color rgb="FF323C46"/>
      <name val="Inherit"/>
    </font>
    <font>
      <sz val="11"/>
      <color rgb="FF323C46"/>
      <name val="Arial"/>
      <family val="2"/>
      <scheme val="minor"/>
    </font>
    <font>
      <sz val="11"/>
      <color theme="1"/>
      <name val="Inherit"/>
    </font>
    <font>
      <b/>
      <i/>
      <u/>
      <sz val="14"/>
      <name val="Arial"/>
      <family val="2"/>
      <scheme val="minor"/>
    </font>
    <font>
      <sz val="11"/>
      <name val="Arial"/>
      <family val="2"/>
      <scheme val="minor"/>
    </font>
    <font>
      <i/>
      <u val="doubleAccounting"/>
      <sz val="10"/>
      <color theme="1"/>
      <name val="Arial"/>
      <family val="2"/>
      <scheme val="minor"/>
    </font>
    <font>
      <sz val="10"/>
      <name val="Arial"/>
      <family val="2"/>
      <scheme val="minor"/>
    </font>
    <font>
      <i/>
      <u val="doubleAccounting"/>
      <sz val="10"/>
      <color theme="1"/>
      <name val="Arial Narrow"/>
      <family val="2"/>
    </font>
    <font>
      <sz val="14"/>
      <color rgb="FF000000"/>
      <name val="Algerian"/>
      <family val="5"/>
    </font>
    <font>
      <sz val="8"/>
      <color rgb="FF222222"/>
      <name val="Roboto"/>
    </font>
    <font>
      <u/>
      <sz val="14"/>
      <color rgb="FF0563C1"/>
      <name val="Calibri"/>
      <family val="2"/>
    </font>
    <font>
      <b/>
      <i/>
      <u val="singleAccounting"/>
      <sz val="14"/>
      <color theme="1"/>
      <name val="Arial Narrow"/>
      <family val="2"/>
    </font>
    <font>
      <i/>
      <u val="singleAccounting"/>
      <sz val="12"/>
      <color theme="1"/>
      <name val="Arial"/>
      <family val="2"/>
      <scheme val="minor"/>
    </font>
    <font>
      <i/>
      <u/>
      <sz val="9"/>
      <color rgb="FF000000"/>
      <name val="Calibri"/>
      <family val="2"/>
    </font>
    <font>
      <i/>
      <u/>
      <sz val="9"/>
      <color rgb="FF000000"/>
      <name val="Times New Roman"/>
      <family val="1"/>
    </font>
    <font>
      <b/>
      <i/>
      <u val="singleAccounting"/>
      <sz val="12"/>
      <color theme="1"/>
      <name val="Arial"/>
      <family val="2"/>
      <scheme val="minor"/>
    </font>
    <font>
      <i/>
      <u val="singleAccounting"/>
      <sz val="12"/>
      <color rgb="FF000000"/>
      <name val="Arial"/>
      <family val="2"/>
      <scheme val="minor"/>
    </font>
    <font>
      <b/>
      <i/>
      <u val="singleAccounting"/>
      <sz val="14"/>
      <color rgb="FF000000"/>
      <name val="Arial"/>
      <family val="2"/>
      <scheme val="minor"/>
    </font>
    <font>
      <b/>
      <i/>
      <u/>
      <sz val="14"/>
      <name val="Arial Narrow"/>
      <family val="2"/>
    </font>
    <font>
      <b/>
      <i/>
      <u/>
      <sz val="14"/>
      <color rgb="FF000000"/>
      <name val="Times New Roman"/>
      <family val="1"/>
    </font>
    <font>
      <sz val="8"/>
      <color theme="1"/>
      <name val="Algerian"/>
      <family val="5"/>
    </font>
    <font>
      <sz val="8"/>
      <color rgb="FF000000"/>
      <name val="Arial Narrow"/>
      <family val="2"/>
    </font>
    <font>
      <b/>
      <i/>
      <u/>
      <sz val="9"/>
      <color rgb="FF000000"/>
      <name val="Arial"/>
      <family val="2"/>
    </font>
    <font>
      <sz val="9"/>
      <color rgb="FF000000"/>
      <name val="Times New Roman"/>
      <family val="1"/>
    </font>
    <font>
      <sz val="9"/>
      <color rgb="FF404040"/>
      <name val="Myanmar Text"/>
      <family val="2"/>
    </font>
    <font>
      <sz val="9"/>
      <color rgb="FF000000"/>
      <name val="Trebuchet MS"/>
      <family val="2"/>
    </font>
    <font>
      <sz val="9"/>
      <color rgb="FF000000"/>
      <name val="Arial"/>
      <family val="2"/>
      <scheme val="minor"/>
    </font>
    <font>
      <sz val="9"/>
      <color rgb="FF000000"/>
      <name val="Arial Narrow"/>
      <family val="2"/>
    </font>
    <font>
      <i/>
      <u/>
      <sz val="9"/>
      <color rgb="FF000000"/>
      <name val="Arial"/>
      <family val="2"/>
      <scheme val="minor"/>
    </font>
    <font>
      <i/>
      <u/>
      <sz val="9"/>
      <color rgb="FF0000FF"/>
      <name val="Arial"/>
      <family val="2"/>
      <scheme val="minor"/>
    </font>
    <font>
      <i/>
      <sz val="9"/>
      <color rgb="FF000000"/>
      <name val="Bodoni MT Condensed"/>
      <family val="1"/>
    </font>
    <font>
      <b/>
      <sz val="9"/>
      <color rgb="FF000000"/>
      <name val="Arial Narrow"/>
      <family val="2"/>
    </font>
    <font>
      <sz val="9"/>
      <name val="Arial Narrow"/>
      <family val="2"/>
    </font>
    <font>
      <b/>
      <sz val="11"/>
      <color rgb="FF212529"/>
      <name val="Arial"/>
      <family val="2"/>
      <scheme val="minor"/>
    </font>
    <font>
      <b/>
      <i/>
      <sz val="11"/>
      <color rgb="FF212529"/>
      <name val="Arial"/>
      <family val="2"/>
      <scheme val="minor"/>
    </font>
    <font>
      <i/>
      <sz val="11"/>
      <color rgb="FF212529"/>
      <name val="Arial"/>
      <family val="2"/>
      <scheme val="minor"/>
    </font>
    <font>
      <sz val="14"/>
      <color rgb="FF00FF00"/>
      <name val="Arial"/>
      <family val="2"/>
      <scheme val="minor"/>
    </font>
    <font>
      <sz val="14"/>
      <color rgb="FF222222"/>
      <name val="Arial"/>
      <family val="2"/>
      <scheme val="minor"/>
    </font>
    <font>
      <b/>
      <sz val="12"/>
      <color theme="1"/>
      <name val="Arial Narrow"/>
      <family val="2"/>
    </font>
    <font>
      <i/>
      <sz val="12"/>
      <color theme="1"/>
      <name val="Arial"/>
      <family val="2"/>
      <scheme val="minor"/>
    </font>
    <font>
      <b/>
      <i/>
      <u/>
      <sz val="16"/>
      <color rgb="FF000000"/>
      <name val="Arial Narrow"/>
      <family val="2"/>
    </font>
    <font>
      <sz val="9"/>
      <name val="Arial"/>
      <family val="2"/>
      <scheme val="minor"/>
    </font>
    <font>
      <b/>
      <i/>
      <u val="singleAccounting"/>
      <sz val="14"/>
      <color theme="1"/>
      <name val="Arial"/>
      <family val="2"/>
      <scheme val="minor"/>
    </font>
    <font>
      <b/>
      <sz val="10"/>
      <color rgb="FF000000"/>
      <name val="Arial"/>
      <family val="2"/>
      <scheme val="minor"/>
    </font>
    <font>
      <b/>
      <sz val="10"/>
      <color indexed="18"/>
      <name val="Times New Roman"/>
      <family val="1"/>
      <charset val="204"/>
    </font>
    <font>
      <sz val="10"/>
      <color indexed="8"/>
      <name val="Times New Roman"/>
      <family val="1"/>
      <charset val="204"/>
    </font>
    <font>
      <sz val="9"/>
      <color indexed="18"/>
      <name val="Arial"/>
      <family val="1"/>
      <charset val="204"/>
    </font>
    <font>
      <sz val="11"/>
      <color theme="1"/>
      <name val="Calibri"/>
      <family val="2"/>
    </font>
    <font>
      <sz val="11"/>
      <color rgb="FF000000"/>
      <name val="Arial"/>
      <family val="2"/>
    </font>
    <font>
      <sz val="12"/>
      <color rgb="FF141414"/>
      <name val="Roboto"/>
    </font>
    <font>
      <sz val="11"/>
      <color indexed="18"/>
      <name val="Arial"/>
      <family val="1"/>
      <charset val="204"/>
    </font>
    <font>
      <b/>
      <sz val="11"/>
      <color indexed="18"/>
      <name val="Times New Roman"/>
      <family val="1"/>
      <charset val="204"/>
    </font>
    <font>
      <sz val="11"/>
      <color indexed="8"/>
      <name val="Times New Roman"/>
      <family val="1"/>
      <charset val="204"/>
    </font>
    <font>
      <i/>
      <sz val="11"/>
      <color indexed="8"/>
      <name val="Times New Roman"/>
      <family val="1"/>
      <charset val="204"/>
    </font>
    <font>
      <sz val="11"/>
      <color indexed="63"/>
      <name val="Times New Roman"/>
      <family val="1"/>
      <charset val="204"/>
    </font>
    <font>
      <i/>
      <sz val="11"/>
      <color indexed="63"/>
      <name val="Times New Roman"/>
      <family val="1"/>
      <charset val="204"/>
    </font>
    <font>
      <b/>
      <sz val="11"/>
      <color indexed="8"/>
      <name val="Times New Roman"/>
      <family val="1"/>
      <charset val="204"/>
    </font>
    <font>
      <b/>
      <sz val="12"/>
      <color rgb="FF141414"/>
      <name val="Roboto"/>
    </font>
    <font>
      <sz val="12"/>
      <name val="NEW Times"/>
      <family val="2"/>
    </font>
    <font>
      <i/>
      <u/>
      <sz val="10"/>
      <color rgb="FF000000"/>
      <name val="Times New Roman"/>
      <family val="1"/>
    </font>
    <font>
      <i/>
      <u/>
      <sz val="8"/>
      <color rgb="FF000000"/>
      <name val="Times New Roman"/>
      <family val="1"/>
    </font>
    <font>
      <sz val="10"/>
      <color rgb="FF2F353E"/>
      <name val="Arial"/>
      <family val="2"/>
    </font>
    <font>
      <sz val="10"/>
      <color rgb="FF637183"/>
      <name val="Arial"/>
      <family val="2"/>
    </font>
    <font>
      <sz val="12"/>
      <color rgb="FF222222"/>
      <name val="Arial"/>
      <family val="2"/>
    </font>
    <font>
      <u/>
      <sz val="11"/>
      <color rgb="FF0563C1"/>
      <name val="Arial"/>
      <family val="2"/>
      <scheme val="minor"/>
    </font>
    <font>
      <b/>
      <i/>
      <u/>
      <sz val="12"/>
      <color rgb="FF000000"/>
      <name val="Times New Roman"/>
      <family val="1"/>
    </font>
    <font>
      <sz val="11"/>
      <color rgb="FF3B3D3F"/>
      <name val="Arial"/>
      <family val="2"/>
    </font>
    <font>
      <sz val="8"/>
      <name val="Arial"/>
      <family val="2"/>
      <scheme val="minor"/>
    </font>
    <font>
      <b/>
      <sz val="14"/>
      <name val="Arial"/>
      <family val="2"/>
      <scheme val="minor"/>
    </font>
    <font>
      <sz val="14"/>
      <color rgb="FF2F353E"/>
      <name val="Arial"/>
      <family val="2"/>
    </font>
    <font>
      <sz val="11"/>
      <color rgb="FF2F353E"/>
      <name val="Inherit"/>
    </font>
    <font>
      <sz val="12"/>
      <color rgb="FF2F353E"/>
      <name val="Arial"/>
      <family val="2"/>
    </font>
    <font>
      <sz val="10"/>
      <color rgb="FF323C46"/>
      <name val="Arial"/>
      <family val="2"/>
    </font>
    <font>
      <sz val="11"/>
      <color rgb="FF000000"/>
      <name val="Calibri"/>
      <family val="2"/>
    </font>
    <font>
      <sz val="11"/>
      <color rgb="FF5E5E5E"/>
      <name val="Google Sans"/>
      <charset val="1"/>
    </font>
    <font>
      <sz val="9"/>
      <name val="Arial"/>
      <family val="2"/>
    </font>
    <font>
      <b/>
      <sz val="11"/>
      <color theme="1"/>
      <name val="Arial"/>
      <family val="2"/>
      <scheme val="minor"/>
    </font>
    <font>
      <sz val="11"/>
      <color rgb="FF5E5E5E"/>
      <name val="Roboto"/>
    </font>
    <font>
      <sz val="12"/>
      <color rgb="FF3B3D3F"/>
      <name val="Arial"/>
      <family val="2"/>
    </font>
    <font>
      <sz val="11"/>
      <color rgb="FF3B3D3F"/>
      <name val="Arial"/>
      <family val="2"/>
      <scheme val="minor"/>
    </font>
    <font>
      <sz val="11"/>
      <color rgb="FF4F4F50"/>
      <name val="Arial"/>
      <family val="2"/>
      <scheme val="minor"/>
    </font>
    <font>
      <sz val="18"/>
      <color rgb="FF222222"/>
      <name val="Arial"/>
      <family val="2"/>
      <scheme val="minor"/>
    </font>
    <font>
      <b/>
      <i/>
      <u/>
      <sz val="10"/>
      <color rgb="FF000000"/>
      <name val="Times New Roman"/>
      <family val="1"/>
    </font>
    <font>
      <sz val="9"/>
      <color theme="1"/>
      <name val="Arial"/>
      <family val="2"/>
      <scheme val="minor"/>
    </font>
    <font>
      <b/>
      <sz val="14"/>
      <name val="Arial"/>
      <family val="2"/>
    </font>
    <font>
      <sz val="12"/>
      <color rgb="FF637183"/>
      <name val="Arial"/>
      <family val="2"/>
    </font>
    <font>
      <sz val="12"/>
      <color rgb="FF3B3D3F"/>
      <name val="Arial"/>
      <family val="2"/>
      <scheme val="minor"/>
    </font>
    <font>
      <b/>
      <sz val="14"/>
      <color rgb="FF000000"/>
      <name val="Arial"/>
      <family val="2"/>
      <scheme val="minor"/>
    </font>
    <font>
      <i/>
      <u/>
      <sz val="11"/>
      <color rgb="FF000000"/>
      <name val="Calibri"/>
      <family val="2"/>
    </font>
    <font>
      <sz val="12"/>
      <color rgb="FF000000"/>
      <name val="Calibri"/>
      <family val="2"/>
    </font>
    <font>
      <sz val="10"/>
      <name val="Arial Narrow"/>
      <family val="2"/>
    </font>
    <font>
      <b/>
      <sz val="12"/>
      <name val="Arial Narrow"/>
      <family val="2"/>
    </font>
    <font>
      <i/>
      <u/>
      <sz val="14"/>
      <color rgb="FF000000"/>
      <name val="Arial"/>
      <family val="2"/>
      <scheme val="minor"/>
    </font>
    <font>
      <u/>
      <sz val="18"/>
      <color theme="1"/>
      <name val="Arial Narrow"/>
      <family val="2"/>
    </font>
    <font>
      <sz val="16"/>
      <color rgb="FFFA7D00"/>
      <name val="NEW Times"/>
      <family val="2"/>
    </font>
    <font>
      <b/>
      <i/>
      <u/>
      <sz val="12"/>
      <color theme="1"/>
      <name val="Arial Narrow"/>
      <family val="2"/>
    </font>
    <font>
      <b/>
      <u/>
      <sz val="12"/>
      <color theme="1"/>
      <name val="Arial Narrow"/>
      <family val="2"/>
    </font>
    <font>
      <u/>
      <sz val="12"/>
      <color theme="1"/>
      <name val="Calibri"/>
      <family val="2"/>
    </font>
    <font>
      <b/>
      <u/>
      <sz val="10"/>
      <name val="Arial"/>
      <family val="2"/>
      <scheme val="minor"/>
    </font>
    <font>
      <b/>
      <u/>
      <sz val="14"/>
      <color theme="1"/>
      <name val="Arial Narrow"/>
      <family val="2"/>
    </font>
  </fonts>
  <fills count="56">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rgb="FFFFFF00"/>
        <bgColor rgb="FF000000"/>
      </patternFill>
    </fill>
    <fill>
      <patternFill patternType="solid">
        <fgColor rgb="FFFFFF00"/>
        <bgColor indexed="64"/>
      </patternFill>
    </fill>
    <fill>
      <patternFill patternType="solid">
        <fgColor rgb="FFFFC000"/>
        <bgColor indexed="64"/>
      </patternFill>
    </fill>
    <fill>
      <patternFill patternType="solid">
        <fgColor rgb="FFA5A5A5"/>
        <bgColor rgb="FF000000"/>
      </patternFill>
    </fill>
    <fill>
      <patternFill patternType="solid">
        <fgColor rgb="FFD9E1F2"/>
        <bgColor rgb="FFD9E1F2"/>
      </patternFill>
    </fill>
    <fill>
      <patternFill patternType="solid">
        <fgColor rgb="FFFFC000"/>
        <bgColor rgb="FF000000"/>
      </patternFill>
    </fill>
    <fill>
      <patternFill patternType="solid">
        <fgColor rgb="FFF2F2F2"/>
        <bgColor rgb="FF000000"/>
      </patternFill>
    </fill>
    <fill>
      <patternFill patternType="solid">
        <fgColor theme="0" tint="-4.9989318521683403E-2"/>
        <bgColor indexed="64"/>
      </patternFill>
    </fill>
    <fill>
      <patternFill patternType="solid">
        <fgColor theme="7"/>
        <bgColor rgb="FFD9E1F2"/>
      </patternFill>
    </fill>
    <fill>
      <patternFill patternType="solid">
        <fgColor theme="8" tint="0.79998168889431442"/>
        <bgColor indexed="65"/>
      </patternFill>
    </fill>
    <fill>
      <patternFill patternType="solid">
        <fgColor theme="5"/>
        <bgColor indexed="64"/>
      </patternFill>
    </fill>
    <fill>
      <patternFill patternType="solid">
        <fgColor rgb="FFFCE4D6"/>
        <bgColor rgb="FF000000"/>
      </patternFill>
    </fill>
    <fill>
      <patternFill patternType="solid">
        <fgColor rgb="FFD9E1F2"/>
        <bgColor rgb="FF000000"/>
      </patternFill>
    </fill>
    <fill>
      <patternFill patternType="solid">
        <fgColor rgb="FFE7E6E6"/>
        <bgColor rgb="FF000000"/>
      </patternFill>
    </fill>
    <fill>
      <patternFill patternType="solid">
        <fgColor theme="3" tint="0.39997558519241921"/>
        <bgColor indexed="64"/>
      </patternFill>
    </fill>
    <fill>
      <patternFill patternType="solid">
        <fgColor rgb="FF92D050"/>
        <bgColor indexed="64"/>
      </patternFill>
    </fill>
    <fill>
      <patternFill patternType="solid">
        <fgColor rgb="FF92D050"/>
        <bgColor rgb="FF000000"/>
      </patternFill>
    </fill>
    <fill>
      <patternFill patternType="solid">
        <fgColor theme="7" tint="0.59999389629810485"/>
        <bgColor indexed="64"/>
      </patternFill>
    </fill>
    <fill>
      <patternFill patternType="solid">
        <fgColor rgb="FFFFE699"/>
        <bgColor rgb="FF000000"/>
      </patternFill>
    </fill>
    <fill>
      <patternFill patternType="solid">
        <fgColor theme="5" tint="0.79998168889431442"/>
        <bgColor indexed="65"/>
      </patternFill>
    </fill>
    <fill>
      <patternFill patternType="solid">
        <fgColor rgb="FFFFFFFF"/>
        <bgColor rgb="FF000000"/>
      </patternFill>
    </fill>
    <fill>
      <patternFill patternType="solid">
        <fgColor theme="0" tint="-4.9989318521683403E-2"/>
        <bgColor rgb="FF000000"/>
      </patternFill>
    </fill>
    <fill>
      <patternFill patternType="solid">
        <fgColor theme="1"/>
        <bgColor indexed="64"/>
      </patternFill>
    </fill>
    <fill>
      <patternFill patternType="solid">
        <fgColor them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rgb="FFFFF2CC"/>
        <bgColor rgb="FF000000"/>
      </patternFill>
    </fill>
    <fill>
      <patternFill patternType="solid">
        <fgColor theme="0"/>
        <bgColor indexed="64"/>
      </patternFill>
    </fill>
    <fill>
      <patternFill patternType="solid">
        <fgColor rgb="FFFFE699"/>
        <bgColor rgb="FFFFE699"/>
      </patternFill>
    </fill>
    <fill>
      <patternFill patternType="solid">
        <fgColor rgb="FFD6DCE4"/>
        <bgColor rgb="FF000000"/>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000000"/>
        <bgColor rgb="FF000000"/>
      </patternFill>
    </fill>
    <fill>
      <patternFill patternType="solid">
        <fgColor theme="7"/>
        <bgColor indexed="64"/>
      </patternFill>
    </fill>
    <fill>
      <patternFill patternType="solid">
        <fgColor rgb="FF5B9BD5"/>
        <bgColor rgb="FF000000"/>
      </patternFill>
    </fill>
    <fill>
      <patternFill patternType="solid">
        <fgColor theme="8"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2CC"/>
        <bgColor rgb="FFFFF2CC"/>
      </patternFill>
    </fill>
    <fill>
      <patternFill patternType="solid">
        <fgColor theme="0"/>
        <bgColor rgb="FFFFF2CC"/>
      </patternFill>
    </fill>
  </fills>
  <borders count="37">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rgb="FF8EA9DB"/>
      </top>
      <bottom style="thin">
        <color rgb="FF8EA9DB"/>
      </bottom>
      <diagonal/>
    </border>
    <border>
      <left/>
      <right/>
      <top/>
      <bottom style="thin">
        <color rgb="FF8EA9DB"/>
      </bottom>
      <diagonal/>
    </border>
    <border>
      <left/>
      <right/>
      <top/>
      <bottom style="double">
        <color rgb="FF3F3F3F"/>
      </bottom>
      <diagonal/>
    </border>
    <border>
      <left style="thin">
        <color rgb="FF8EA9DB"/>
      </left>
      <right/>
      <top/>
      <bottom style="thin">
        <color rgb="FF8EA9DB"/>
      </bottom>
      <diagonal/>
    </border>
    <border>
      <left/>
      <right/>
      <top style="double">
        <color rgb="FF3F3F3F"/>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8EA9DB"/>
      </right>
      <top/>
      <bottom style="thin">
        <color rgb="FF8EA9DB"/>
      </bottom>
      <diagonal/>
    </border>
    <border>
      <left style="thin">
        <color rgb="FF8EA9DB"/>
      </left>
      <right/>
      <top style="thin">
        <color rgb="FF8EA9DB"/>
      </top>
      <bottom style="thin">
        <color rgb="FF8EA9DB"/>
      </bottom>
      <diagonal/>
    </border>
    <border>
      <left/>
      <right style="thin">
        <color rgb="FF7F7F7F"/>
      </right>
      <top/>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right style="thin">
        <color rgb="FF7F7F7F"/>
      </right>
      <top/>
      <bottom style="thin">
        <color rgb="FF7F7F7F"/>
      </bottom>
      <diagonal/>
    </border>
    <border>
      <left/>
      <right/>
      <top/>
      <bottom style="thin">
        <color rgb="FF7F7F7F"/>
      </bottom>
      <diagonal/>
    </border>
    <border>
      <left style="double">
        <color rgb="FF3F3F3F"/>
      </left>
      <right/>
      <top style="double">
        <color rgb="FF3F3F3F"/>
      </top>
      <bottom style="double">
        <color rgb="FF3F3F3F"/>
      </bottom>
      <diagonal/>
    </border>
    <border>
      <left style="double">
        <color rgb="FF3F3F3F"/>
      </left>
      <right/>
      <top/>
      <bottom style="double">
        <color rgb="FF3F3F3F"/>
      </bottom>
      <diagonal/>
    </border>
    <border>
      <left/>
      <right/>
      <top style="double">
        <color rgb="FF3F3F3F"/>
      </top>
      <bottom style="double">
        <color rgb="FF3F3F3F"/>
      </bottom>
      <diagonal/>
    </border>
    <border>
      <left/>
      <right/>
      <top/>
      <bottom style="thin">
        <color indexed="64"/>
      </bottom>
      <diagonal/>
    </border>
    <border>
      <left style="double">
        <color rgb="FF3F3F3F"/>
      </left>
      <right/>
      <top style="double">
        <color rgb="FF3F3F3F"/>
      </top>
      <bottom/>
      <diagonal/>
    </border>
    <border>
      <left style="thin">
        <color rgb="FF7F7F7F"/>
      </left>
      <right/>
      <top/>
      <bottom/>
      <diagonal/>
    </border>
    <border>
      <left style="thin">
        <color rgb="FF7F7F7F"/>
      </left>
      <right/>
      <top style="thin">
        <color rgb="FF7F7F7F"/>
      </top>
      <bottom style="thin">
        <color rgb="FF7F7F7F"/>
      </bottom>
      <diagonal/>
    </border>
    <border>
      <left/>
      <right/>
      <top/>
      <bottom style="thick">
        <color rgb="FFFC4D00"/>
      </bottom>
      <diagonal/>
    </border>
    <border>
      <left style="medium">
        <color rgb="FFA3A3A3"/>
      </left>
      <right style="medium">
        <color rgb="FFA3A3A3"/>
      </right>
      <top style="medium">
        <color rgb="FFA3A3A3"/>
      </top>
      <bottom style="medium">
        <color rgb="FFA3A3A3"/>
      </bottom>
      <diagonal/>
    </border>
    <border>
      <left/>
      <right/>
      <top style="thin">
        <color rgb="FF7F7F7F"/>
      </top>
      <bottom style="thin">
        <color rgb="FFFFC000"/>
      </bottom>
      <diagonal/>
    </border>
    <border>
      <left/>
      <right style="double">
        <color rgb="FF3F3F3F"/>
      </right>
      <top style="double">
        <color rgb="FF3F3F3F"/>
      </top>
      <bottom/>
      <diagonal/>
    </border>
    <border>
      <left style="double">
        <color rgb="FF3F3F3F"/>
      </left>
      <right/>
      <top/>
      <bottom/>
      <diagonal/>
    </border>
    <border>
      <left/>
      <right style="double">
        <color rgb="FF3F3F3F"/>
      </right>
      <top/>
      <bottom/>
      <diagonal/>
    </border>
    <border>
      <left style="thin">
        <color rgb="FF7F7F7F"/>
      </left>
      <right style="thin">
        <color rgb="FF7F7F7F"/>
      </right>
      <top/>
      <bottom/>
      <diagonal/>
    </border>
    <border>
      <left style="thin">
        <color rgb="FF7F7F7F"/>
      </left>
      <right/>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s>
  <cellStyleXfs count="49">
    <xf numFmtId="0" fontId="0" fillId="0" borderId="0"/>
    <xf numFmtId="0" fontId="10" fillId="0" borderId="0" applyNumberFormat="0" applyFill="0" applyBorder="0" applyAlignment="0" applyProtection="0">
      <alignment vertical="top"/>
      <protection locked="0"/>
    </xf>
    <xf numFmtId="44" fontId="9" fillId="0" borderId="0" applyFont="0" applyFill="0" applyBorder="0" applyAlignment="0" applyProtection="0"/>
    <xf numFmtId="0" fontId="13" fillId="6" borderId="0" applyNumberFormat="0" applyBorder="0" applyAlignment="0" applyProtection="0"/>
    <xf numFmtId="0" fontId="14" fillId="2" borderId="0" applyNumberFormat="0" applyBorder="0" applyAlignment="0" applyProtection="0"/>
    <xf numFmtId="0" fontId="15" fillId="7" borderId="0" applyNumberFormat="0" applyBorder="0" applyAlignment="0" applyProtection="0"/>
    <xf numFmtId="0" fontId="15" fillId="5" borderId="0" applyNumberFormat="0" applyBorder="0" applyAlignment="0" applyProtection="0"/>
    <xf numFmtId="0" fontId="16" fillId="3" borderId="1" applyNumberFormat="0" applyAlignment="0" applyProtection="0"/>
    <xf numFmtId="0" fontId="17" fillId="4" borderId="2" applyNumberFormat="0" applyAlignment="0" applyProtection="0"/>
    <xf numFmtId="9" fontId="9" fillId="0" borderId="0" applyFont="0" applyFill="0" applyBorder="0" applyAlignment="0" applyProtection="0"/>
    <xf numFmtId="0" fontId="18" fillId="0" borderId="0"/>
    <xf numFmtId="0" fontId="19" fillId="0" borderId="0" applyNumberFormat="0" applyFill="0" applyBorder="0" applyAlignment="0" applyProtection="0">
      <alignment vertical="top"/>
      <protection locked="0"/>
    </xf>
    <xf numFmtId="44" fontId="18" fillId="0" borderId="0" applyFont="0" applyFill="0" applyBorder="0" applyAlignment="0" applyProtection="0"/>
    <xf numFmtId="0" fontId="7" fillId="0" borderId="0"/>
    <xf numFmtId="0" fontId="18"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26" fillId="0" borderId="0" applyNumberFormat="0" applyFill="0" applyBorder="0" applyAlignment="0" applyProtection="0"/>
    <xf numFmtId="0" fontId="8" fillId="0" borderId="0"/>
    <xf numFmtId="0" fontId="27" fillId="0" borderId="0"/>
    <xf numFmtId="0" fontId="10" fillId="0" borderId="0" applyNumberFormat="0" applyFill="0" applyBorder="0" applyAlignment="0" applyProtection="0">
      <alignment vertical="top"/>
      <protection locked="0"/>
    </xf>
    <xf numFmtId="0" fontId="28" fillId="3" borderId="1" applyNumberFormat="0" applyAlignment="0" applyProtection="0"/>
    <xf numFmtId="43" fontId="27" fillId="0" borderId="0" applyFont="0" applyFill="0" applyBorder="0" applyAlignment="0" applyProtection="0"/>
    <xf numFmtId="43" fontId="8" fillId="0" borderId="0" applyFont="0" applyFill="0" applyBorder="0" applyAlignment="0" applyProtection="0"/>
    <xf numFmtId="0" fontId="29" fillId="0" borderId="0" applyNumberFormat="0" applyFill="0" applyBorder="0" applyAlignment="0" applyProtection="0">
      <alignment vertical="top"/>
      <protection locked="0"/>
    </xf>
    <xf numFmtId="0" fontId="5" fillId="8" borderId="0" applyNumberFormat="0" applyBorder="0" applyAlignment="0" applyProtection="0"/>
    <xf numFmtId="0" fontId="4" fillId="0" borderId="0"/>
    <xf numFmtId="0" fontId="30" fillId="0" borderId="0" applyNumberFormat="0" applyFill="0" applyBorder="0" applyAlignment="0" applyProtection="0"/>
    <xf numFmtId="0" fontId="31" fillId="3" borderId="8" applyNumberFormat="0" applyAlignment="0" applyProtection="0"/>
    <xf numFmtId="0" fontId="3" fillId="0" borderId="0"/>
    <xf numFmtId="0" fontId="43" fillId="0" borderId="0" applyNumberFormat="0" applyFill="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8" borderId="0" applyNumberFormat="0" applyBorder="0" applyAlignment="0" applyProtection="0"/>
    <xf numFmtId="0" fontId="3" fillId="0" borderId="0"/>
    <xf numFmtId="0" fontId="49" fillId="0" borderId="14" applyNumberFormat="0" applyFill="0" applyAlignment="0" applyProtection="0"/>
    <xf numFmtId="0" fontId="48" fillId="0" borderId="15" applyNumberFormat="0" applyFill="0" applyAlignment="0" applyProtection="0"/>
    <xf numFmtId="0" fontId="3" fillId="18" borderId="0" applyNumberFormat="0" applyBorder="0" applyAlignment="0" applyProtection="0"/>
    <xf numFmtId="43" fontId="8" fillId="0" borderId="0" applyFont="0" applyFill="0" applyBorder="0" applyAlignment="0" applyProtection="0"/>
    <xf numFmtId="0" fontId="57" fillId="0" borderId="14" applyNumberFormat="0" applyFill="0" applyAlignment="0" applyProtection="0"/>
    <xf numFmtId="0" fontId="8" fillId="28" borderId="0" applyNumberFormat="0" applyBorder="0" applyAlignment="0" applyProtection="0"/>
    <xf numFmtId="0" fontId="82" fillId="3" borderId="1" applyNumberFormat="0" applyAlignment="0" applyProtection="0"/>
    <xf numFmtId="9" fontId="8" fillId="0" borderId="0" applyFont="0" applyFill="0" applyBorder="0" applyAlignment="0" applyProtection="0"/>
    <xf numFmtId="44" fontId="8" fillId="0" borderId="0" applyFont="0" applyFill="0" applyBorder="0" applyAlignment="0" applyProtection="0"/>
  </cellStyleXfs>
  <cellXfs count="917">
    <xf numFmtId="0" fontId="0" fillId="0" borderId="0" xfId="0"/>
    <xf numFmtId="0" fontId="0" fillId="0" borderId="0" xfId="0" applyAlignment="1">
      <alignment vertical="center"/>
    </xf>
    <xf numFmtId="0" fontId="3" fillId="0" borderId="0" xfId="0" applyFont="1"/>
    <xf numFmtId="0" fontId="3" fillId="0" borderId="0" xfId="0" applyFont="1" applyAlignment="1">
      <alignment horizontal="left" vertical="center"/>
    </xf>
    <xf numFmtId="0" fontId="34" fillId="0" borderId="0" xfId="0" applyFont="1"/>
    <xf numFmtId="0" fontId="11" fillId="0" borderId="0" xfId="0" applyFont="1" applyAlignment="1">
      <alignment horizontal="left" vertical="center"/>
    </xf>
    <xf numFmtId="0" fontId="11" fillId="0" borderId="0" xfId="0" applyFont="1" applyAlignment="1">
      <alignment vertical="center"/>
    </xf>
    <xf numFmtId="0" fontId="20" fillId="0" borderId="0" xfId="0" applyFont="1"/>
    <xf numFmtId="0" fontId="21" fillId="0" borderId="0" xfId="0" applyFont="1"/>
    <xf numFmtId="0" fontId="37" fillId="0" borderId="0" xfId="0" applyFont="1" applyAlignment="1">
      <alignment horizontal="left"/>
    </xf>
    <xf numFmtId="0" fontId="11" fillId="0" borderId="0" xfId="0" applyFont="1" applyAlignment="1">
      <alignment horizontal="center"/>
    </xf>
    <xf numFmtId="0" fontId="32" fillId="0" borderId="0" xfId="0" applyFont="1"/>
    <xf numFmtId="0" fontId="23" fillId="0" borderId="0" xfId="0" applyFont="1" applyAlignment="1">
      <alignment horizontal="right" vertical="center"/>
    </xf>
    <xf numFmtId="14" fontId="0" fillId="0" borderId="0" xfId="0" applyNumberFormat="1"/>
    <xf numFmtId="0" fontId="11" fillId="0" borderId="0" xfId="0" applyFont="1"/>
    <xf numFmtId="0" fontId="22" fillId="0" borderId="0" xfId="0" applyFont="1" applyAlignment="1">
      <alignment textRotation="255"/>
    </xf>
    <xf numFmtId="0" fontId="10" fillId="0" borderId="0" xfId="1" applyAlignment="1" applyProtection="1">
      <alignment vertical="center"/>
    </xf>
    <xf numFmtId="0" fontId="45" fillId="0" borderId="0" xfId="0" applyFont="1" applyAlignment="1">
      <alignment vertical="center"/>
    </xf>
    <xf numFmtId="0" fontId="46" fillId="0" borderId="0" xfId="0" applyFont="1" applyAlignment="1">
      <alignment vertical="center"/>
    </xf>
    <xf numFmtId="0" fontId="25" fillId="15" borderId="0" xfId="0" applyFont="1" applyFill="1" applyAlignment="1">
      <alignment horizontal="left" vertical="center"/>
    </xf>
    <xf numFmtId="0" fontId="50" fillId="0" borderId="0" xfId="0" applyFont="1" applyAlignment="1">
      <alignment horizontal="left"/>
    </xf>
    <xf numFmtId="0" fontId="35" fillId="0" borderId="0" xfId="0" applyFont="1"/>
    <xf numFmtId="0" fontId="42" fillId="20" borderId="0" xfId="0" applyFont="1" applyFill="1" applyAlignment="1">
      <alignment horizontal="center"/>
    </xf>
    <xf numFmtId="0" fontId="35" fillId="11" borderId="0" xfId="0" applyFont="1" applyFill="1" applyAlignment="1">
      <alignment horizontal="center"/>
    </xf>
    <xf numFmtId="0" fontId="51" fillId="10" borderId="0" xfId="0" applyFont="1" applyFill="1" applyAlignment="1">
      <alignment horizontal="center"/>
    </xf>
    <xf numFmtId="0" fontId="51" fillId="0" borderId="0" xfId="0" applyFont="1"/>
    <xf numFmtId="0" fontId="51" fillId="17" borderId="6" xfId="0" applyFont="1" applyFill="1" applyBorder="1"/>
    <xf numFmtId="0" fontId="52" fillId="0" borderId="0" xfId="0" applyFont="1"/>
    <xf numFmtId="0" fontId="53" fillId="20" borderId="0" xfId="0" applyFont="1" applyFill="1" applyAlignment="1">
      <alignment horizontal="center"/>
    </xf>
    <xf numFmtId="0" fontId="40" fillId="26" borderId="0" xfId="0" applyFont="1" applyFill="1" applyAlignment="1">
      <alignment horizontal="left" vertical="center"/>
    </xf>
    <xf numFmtId="0" fontId="3" fillId="10" borderId="0" xfId="0" applyFont="1" applyFill="1"/>
    <xf numFmtId="164" fontId="3" fillId="0" borderId="0" xfId="0" applyNumberFormat="1" applyFont="1" applyAlignment="1">
      <alignment horizontal="center" wrapText="1"/>
    </xf>
    <xf numFmtId="0" fontId="21" fillId="0" borderId="0" xfId="0" applyFont="1" applyAlignment="1">
      <alignment horizontal="left"/>
    </xf>
    <xf numFmtId="0" fontId="21" fillId="21" borderId="17" xfId="0" applyFont="1" applyFill="1" applyBorder="1"/>
    <xf numFmtId="0" fontId="21" fillId="22" borderId="17" xfId="0" applyFont="1" applyFill="1" applyBorder="1"/>
    <xf numFmtId="0" fontId="21" fillId="0" borderId="16" xfId="0" applyFont="1" applyBorder="1"/>
    <xf numFmtId="0" fontId="21" fillId="0" borderId="17" xfId="0" applyFont="1" applyBorder="1"/>
    <xf numFmtId="0" fontId="21" fillId="15" borderId="17" xfId="0" applyFont="1" applyFill="1" applyBorder="1"/>
    <xf numFmtId="0" fontId="21" fillId="21" borderId="16" xfId="0" applyFont="1" applyFill="1" applyBorder="1"/>
    <xf numFmtId="0" fontId="21" fillId="20" borderId="0" xfId="0" applyFont="1" applyFill="1" applyAlignment="1">
      <alignment horizontal="center"/>
    </xf>
    <xf numFmtId="43" fontId="54" fillId="0" borderId="9" xfId="0" applyNumberFormat="1" applyFont="1" applyBorder="1" applyAlignment="1">
      <alignment horizontal="center"/>
    </xf>
    <xf numFmtId="43" fontId="35" fillId="0" borderId="1" xfId="0" applyNumberFormat="1" applyFont="1" applyBorder="1"/>
    <xf numFmtId="0" fontId="35" fillId="0" borderId="6" xfId="0" applyFont="1" applyBorder="1"/>
    <xf numFmtId="0" fontId="55" fillId="27" borderId="0" xfId="0" applyFont="1" applyFill="1" applyAlignment="1">
      <alignment horizontal="left" vertical="center"/>
    </xf>
    <xf numFmtId="0" fontId="56" fillId="0" borderId="0" xfId="0" applyFont="1" applyAlignment="1">
      <alignment horizontal="center"/>
    </xf>
    <xf numFmtId="0" fontId="32" fillId="0" borderId="0" xfId="0" applyFont="1" applyAlignment="1">
      <alignment horizontal="center"/>
    </xf>
    <xf numFmtId="0" fontId="3" fillId="0" borderId="0" xfId="0" applyFont="1" applyAlignment="1">
      <alignment horizontal="left" indent="7"/>
    </xf>
    <xf numFmtId="0" fontId="58" fillId="29" borderId="14" xfId="44" applyFont="1" applyFill="1" applyAlignment="1">
      <alignment horizontal="left" indent="7"/>
    </xf>
    <xf numFmtId="0" fontId="58" fillId="30" borderId="14" xfId="44" applyFont="1" applyFill="1" applyAlignment="1">
      <alignment horizontal="left" indent="7"/>
    </xf>
    <xf numFmtId="0" fontId="58" fillId="30" borderId="14" xfId="44" applyFont="1" applyFill="1" applyAlignment="1">
      <alignment horizontal="left"/>
    </xf>
    <xf numFmtId="0" fontId="58" fillId="29" borderId="14" xfId="44" applyFont="1" applyFill="1" applyAlignment="1">
      <alignment horizontal="left" vertical="center"/>
    </xf>
    <xf numFmtId="0" fontId="58" fillId="29" borderId="14" xfId="0" applyFont="1" applyFill="1" applyBorder="1" applyAlignment="1">
      <alignment horizontal="left" vertical="center"/>
    </xf>
    <xf numFmtId="0" fontId="58" fillId="29" borderId="14" xfId="44" applyFont="1" applyFill="1" applyAlignment="1">
      <alignment horizontal="left"/>
    </xf>
    <xf numFmtId="0" fontId="58" fillId="30" borderId="14" xfId="44" applyFont="1" applyFill="1" applyAlignment="1"/>
    <xf numFmtId="0" fontId="58" fillId="15" borderId="14" xfId="0" applyFont="1" applyFill="1" applyBorder="1"/>
    <xf numFmtId="0" fontId="59" fillId="16" borderId="0" xfId="0" applyFont="1" applyFill="1"/>
    <xf numFmtId="0" fontId="60" fillId="0" borderId="0" xfId="0" applyFont="1"/>
    <xf numFmtId="0" fontId="61" fillId="30" borderId="14" xfId="44" applyFont="1" applyFill="1" applyAlignment="1">
      <alignment horizontal="left" indent="7"/>
    </xf>
    <xf numFmtId="0" fontId="12" fillId="0" borderId="0" xfId="0" applyFont="1" applyAlignment="1">
      <alignment horizontal="left" indent="7"/>
    </xf>
    <xf numFmtId="0" fontId="62" fillId="0" borderId="0" xfId="0" applyFont="1"/>
    <xf numFmtId="0" fontId="63" fillId="0" borderId="0" xfId="0" applyFont="1"/>
    <xf numFmtId="0" fontId="32" fillId="0" borderId="0" xfId="0" applyFont="1" applyAlignment="1">
      <alignment horizontal="center" vertical="center"/>
    </xf>
    <xf numFmtId="0" fontId="3" fillId="0" borderId="0" xfId="0" applyFont="1" applyAlignment="1">
      <alignment horizontal="center"/>
    </xf>
    <xf numFmtId="0" fontId="34" fillId="0" borderId="0" xfId="0" applyFont="1" applyAlignment="1">
      <alignment horizontal="center" vertical="center"/>
    </xf>
    <xf numFmtId="164" fontId="34" fillId="0" borderId="0" xfId="0" applyNumberFormat="1" applyFont="1" applyAlignment="1">
      <alignment vertical="center"/>
    </xf>
    <xf numFmtId="0" fontId="64" fillId="0" borderId="0" xfId="0" applyFont="1" applyAlignment="1">
      <alignment horizontal="center"/>
    </xf>
    <xf numFmtId="0" fontId="60" fillId="0" borderId="0" xfId="0" applyFont="1" applyAlignment="1">
      <alignment horizontal="center"/>
    </xf>
    <xf numFmtId="14" fontId="11" fillId="0" borderId="0" xfId="0" applyNumberFormat="1" applyFont="1" applyAlignment="1">
      <alignment horizontal="left" vertical="center" indent="13"/>
    </xf>
    <xf numFmtId="14" fontId="34" fillId="0" borderId="0" xfId="0" applyNumberFormat="1" applyFont="1" applyAlignment="1">
      <alignment horizontal="center" vertical="center"/>
    </xf>
    <xf numFmtId="0" fontId="34" fillId="0" borderId="0" xfId="0" applyFont="1" applyAlignment="1">
      <alignment horizontal="center"/>
    </xf>
    <xf numFmtId="1" fontId="34" fillId="0" borderId="0" xfId="0" applyNumberFormat="1" applyFont="1" applyAlignment="1">
      <alignment horizontal="center" vertical="center"/>
    </xf>
    <xf numFmtId="0" fontId="11" fillId="0" borderId="0" xfId="0" applyFont="1" applyAlignment="1">
      <alignment horizontal="left" vertical="center" indent="18"/>
    </xf>
    <xf numFmtId="0" fontId="11" fillId="0" borderId="4" xfId="0" applyFont="1" applyBorder="1" applyAlignment="1">
      <alignment horizontal="left" vertical="center" indent="18"/>
    </xf>
    <xf numFmtId="164" fontId="34" fillId="0" borderId="0" xfId="0" applyNumberFormat="1" applyFont="1"/>
    <xf numFmtId="0" fontId="12" fillId="0" borderId="0" xfId="0" applyFont="1" applyAlignment="1">
      <alignment horizontal="left" indent="3"/>
    </xf>
    <xf numFmtId="0" fontId="67" fillId="0" borderId="0" xfId="0" applyFont="1" applyAlignment="1">
      <alignment horizontal="center"/>
    </xf>
    <xf numFmtId="0" fontId="68" fillId="0" borderId="0" xfId="0" applyFont="1" applyAlignment="1">
      <alignment vertical="center"/>
    </xf>
    <xf numFmtId="0" fontId="38" fillId="0" borderId="0" xfId="0" applyFont="1" applyAlignment="1">
      <alignment horizontal="left"/>
    </xf>
    <xf numFmtId="0" fontId="69" fillId="0" borderId="0" xfId="0" applyFont="1" applyAlignment="1">
      <alignment horizontal="left" indent="3"/>
    </xf>
    <xf numFmtId="0" fontId="70" fillId="0" borderId="0" xfId="0" applyFont="1"/>
    <xf numFmtId="0" fontId="3" fillId="0" borderId="0" xfId="0" applyFont="1" applyAlignment="1">
      <alignment horizontal="center" vertical="center"/>
    </xf>
    <xf numFmtId="0" fontId="71" fillId="0" borderId="0" xfId="1" applyFont="1" applyFill="1" applyAlignment="1" applyProtection="1">
      <alignment horizontal="left" vertical="center"/>
    </xf>
    <xf numFmtId="0" fontId="73" fillId="0" borderId="0" xfId="0" applyFont="1" applyAlignment="1">
      <alignment horizontal="center" vertical="center"/>
    </xf>
    <xf numFmtId="0" fontId="74" fillId="0" borderId="0" xfId="0" applyFont="1" applyAlignment="1">
      <alignment horizontal="center"/>
    </xf>
    <xf numFmtId="0" fontId="34" fillId="0" borderId="0" xfId="0" applyFont="1" applyAlignment="1">
      <alignment horizontal="left"/>
    </xf>
    <xf numFmtId="14" fontId="34" fillId="0" borderId="0" xfId="0" applyNumberFormat="1" applyFont="1" applyAlignment="1">
      <alignment horizontal="left"/>
    </xf>
    <xf numFmtId="14" fontId="11" fillId="0" borderId="0" xfId="0" applyNumberFormat="1" applyFont="1" applyAlignment="1">
      <alignment horizontal="left" vertical="center" indent="7"/>
    </xf>
    <xf numFmtId="0" fontId="34" fillId="0" borderId="0" xfId="0" applyFont="1" applyAlignment="1">
      <alignment vertical="center"/>
    </xf>
    <xf numFmtId="0" fontId="75" fillId="0" borderId="0" xfId="0" applyFont="1"/>
    <xf numFmtId="0" fontId="60" fillId="0" borderId="4" xfId="0" applyFont="1" applyBorder="1" applyAlignment="1">
      <alignment horizontal="left" vertical="center" indent="4"/>
    </xf>
    <xf numFmtId="164" fontId="34" fillId="0" borderId="0" xfId="0" applyNumberFormat="1" applyFont="1" applyAlignment="1">
      <alignment horizontal="left" vertical="center" indent="11"/>
    </xf>
    <xf numFmtId="0" fontId="76" fillId="0" borderId="0" xfId="0" applyFont="1" applyAlignment="1">
      <alignment horizontal="left" vertical="center" indent="4"/>
    </xf>
    <xf numFmtId="1" fontId="34" fillId="0" borderId="0" xfId="0" applyNumberFormat="1" applyFont="1" applyAlignment="1">
      <alignment horizontal="center"/>
    </xf>
    <xf numFmtId="1" fontId="76" fillId="0" borderId="0" xfId="0" applyNumberFormat="1" applyFont="1" applyAlignment="1">
      <alignment horizontal="center" vertical="center" wrapText="1"/>
    </xf>
    <xf numFmtId="0" fontId="20" fillId="0" borderId="0" xfId="0" applyFont="1" applyAlignment="1">
      <alignment horizontal="left" vertical="center" indent="1"/>
    </xf>
    <xf numFmtId="0" fontId="20" fillId="0" borderId="0" xfId="0" applyFont="1" applyAlignment="1">
      <alignment horizontal="left" indent="3"/>
    </xf>
    <xf numFmtId="0" fontId="20" fillId="0" borderId="0" xfId="0" applyFont="1" applyAlignment="1">
      <alignment horizontal="left" vertical="center" indent="4"/>
    </xf>
    <xf numFmtId="0" fontId="77" fillId="0" borderId="0" xfId="0" applyFont="1" applyAlignment="1">
      <alignment horizontal="left" vertical="center"/>
    </xf>
    <xf numFmtId="44" fontId="56" fillId="0" borderId="0" xfId="45" applyNumberFormat="1" applyFont="1" applyFill="1" applyAlignment="1">
      <alignment horizontal="center"/>
    </xf>
    <xf numFmtId="49" fontId="79" fillId="0" borderId="0" xfId="0" applyNumberFormat="1" applyFont="1" applyAlignment="1">
      <alignment horizontal="left"/>
    </xf>
    <xf numFmtId="0" fontId="56" fillId="0" borderId="0" xfId="0" applyFont="1"/>
    <xf numFmtId="0" fontId="58" fillId="0" borderId="0" xfId="0" applyFont="1"/>
    <xf numFmtId="165" fontId="81" fillId="0" borderId="0" xfId="43" applyNumberFormat="1" applyFont="1" applyAlignment="1"/>
    <xf numFmtId="165" fontId="83" fillId="16" borderId="0" xfId="43" applyNumberFormat="1" applyFont="1" applyFill="1"/>
    <xf numFmtId="0" fontId="82" fillId="0" borderId="9" xfId="0" applyFont="1" applyBorder="1" applyAlignment="1">
      <alignment horizontal="left" vertical="center"/>
    </xf>
    <xf numFmtId="165" fontId="83" fillId="0" borderId="0" xfId="43" applyNumberFormat="1" applyFont="1"/>
    <xf numFmtId="165" fontId="86" fillId="0" borderId="0" xfId="43" applyNumberFormat="1" applyFont="1"/>
    <xf numFmtId="0" fontId="87" fillId="0" borderId="16" xfId="0" applyFont="1" applyBorder="1" applyAlignment="1">
      <alignment horizontal="left" vertical="center" indent="2"/>
    </xf>
    <xf numFmtId="0" fontId="82" fillId="3" borderId="1" xfId="46"/>
    <xf numFmtId="0" fontId="82" fillId="3" borderId="1" xfId="46" applyAlignment="1">
      <alignment horizontal="left" vertical="center"/>
    </xf>
    <xf numFmtId="49" fontId="88" fillId="0" borderId="21" xfId="0" applyNumberFormat="1" applyFont="1" applyBorder="1" applyAlignment="1">
      <alignment vertical="center"/>
    </xf>
    <xf numFmtId="0" fontId="82" fillId="0" borderId="1" xfId="46" quotePrefix="1" applyFill="1" applyAlignment="1">
      <alignment horizontal="left" vertical="center"/>
    </xf>
    <xf numFmtId="0" fontId="88" fillId="0" borderId="20" xfId="0" applyFont="1" applyBorder="1" applyAlignment="1">
      <alignment vertical="center"/>
    </xf>
    <xf numFmtId="0" fontId="89" fillId="0" borderId="22" xfId="8" quotePrefix="1" applyFont="1" applyFill="1" applyBorder="1"/>
    <xf numFmtId="0" fontId="89" fillId="0" borderId="20" xfId="8" quotePrefix="1" applyFont="1" applyFill="1" applyBorder="1"/>
    <xf numFmtId="165" fontId="83" fillId="0" borderId="0" xfId="43" applyNumberFormat="1" applyFont="1" applyAlignment="1">
      <alignment horizontal="right" vertical="top" wrapText="1"/>
    </xf>
    <xf numFmtId="165" fontId="83" fillId="16" borderId="0" xfId="43" applyNumberFormat="1" applyFont="1" applyFill="1" applyAlignment="1">
      <alignment horizontal="right" vertical="top" wrapText="1"/>
    </xf>
    <xf numFmtId="0" fontId="90" fillId="0" borderId="1" xfId="46" applyFont="1" applyFill="1" applyAlignment="1">
      <alignment horizontal="center"/>
    </xf>
    <xf numFmtId="0" fontId="90" fillId="3" borderId="1" xfId="46" quotePrefix="1" applyFont="1" applyAlignment="1">
      <alignment horizontal="center" vertical="center"/>
    </xf>
    <xf numFmtId="0" fontId="11" fillId="0" borderId="0" xfId="0" applyFont="1" applyAlignment="1">
      <alignment horizontal="left" vertical="center" indent="3"/>
    </xf>
    <xf numFmtId="49" fontId="91" fillId="0" borderId="0" xfId="0" applyNumberFormat="1" applyFont="1" applyAlignment="1">
      <alignment horizontal="left"/>
    </xf>
    <xf numFmtId="0" fontId="92" fillId="0" borderId="0" xfId="0" applyFont="1" applyAlignment="1">
      <alignment horizontal="left" vertical="center" indent="2"/>
    </xf>
    <xf numFmtId="0" fontId="88" fillId="0" borderId="0" xfId="0" applyFont="1" applyAlignment="1">
      <alignment horizontal="left" vertical="center" indent="2"/>
    </xf>
    <xf numFmtId="165" fontId="82" fillId="3" borderId="1" xfId="46" applyNumberFormat="1" applyAlignment="1">
      <alignment horizontal="left"/>
    </xf>
    <xf numFmtId="0" fontId="25" fillId="0" borderId="0" xfId="0" applyFont="1" applyAlignment="1">
      <alignment horizontal="left" vertical="center" indent="2"/>
    </xf>
    <xf numFmtId="165" fontId="86" fillId="0" borderId="0" xfId="43" applyNumberFormat="1" applyFont="1" applyAlignment="1">
      <alignment horizontal="left" vertical="center"/>
    </xf>
    <xf numFmtId="165" fontId="95" fillId="15" borderId="0" xfId="0" applyNumberFormat="1" applyFont="1" applyFill="1" applyAlignment="1">
      <alignment horizontal="center" vertical="center"/>
    </xf>
    <xf numFmtId="165" fontId="86" fillId="16" borderId="0" xfId="43" applyNumberFormat="1" applyFont="1" applyFill="1" applyAlignment="1">
      <alignment vertical="center"/>
    </xf>
    <xf numFmtId="0" fontId="12" fillId="0" borderId="0" xfId="0" applyFont="1" applyAlignment="1">
      <alignment horizontal="left" vertical="center" indent="2"/>
    </xf>
    <xf numFmtId="0" fontId="12" fillId="0" borderId="0" xfId="0" applyFont="1" applyAlignment="1">
      <alignment horizontal="left" indent="2"/>
    </xf>
    <xf numFmtId="165" fontId="80" fillId="0" borderId="0" xfId="0" applyNumberFormat="1" applyFont="1" applyAlignment="1">
      <alignment horizontal="left" indent="2"/>
    </xf>
    <xf numFmtId="165" fontId="96" fillId="0" borderId="0" xfId="43" applyNumberFormat="1" applyFont="1" applyAlignment="1">
      <alignment horizontal="left"/>
    </xf>
    <xf numFmtId="165" fontId="86" fillId="16" borderId="0" xfId="43" applyNumberFormat="1" applyFont="1" applyFill="1"/>
    <xf numFmtId="165" fontId="97" fillId="0" borderId="0" xfId="43" applyNumberFormat="1" applyFont="1" applyAlignment="1">
      <alignment horizontal="center"/>
    </xf>
    <xf numFmtId="165" fontId="97" fillId="0" borderId="0" xfId="43" applyNumberFormat="1" applyFont="1"/>
    <xf numFmtId="165" fontId="97" fillId="0" borderId="0" xfId="43" applyNumberFormat="1" applyFont="1" applyAlignment="1">
      <alignment horizontal="left"/>
    </xf>
    <xf numFmtId="165" fontId="99" fillId="0" borderId="0" xfId="43" applyNumberFormat="1" applyFont="1"/>
    <xf numFmtId="165" fontId="42" fillId="0" borderId="0" xfId="0" applyNumberFormat="1" applyFont="1"/>
    <xf numFmtId="0" fontId="42" fillId="0" borderId="0" xfId="0" applyFont="1"/>
    <xf numFmtId="0" fontId="61" fillId="0" borderId="0" xfId="0" applyFont="1"/>
    <xf numFmtId="0" fontId="36" fillId="0" borderId="0" xfId="0" applyFont="1" applyAlignment="1">
      <alignment horizontal="center" vertical="center"/>
    </xf>
    <xf numFmtId="0" fontId="10" fillId="0" borderId="0" xfId="1" applyAlignment="1" applyProtection="1">
      <alignment horizontal="center"/>
    </xf>
    <xf numFmtId="0" fontId="25" fillId="0" borderId="0" xfId="0" applyFont="1" applyAlignment="1">
      <alignment horizontal="center"/>
    </xf>
    <xf numFmtId="0" fontId="24" fillId="0" borderId="0" xfId="0" applyFont="1" applyAlignment="1">
      <alignment horizontal="left"/>
    </xf>
    <xf numFmtId="44" fontId="24" fillId="0" borderId="0" xfId="0" applyNumberFormat="1" applyFont="1" applyAlignment="1">
      <alignment horizontal="left" vertical="center"/>
    </xf>
    <xf numFmtId="0" fontId="25" fillId="0" borderId="0" xfId="0" applyFont="1" applyAlignment="1">
      <alignment horizontal="left"/>
    </xf>
    <xf numFmtId="0" fontId="105" fillId="0" borderId="0" xfId="28" applyFont="1"/>
    <xf numFmtId="0" fontId="105" fillId="0" borderId="0" xfId="28" applyFont="1" applyAlignment="1"/>
    <xf numFmtId="0" fontId="105" fillId="0" borderId="0" xfId="28" applyFont="1" applyAlignment="1">
      <alignment horizontal="left"/>
    </xf>
    <xf numFmtId="165" fontId="83" fillId="16" borderId="0" xfId="43" applyNumberFormat="1" applyFont="1" applyFill="1" applyAlignment="1">
      <alignment horizontal="center" vertical="center"/>
    </xf>
    <xf numFmtId="165" fontId="107" fillId="16" borderId="0" xfId="43" applyNumberFormat="1" applyFont="1" applyFill="1" applyAlignment="1">
      <alignment horizontal="left" vertical="center" indent="2"/>
    </xf>
    <xf numFmtId="165" fontId="83" fillId="16" borderId="0" xfId="43" applyNumberFormat="1" applyFont="1" applyFill="1" applyAlignment="1">
      <alignment vertical="center"/>
    </xf>
    <xf numFmtId="0" fontId="24" fillId="33" borderId="0" xfId="0" applyFont="1" applyFill="1" applyAlignment="1">
      <alignment vertical="center" wrapText="1"/>
    </xf>
    <xf numFmtId="0" fontId="0" fillId="0" borderId="23" xfId="0" applyBorder="1" applyAlignment="1">
      <alignment vertical="center"/>
    </xf>
    <xf numFmtId="165" fontId="83" fillId="16" borderId="0" xfId="43" applyNumberFormat="1" applyFont="1" applyFill="1" applyAlignment="1">
      <alignment horizontal="left" vertical="center"/>
    </xf>
    <xf numFmtId="0" fontId="84" fillId="0" borderId="0" xfId="0" applyFont="1" applyAlignment="1">
      <alignment horizontal="center"/>
    </xf>
    <xf numFmtId="0" fontId="93" fillId="10" borderId="0" xfId="0" applyFont="1" applyFill="1" applyAlignment="1">
      <alignment horizontal="center" vertical="center"/>
    </xf>
    <xf numFmtId="0" fontId="94" fillId="0" borderId="0" xfId="0" applyFont="1" applyAlignment="1">
      <alignment horizontal="center" vertical="center"/>
    </xf>
    <xf numFmtId="0" fontId="84" fillId="10" borderId="0" xfId="0" applyFont="1" applyFill="1" applyAlignment="1">
      <alignment horizontal="center"/>
    </xf>
    <xf numFmtId="49" fontId="88" fillId="0" borderId="21" xfId="0" applyNumberFormat="1" applyFont="1" applyBorder="1" applyAlignment="1">
      <alignment horizontal="left" indent="3"/>
    </xf>
    <xf numFmtId="0" fontId="82" fillId="0" borderId="1" xfId="46" applyFill="1" applyAlignment="1">
      <alignment horizontal="left" vertical="center"/>
    </xf>
    <xf numFmtId="0" fontId="90" fillId="0" borderId="1" xfId="46" quotePrefix="1" applyFont="1" applyFill="1" applyAlignment="1">
      <alignment horizontal="center" vertical="center"/>
    </xf>
    <xf numFmtId="165" fontId="95" fillId="15" borderId="0" xfId="0" applyNumberFormat="1" applyFont="1" applyFill="1" applyAlignment="1">
      <alignment vertical="center"/>
    </xf>
    <xf numFmtId="0" fontId="90" fillId="32" borderId="1" xfId="46" applyFont="1" applyFill="1" applyAlignment="1">
      <alignment horizontal="center"/>
    </xf>
    <xf numFmtId="0" fontId="90" fillId="0" borderId="1" xfId="0" applyFont="1" applyBorder="1" applyAlignment="1">
      <alignment horizontal="center" vertical="center"/>
    </xf>
    <xf numFmtId="0" fontId="90" fillId="22" borderId="10" xfId="0" applyFont="1" applyFill="1" applyBorder="1" applyAlignment="1">
      <alignment horizontal="center"/>
    </xf>
    <xf numFmtId="0" fontId="92" fillId="0" borderId="0" xfId="0" applyFont="1" applyAlignment="1">
      <alignment horizontal="left" vertical="center" indent="1"/>
    </xf>
    <xf numFmtId="165" fontId="82" fillId="15" borderId="1" xfId="0" applyNumberFormat="1" applyFont="1" applyFill="1" applyBorder="1" applyAlignment="1">
      <alignment horizontal="left"/>
    </xf>
    <xf numFmtId="0" fontId="90" fillId="0" borderId="10" xfId="0" applyFont="1" applyBorder="1" applyAlignment="1">
      <alignment horizontal="center" vertical="center"/>
    </xf>
    <xf numFmtId="0" fontId="90" fillId="15" borderId="18" xfId="0" applyFont="1" applyFill="1" applyBorder="1" applyAlignment="1">
      <alignment horizontal="center" vertical="center"/>
    </xf>
    <xf numFmtId="0" fontId="90" fillId="0" borderId="18" xfId="0" applyFont="1" applyBorder="1" applyAlignment="1">
      <alignment horizontal="center"/>
    </xf>
    <xf numFmtId="0" fontId="82" fillId="15" borderId="9" xfId="0" applyFont="1" applyFill="1" applyBorder="1"/>
    <xf numFmtId="0" fontId="90" fillId="0" borderId="18" xfId="0" applyFont="1" applyBorder="1" applyAlignment="1">
      <alignment horizontal="center" vertical="center"/>
    </xf>
    <xf numFmtId="0" fontId="90" fillId="22" borderId="18" xfId="0" applyFont="1" applyFill="1" applyBorder="1" applyAlignment="1">
      <alignment horizontal="center"/>
    </xf>
    <xf numFmtId="0" fontId="90" fillId="22" borderId="18" xfId="0" applyFont="1" applyFill="1" applyBorder="1" applyAlignment="1">
      <alignment horizontal="center" vertical="center"/>
    </xf>
    <xf numFmtId="0" fontId="105" fillId="0" borderId="0" xfId="28" applyFont="1" applyAlignment="1">
      <alignment horizontal="center"/>
    </xf>
    <xf numFmtId="0" fontId="21" fillId="32" borderId="0" xfId="0" applyFont="1" applyFill="1"/>
    <xf numFmtId="0" fontId="42" fillId="0" borderId="0" xfId="0" applyFont="1" applyAlignment="1">
      <alignment horizontal="center"/>
    </xf>
    <xf numFmtId="0" fontId="21" fillId="32" borderId="0" xfId="0" quotePrefix="1" applyFont="1" applyFill="1" applyAlignment="1">
      <alignment horizontal="center"/>
    </xf>
    <xf numFmtId="0" fontId="21" fillId="32" borderId="0" xfId="0" applyFont="1" applyFill="1" applyAlignment="1">
      <alignment horizontal="center" wrapText="1"/>
    </xf>
    <xf numFmtId="0" fontId="21" fillId="32" borderId="0" xfId="0" applyFont="1" applyFill="1" applyAlignment="1">
      <alignment horizontal="center"/>
    </xf>
    <xf numFmtId="0" fontId="20" fillId="31" borderId="0" xfId="0" applyFont="1" applyFill="1" applyAlignment="1">
      <alignment horizontal="center" vertical="center" wrapText="1"/>
    </xf>
    <xf numFmtId="0" fontId="0" fillId="32" borderId="0" xfId="0" applyFill="1" applyAlignment="1">
      <alignment horizontal="center" vertical="center"/>
    </xf>
    <xf numFmtId="0" fontId="0" fillId="0" borderId="0" xfId="0" applyAlignment="1">
      <alignment horizontal="center"/>
    </xf>
    <xf numFmtId="0" fontId="110" fillId="11" borderId="0" xfId="0" applyFont="1" applyFill="1" applyAlignment="1">
      <alignment vertical="center"/>
    </xf>
    <xf numFmtId="0" fontId="101" fillId="11" borderId="0" xfId="0" applyFont="1" applyFill="1" applyAlignment="1">
      <alignment horizontal="center"/>
    </xf>
    <xf numFmtId="0" fontId="87" fillId="9" borderId="2" xfId="0" applyFont="1" applyFill="1" applyBorder="1" applyAlignment="1">
      <alignment vertical="center"/>
    </xf>
    <xf numFmtId="0" fontId="87" fillId="0" borderId="16" xfId="0" applyFont="1" applyBorder="1" applyAlignment="1">
      <alignment horizontal="left" vertical="center"/>
    </xf>
    <xf numFmtId="0" fontId="76" fillId="0" borderId="0" xfId="0" applyFont="1" applyAlignment="1">
      <alignment vertical="center"/>
    </xf>
    <xf numFmtId="0" fontId="3" fillId="0" borderId="0" xfId="0" applyFont="1" applyAlignment="1">
      <alignment horizontal="left" vertical="top" indent="8"/>
    </xf>
    <xf numFmtId="0" fontId="105" fillId="32" borderId="0" xfId="28" applyFont="1" applyFill="1" applyAlignment="1">
      <alignment horizontal="center"/>
    </xf>
    <xf numFmtId="0" fontId="105" fillId="32" borderId="0" xfId="28" applyFont="1" applyFill="1" applyAlignment="1">
      <alignment horizontal="left"/>
    </xf>
    <xf numFmtId="0" fontId="105" fillId="32" borderId="0" xfId="28" applyFont="1" applyFill="1"/>
    <xf numFmtId="0" fontId="0" fillId="10" borderId="0" xfId="0" applyFill="1"/>
    <xf numFmtId="0" fontId="21" fillId="22" borderId="0" xfId="0" applyFont="1" applyFill="1"/>
    <xf numFmtId="0" fontId="114" fillId="0" borderId="0" xfId="0" applyFont="1"/>
    <xf numFmtId="0" fontId="2" fillId="0" borderId="0" xfId="0" applyFont="1"/>
    <xf numFmtId="0" fontId="0" fillId="11" borderId="0" xfId="0" applyFill="1"/>
    <xf numFmtId="0" fontId="21" fillId="11" borderId="0" xfId="0" quotePrefix="1" applyFont="1" applyFill="1" applyAlignment="1">
      <alignment horizontal="center"/>
    </xf>
    <xf numFmtId="0" fontId="21" fillId="11" borderId="0" xfId="0" applyFont="1" applyFill="1" applyAlignment="1">
      <alignment horizontal="center"/>
    </xf>
    <xf numFmtId="0" fontId="55" fillId="39" borderId="0" xfId="0" applyFont="1" applyFill="1" applyAlignment="1">
      <alignment horizontal="left" vertical="center"/>
    </xf>
    <xf numFmtId="43" fontId="55" fillId="39" borderId="0" xfId="0" applyNumberFormat="1" applyFont="1" applyFill="1" applyAlignment="1">
      <alignment horizontal="left" vertical="center"/>
    </xf>
    <xf numFmtId="43" fontId="35" fillId="0" borderId="10" xfId="0" applyNumberFormat="1" applyFont="1" applyBorder="1" applyAlignment="1">
      <alignment horizontal="left" vertical="center"/>
    </xf>
    <xf numFmtId="43" fontId="35" fillId="0" borderId="18" xfId="0" applyNumberFormat="1" applyFont="1" applyBorder="1" applyAlignment="1">
      <alignment horizontal="left" vertical="center"/>
    </xf>
    <xf numFmtId="0" fontId="35" fillId="0" borderId="0" xfId="0" applyFont="1" applyAlignment="1">
      <alignment horizontal="left"/>
    </xf>
    <xf numFmtId="0" fontId="35" fillId="0" borderId="6" xfId="0" applyFont="1" applyBorder="1" applyAlignment="1">
      <alignment horizontal="left" vertical="center"/>
    </xf>
    <xf numFmtId="43" fontId="35" fillId="20" borderId="10" xfId="0" applyNumberFormat="1" applyFont="1" applyFill="1" applyBorder="1" applyAlignment="1">
      <alignment horizontal="left" vertical="center"/>
    </xf>
    <xf numFmtId="43" fontId="115" fillId="0" borderId="1" xfId="0" applyNumberFormat="1" applyFont="1" applyBorder="1"/>
    <xf numFmtId="43" fontId="33" fillId="40" borderId="9" xfId="0" applyNumberFormat="1" applyFont="1" applyFill="1" applyBorder="1" applyAlignment="1">
      <alignment horizontal="left" vertical="center"/>
    </xf>
    <xf numFmtId="0" fontId="42" fillId="0" borderId="0" xfId="0" applyFont="1" applyAlignment="1">
      <alignment vertical="center"/>
    </xf>
    <xf numFmtId="43" fontId="115" fillId="0" borderId="10" xfId="0" applyNumberFormat="1" applyFont="1" applyBorder="1"/>
    <xf numFmtId="0" fontId="42" fillId="0" borderId="19" xfId="0" applyFont="1" applyBorder="1"/>
    <xf numFmtId="43" fontId="33" fillId="15" borderId="9" xfId="0" applyNumberFormat="1" applyFont="1" applyFill="1" applyBorder="1" applyAlignment="1">
      <alignment horizontal="right"/>
    </xf>
    <xf numFmtId="43" fontId="116" fillId="15" borderId="18" xfId="0" applyNumberFormat="1" applyFont="1" applyFill="1" applyBorder="1" applyAlignment="1">
      <alignment horizontal="left"/>
    </xf>
    <xf numFmtId="43" fontId="33" fillId="15" borderId="1" xfId="0" applyNumberFormat="1" applyFont="1" applyFill="1" applyBorder="1" applyAlignment="1">
      <alignment vertical="top"/>
    </xf>
    <xf numFmtId="43" fontId="115" fillId="0" borderId="18" xfId="0" applyNumberFormat="1" applyFont="1" applyBorder="1"/>
    <xf numFmtId="43" fontId="117" fillId="15" borderId="9" xfId="0" applyNumberFormat="1" applyFont="1" applyFill="1" applyBorder="1" applyAlignment="1">
      <alignment horizontal="right" vertical="top"/>
    </xf>
    <xf numFmtId="43" fontId="33" fillId="15" borderId="19" xfId="0" applyNumberFormat="1" applyFont="1" applyFill="1" applyBorder="1" applyAlignment="1">
      <alignment horizontal="center"/>
    </xf>
    <xf numFmtId="43" fontId="33" fillId="15" borderId="18" xfId="0" applyNumberFormat="1" applyFont="1" applyFill="1" applyBorder="1" applyAlignment="1">
      <alignment horizontal="center"/>
    </xf>
    <xf numFmtId="0" fontId="55" fillId="39" borderId="0" xfId="0" applyFont="1" applyFill="1" applyAlignment="1">
      <alignment horizontal="center" vertical="center"/>
    </xf>
    <xf numFmtId="0" fontId="21" fillId="10" borderId="16" xfId="0" applyFont="1" applyFill="1" applyBorder="1"/>
    <xf numFmtId="0" fontId="100" fillId="15" borderId="0" xfId="0" applyFont="1" applyFill="1" applyAlignment="1">
      <alignment vertical="top"/>
    </xf>
    <xf numFmtId="0" fontId="118" fillId="0" borderId="0" xfId="0" applyFont="1" applyAlignment="1">
      <alignment vertical="center"/>
    </xf>
    <xf numFmtId="0" fontId="118" fillId="0" borderId="0" xfId="0" applyFont="1" applyAlignment="1">
      <alignment horizontal="left" vertical="center"/>
    </xf>
    <xf numFmtId="0" fontId="56" fillId="0" borderId="0" xfId="0" applyFont="1" applyAlignment="1">
      <alignment horizontal="left" indent="2"/>
    </xf>
    <xf numFmtId="0" fontId="118" fillId="11" borderId="0" xfId="0" applyFont="1" applyFill="1" applyAlignment="1">
      <alignment horizontal="left" vertical="center"/>
    </xf>
    <xf numFmtId="0" fontId="101" fillId="14" borderId="0" xfId="0" applyFont="1" applyFill="1" applyAlignment="1">
      <alignment horizontal="left" vertical="center"/>
    </xf>
    <xf numFmtId="0" fontId="118" fillId="41" borderId="0" xfId="0" applyFont="1" applyFill="1" applyAlignment="1">
      <alignment vertical="center"/>
    </xf>
    <xf numFmtId="0" fontId="0" fillId="41" borderId="0" xfId="0" applyFill="1"/>
    <xf numFmtId="0" fontId="21" fillId="41" borderId="0" xfId="0" quotePrefix="1" applyFont="1" applyFill="1" applyAlignment="1">
      <alignment horizontal="center"/>
    </xf>
    <xf numFmtId="0" fontId="118" fillId="42" borderId="0" xfId="0" applyFont="1" applyFill="1" applyAlignment="1">
      <alignment vertical="center"/>
    </xf>
    <xf numFmtId="0" fontId="55" fillId="0" borderId="0" xfId="0" applyFont="1" applyAlignment="1">
      <alignment horizontal="left" vertical="center"/>
    </xf>
    <xf numFmtId="0" fontId="21" fillId="10" borderId="0" xfId="0" applyFont="1" applyFill="1"/>
    <xf numFmtId="0" fontId="36" fillId="0" borderId="0" xfId="0" applyFont="1" applyAlignment="1">
      <alignment horizontal="left" vertical="center"/>
    </xf>
    <xf numFmtId="0" fontId="23" fillId="0" borderId="0" xfId="0" applyFont="1" applyAlignment="1">
      <alignment horizontal="left" vertical="center"/>
    </xf>
    <xf numFmtId="43" fontId="35" fillId="0" borderId="0" xfId="0" applyNumberFormat="1" applyFont="1"/>
    <xf numFmtId="0" fontId="121" fillId="0" borderId="0" xfId="0" applyFont="1" applyAlignment="1">
      <alignment vertical="center" textRotation="45" wrapText="1"/>
    </xf>
    <xf numFmtId="0" fontId="123" fillId="12" borderId="0" xfId="0" applyFont="1" applyFill="1" applyAlignment="1">
      <alignment horizontal="center" vertical="center" textRotation="255" wrapText="1"/>
    </xf>
    <xf numFmtId="0" fontId="121" fillId="24" borderId="0" xfId="0" applyFont="1" applyFill="1" applyAlignment="1">
      <alignment wrapText="1"/>
    </xf>
    <xf numFmtId="0" fontId="123" fillId="25" borderId="0" xfId="0" applyFont="1" applyFill="1" applyAlignment="1">
      <alignment horizontal="center" vertical="center" textRotation="255" wrapText="1"/>
    </xf>
    <xf numFmtId="0" fontId="121" fillId="0" borderId="0" xfId="0" applyFont="1" applyAlignment="1">
      <alignment wrapText="1"/>
    </xf>
    <xf numFmtId="0" fontId="35" fillId="0" borderId="0" xfId="0" applyFont="1" applyAlignment="1">
      <alignment wrapText="1"/>
    </xf>
    <xf numFmtId="0" fontId="51" fillId="0" borderId="0" xfId="0" applyFont="1" applyAlignment="1">
      <alignment horizontal="left"/>
    </xf>
    <xf numFmtId="0" fontId="10" fillId="0" borderId="0" xfId="1" applyAlignment="1" applyProtection="1">
      <alignment horizontal="left"/>
    </xf>
    <xf numFmtId="0" fontId="0" fillId="0" borderId="0" xfId="0" applyAlignment="1">
      <alignment horizontal="left"/>
    </xf>
    <xf numFmtId="0" fontId="85" fillId="10" borderId="0" xfId="0" applyFont="1" applyFill="1" applyAlignment="1">
      <alignment horizontal="center" vertical="center"/>
    </xf>
    <xf numFmtId="0" fontId="42" fillId="11" borderId="0" xfId="0" applyFont="1" applyFill="1" applyAlignment="1">
      <alignment horizontal="left" indent="5"/>
    </xf>
    <xf numFmtId="0" fontId="20" fillId="11" borderId="0" xfId="0" applyFont="1" applyFill="1" applyAlignment="1">
      <alignment horizontal="left" indent="6"/>
    </xf>
    <xf numFmtId="0" fontId="104" fillId="0" borderId="0" xfId="0" applyFont="1" applyAlignment="1">
      <alignment horizontal="left" vertical="center" indent="1"/>
    </xf>
    <xf numFmtId="0" fontId="104" fillId="22" borderId="0" xfId="0" applyFont="1" applyFill="1" applyAlignment="1">
      <alignment horizontal="left" vertical="center" indent="1"/>
    </xf>
    <xf numFmtId="0" fontId="21" fillId="11" borderId="0" xfId="0" applyFont="1" applyFill="1" applyAlignment="1">
      <alignment horizontal="center" vertical="center"/>
    </xf>
    <xf numFmtId="44" fontId="132" fillId="0" borderId="0" xfId="45" applyNumberFormat="1" applyFont="1" applyFill="1" applyAlignment="1"/>
    <xf numFmtId="44" fontId="133" fillId="32" borderId="0" xfId="45" applyNumberFormat="1" applyFont="1" applyFill="1" applyAlignment="1">
      <alignment vertical="center"/>
    </xf>
    <xf numFmtId="44" fontId="131" fillId="0" borderId="0" xfId="45" applyNumberFormat="1" applyFont="1" applyFill="1" applyAlignment="1">
      <alignment vertical="center"/>
    </xf>
    <xf numFmtId="44" fontId="134" fillId="0" borderId="0" xfId="45" applyNumberFormat="1" applyFont="1" applyFill="1" applyAlignment="1"/>
    <xf numFmtId="0" fontId="134" fillId="0" borderId="0" xfId="45" applyNumberFormat="1" applyFont="1" applyFill="1" applyAlignment="1"/>
    <xf numFmtId="44" fontId="133" fillId="0" borderId="0" xfId="45" applyNumberFormat="1" applyFont="1" applyFill="1" applyAlignment="1">
      <alignment vertical="center"/>
    </xf>
    <xf numFmtId="14" fontId="125" fillId="0" borderId="0" xfId="45" applyNumberFormat="1" applyFont="1" applyFill="1" applyAlignment="1"/>
    <xf numFmtId="44" fontId="56" fillId="0" borderId="0" xfId="45" applyNumberFormat="1" applyFont="1" applyFill="1" applyAlignment="1">
      <alignment horizontal="left"/>
    </xf>
    <xf numFmtId="14" fontId="138" fillId="0" borderId="0" xfId="45" applyNumberFormat="1" applyFont="1" applyFill="1" applyAlignment="1"/>
    <xf numFmtId="44" fontId="139" fillId="0" borderId="0" xfId="45" applyNumberFormat="1" applyFont="1" applyFill="1" applyAlignment="1"/>
    <xf numFmtId="14" fontId="1" fillId="32" borderId="0" xfId="45" applyNumberFormat="1" applyFont="1" applyFill="1" applyAlignment="1">
      <alignment horizontal="center" vertical="center"/>
    </xf>
    <xf numFmtId="44" fontId="140" fillId="0" borderId="0" xfId="45" applyNumberFormat="1" applyFont="1" applyFill="1" applyAlignment="1">
      <alignment horizontal="center"/>
    </xf>
    <xf numFmtId="0" fontId="136" fillId="0" borderId="0" xfId="0" applyFont="1" applyAlignment="1">
      <alignment vertical="top"/>
    </xf>
    <xf numFmtId="0" fontId="125" fillId="0" borderId="0" xfId="45" applyNumberFormat="1" applyFont="1" applyFill="1" applyAlignment="1">
      <alignment horizontal="center" vertical="top"/>
    </xf>
    <xf numFmtId="44" fontId="135" fillId="0" borderId="0" xfId="45" applyNumberFormat="1" applyFont="1" applyFill="1" applyAlignment="1">
      <alignment horizontal="center" vertical="top"/>
    </xf>
    <xf numFmtId="44" fontId="137" fillId="0" borderId="0" xfId="0" applyNumberFormat="1" applyFont="1" applyAlignment="1">
      <alignment horizontal="center" vertical="top"/>
    </xf>
    <xf numFmtId="44" fontId="139" fillId="0" borderId="0" xfId="45" applyNumberFormat="1" applyFont="1" applyFill="1" applyAlignment="1">
      <alignment vertical="top"/>
    </xf>
    <xf numFmtId="14" fontId="125" fillId="0" borderId="0" xfId="45" applyNumberFormat="1" applyFont="1" applyFill="1" applyAlignment="1">
      <alignment horizontal="center"/>
    </xf>
    <xf numFmtId="44" fontId="56" fillId="32" borderId="0" xfId="45" applyNumberFormat="1" applyFont="1" applyFill="1" applyAlignment="1">
      <alignment horizontal="center"/>
    </xf>
    <xf numFmtId="44" fontId="1" fillId="0" borderId="0" xfId="45" applyNumberFormat="1" applyFont="1" applyFill="1" applyAlignment="1"/>
    <xf numFmtId="14" fontId="125" fillId="0" borderId="0" xfId="45" applyNumberFormat="1" applyFont="1" applyFill="1" applyAlignment="1">
      <alignment horizontal="center" vertical="top"/>
    </xf>
    <xf numFmtId="9" fontId="125" fillId="0" borderId="0" xfId="47" applyFont="1" applyFill="1" applyAlignment="1">
      <alignment horizontal="left" vertical="top"/>
    </xf>
    <xf numFmtId="9" fontId="125" fillId="32" borderId="0" xfId="47" applyFont="1" applyFill="1" applyAlignment="1">
      <alignment horizontal="left" vertical="top"/>
    </xf>
    <xf numFmtId="14" fontId="125" fillId="32" borderId="0" xfId="45" applyNumberFormat="1" applyFont="1" applyFill="1" applyAlignment="1">
      <alignment horizontal="center" vertical="top"/>
    </xf>
    <xf numFmtId="0" fontId="1" fillId="10" borderId="0" xfId="0" applyFont="1" applyFill="1"/>
    <xf numFmtId="0" fontId="143" fillId="0" borderId="0" xfId="0" applyFont="1"/>
    <xf numFmtId="44" fontId="1" fillId="0" borderId="0" xfId="45" applyNumberFormat="1" applyFont="1" applyFill="1" applyAlignment="1">
      <alignment horizontal="left" indent="1"/>
    </xf>
    <xf numFmtId="0" fontId="135" fillId="0" borderId="0" xfId="0" applyFont="1" applyAlignment="1">
      <alignment vertical="top"/>
    </xf>
    <xf numFmtId="0" fontId="56" fillId="32" borderId="0" xfId="0" applyFont="1" applyFill="1"/>
    <xf numFmtId="0" fontId="1" fillId="32" borderId="0" xfId="45" applyNumberFormat="1" applyFont="1" applyFill="1" applyAlignment="1"/>
    <xf numFmtId="44" fontId="1" fillId="32" borderId="0" xfId="45" applyNumberFormat="1" applyFont="1" applyFill="1" applyAlignment="1">
      <alignment horizontal="left" indent="1"/>
    </xf>
    <xf numFmtId="44" fontId="144" fillId="0" borderId="0" xfId="0" applyNumberFormat="1" applyFont="1" applyAlignment="1">
      <alignment horizontal="left" vertical="top"/>
    </xf>
    <xf numFmtId="0" fontId="1" fillId="0" borderId="0" xfId="0" applyFont="1"/>
    <xf numFmtId="0" fontId="1" fillId="0" borderId="0" xfId="0" applyFont="1" applyAlignment="1">
      <alignment horizontal="center"/>
    </xf>
    <xf numFmtId="0" fontId="1" fillId="32" borderId="0" xfId="0" applyFont="1" applyFill="1"/>
    <xf numFmtId="0" fontId="61" fillId="32" borderId="0" xfId="0" applyFont="1" applyFill="1" applyAlignment="1">
      <alignment vertical="center"/>
    </xf>
    <xf numFmtId="0" fontId="145" fillId="0" borderId="0" xfId="0" applyFont="1" applyAlignment="1">
      <alignment vertical="center"/>
    </xf>
    <xf numFmtId="0" fontId="1" fillId="0" borderId="0" xfId="0" applyFont="1" applyAlignment="1">
      <alignment horizontal="left" indent="2"/>
    </xf>
    <xf numFmtId="0" fontId="125" fillId="0" borderId="0" xfId="0" applyFont="1" applyAlignment="1">
      <alignment horizontal="center"/>
    </xf>
    <xf numFmtId="0" fontId="135" fillId="0" borderId="0" xfId="0" applyFont="1"/>
    <xf numFmtId="0" fontId="146" fillId="0" borderId="0" xfId="0" applyFont="1" applyAlignment="1">
      <alignment vertical="center"/>
    </xf>
    <xf numFmtId="0" fontId="125" fillId="0" borderId="0" xfId="0" applyFont="1"/>
    <xf numFmtId="0" fontId="147" fillId="0" borderId="0" xfId="0" applyFont="1"/>
    <xf numFmtId="43" fontId="1" fillId="0" borderId="0" xfId="0" applyNumberFormat="1" applyFont="1" applyAlignment="1">
      <alignment horizontal="left"/>
    </xf>
    <xf numFmtId="0" fontId="148" fillId="0" borderId="0" xfId="0" applyFont="1" applyAlignment="1">
      <alignment vertical="center"/>
    </xf>
    <xf numFmtId="0" fontId="148" fillId="32" borderId="0" xfId="0" applyFont="1" applyFill="1" applyAlignment="1">
      <alignment vertical="center"/>
    </xf>
    <xf numFmtId="43" fontId="1" fillId="32" borderId="0" xfId="0" applyNumberFormat="1" applyFont="1" applyFill="1" applyAlignment="1">
      <alignment horizontal="left"/>
    </xf>
    <xf numFmtId="0" fontId="149" fillId="38" borderId="0" xfId="0" applyFont="1" applyFill="1" applyAlignment="1">
      <alignment horizontal="left" indent="2"/>
    </xf>
    <xf numFmtId="44" fontId="150" fillId="0" borderId="0" xfId="0" applyNumberFormat="1" applyFont="1"/>
    <xf numFmtId="43" fontId="56" fillId="0" borderId="0" xfId="0" quotePrefix="1" applyNumberFormat="1" applyFont="1"/>
    <xf numFmtId="0" fontId="135" fillId="0" borderId="0" xfId="0" applyFont="1" applyAlignment="1">
      <alignment horizontal="center" vertical="center"/>
    </xf>
    <xf numFmtId="44" fontId="135" fillId="0" borderId="0" xfId="0" applyNumberFormat="1" applyFont="1" applyAlignment="1">
      <alignment vertical="center"/>
    </xf>
    <xf numFmtId="43" fontId="135" fillId="0" borderId="0" xfId="0" quotePrefix="1" applyNumberFormat="1" applyFont="1"/>
    <xf numFmtId="43" fontId="135" fillId="0" borderId="0" xfId="0" applyNumberFormat="1" applyFont="1" applyAlignment="1">
      <alignment vertical="center"/>
    </xf>
    <xf numFmtId="49" fontId="56" fillId="32" borderId="0" xfId="0" applyNumberFormat="1" applyFont="1" applyFill="1"/>
    <xf numFmtId="44" fontId="150" fillId="32" borderId="0" xfId="0" applyNumberFormat="1" applyFont="1" applyFill="1"/>
    <xf numFmtId="0" fontId="149" fillId="38" borderId="0" xfId="0" applyFont="1" applyFill="1" applyAlignment="1">
      <alignment horizontal="left" vertical="center" indent="1"/>
    </xf>
    <xf numFmtId="44" fontId="151" fillId="0" borderId="0" xfId="0" applyNumberFormat="1" applyFont="1"/>
    <xf numFmtId="44" fontId="56" fillId="0" borderId="0" xfId="0" applyNumberFormat="1" applyFont="1"/>
    <xf numFmtId="0" fontId="61" fillId="0" borderId="0" xfId="0" applyFont="1" applyAlignment="1">
      <alignment vertical="center"/>
    </xf>
    <xf numFmtId="0" fontId="61" fillId="0" borderId="0" xfId="0" applyFont="1" applyAlignment="1">
      <alignment horizontal="left" vertical="center" indent="5"/>
    </xf>
    <xf numFmtId="44" fontId="1" fillId="0" borderId="0" xfId="0" applyNumberFormat="1" applyFont="1"/>
    <xf numFmtId="49" fontId="56" fillId="0" borderId="0" xfId="0" applyNumberFormat="1" applyFont="1"/>
    <xf numFmtId="44" fontId="152" fillId="0" borderId="0" xfId="0" applyNumberFormat="1" applyFont="1"/>
    <xf numFmtId="14" fontId="56" fillId="0" borderId="0" xfId="0" applyNumberFormat="1" applyFont="1"/>
    <xf numFmtId="164" fontId="1" fillId="0" borderId="0" xfId="0" applyNumberFormat="1" applyFont="1" applyAlignment="1">
      <alignment horizontal="left" vertical="center"/>
    </xf>
    <xf numFmtId="0" fontId="56" fillId="0" borderId="0" xfId="43" applyNumberFormat="1" applyFont="1"/>
    <xf numFmtId="164" fontId="1" fillId="0" borderId="0" xfId="0" applyNumberFormat="1" applyFont="1" applyAlignment="1">
      <alignment horizontal="center" vertical="center"/>
    </xf>
    <xf numFmtId="14" fontId="1" fillId="0" borderId="0" xfId="0" applyNumberFormat="1" applyFont="1"/>
    <xf numFmtId="14" fontId="1" fillId="32" borderId="0" xfId="0" applyNumberFormat="1" applyFont="1" applyFill="1"/>
    <xf numFmtId="14" fontId="1" fillId="0" borderId="0" xfId="0" applyNumberFormat="1" applyFont="1" applyAlignment="1">
      <alignment horizontal="left"/>
    </xf>
    <xf numFmtId="0" fontId="87" fillId="0" borderId="21" xfId="0" applyFont="1" applyBorder="1" applyAlignment="1">
      <alignment horizontal="left" vertical="center" indent="3"/>
    </xf>
    <xf numFmtId="0" fontId="102" fillId="0" borderId="20" xfId="0" applyFont="1" applyBorder="1" applyAlignment="1">
      <alignment horizontal="left" vertical="center" indent="3"/>
    </xf>
    <xf numFmtId="0" fontId="89" fillId="0" borderId="20" xfId="0" applyFont="1" applyBorder="1" applyAlignment="1">
      <alignment horizontal="left" vertical="center" indent="3"/>
    </xf>
    <xf numFmtId="49" fontId="103" fillId="0" borderId="0" xfId="0" applyNumberFormat="1" applyFont="1"/>
    <xf numFmtId="0" fontId="35" fillId="0" borderId="0" xfId="0" applyFont="1" applyAlignment="1">
      <alignment vertical="center"/>
    </xf>
    <xf numFmtId="0" fontId="87" fillId="0" borderId="0" xfId="0" applyFont="1" applyAlignment="1">
      <alignment horizontal="left" indent="12"/>
    </xf>
    <xf numFmtId="165" fontId="83" fillId="16" borderId="0" xfId="43" applyNumberFormat="1" applyFont="1" applyFill="1" applyAlignment="1">
      <alignment horizontal="left" vertical="center" indent="11"/>
    </xf>
    <xf numFmtId="0" fontId="58" fillId="0" borderId="0" xfId="0" applyFont="1" applyAlignment="1">
      <alignment horizontal="left" indent="3"/>
    </xf>
    <xf numFmtId="0" fontId="24" fillId="33" borderId="0" xfId="0" applyFont="1" applyFill="1" applyAlignment="1">
      <alignment vertical="center"/>
    </xf>
    <xf numFmtId="165" fontId="154" fillId="0" borderId="0" xfId="43" applyNumberFormat="1" applyFont="1" applyAlignment="1">
      <alignment horizontal="left" indent="4"/>
    </xf>
    <xf numFmtId="0" fontId="124" fillId="10" borderId="0" xfId="0" applyFont="1" applyFill="1"/>
    <xf numFmtId="49" fontId="21" fillId="0" borderId="0" xfId="0" applyNumberFormat="1" applyFont="1" applyAlignment="1">
      <alignment horizontal="left" vertical="center"/>
    </xf>
    <xf numFmtId="0" fontId="141" fillId="0" borderId="0" xfId="0" applyFont="1" applyAlignment="1">
      <alignment vertical="center" wrapText="1"/>
    </xf>
    <xf numFmtId="0" fontId="0" fillId="0" borderId="0" xfId="0" applyAlignment="1">
      <alignment wrapText="1"/>
    </xf>
    <xf numFmtId="0" fontId="105" fillId="32" borderId="0" xfId="28" applyFont="1" applyFill="1" applyAlignment="1">
      <alignment wrapText="1"/>
    </xf>
    <xf numFmtId="165" fontId="105" fillId="0" borderId="0" xfId="28" applyNumberFormat="1" applyFont="1" applyAlignment="1">
      <alignment wrapText="1"/>
    </xf>
    <xf numFmtId="0" fontId="105" fillId="0" borderId="0" xfId="28" applyFont="1" applyAlignment="1">
      <alignment wrapText="1"/>
    </xf>
    <xf numFmtId="0" fontId="0" fillId="38" borderId="0" xfId="0" applyFill="1"/>
    <xf numFmtId="0" fontId="50" fillId="0" borderId="0" xfId="0" applyFont="1" applyAlignment="1">
      <alignment horizontal="center" wrapText="1"/>
    </xf>
    <xf numFmtId="44" fontId="125" fillId="0" borderId="0" xfId="0" applyNumberFormat="1" applyFont="1" applyAlignment="1">
      <alignment horizontal="left"/>
    </xf>
    <xf numFmtId="44" fontId="134" fillId="0" borderId="0" xfId="45" applyNumberFormat="1" applyFont="1" applyFill="1" applyAlignment="1">
      <alignment vertical="center"/>
    </xf>
    <xf numFmtId="0" fontId="155" fillId="0" borderId="0" xfId="0" applyFont="1"/>
    <xf numFmtId="44" fontId="1" fillId="32" borderId="0" xfId="45" applyNumberFormat="1" applyFont="1" applyFill="1" applyAlignment="1"/>
    <xf numFmtId="49" fontId="129" fillId="0" borderId="0" xfId="0" applyNumberFormat="1" applyFont="1" applyAlignment="1">
      <alignment horizontal="left"/>
    </xf>
    <xf numFmtId="0" fontId="124" fillId="0" borderId="0" xfId="0" applyFont="1" applyAlignment="1">
      <alignment horizontal="center"/>
    </xf>
    <xf numFmtId="0" fontId="3" fillId="0" borderId="0" xfId="0" applyFont="1" applyAlignment="1">
      <alignment horizontal="left"/>
    </xf>
    <xf numFmtId="0" fontId="24" fillId="0" borderId="0" xfId="0" applyFont="1"/>
    <xf numFmtId="0" fontId="55" fillId="27" borderId="0" xfId="0" applyFont="1" applyFill="1"/>
    <xf numFmtId="0" fontId="10" fillId="0" borderId="0" xfId="1" applyAlignment="1" applyProtection="1">
      <alignment vertical="center" wrapText="1"/>
    </xf>
    <xf numFmtId="0" fontId="157" fillId="0" borderId="0" xfId="0" applyFont="1" applyAlignment="1">
      <alignment horizontal="left" vertical="center" indent="5"/>
    </xf>
    <xf numFmtId="0" fontId="158" fillId="0" borderId="0" xfId="0" applyFont="1" applyAlignment="1">
      <alignment vertical="center"/>
    </xf>
    <xf numFmtId="0" fontId="159" fillId="0" borderId="0" xfId="0" applyFont="1" applyAlignment="1">
      <alignment vertical="center" wrapText="1"/>
    </xf>
    <xf numFmtId="0" fontId="160" fillId="0" borderId="0" xfId="0" applyFont="1" applyAlignment="1">
      <alignment horizontal="center" vertical="center"/>
    </xf>
    <xf numFmtId="0" fontId="161" fillId="0" borderId="27" xfId="0" applyFont="1" applyBorder="1" applyAlignment="1">
      <alignment horizontal="left" vertical="center" wrapText="1" indent="1"/>
    </xf>
    <xf numFmtId="0" fontId="156" fillId="0" borderId="0" xfId="0" applyFont="1" applyAlignment="1">
      <alignment horizontal="left" vertical="center" wrapText="1" indent="1"/>
    </xf>
    <xf numFmtId="0" fontId="10" fillId="0" borderId="0" xfId="1" applyAlignment="1" applyProtection="1">
      <alignment horizontal="left" vertical="center" wrapText="1" indent="1"/>
    </xf>
    <xf numFmtId="0" fontId="158" fillId="0" borderId="0" xfId="0" applyFont="1" applyAlignment="1">
      <alignment vertical="center" wrapText="1"/>
    </xf>
    <xf numFmtId="0" fontId="162" fillId="0" borderId="0" xfId="0" applyFont="1" applyAlignment="1">
      <alignment vertical="center" wrapText="1"/>
    </xf>
    <xf numFmtId="0" fontId="163" fillId="0" borderId="0" xfId="0" applyFont="1" applyAlignment="1">
      <alignment vertical="center" wrapText="1"/>
    </xf>
    <xf numFmtId="0" fontId="164" fillId="0" borderId="0" xfId="0" applyFont="1" applyAlignment="1">
      <alignment vertical="center"/>
    </xf>
    <xf numFmtId="0" fontId="10" fillId="0" borderId="0" xfId="1" applyAlignment="1" applyProtection="1">
      <alignment horizontal="center" vertical="center"/>
    </xf>
    <xf numFmtId="0" fontId="163" fillId="0" borderId="0" xfId="0" applyFont="1" applyAlignment="1">
      <alignment vertical="center"/>
    </xf>
    <xf numFmtId="0" fontId="165" fillId="0" borderId="0" xfId="0" applyFont="1" applyAlignment="1">
      <alignment horizontal="left" vertical="center" indent="1"/>
    </xf>
    <xf numFmtId="0" fontId="92" fillId="0" borderId="0" xfId="0" applyFont="1" applyAlignment="1">
      <alignment vertical="center"/>
    </xf>
    <xf numFmtId="0" fontId="166" fillId="41" borderId="0" xfId="0" applyFont="1" applyFill="1"/>
    <xf numFmtId="0" fontId="89" fillId="41" borderId="0" xfId="0" applyFont="1" applyFill="1"/>
    <xf numFmtId="0" fontId="112" fillId="46" borderId="0" xfId="0" applyFont="1" applyFill="1"/>
    <xf numFmtId="165" fontId="107" fillId="0" borderId="0" xfId="43" applyNumberFormat="1" applyFont="1" applyFill="1" applyAlignment="1">
      <alignment horizontal="left" vertical="center" indent="2"/>
    </xf>
    <xf numFmtId="165" fontId="168" fillId="0" borderId="0" xfId="43" applyNumberFormat="1" applyFont="1" applyAlignment="1">
      <alignment horizontal="left"/>
    </xf>
    <xf numFmtId="0" fontId="169" fillId="0" borderId="0" xfId="0" applyFont="1"/>
    <xf numFmtId="165" fontId="81" fillId="31" borderId="0" xfId="43" applyNumberFormat="1" applyFont="1" applyFill="1" applyAlignment="1"/>
    <xf numFmtId="0" fontId="58" fillId="31" borderId="0" xfId="0" applyFont="1" applyFill="1"/>
    <xf numFmtId="165" fontId="171" fillId="45" borderId="0" xfId="0" applyNumberFormat="1" applyFont="1" applyFill="1"/>
    <xf numFmtId="0" fontId="58" fillId="45" borderId="0" xfId="0" applyFont="1" applyFill="1"/>
    <xf numFmtId="0" fontId="89" fillId="0" borderId="0" xfId="0" applyFont="1"/>
    <xf numFmtId="0" fontId="58" fillId="0" borderId="0" xfId="0" applyFont="1" applyAlignment="1">
      <alignment horizontal="left" indent="2"/>
    </xf>
    <xf numFmtId="0" fontId="42" fillId="0" borderId="0" xfId="0" applyFont="1" applyAlignment="1">
      <alignment horizontal="left" vertical="center"/>
    </xf>
    <xf numFmtId="43" fontId="55" fillId="0" borderId="0" xfId="0" applyNumberFormat="1" applyFont="1" applyAlignment="1">
      <alignment horizontal="left" vertical="center"/>
    </xf>
    <xf numFmtId="0" fontId="42" fillId="0" borderId="0" xfId="0" applyFont="1" applyAlignment="1">
      <alignment horizontal="left" vertical="center" wrapText="1"/>
    </xf>
    <xf numFmtId="0" fontId="42" fillId="0" borderId="0" xfId="0" applyFont="1" applyAlignment="1">
      <alignment horizontal="left"/>
    </xf>
    <xf numFmtId="0" fontId="10" fillId="0" borderId="0" xfId="1" applyAlignment="1" applyProtection="1">
      <alignment horizontal="left" vertical="center" wrapText="1"/>
    </xf>
    <xf numFmtId="0" fontId="172" fillId="0" borderId="0" xfId="0" applyFont="1" applyAlignment="1">
      <alignment horizontal="left"/>
    </xf>
    <xf numFmtId="0" fontId="58" fillId="0" borderId="0" xfId="0" applyFont="1" applyAlignment="1">
      <alignment horizontal="left" vertical="center"/>
    </xf>
    <xf numFmtId="0" fontId="173" fillId="0" borderId="0" xfId="0" applyFont="1" applyAlignment="1">
      <alignment horizontal="left"/>
    </xf>
    <xf numFmtId="165" fontId="83" fillId="46" borderId="0" xfId="43" applyNumberFormat="1" applyFont="1" applyFill="1" applyAlignment="1">
      <alignment horizontal="left" vertical="center" indent="2"/>
    </xf>
    <xf numFmtId="165" fontId="83" fillId="0" borderId="0" xfId="43" applyNumberFormat="1" applyFont="1" applyFill="1" applyAlignment="1">
      <alignment horizontal="left" vertical="center" indent="2"/>
    </xf>
    <xf numFmtId="165" fontId="83" fillId="32" borderId="0" xfId="43" applyNumberFormat="1" applyFont="1" applyFill="1" applyAlignment="1">
      <alignment horizontal="left" vertical="center" indent="2"/>
    </xf>
    <xf numFmtId="165" fontId="81" fillId="0" borderId="0" xfId="43" applyNumberFormat="1" applyFont="1" applyAlignment="1">
      <alignment vertical="top"/>
    </xf>
    <xf numFmtId="165" fontId="83" fillId="38" borderId="0" xfId="43" applyNumberFormat="1" applyFont="1" applyFill="1" applyAlignment="1">
      <alignment horizontal="left" vertical="center" indent="2"/>
    </xf>
    <xf numFmtId="0" fontId="58" fillId="38" borderId="0" xfId="0" applyFont="1" applyFill="1"/>
    <xf numFmtId="165" fontId="81" fillId="38" borderId="0" xfId="43" applyNumberFormat="1" applyFont="1" applyFill="1" applyAlignment="1"/>
    <xf numFmtId="0" fontId="58" fillId="0" borderId="0" xfId="0" applyFont="1" applyAlignment="1">
      <alignment horizontal="left" indent="1"/>
    </xf>
    <xf numFmtId="0" fontId="112" fillId="0" borderId="0" xfId="0" applyFont="1" applyAlignment="1">
      <alignment horizontal="left" indent="14"/>
    </xf>
    <xf numFmtId="0" fontId="88" fillId="0" borderId="20" xfId="0" applyFont="1" applyBorder="1" applyAlignment="1">
      <alignment horizontal="left" vertical="center" indent="2"/>
    </xf>
    <xf numFmtId="0" fontId="89" fillId="0" borderId="20" xfId="0" applyFont="1" applyBorder="1" applyAlignment="1">
      <alignment horizontal="left" vertical="center" indent="2"/>
    </xf>
    <xf numFmtId="165" fontId="81" fillId="0" borderId="0" xfId="43" applyNumberFormat="1" applyFont="1" applyFill="1" applyAlignment="1"/>
    <xf numFmtId="0" fontId="112" fillId="46" borderId="0" xfId="0" applyFont="1" applyFill="1" applyAlignment="1">
      <alignment vertical="center"/>
    </xf>
    <xf numFmtId="165" fontId="107" fillId="16" borderId="0" xfId="43" applyNumberFormat="1" applyFont="1" applyFill="1" applyAlignment="1">
      <alignment vertical="center"/>
    </xf>
    <xf numFmtId="49" fontId="41" fillId="0" borderId="21" xfId="0" applyNumberFormat="1" applyFont="1" applyBorder="1" applyAlignment="1">
      <alignment horizontal="left" vertical="top" indent="3"/>
    </xf>
    <xf numFmtId="165" fontId="81" fillId="0" borderId="0" xfId="43" applyNumberFormat="1" applyFont="1" applyFill="1" applyAlignment="1">
      <alignment vertical="center"/>
    </xf>
    <xf numFmtId="0" fontId="11" fillId="0" borderId="0" xfId="0" applyFont="1" applyAlignment="1">
      <alignment horizontal="left" vertical="top" indent="3"/>
    </xf>
    <xf numFmtId="0" fontId="92" fillId="0" borderId="0" xfId="0" applyFont="1" applyAlignment="1">
      <alignment vertical="top"/>
    </xf>
    <xf numFmtId="0" fontId="41" fillId="0" borderId="0" xfId="0" applyFont="1" applyAlignment="1">
      <alignment horizontal="left" vertical="center" indent="2"/>
    </xf>
    <xf numFmtId="165" fontId="175" fillId="16" borderId="0" xfId="43" applyNumberFormat="1" applyFont="1" applyFill="1" applyAlignment="1">
      <alignment horizontal="left" vertical="center"/>
    </xf>
    <xf numFmtId="0" fontId="89" fillId="0" borderId="21" xfId="0" applyFont="1" applyBorder="1"/>
    <xf numFmtId="165" fontId="175" fillId="16" borderId="0" xfId="43" applyNumberFormat="1" applyFont="1" applyFill="1" applyAlignment="1">
      <alignment vertical="center"/>
    </xf>
    <xf numFmtId="165" fontId="178" fillId="16" borderId="0" xfId="43" applyNumberFormat="1" applyFont="1" applyFill="1" applyAlignment="1">
      <alignment horizontal="left" vertical="center" indent="2"/>
    </xf>
    <xf numFmtId="165" fontId="179" fillId="15" borderId="0" xfId="0" applyNumberFormat="1" applyFont="1" applyFill="1" applyAlignment="1">
      <alignment vertical="center"/>
    </xf>
    <xf numFmtId="165" fontId="180" fillId="15" borderId="0" xfId="0" applyNumberFormat="1" applyFont="1" applyFill="1" applyAlignment="1">
      <alignment horizontal="left" vertical="center"/>
    </xf>
    <xf numFmtId="49" fontId="181" fillId="0" borderId="0" xfId="0" applyNumberFormat="1" applyFont="1"/>
    <xf numFmtId="0" fontId="41" fillId="0" borderId="0" xfId="0" applyFont="1" applyAlignment="1">
      <alignment vertical="center"/>
    </xf>
    <xf numFmtId="0" fontId="41" fillId="0" borderId="0" xfId="0" applyFont="1" applyAlignment="1">
      <alignment horizontal="center" vertical="center"/>
    </xf>
    <xf numFmtId="0" fontId="92" fillId="0" borderId="13" xfId="0" applyFont="1" applyBorder="1" applyAlignment="1">
      <alignment vertical="center"/>
    </xf>
    <xf numFmtId="0" fontId="58" fillId="37" borderId="0" xfId="0" applyFont="1" applyFill="1" applyAlignment="1">
      <alignment horizontal="left" indent="2"/>
    </xf>
    <xf numFmtId="0" fontId="89" fillId="0" borderId="20" xfId="8" quotePrefix="1" applyFont="1" applyFill="1" applyBorder="1" applyAlignment="1"/>
    <xf numFmtId="15" fontId="177" fillId="0" borderId="0" xfId="0" applyNumberFormat="1" applyFont="1" applyAlignment="1">
      <alignment horizontal="left" vertical="center"/>
    </xf>
    <xf numFmtId="0" fontId="176" fillId="0" borderId="0" xfId="0" applyFont="1" applyAlignment="1">
      <alignment horizontal="right" vertical="center"/>
    </xf>
    <xf numFmtId="0" fontId="177" fillId="0" borderId="0" xfId="0" applyFont="1" applyAlignment="1">
      <alignment horizontal="right" vertical="center"/>
    </xf>
    <xf numFmtId="15" fontId="177" fillId="0" borderId="0" xfId="0" applyNumberFormat="1" applyFont="1" applyAlignment="1">
      <alignment horizontal="right" vertical="center"/>
    </xf>
    <xf numFmtId="0" fontId="41" fillId="0" borderId="0" xfId="0" applyFont="1" applyAlignment="1">
      <alignment horizontal="right" vertical="center"/>
    </xf>
    <xf numFmtId="0" fontId="58" fillId="0" borderId="0" xfId="0" applyFont="1" applyAlignment="1">
      <alignment horizontal="right"/>
    </xf>
    <xf numFmtId="15" fontId="182" fillId="0" borderId="0" xfId="0" applyNumberFormat="1" applyFont="1" applyAlignment="1">
      <alignment horizontal="right" vertical="center"/>
    </xf>
    <xf numFmtId="165" fontId="83" fillId="16" borderId="0" xfId="43" applyNumberFormat="1" applyFont="1" applyFill="1" applyAlignment="1">
      <alignment horizontal="left" vertical="top" indent="11"/>
    </xf>
    <xf numFmtId="165" fontId="83" fillId="0" borderId="0" xfId="43" applyNumberFormat="1" applyFont="1" applyFill="1" applyAlignment="1">
      <alignment horizontal="left" vertical="top" indent="2"/>
    </xf>
    <xf numFmtId="165" fontId="98" fillId="0" borderId="0" xfId="43" applyNumberFormat="1" applyFont="1" applyAlignment="1">
      <alignment horizontal="center"/>
    </xf>
    <xf numFmtId="0" fontId="3" fillId="0" borderId="0" xfId="0" applyFont="1" applyAlignment="1">
      <alignment vertical="center"/>
    </xf>
    <xf numFmtId="0" fontId="35" fillId="13" borderId="4" xfId="0" applyFont="1" applyFill="1" applyBorder="1" applyAlignment="1">
      <alignment vertical="center"/>
    </xf>
    <xf numFmtId="0" fontId="78" fillId="0" borderId="0" xfId="0" applyFont="1"/>
    <xf numFmtId="0" fontId="104" fillId="0" borderId="0" xfId="0" applyFont="1" applyAlignment="1">
      <alignment vertical="center"/>
    </xf>
    <xf numFmtId="0" fontId="0" fillId="0" borderId="0" xfId="0" applyAlignment="1">
      <alignment horizontal="left" vertical="center" indent="3"/>
    </xf>
    <xf numFmtId="0" fontId="0" fillId="32" borderId="0" xfId="0" applyFill="1"/>
    <xf numFmtId="0" fontId="185" fillId="27" borderId="0" xfId="0" applyFont="1" applyFill="1" applyAlignment="1">
      <alignment horizontal="left" vertical="center"/>
    </xf>
    <xf numFmtId="0" fontId="186" fillId="0" borderId="0" xfId="0" applyFont="1" applyAlignment="1">
      <alignment vertical="center"/>
    </xf>
    <xf numFmtId="0" fontId="187" fillId="27" borderId="0" xfId="0" applyFont="1" applyFill="1" applyAlignment="1">
      <alignment vertical="top" wrapText="1"/>
    </xf>
    <xf numFmtId="166" fontId="186" fillId="27" borderId="0" xfId="0" applyNumberFormat="1" applyFont="1" applyFill="1" applyAlignment="1">
      <alignment vertical="center"/>
    </xf>
    <xf numFmtId="0" fontId="188" fillId="0" borderId="4" xfId="0" applyFont="1" applyBorder="1" applyAlignment="1">
      <alignment vertical="center"/>
    </xf>
    <xf numFmtId="0" fontId="189" fillId="27" borderId="4" xfId="0" applyFont="1" applyFill="1" applyBorder="1" applyAlignment="1">
      <alignment vertical="center"/>
    </xf>
    <xf numFmtId="0" fontId="190" fillId="0" borderId="0" xfId="0" applyFont="1"/>
    <xf numFmtId="0" fontId="190" fillId="27" borderId="0" xfId="0" applyFont="1" applyFill="1"/>
    <xf numFmtId="0" fontId="189" fillId="14" borderId="6" xfId="0" applyFont="1" applyFill="1" applyBorder="1" applyAlignment="1">
      <alignment vertical="center"/>
    </xf>
    <xf numFmtId="0" fontId="189" fillId="0" borderId="6" xfId="0" applyFont="1" applyBorder="1" applyAlignment="1">
      <alignment vertical="center"/>
    </xf>
    <xf numFmtId="0" fontId="189" fillId="13" borderId="6" xfId="0" applyFont="1" applyFill="1" applyBorder="1" applyAlignment="1">
      <alignment vertical="center"/>
    </xf>
    <xf numFmtId="0" fontId="189" fillId="0" borderId="4" xfId="0" applyFont="1" applyBorder="1" applyAlignment="1">
      <alignment vertical="center"/>
    </xf>
    <xf numFmtId="0" fontId="189" fillId="13" borderId="4" xfId="0" applyFont="1" applyFill="1" applyBorder="1" applyAlignment="1">
      <alignment vertical="center"/>
    </xf>
    <xf numFmtId="0" fontId="189" fillId="0" borderId="4" xfId="0" applyFont="1" applyBorder="1" applyAlignment="1">
      <alignment horizontal="left" vertical="center"/>
    </xf>
    <xf numFmtId="0" fontId="190" fillId="13" borderId="11" xfId="0" applyFont="1" applyFill="1" applyBorder="1" applyAlignment="1">
      <alignment horizontal="left" vertical="center"/>
    </xf>
    <xf numFmtId="0" fontId="189" fillId="0" borderId="11" xfId="0" applyFont="1" applyBorder="1" applyAlignment="1">
      <alignment horizontal="left" vertical="center"/>
    </xf>
    <xf numFmtId="0" fontId="189" fillId="0" borderId="0" xfId="0" applyFont="1" applyAlignment="1">
      <alignment horizontal="left" vertical="center"/>
    </xf>
    <xf numFmtId="0" fontId="190" fillId="14" borderId="0" xfId="0" applyFont="1" applyFill="1"/>
    <xf numFmtId="0" fontId="177" fillId="14" borderId="0" xfId="0" applyFont="1" applyFill="1" applyAlignment="1">
      <alignment vertical="center"/>
    </xf>
    <xf numFmtId="0" fontId="126" fillId="0" borderId="0" xfId="0" applyFont="1" applyAlignment="1">
      <alignment vertical="center"/>
    </xf>
    <xf numFmtId="0" fontId="126" fillId="36" borderId="0" xfId="0" applyFont="1" applyFill="1" applyAlignment="1">
      <alignment vertical="center"/>
    </xf>
    <xf numFmtId="0" fontId="189" fillId="0" borderId="0" xfId="0" applyFont="1" applyAlignment="1">
      <alignment vertical="center"/>
    </xf>
    <xf numFmtId="0" fontId="186" fillId="36" borderId="0" xfId="0" applyFont="1" applyFill="1" applyAlignment="1">
      <alignment vertical="center"/>
    </xf>
    <xf numFmtId="0" fontId="189" fillId="36" borderId="0" xfId="0" applyFont="1" applyFill="1" applyAlignment="1">
      <alignment vertical="center"/>
    </xf>
    <xf numFmtId="0" fontId="189" fillId="0" borderId="0" xfId="0" applyFont="1"/>
    <xf numFmtId="0" fontId="177" fillId="39" borderId="0" xfId="0" applyFont="1" applyFill="1" applyAlignment="1">
      <alignment horizontal="left" vertical="center"/>
    </xf>
    <xf numFmtId="0" fontId="191" fillId="14" borderId="3" xfId="0" applyFont="1" applyFill="1" applyBorder="1" applyAlignment="1">
      <alignment horizontal="center" vertical="center"/>
    </xf>
    <xf numFmtId="0" fontId="186" fillId="0" borderId="4" xfId="0" applyFont="1" applyBorder="1" applyAlignment="1">
      <alignment vertical="center"/>
    </xf>
    <xf numFmtId="0" fontId="186" fillId="13" borderId="4" xfId="0" applyFont="1" applyFill="1" applyBorder="1" applyAlignment="1">
      <alignment vertical="center"/>
    </xf>
    <xf numFmtId="0" fontId="192" fillId="0" borderId="4" xfId="0" applyFont="1" applyBorder="1" applyAlignment="1">
      <alignment horizontal="left" vertical="center"/>
    </xf>
    <xf numFmtId="0" fontId="193" fillId="14" borderId="0" xfId="0" applyFont="1" applyFill="1" applyAlignment="1">
      <alignment horizontal="left"/>
    </xf>
    <xf numFmtId="0" fontId="189" fillId="13" borderId="12" xfId="0" applyFont="1" applyFill="1" applyBorder="1" applyAlignment="1">
      <alignment horizontal="left"/>
    </xf>
    <xf numFmtId="0" fontId="189" fillId="0" borderId="6" xfId="0" applyFont="1" applyBorder="1" applyAlignment="1">
      <alignment horizontal="left"/>
    </xf>
    <xf numFmtId="0" fontId="189" fillId="13" borderId="6" xfId="0" applyFont="1" applyFill="1" applyBorder="1" applyAlignment="1">
      <alignment horizontal="left"/>
    </xf>
    <xf numFmtId="0" fontId="189" fillId="0" borderId="4" xfId="0" applyFont="1" applyBorder="1" applyAlignment="1">
      <alignment horizontal="left"/>
    </xf>
    <xf numFmtId="0" fontId="189" fillId="13" borderId="4" xfId="0" applyFont="1" applyFill="1" applyBorder="1" applyAlignment="1">
      <alignment horizontal="left"/>
    </xf>
    <xf numFmtId="0" fontId="194" fillId="13" borderId="6" xfId="0" applyFont="1" applyFill="1" applyBorder="1" applyAlignment="1">
      <alignment horizontal="left"/>
    </xf>
    <xf numFmtId="0" fontId="189" fillId="35" borderId="0" xfId="0" applyFont="1" applyFill="1" applyAlignment="1">
      <alignment horizontal="left" wrapText="1"/>
    </xf>
    <xf numFmtId="0" fontId="195" fillId="0" borderId="0" xfId="0" applyFont="1"/>
    <xf numFmtId="14" fontId="190" fillId="0" borderId="0" xfId="0" applyNumberFormat="1" applyFont="1"/>
    <xf numFmtId="0" fontId="196" fillId="0" borderId="0" xfId="0" applyFont="1" applyAlignment="1">
      <alignment horizontal="left" vertical="center"/>
    </xf>
    <xf numFmtId="0" fontId="197" fillId="0" borderId="0" xfId="0" applyFont="1" applyAlignment="1">
      <alignment horizontal="left" vertical="center"/>
    </xf>
    <xf numFmtId="0" fontId="198" fillId="0" borderId="0" xfId="0" applyFont="1" applyAlignment="1">
      <alignment horizontal="left" vertical="center"/>
    </xf>
    <xf numFmtId="0" fontId="199" fillId="0" borderId="0" xfId="0" applyFont="1" applyAlignment="1">
      <alignment horizontal="left" vertical="center"/>
    </xf>
    <xf numFmtId="0" fontId="200" fillId="0" borderId="0" xfId="0" applyFont="1" applyAlignment="1">
      <alignment horizontal="left" vertical="center"/>
    </xf>
    <xf numFmtId="43" fontId="78" fillId="0" borderId="0" xfId="0" applyNumberFormat="1" applyFont="1" applyAlignment="1">
      <alignment horizontal="left"/>
    </xf>
    <xf numFmtId="165" fontId="202" fillId="16" borderId="0" xfId="43" applyNumberFormat="1" applyFont="1" applyFill="1" applyAlignment="1">
      <alignment vertical="center"/>
    </xf>
    <xf numFmtId="165" fontId="175" fillId="38" borderId="0" xfId="43" applyNumberFormat="1" applyFont="1" applyFill="1" applyAlignment="1">
      <alignment horizontal="left" vertical="center" indent="2"/>
    </xf>
    <xf numFmtId="0" fontId="121" fillId="0" borderId="0" xfId="0" applyFont="1" applyAlignment="1">
      <alignment horizontal="center" vertical="center" textRotation="255" wrapText="1"/>
    </xf>
    <xf numFmtId="165" fontId="95" fillId="14" borderId="0" xfId="0" applyNumberFormat="1" applyFont="1" applyFill="1" applyAlignment="1">
      <alignment horizontal="left" vertical="center" indent="2"/>
    </xf>
    <xf numFmtId="165" fontId="205" fillId="46" borderId="0" xfId="43" applyNumberFormat="1" applyFont="1" applyFill="1" applyAlignment="1">
      <alignment horizontal="center" vertical="center"/>
    </xf>
    <xf numFmtId="0" fontId="25" fillId="0" borderId="0" xfId="0" applyFont="1" applyAlignment="1">
      <alignment vertical="center"/>
    </xf>
    <xf numFmtId="165" fontId="171" fillId="0" borderId="0" xfId="0" applyNumberFormat="1" applyFont="1"/>
    <xf numFmtId="0" fontId="39" fillId="0" borderId="19" xfId="0" applyFont="1" applyBorder="1" applyAlignment="1">
      <alignment vertical="center" wrapText="1"/>
    </xf>
    <xf numFmtId="0" fontId="39" fillId="0" borderId="19" xfId="0" applyFont="1" applyBorder="1" applyAlignment="1">
      <alignment vertical="center"/>
    </xf>
    <xf numFmtId="0" fontId="66" fillId="0" borderId="19" xfId="0" applyFont="1" applyBorder="1" applyAlignment="1">
      <alignment vertical="center"/>
    </xf>
    <xf numFmtId="0" fontId="58" fillId="0" borderId="0" xfId="0" applyFont="1" applyAlignment="1">
      <alignment horizontal="right" vertical="top"/>
    </xf>
    <xf numFmtId="0" fontId="24" fillId="33" borderId="0" xfId="0" applyFont="1" applyFill="1"/>
    <xf numFmtId="0" fontId="89" fillId="0" borderId="21" xfId="0" applyFont="1" applyBorder="1" applyAlignment="1">
      <alignment vertical="top"/>
    </xf>
    <xf numFmtId="0" fontId="58" fillId="0" borderId="0" xfId="0" applyFont="1" applyAlignment="1">
      <alignment vertical="top"/>
    </xf>
    <xf numFmtId="0" fontId="58" fillId="0" borderId="0" xfId="0" applyFont="1" applyAlignment="1">
      <alignment horizontal="center"/>
    </xf>
    <xf numFmtId="0" fontId="209" fillId="0" borderId="0" xfId="0" applyFont="1" applyAlignment="1">
      <alignment horizontal="left" vertical="center" wrapText="1"/>
    </xf>
    <xf numFmtId="0" fontId="210" fillId="0" borderId="0" xfId="0" applyFont="1" applyAlignment="1">
      <alignment vertical="center"/>
    </xf>
    <xf numFmtId="0" fontId="211" fillId="0" borderId="28" xfId="0" applyFont="1" applyBorder="1" applyAlignment="1">
      <alignment vertical="center" wrapText="1"/>
    </xf>
    <xf numFmtId="0" fontId="210" fillId="0" borderId="28" xfId="0" applyFont="1" applyBorder="1" applyAlignment="1">
      <alignment vertical="center" wrapText="1"/>
    </xf>
    <xf numFmtId="0" fontId="212" fillId="0" borderId="0" xfId="0" applyFont="1" applyAlignment="1">
      <alignment horizontal="left" vertical="top" wrapText="1" indent="1"/>
    </xf>
    <xf numFmtId="0" fontId="210" fillId="0" borderId="0" xfId="0" applyFont="1" applyAlignment="1">
      <alignment vertical="center" wrapText="1"/>
    </xf>
    <xf numFmtId="0" fontId="220" fillId="0" borderId="0" xfId="0" applyFont="1" applyAlignment="1">
      <alignment horizontal="left" vertical="top" wrapText="1" indent="1"/>
    </xf>
    <xf numFmtId="43" fontId="221" fillId="0" borderId="1" xfId="0" applyNumberFormat="1" applyFont="1" applyBorder="1" applyAlignment="1">
      <alignment vertical="center"/>
    </xf>
    <xf numFmtId="43" fontId="221" fillId="10" borderId="9" xfId="0" applyNumberFormat="1" applyFont="1" applyFill="1" applyBorder="1" applyAlignment="1">
      <alignment vertical="center"/>
    </xf>
    <xf numFmtId="43" fontId="221" fillId="0" borderId="9" xfId="0" applyNumberFormat="1" applyFont="1" applyBorder="1" applyAlignment="1">
      <alignment vertical="center"/>
    </xf>
    <xf numFmtId="0" fontId="222" fillId="39" borderId="0" xfId="0" applyFont="1" applyFill="1" applyAlignment="1">
      <alignment horizontal="left" vertical="center" wrapText="1"/>
    </xf>
    <xf numFmtId="0" fontId="177" fillId="39" borderId="0" xfId="0" applyFont="1" applyFill="1" applyAlignment="1">
      <alignment horizontal="left" vertical="center" wrapText="1"/>
    </xf>
    <xf numFmtId="0" fontId="223" fillId="39" borderId="0" xfId="0" applyFont="1" applyFill="1" applyAlignment="1">
      <alignment horizontal="left" vertical="center" wrapText="1"/>
    </xf>
    <xf numFmtId="0" fontId="224" fillId="0" borderId="0" xfId="0" applyFont="1" applyAlignment="1">
      <alignment vertical="center" wrapText="1"/>
    </xf>
    <xf numFmtId="166" fontId="42" fillId="0" borderId="0" xfId="0" applyNumberFormat="1" applyFont="1"/>
    <xf numFmtId="0" fontId="226" fillId="0" borderId="0" xfId="0" applyFont="1" applyAlignment="1">
      <alignment vertical="center" wrapText="1"/>
    </xf>
    <xf numFmtId="0" fontId="43" fillId="0" borderId="0" xfId="31" applyAlignment="1">
      <alignment vertical="center" wrapText="1"/>
    </xf>
    <xf numFmtId="0" fontId="227" fillId="0" borderId="0" xfId="0" applyFont="1"/>
    <xf numFmtId="0" fontId="226" fillId="0" borderId="0" xfId="0" applyFont="1" applyAlignment="1">
      <alignment vertical="center"/>
    </xf>
    <xf numFmtId="0" fontId="227" fillId="0" borderId="0" xfId="0" applyFont="1" applyAlignment="1">
      <alignment vertical="center"/>
    </xf>
    <xf numFmtId="0" fontId="226" fillId="0" borderId="0" xfId="0" applyFont="1" applyAlignment="1">
      <alignment horizontal="left" vertical="center"/>
    </xf>
    <xf numFmtId="0" fontId="164" fillId="0" borderId="0" xfId="0" applyFont="1"/>
    <xf numFmtId="0" fontId="20" fillId="0" borderId="0" xfId="0" applyFont="1" applyAlignment="1">
      <alignment vertical="center" wrapText="1"/>
    </xf>
    <xf numFmtId="0" fontId="20" fillId="0" borderId="0" xfId="0" applyFont="1" applyAlignment="1">
      <alignment vertical="top"/>
    </xf>
    <xf numFmtId="0" fontId="70" fillId="0" borderId="0" xfId="0" applyFont="1" applyAlignment="1">
      <alignment vertical="center"/>
    </xf>
    <xf numFmtId="0" fontId="227" fillId="0" borderId="0" xfId="0" applyFont="1" applyAlignment="1">
      <alignment vertical="center" wrapText="1"/>
    </xf>
    <xf numFmtId="0" fontId="58" fillId="10" borderId="0" xfId="0" applyFont="1" applyFill="1"/>
    <xf numFmtId="0" fontId="230" fillId="0" borderId="0" xfId="0" applyFont="1" applyAlignment="1">
      <alignment horizontal="center" vertical="center" wrapText="1"/>
    </xf>
    <xf numFmtId="0" fontId="25" fillId="0" borderId="0" xfId="0" applyFont="1"/>
    <xf numFmtId="0" fontId="92" fillId="0" borderId="0" xfId="0" applyFont="1"/>
    <xf numFmtId="0" fontId="89" fillId="0" borderId="0" xfId="0" applyFont="1" applyAlignment="1">
      <alignment horizontal="left" vertical="center"/>
    </xf>
    <xf numFmtId="0" fontId="167" fillId="0" borderId="0" xfId="0" applyFont="1"/>
    <xf numFmtId="165" fontId="205" fillId="10" borderId="0" xfId="43" applyNumberFormat="1" applyFont="1" applyFill="1" applyAlignment="1"/>
    <xf numFmtId="0" fontId="169" fillId="0" borderId="0" xfId="0" applyFont="1" applyAlignment="1">
      <alignment horizontal="center"/>
    </xf>
    <xf numFmtId="0" fontId="204" fillId="0" borderId="0" xfId="0" applyFont="1" applyAlignment="1">
      <alignment horizontal="center" vertical="center"/>
    </xf>
    <xf numFmtId="0" fontId="230" fillId="0" borderId="0" xfId="0" applyFont="1" applyAlignment="1">
      <alignment horizontal="center" vertical="center"/>
    </xf>
    <xf numFmtId="165" fontId="180" fillId="9" borderId="0" xfId="0" applyNumberFormat="1" applyFont="1" applyFill="1"/>
    <xf numFmtId="165" fontId="171" fillId="10" borderId="0" xfId="0" applyNumberFormat="1" applyFont="1" applyFill="1"/>
    <xf numFmtId="0" fontId="58" fillId="48" borderId="0" xfId="0" applyFont="1" applyFill="1"/>
    <xf numFmtId="165" fontId="0" fillId="0" borderId="0" xfId="0" applyNumberFormat="1"/>
    <xf numFmtId="0" fontId="230" fillId="0" borderId="0" xfId="0" applyFont="1" applyAlignment="1">
      <alignment horizontal="center" wrapText="1"/>
    </xf>
    <xf numFmtId="0" fontId="230" fillId="32" borderId="0" xfId="0" applyFont="1" applyFill="1" applyAlignment="1">
      <alignment horizontal="center" vertical="center" wrapText="1"/>
    </xf>
    <xf numFmtId="0" fontId="230" fillId="32" borderId="0" xfId="0" applyFont="1" applyFill="1" applyAlignment="1">
      <alignment horizontal="center" vertical="center"/>
    </xf>
    <xf numFmtId="0" fontId="230" fillId="22" borderId="0" xfId="0" applyFont="1" applyFill="1" applyAlignment="1">
      <alignment horizontal="center" vertical="center"/>
    </xf>
    <xf numFmtId="0" fontId="232" fillId="0" borderId="0" xfId="0" applyFont="1" applyAlignment="1">
      <alignment vertical="center"/>
    </xf>
    <xf numFmtId="0" fontId="233" fillId="0" borderId="0" xfId="0" applyFont="1" applyAlignment="1">
      <alignment vertical="center" wrapText="1"/>
    </xf>
    <xf numFmtId="0" fontId="233" fillId="49" borderId="0" xfId="0" applyFont="1" applyFill="1" applyAlignment="1">
      <alignment vertical="center" wrapText="1"/>
    </xf>
    <xf numFmtId="0" fontId="234" fillId="0" borderId="0" xfId="0" applyFont="1" applyAlignment="1">
      <alignment horizontal="right" vertical="center" indent="6"/>
    </xf>
    <xf numFmtId="0" fontId="233" fillId="49" borderId="0" xfId="0" quotePrefix="1" applyFont="1" applyFill="1" applyAlignment="1">
      <alignment vertical="center"/>
    </xf>
    <xf numFmtId="0" fontId="233" fillId="0" borderId="0" xfId="0" applyFont="1" applyAlignment="1">
      <alignment vertical="center"/>
    </xf>
    <xf numFmtId="0" fontId="225" fillId="0" borderId="0" xfId="0" applyFont="1" applyAlignment="1">
      <alignment vertical="center"/>
    </xf>
    <xf numFmtId="0" fontId="233" fillId="0" borderId="0" xfId="0" quotePrefix="1" applyFont="1" applyAlignment="1">
      <alignment vertical="center"/>
    </xf>
    <xf numFmtId="0" fontId="0" fillId="50" borderId="0" xfId="0" applyFill="1" applyAlignment="1">
      <alignment vertical="center"/>
    </xf>
    <xf numFmtId="0" fontId="0" fillId="51" borderId="0" xfId="0" applyFill="1"/>
    <xf numFmtId="0" fontId="225" fillId="0" borderId="0" xfId="0" applyFont="1" applyAlignment="1">
      <alignment vertical="center" wrapText="1"/>
    </xf>
    <xf numFmtId="0" fontId="0" fillId="24" borderId="0" xfId="0" applyFill="1"/>
    <xf numFmtId="0" fontId="0" fillId="52" borderId="0" xfId="0" applyFill="1" applyAlignment="1">
      <alignment vertical="center"/>
    </xf>
    <xf numFmtId="0" fontId="0" fillId="53" borderId="0" xfId="0" applyFill="1" applyAlignment="1">
      <alignment vertical="center"/>
    </xf>
    <xf numFmtId="0" fontId="235" fillId="0" borderId="0" xfId="0" applyFont="1" applyAlignment="1">
      <alignment vertical="center" wrapText="1"/>
    </xf>
    <xf numFmtId="0" fontId="0" fillId="24" borderId="0" xfId="0" applyFill="1" applyAlignment="1">
      <alignment vertical="center"/>
    </xf>
    <xf numFmtId="0" fontId="0" fillId="51" borderId="0" xfId="0" applyFill="1" applyAlignment="1">
      <alignment vertical="center"/>
    </xf>
    <xf numFmtId="0" fontId="0" fillId="0" borderId="0" xfId="0" applyAlignment="1">
      <alignment vertical="center" wrapText="1"/>
    </xf>
    <xf numFmtId="0" fontId="0" fillId="0" borderId="0" xfId="0" applyAlignment="1">
      <alignment horizontal="left" vertical="center"/>
    </xf>
    <xf numFmtId="0" fontId="236" fillId="0" borderId="0" xfId="0" applyFont="1"/>
    <xf numFmtId="0" fontId="42" fillId="32" borderId="0" xfId="0" applyFont="1" applyFill="1" applyAlignment="1">
      <alignment vertical="center"/>
    </xf>
    <xf numFmtId="15" fontId="42" fillId="0" borderId="0" xfId="0" applyNumberFormat="1" applyFont="1"/>
    <xf numFmtId="0" fontId="42" fillId="0" borderId="6" xfId="0" applyFont="1" applyBorder="1" applyAlignment="1">
      <alignment horizontal="left" vertical="center"/>
    </xf>
    <xf numFmtId="0" fontId="42" fillId="13" borderId="6" xfId="0" applyFont="1" applyFill="1" applyBorder="1" applyAlignment="1">
      <alignment horizontal="left" vertical="center"/>
    </xf>
    <xf numFmtId="0" fontId="237" fillId="0" borderId="0" xfId="0" applyFont="1" applyAlignment="1">
      <alignment vertical="center"/>
    </xf>
    <xf numFmtId="0" fontId="42" fillId="35" borderId="0" xfId="0" applyFont="1" applyFill="1" applyAlignment="1">
      <alignment horizontal="left" vertical="center" wrapText="1"/>
    </xf>
    <xf numFmtId="0" fontId="229" fillId="0" borderId="0" xfId="0" applyFont="1"/>
    <xf numFmtId="0" fontId="228" fillId="0" borderId="0" xfId="0" applyFont="1" applyAlignment="1">
      <alignment horizontal="left" vertical="center"/>
    </xf>
    <xf numFmtId="0" fontId="228" fillId="32" borderId="0" xfId="0" applyFont="1" applyFill="1" applyAlignment="1">
      <alignment horizontal="left" vertical="center"/>
    </xf>
    <xf numFmtId="0" fontId="43" fillId="0" borderId="0" xfId="31"/>
    <xf numFmtId="0" fontId="228" fillId="39" borderId="0" xfId="0" applyFont="1" applyFill="1" applyAlignment="1">
      <alignment horizontal="center" vertical="center"/>
    </xf>
    <xf numFmtId="0" fontId="0" fillId="0" borderId="0" xfId="0" quotePrefix="1"/>
    <xf numFmtId="0" fontId="21" fillId="0" borderId="16" xfId="0" applyFont="1" applyBorder="1" applyAlignment="1">
      <alignment horizontal="center"/>
    </xf>
    <xf numFmtId="165" fontId="0" fillId="32" borderId="0" xfId="0" applyNumberFormat="1" applyFill="1"/>
    <xf numFmtId="0" fontId="21" fillId="9" borderId="16" xfId="0" applyFont="1" applyFill="1" applyBorder="1" applyAlignment="1">
      <alignment horizontal="center"/>
    </xf>
    <xf numFmtId="0" fontId="21" fillId="9" borderId="17" xfId="0" applyFont="1" applyFill="1" applyBorder="1" applyAlignment="1">
      <alignment horizontal="center"/>
    </xf>
    <xf numFmtId="0" fontId="40" fillId="0" borderId="0" xfId="0" applyFont="1" applyAlignment="1">
      <alignment horizontal="left" vertical="center"/>
    </xf>
    <xf numFmtId="0" fontId="129" fillId="0" borderId="0" xfId="0" applyFont="1" applyAlignment="1">
      <alignment horizontal="center" vertical="center" wrapText="1"/>
    </xf>
    <xf numFmtId="0" fontId="228" fillId="41" borderId="0" xfId="0" applyFont="1" applyFill="1" applyAlignment="1">
      <alignment horizontal="left" vertical="center" indent="2"/>
    </xf>
    <xf numFmtId="0" fontId="228" fillId="41" borderId="0" xfId="0" applyFont="1" applyFill="1" applyAlignment="1">
      <alignment horizontal="left" vertical="center"/>
    </xf>
    <xf numFmtId="167" fontId="21" fillId="0" borderId="0" xfId="0" applyNumberFormat="1" applyFont="1" applyAlignment="1">
      <alignment horizontal="center"/>
    </xf>
    <xf numFmtId="0" fontId="0" fillId="41" borderId="0" xfId="0" applyFill="1" applyAlignment="1">
      <alignment horizontal="left" vertical="center" indent="2"/>
    </xf>
    <xf numFmtId="0" fontId="228" fillId="41" borderId="0" xfId="0" applyFont="1" applyFill="1" applyAlignment="1">
      <alignment horizontal="center" vertical="center"/>
    </xf>
    <xf numFmtId="165" fontId="0" fillId="0" borderId="0" xfId="0" applyNumberFormat="1" applyAlignment="1">
      <alignment horizontal="left"/>
    </xf>
    <xf numFmtId="165" fontId="42" fillId="0" borderId="0" xfId="0" applyNumberFormat="1" applyFont="1" applyAlignment="1">
      <alignment horizontal="left"/>
    </xf>
    <xf numFmtId="0" fontId="20" fillId="0" borderId="0" xfId="0" applyFont="1" applyAlignment="1">
      <alignment horizontal="left" vertical="center"/>
    </xf>
    <xf numFmtId="0" fontId="124" fillId="0" borderId="0" xfId="0" applyFont="1"/>
    <xf numFmtId="0" fontId="201" fillId="0" borderId="19" xfId="0" applyFont="1" applyBorder="1" applyAlignment="1">
      <alignment horizontal="left"/>
    </xf>
    <xf numFmtId="0" fontId="155" fillId="0" borderId="19" xfId="0" applyFont="1" applyBorder="1" applyAlignment="1">
      <alignment horizontal="left"/>
    </xf>
    <xf numFmtId="0" fontId="239" fillId="0" borderId="0" xfId="0" applyFont="1" applyAlignment="1">
      <alignment horizontal="left" indent="4"/>
    </xf>
    <xf numFmtId="0" fontId="239" fillId="0" borderId="0" xfId="0" applyFont="1"/>
    <xf numFmtId="0" fontId="124" fillId="0" borderId="19" xfId="0" applyFont="1" applyBorder="1" applyAlignment="1">
      <alignment horizontal="left"/>
    </xf>
    <xf numFmtId="0" fontId="8" fillId="0" borderId="29" xfId="0" applyFont="1" applyBorder="1" applyAlignment="1">
      <alignment horizontal="center"/>
    </xf>
    <xf numFmtId="0" fontId="8" fillId="54" borderId="0" xfId="0" applyFont="1" applyFill="1" applyAlignment="1">
      <alignment horizontal="center"/>
    </xf>
    <xf numFmtId="0" fontId="166" fillId="54" borderId="0" xfId="0" applyFont="1" applyFill="1"/>
    <xf numFmtId="0" fontId="85" fillId="54" borderId="0" xfId="0" applyFont="1" applyFill="1"/>
    <xf numFmtId="0" fontId="0" fillId="55" borderId="0" xfId="0" applyFill="1"/>
    <xf numFmtId="0" fontId="85" fillId="55" borderId="0" xfId="0" applyFont="1" applyFill="1"/>
    <xf numFmtId="0" fontId="167" fillId="38" borderId="0" xfId="0" applyFont="1" applyFill="1"/>
    <xf numFmtId="0" fontId="101" fillId="0" borderId="0" xfId="0" applyFont="1"/>
    <xf numFmtId="0" fontId="22" fillId="32" borderId="0" xfId="0" applyFont="1" applyFill="1"/>
    <xf numFmtId="0" fontId="101" fillId="38" borderId="0" xfId="0" applyFont="1" applyFill="1"/>
    <xf numFmtId="0" fontId="101" fillId="55" borderId="0" xfId="0" applyFont="1" applyFill="1"/>
    <xf numFmtId="0" fontId="42" fillId="38" borderId="0" xfId="0" applyFont="1" applyFill="1" applyAlignment="1">
      <alignment horizontal="left" indent="9"/>
    </xf>
    <xf numFmtId="0" fontId="42" fillId="55" borderId="0" xfId="0" applyFont="1" applyFill="1" applyAlignment="1">
      <alignment horizontal="left" indent="9"/>
    </xf>
    <xf numFmtId="0" fontId="20" fillId="32" borderId="0" xfId="0" applyFont="1" applyFill="1" applyAlignment="1">
      <alignment horizontal="left" indent="1"/>
    </xf>
    <xf numFmtId="0" fontId="42" fillId="38" borderId="0" xfId="0" applyFont="1" applyFill="1"/>
    <xf numFmtId="0" fontId="20" fillId="38" borderId="0" xfId="0" applyFont="1" applyFill="1" applyAlignment="1">
      <alignment horizontal="left" indent="1"/>
    </xf>
    <xf numFmtId="0" fontId="101" fillId="0" borderId="0" xfId="0" applyFont="1" applyAlignment="1">
      <alignment horizontal="left"/>
    </xf>
    <xf numFmtId="0" fontId="20" fillId="0" borderId="0" xfId="0" applyFont="1" applyAlignment="1">
      <alignment horizontal="left"/>
    </xf>
    <xf numFmtId="0" fontId="85" fillId="38" borderId="0" xfId="0" applyFont="1" applyFill="1"/>
    <xf numFmtId="0" fontId="228" fillId="0" borderId="0" xfId="0" applyFont="1" applyAlignment="1">
      <alignment vertical="center" wrapText="1"/>
    </xf>
    <xf numFmtId="0" fontId="228" fillId="0" borderId="0" xfId="0" applyFont="1" applyAlignment="1">
      <alignment vertical="center"/>
    </xf>
    <xf numFmtId="0" fontId="129" fillId="22" borderId="0" xfId="0" applyFont="1" applyFill="1" applyAlignment="1">
      <alignment horizontal="left"/>
    </xf>
    <xf numFmtId="167" fontId="0" fillId="0" borderId="0" xfId="0" applyNumberFormat="1" applyAlignment="1">
      <alignment horizontal="left"/>
    </xf>
    <xf numFmtId="167" fontId="228" fillId="0" borderId="0" xfId="0" applyNumberFormat="1" applyFont="1" applyAlignment="1">
      <alignment horizontal="left" vertical="center"/>
    </xf>
    <xf numFmtId="0" fontId="113" fillId="0" borderId="0" xfId="0" applyFont="1"/>
    <xf numFmtId="0" fontId="129" fillId="22" borderId="0" xfId="0" applyFont="1" applyFill="1" applyAlignment="1">
      <alignment horizontal="left" vertical="center"/>
    </xf>
    <xf numFmtId="167" fontId="21" fillId="0" borderId="0" xfId="0" quotePrefix="1" applyNumberFormat="1" applyFont="1" applyAlignment="1">
      <alignment horizontal="center"/>
    </xf>
    <xf numFmtId="0" fontId="240" fillId="0" borderId="0" xfId="0" applyFont="1"/>
    <xf numFmtId="0" fontId="241" fillId="0" borderId="0" xfId="0" applyFont="1"/>
    <xf numFmtId="0" fontId="43" fillId="0" borderId="0" xfId="31" applyAlignment="1">
      <alignment horizontal="center"/>
    </xf>
    <xf numFmtId="0" fontId="242" fillId="0" borderId="0" xfId="0" applyFont="1"/>
    <xf numFmtId="0" fontId="243" fillId="0" borderId="0" xfId="0" applyFont="1"/>
    <xf numFmtId="0" fontId="51" fillId="43" borderId="0" xfId="0" applyFont="1" applyFill="1"/>
    <xf numFmtId="0" fontId="51" fillId="32" borderId="0" xfId="0" applyFont="1" applyFill="1" applyAlignment="1">
      <alignment horizontal="center"/>
    </xf>
    <xf numFmtId="0" fontId="8" fillId="32" borderId="0" xfId="0" applyFont="1" applyFill="1" applyAlignment="1">
      <alignment horizontal="center"/>
    </xf>
    <xf numFmtId="164" fontId="55" fillId="0" borderId="0" xfId="0" applyNumberFormat="1" applyFont="1" applyAlignment="1">
      <alignment horizontal="left" vertical="center"/>
    </xf>
    <xf numFmtId="14" fontId="55" fillId="0" borderId="0" xfId="0" applyNumberFormat="1" applyFont="1" applyAlignment="1">
      <alignment horizontal="left" vertical="center"/>
    </xf>
    <xf numFmtId="166" fontId="55" fillId="0" borderId="0" xfId="0" applyNumberFormat="1" applyFont="1" applyAlignment="1">
      <alignment horizontal="left" vertical="center"/>
    </xf>
    <xf numFmtId="14" fontId="228" fillId="10" borderId="0" xfId="0" applyNumberFormat="1" applyFont="1" applyFill="1" applyAlignment="1">
      <alignment horizontal="center" vertical="center"/>
    </xf>
    <xf numFmtId="165" fontId="182" fillId="0" borderId="0" xfId="43" applyNumberFormat="1" applyFont="1" applyAlignment="1">
      <alignment horizontal="center" vertical="center"/>
    </xf>
    <xf numFmtId="44" fontId="55" fillId="0" borderId="0" xfId="48" applyFont="1" applyAlignment="1">
      <alignment horizontal="left" vertical="center"/>
    </xf>
    <xf numFmtId="0" fontId="244" fillId="32" borderId="0" xfId="0" quotePrefix="1" applyFont="1" applyFill="1" applyAlignment="1">
      <alignment horizontal="center" vertical="center"/>
    </xf>
    <xf numFmtId="0" fontId="70" fillId="0" borderId="0" xfId="0" applyFont="1" applyAlignment="1">
      <alignment vertical="center" wrapText="1"/>
    </xf>
    <xf numFmtId="0" fontId="10" fillId="0" borderId="0" xfId="21" applyFill="1" applyAlignment="1" applyProtection="1">
      <alignment vertical="center"/>
    </xf>
    <xf numFmtId="166" fontId="70" fillId="0" borderId="0" xfId="0" applyNumberFormat="1" applyFont="1" applyAlignment="1">
      <alignment vertical="center"/>
    </xf>
    <xf numFmtId="0" fontId="43" fillId="0" borderId="0" xfId="31" applyAlignment="1">
      <alignment vertical="center"/>
    </xf>
    <xf numFmtId="0" fontId="55" fillId="0" borderId="0" xfId="0" quotePrefix="1" applyFont="1" applyAlignment="1">
      <alignment horizontal="left" vertical="center"/>
    </xf>
    <xf numFmtId="166" fontId="1" fillId="0" borderId="0" xfId="0" applyNumberFormat="1" applyFont="1"/>
    <xf numFmtId="0" fontId="125" fillId="32" borderId="0" xfId="0" applyFont="1" applyFill="1" applyAlignment="1">
      <alignment horizontal="center"/>
    </xf>
    <xf numFmtId="166" fontId="226" fillId="0" borderId="0" xfId="0" applyNumberFormat="1" applyFont="1" applyAlignment="1">
      <alignment vertical="center" wrapText="1"/>
    </xf>
    <xf numFmtId="166" fontId="3" fillId="0" borderId="0" xfId="0" applyNumberFormat="1" applyFont="1"/>
    <xf numFmtId="8" fontId="55" fillId="0" borderId="0" xfId="48" applyNumberFormat="1" applyFont="1" applyAlignment="1">
      <alignment horizontal="left" vertical="center"/>
    </xf>
    <xf numFmtId="0" fontId="0" fillId="0" borderId="0" xfId="0" applyAlignment="1">
      <alignment horizontal="left" indent="1"/>
    </xf>
    <xf numFmtId="165" fontId="0" fillId="0" borderId="0" xfId="0" applyNumberFormat="1" applyAlignment="1">
      <alignment horizontal="left" indent="1"/>
    </xf>
    <xf numFmtId="0" fontId="113" fillId="44" borderId="0" xfId="0" applyFont="1" applyFill="1" applyAlignment="1">
      <alignment horizontal="center"/>
    </xf>
    <xf numFmtId="167" fontId="21" fillId="9" borderId="0" xfId="0" applyNumberFormat="1" applyFont="1" applyFill="1"/>
    <xf numFmtId="167" fontId="21" fillId="0" borderId="0" xfId="0" applyNumberFormat="1" applyFont="1"/>
    <xf numFmtId="0" fontId="21" fillId="10" borderId="0" xfId="0" applyFont="1" applyFill="1" applyAlignment="1">
      <alignment horizontal="left"/>
    </xf>
    <xf numFmtId="167" fontId="21" fillId="9" borderId="17" xfId="0" applyNumberFormat="1" applyFont="1" applyFill="1" applyBorder="1" applyAlignment="1">
      <alignment horizontal="left"/>
    </xf>
    <xf numFmtId="167" fontId="21" fillId="0" borderId="17" xfId="0" applyNumberFormat="1" applyFont="1" applyBorder="1" applyAlignment="1">
      <alignment horizontal="left"/>
    </xf>
    <xf numFmtId="0" fontId="228" fillId="53" borderId="0" xfId="0" applyFont="1" applyFill="1" applyAlignment="1">
      <alignment horizontal="left" vertical="center"/>
    </xf>
    <xf numFmtId="0" fontId="129" fillId="0" borderId="0" xfId="0" applyFont="1" applyAlignment="1">
      <alignment horizontal="left"/>
    </xf>
    <xf numFmtId="0" fontId="228" fillId="0" borderId="0" xfId="0" applyFont="1"/>
    <xf numFmtId="0" fontId="42" fillId="32" borderId="0" xfId="0" applyFont="1" applyFill="1"/>
    <xf numFmtId="0" fontId="0" fillId="0" borderId="0" xfId="0" applyAlignment="1">
      <alignment horizontal="right"/>
    </xf>
    <xf numFmtId="165" fontId="171" fillId="32" borderId="0" xfId="0" applyNumberFormat="1" applyFont="1" applyFill="1"/>
    <xf numFmtId="0" fontId="0" fillId="44" borderId="0" xfId="0" applyFill="1" applyAlignment="1">
      <alignment vertical="center"/>
    </xf>
    <xf numFmtId="167" fontId="21" fillId="0" borderId="0" xfId="0" applyNumberFormat="1" applyFont="1" applyAlignment="1">
      <alignment horizontal="left"/>
    </xf>
    <xf numFmtId="0" fontId="21" fillId="0" borderId="17" xfId="0" applyFont="1" applyBorder="1" applyAlignment="1">
      <alignment horizontal="left"/>
    </xf>
    <xf numFmtId="0" fontId="21" fillId="9" borderId="17" xfId="0" applyFont="1" applyFill="1" applyBorder="1" applyAlignment="1">
      <alignment horizontal="left"/>
    </xf>
    <xf numFmtId="0" fontId="228" fillId="0" borderId="0" xfId="0" applyFont="1" applyAlignment="1">
      <alignment horizontal="left" vertical="center" indent="2"/>
    </xf>
    <xf numFmtId="0" fontId="228" fillId="37" borderId="0" xfId="0" applyFont="1" applyFill="1" applyAlignment="1">
      <alignment horizontal="left" vertical="center"/>
    </xf>
    <xf numFmtId="165" fontId="239" fillId="0" borderId="0" xfId="0" applyNumberFormat="1" applyFont="1"/>
    <xf numFmtId="165" fontId="48" fillId="0" borderId="0" xfId="0" applyNumberFormat="1" applyFont="1"/>
    <xf numFmtId="0" fontId="48" fillId="10" borderId="0" xfId="0" applyFont="1" applyFill="1"/>
    <xf numFmtId="0" fontId="48" fillId="0" borderId="0" xfId="0" applyFont="1" applyAlignment="1">
      <alignment horizontal="left" indent="1"/>
    </xf>
    <xf numFmtId="0" fontId="20" fillId="32" borderId="0" xfId="0" applyFont="1" applyFill="1"/>
    <xf numFmtId="0" fontId="84" fillId="32" borderId="0" xfId="0" applyFont="1" applyFill="1" applyAlignment="1">
      <alignment horizontal="center" vertical="center"/>
    </xf>
    <xf numFmtId="0" fontId="84" fillId="32" borderId="0" xfId="0" applyFont="1" applyFill="1" applyAlignment="1">
      <alignment horizontal="center"/>
    </xf>
    <xf numFmtId="165" fontId="81" fillId="32" borderId="0" xfId="43" applyNumberFormat="1" applyFont="1" applyFill="1" applyAlignment="1">
      <alignment vertical="center"/>
    </xf>
    <xf numFmtId="165" fontId="98" fillId="32" borderId="0" xfId="43" applyNumberFormat="1" applyFont="1" applyFill="1" applyAlignment="1"/>
    <xf numFmtId="0" fontId="21" fillId="10" borderId="17" xfId="0" applyFont="1" applyFill="1" applyBorder="1" applyAlignment="1">
      <alignment horizontal="center"/>
    </xf>
    <xf numFmtId="167" fontId="0" fillId="0" borderId="0" xfId="0" applyNumberFormat="1" applyAlignment="1">
      <alignment horizontal="center"/>
    </xf>
    <xf numFmtId="0" fontId="248" fillId="0" borderId="0" xfId="0" applyFont="1" applyAlignment="1">
      <alignment vertical="center"/>
    </xf>
    <xf numFmtId="165" fontId="171" fillId="0" borderId="0" xfId="0" applyNumberFormat="1" applyFont="1" applyAlignment="1">
      <alignment horizontal="center"/>
    </xf>
    <xf numFmtId="167" fontId="171" fillId="0" borderId="0" xfId="0" applyNumberFormat="1" applyFont="1"/>
    <xf numFmtId="0" fontId="0" fillId="0" borderId="0" xfId="0" quotePrefix="1" applyAlignment="1">
      <alignment vertical="center"/>
    </xf>
    <xf numFmtId="168" fontId="0" fillId="0" borderId="0" xfId="0" applyNumberFormat="1"/>
    <xf numFmtId="168" fontId="42" fillId="0" borderId="0" xfId="0" applyNumberFormat="1" applyFont="1"/>
    <xf numFmtId="0" fontId="169" fillId="0" borderId="0" xfId="0" applyFont="1" applyAlignment="1">
      <alignment vertical="top" wrapText="1"/>
    </xf>
    <xf numFmtId="0" fontId="169" fillId="0" borderId="0" xfId="0" applyFont="1" applyAlignment="1">
      <alignment vertical="center" wrapText="1"/>
    </xf>
    <xf numFmtId="0" fontId="109" fillId="0" borderId="0" xfId="0" applyFont="1"/>
    <xf numFmtId="0" fontId="58" fillId="10" borderId="0" xfId="0" applyFont="1" applyFill="1" applyAlignment="1">
      <alignment horizontal="center"/>
    </xf>
    <xf numFmtId="165" fontId="205" fillId="10" borderId="0" xfId="43" applyNumberFormat="1" applyFont="1" applyFill="1" applyAlignment="1">
      <alignment horizontal="left" vertical="center"/>
    </xf>
    <xf numFmtId="0" fontId="24" fillId="33" borderId="0" xfId="0" applyFont="1" applyFill="1" applyAlignment="1">
      <alignment horizontal="left" vertical="center" indent="3"/>
    </xf>
    <xf numFmtId="0" fontId="24" fillId="20" borderId="0" xfId="0" applyFont="1" applyFill="1" applyAlignment="1">
      <alignment horizontal="left" vertical="center" indent="3"/>
    </xf>
    <xf numFmtId="0" fontId="231" fillId="10" borderId="0" xfId="0" applyFont="1" applyFill="1" applyAlignment="1">
      <alignment vertical="center"/>
    </xf>
    <xf numFmtId="0" fontId="249" fillId="0" borderId="0" xfId="0" applyFont="1"/>
    <xf numFmtId="0" fontId="250" fillId="0" borderId="0" xfId="0" applyFont="1"/>
    <xf numFmtId="0" fontId="252" fillId="0" borderId="0" xfId="0" applyFont="1" applyAlignment="1">
      <alignment horizontal="left"/>
    </xf>
    <xf numFmtId="0" fontId="252" fillId="22" borderId="0" xfId="0" applyFont="1" applyFill="1" applyAlignment="1">
      <alignment horizontal="left"/>
    </xf>
    <xf numFmtId="43" fontId="253" fillId="45" borderId="34" xfId="0" applyNumberFormat="1" applyFont="1" applyFill="1" applyBorder="1" applyAlignment="1">
      <alignment horizontal="center" wrapText="1"/>
    </xf>
    <xf numFmtId="0" fontId="236" fillId="45" borderId="0" xfId="0" applyFont="1" applyFill="1"/>
    <xf numFmtId="43" fontId="58" fillId="22" borderId="33" xfId="0" applyNumberFormat="1" applyFont="1" applyFill="1" applyBorder="1" applyAlignment="1">
      <alignment horizontal="center" wrapText="1"/>
    </xf>
    <xf numFmtId="0" fontId="252" fillId="0" borderId="0" xfId="0" applyFont="1" applyAlignment="1">
      <alignment horizontal="center" vertical="center"/>
    </xf>
    <xf numFmtId="0" fontId="79" fillId="0" borderId="0" xfId="0" applyFont="1" applyAlignment="1">
      <alignment horizontal="center"/>
    </xf>
    <xf numFmtId="0" fontId="252" fillId="0" borderId="0" xfId="0" applyFont="1" applyAlignment="1">
      <alignment horizontal="left" vertical="center"/>
    </xf>
    <xf numFmtId="43" fontId="58" fillId="22" borderId="9" xfId="0" applyNumberFormat="1" applyFont="1" applyFill="1" applyBorder="1" applyAlignment="1">
      <alignment horizontal="center" vertical="center" wrapText="1"/>
    </xf>
    <xf numFmtId="43" fontId="58" fillId="22" borderId="9" xfId="0" applyNumberFormat="1" applyFont="1" applyFill="1" applyBorder="1" applyAlignment="1">
      <alignment horizontal="center" wrapText="1"/>
    </xf>
    <xf numFmtId="43" fontId="58" fillId="22" borderId="33" xfId="0" applyNumberFormat="1" applyFont="1" applyFill="1" applyBorder="1" applyAlignment="1">
      <alignment wrapText="1"/>
    </xf>
    <xf numFmtId="0" fontId="0" fillId="0" borderId="0" xfId="0" quotePrefix="1" applyAlignment="1">
      <alignment vertical="center" wrapText="1"/>
    </xf>
    <xf numFmtId="43" fontId="253" fillId="45" borderId="0" xfId="0" applyNumberFormat="1" applyFont="1" applyFill="1" applyAlignment="1">
      <alignment horizontal="center" wrapText="1"/>
    </xf>
    <xf numFmtId="0" fontId="182" fillId="0" borderId="0" xfId="0" applyFont="1"/>
    <xf numFmtId="43" fontId="58" fillId="22" borderId="33" xfId="0" applyNumberFormat="1" applyFont="1" applyFill="1" applyBorder="1"/>
    <xf numFmtId="43" fontId="58" fillId="22" borderId="9" xfId="0" applyNumberFormat="1" applyFont="1" applyFill="1" applyBorder="1" applyAlignment="1">
      <alignment horizontal="left" wrapText="1"/>
    </xf>
    <xf numFmtId="43" fontId="251" fillId="0" borderId="0" xfId="0" applyNumberFormat="1" applyFont="1"/>
    <xf numFmtId="0" fontId="245" fillId="0" borderId="0" xfId="0" applyFont="1" applyAlignment="1">
      <alignment vertical="center" wrapText="1"/>
    </xf>
    <xf numFmtId="0" fontId="0" fillId="44" borderId="0" xfId="0" applyFill="1" applyAlignment="1">
      <alignment vertical="center" wrapText="1"/>
    </xf>
    <xf numFmtId="0" fontId="21" fillId="0" borderId="0" xfId="0" applyFont="1" applyAlignment="1">
      <alignment horizontal="center" vertical="center"/>
    </xf>
    <xf numFmtId="43" fontId="58" fillId="22" borderId="0" xfId="0" applyNumberFormat="1" applyFont="1" applyFill="1" applyAlignment="1">
      <alignment wrapText="1"/>
    </xf>
    <xf numFmtId="43" fontId="58" fillId="22" borderId="0" xfId="0" applyNumberFormat="1" applyFont="1" applyFill="1" applyAlignment="1">
      <alignment horizontal="center" wrapText="1"/>
    </xf>
    <xf numFmtId="0" fontId="182" fillId="0" borderId="0" xfId="0" quotePrefix="1" applyFont="1"/>
    <xf numFmtId="0" fontId="113" fillId="46" borderId="0" xfId="0" applyFont="1" applyFill="1"/>
    <xf numFmtId="0" fontId="3" fillId="46" borderId="0" xfId="0" applyFont="1" applyFill="1"/>
    <xf numFmtId="0" fontId="89" fillId="0" borderId="0" xfId="0" applyFont="1" applyAlignment="1">
      <alignment vertical="top"/>
    </xf>
    <xf numFmtId="0" fontId="0" fillId="32" borderId="0" xfId="0" applyFill="1" applyAlignment="1">
      <alignment wrapText="1"/>
    </xf>
    <xf numFmtId="0" fontId="10" fillId="0" borderId="0" xfId="1" applyAlignment="1" applyProtection="1">
      <alignment horizontal="left" vertical="center"/>
    </xf>
    <xf numFmtId="0" fontId="135" fillId="0" borderId="0" xfId="0" applyFont="1" applyAlignment="1">
      <alignment wrapText="1"/>
    </xf>
    <xf numFmtId="14" fontId="125" fillId="0" borderId="0" xfId="45" applyNumberFormat="1" applyFont="1" applyFill="1" applyAlignment="1">
      <alignment horizontal="left" vertical="center"/>
    </xf>
    <xf numFmtId="0" fontId="254" fillId="0" borderId="0" xfId="0" applyFont="1" applyAlignment="1">
      <alignment vertical="center"/>
    </xf>
    <xf numFmtId="0" fontId="129" fillId="0" borderId="0" xfId="0" applyFont="1" applyAlignment="1">
      <alignment horizontal="left" vertical="center" indent="2"/>
    </xf>
    <xf numFmtId="0" fontId="127" fillId="0" borderId="0" xfId="0" applyFont="1" applyAlignment="1">
      <alignment horizontal="left" vertical="center" indent="2"/>
    </xf>
    <xf numFmtId="0" fontId="21" fillId="0" borderId="0" xfId="0" applyFont="1" applyAlignment="1">
      <alignment horizontal="left" indent="2"/>
    </xf>
    <xf numFmtId="0" fontId="0" fillId="0" borderId="0" xfId="0" quotePrefix="1" applyAlignment="1">
      <alignment horizontal="center"/>
    </xf>
    <xf numFmtId="0" fontId="223" fillId="22" borderId="0" xfId="0" applyFont="1" applyFill="1" applyAlignment="1">
      <alignment horizontal="left" vertical="center"/>
    </xf>
    <xf numFmtId="0" fontId="255" fillId="0" borderId="0" xfId="0" applyFont="1" applyAlignment="1">
      <alignment horizontal="left"/>
    </xf>
    <xf numFmtId="0" fontId="184" fillId="0" borderId="0" xfId="0" applyFont="1"/>
    <xf numFmtId="14" fontId="0" fillId="0" borderId="0" xfId="0" applyNumberFormat="1" applyAlignment="1">
      <alignment horizontal="right"/>
    </xf>
    <xf numFmtId="0" fontId="223" fillId="14" borderId="0" xfId="0" applyFont="1" applyFill="1" applyAlignment="1">
      <alignment vertical="center"/>
    </xf>
    <xf numFmtId="0" fontId="255" fillId="0" borderId="0" xfId="0" applyFont="1" applyAlignment="1">
      <alignment horizontal="center"/>
    </xf>
    <xf numFmtId="43" fontId="8" fillId="3" borderId="9" xfId="22" applyNumberFormat="1" applyFont="1" applyBorder="1"/>
    <xf numFmtId="43" fontId="221" fillId="3" borderId="35" xfId="22" applyNumberFormat="1" applyFont="1" applyBorder="1" applyAlignment="1">
      <alignment wrapText="1"/>
    </xf>
    <xf numFmtId="0" fontId="8" fillId="0" borderId="36" xfId="0" applyFont="1" applyBorder="1"/>
    <xf numFmtId="43" fontId="8" fillId="3" borderId="1" xfId="22" applyNumberFormat="1" applyFont="1" applyAlignment="1">
      <alignment horizontal="center" wrapText="1"/>
    </xf>
    <xf numFmtId="43" fontId="8" fillId="3" borderId="1" xfId="22" quotePrefix="1" applyNumberFormat="1" applyFont="1" applyAlignment="1">
      <alignment horizontal="left"/>
    </xf>
    <xf numFmtId="43" fontId="8" fillId="3" borderId="1" xfId="22" quotePrefix="1" applyNumberFormat="1" applyFont="1" applyAlignment="1">
      <alignment horizontal="center"/>
    </xf>
    <xf numFmtId="43" fontId="115" fillId="0" borderId="1" xfId="22" applyNumberFormat="1" applyFont="1" applyFill="1" applyAlignment="1">
      <alignment horizontal="left"/>
    </xf>
    <xf numFmtId="43" fontId="115" fillId="0" borderId="1" xfId="22" applyNumberFormat="1" applyFont="1" applyFill="1"/>
    <xf numFmtId="0" fontId="0" fillId="0" borderId="19" xfId="0" applyBorder="1"/>
    <xf numFmtId="43" fontId="117" fillId="3" borderId="1" xfId="22" applyNumberFormat="1" applyFont="1" applyAlignment="1">
      <alignment horizontal="center" vertical="center"/>
    </xf>
    <xf numFmtId="43" fontId="115" fillId="0" borderId="1" xfId="22" quotePrefix="1" applyNumberFormat="1" applyFont="1" applyFill="1" applyAlignment="1">
      <alignment horizontal="center"/>
    </xf>
    <xf numFmtId="165" fontId="8" fillId="49" borderId="1" xfId="22" applyNumberFormat="1" applyFont="1" applyFill="1" applyAlignment="1">
      <alignment vertical="top"/>
    </xf>
    <xf numFmtId="9" fontId="257" fillId="0" borderId="1" xfId="22" quotePrefix="1" applyNumberFormat="1" applyFont="1" applyFill="1" applyAlignment="1">
      <alignment horizontal="center"/>
    </xf>
    <xf numFmtId="165" fontId="8" fillId="0" borderId="1" xfId="22" applyNumberFormat="1" applyFont="1" applyFill="1" applyAlignment="1">
      <alignment vertical="top"/>
    </xf>
    <xf numFmtId="9" fontId="257" fillId="49" borderId="10" xfId="0" applyNumberFormat="1" applyFont="1" applyFill="1" applyBorder="1" applyAlignment="1">
      <alignment horizontal="center"/>
    </xf>
    <xf numFmtId="9" fontId="257" fillId="49" borderId="0" xfId="0" applyNumberFormat="1" applyFont="1" applyFill="1" applyAlignment="1">
      <alignment horizontal="center"/>
    </xf>
    <xf numFmtId="165" fontId="8" fillId="3" borderId="1" xfId="22" applyNumberFormat="1" applyFont="1" applyAlignment="1">
      <alignment vertical="top"/>
    </xf>
    <xf numFmtId="9" fontId="257" fillId="0" borderId="10" xfId="0" applyNumberFormat="1" applyFont="1" applyBorder="1" applyAlignment="1">
      <alignment horizontal="center"/>
    </xf>
    <xf numFmtId="9" fontId="257" fillId="0" borderId="0" xfId="0" applyNumberFormat="1" applyFont="1" applyAlignment="1">
      <alignment horizontal="center"/>
    </xf>
    <xf numFmtId="9" fontId="48" fillId="44" borderId="0" xfId="47" applyFont="1" applyFill="1" applyAlignment="1">
      <alignment horizontal="center"/>
    </xf>
    <xf numFmtId="9" fontId="259" fillId="44" borderId="0" xfId="47" applyFont="1" applyFill="1" applyAlignment="1">
      <alignment horizontal="center"/>
    </xf>
    <xf numFmtId="169" fontId="3" fillId="0" borderId="0" xfId="48" applyNumberFormat="1" applyFont="1" applyFill="1"/>
    <xf numFmtId="9" fontId="125" fillId="0" borderId="0" xfId="47" applyFont="1" applyAlignment="1">
      <alignment horizontal="center"/>
    </xf>
    <xf numFmtId="169" fontId="3" fillId="32" borderId="0" xfId="0" applyNumberFormat="1" applyFont="1" applyFill="1"/>
    <xf numFmtId="169" fontId="3" fillId="0" borderId="0" xfId="0" applyNumberFormat="1" applyFont="1"/>
    <xf numFmtId="169" fontId="260" fillId="0" borderId="0" xfId="48" applyNumberFormat="1" applyFont="1" applyAlignment="1">
      <alignment horizontal="center"/>
    </xf>
    <xf numFmtId="169" fontId="3" fillId="32" borderId="0" xfId="48" applyNumberFormat="1" applyFont="1" applyFill="1"/>
    <xf numFmtId="169" fontId="3" fillId="44" borderId="0" xfId="0" applyNumberFormat="1" applyFont="1" applyFill="1"/>
    <xf numFmtId="0" fontId="261" fillId="0" borderId="20" xfId="0" applyFont="1" applyBorder="1" applyAlignment="1">
      <alignment horizontal="left" vertical="center"/>
    </xf>
    <xf numFmtId="169" fontId="8" fillId="0" borderId="0" xfId="48" applyNumberFormat="1" applyFont="1" applyFill="1"/>
    <xf numFmtId="169" fontId="8" fillId="32" borderId="0" xfId="0" applyNumberFormat="1" applyFont="1" applyFill="1"/>
    <xf numFmtId="169" fontId="8" fillId="0" borderId="0" xfId="0" applyNumberFormat="1" applyFont="1"/>
    <xf numFmtId="0" fontId="48" fillId="0" borderId="0" xfId="0" applyFont="1"/>
    <xf numFmtId="169" fontId="48" fillId="32" borderId="0" xfId="0" applyNumberFormat="1" applyFont="1" applyFill="1"/>
    <xf numFmtId="9" fontId="262" fillId="0" borderId="0" xfId="47" applyFont="1" applyAlignment="1">
      <alignment horizontal="center"/>
    </xf>
    <xf numFmtId="169" fontId="48" fillId="0" borderId="0" xfId="0" applyNumberFormat="1" applyFont="1"/>
    <xf numFmtId="169" fontId="48" fillId="44" borderId="0" xfId="0" applyNumberFormat="1" applyFont="1" applyFill="1"/>
    <xf numFmtId="169" fontId="0" fillId="0" borderId="0" xfId="0" applyNumberFormat="1"/>
    <xf numFmtId="0" fontId="261" fillId="0" borderId="20" xfId="0" applyFont="1" applyBorder="1" applyAlignment="1">
      <alignment horizontal="left"/>
    </xf>
    <xf numFmtId="169" fontId="8" fillId="0" borderId="0" xfId="48" applyNumberFormat="1" applyFont="1"/>
    <xf numFmtId="169" fontId="0" fillId="0" borderId="0" xfId="48" applyNumberFormat="1" applyFont="1"/>
    <xf numFmtId="169" fontId="226" fillId="0" borderId="0" xfId="48" applyNumberFormat="1" applyFont="1"/>
    <xf numFmtId="165" fontId="81" fillId="10" borderId="0" xfId="43" applyNumberFormat="1" applyFont="1" applyFill="1" applyAlignment="1">
      <alignment horizontal="center" vertical="center"/>
    </xf>
    <xf numFmtId="0" fontId="93" fillId="32" borderId="0" xfId="0" applyFont="1" applyFill="1" applyAlignment="1">
      <alignment horizontal="center" vertical="center"/>
    </xf>
    <xf numFmtId="165" fontId="81" fillId="0" borderId="0" xfId="43" applyNumberFormat="1" applyFont="1" applyAlignment="1">
      <alignment horizontal="center"/>
    </xf>
    <xf numFmtId="0" fontId="84" fillId="10" borderId="0" xfId="0" applyFont="1" applyFill="1" applyAlignment="1">
      <alignment horizontal="center" vertical="center"/>
    </xf>
    <xf numFmtId="0" fontId="112" fillId="0" borderId="0" xfId="0" applyFont="1" applyAlignment="1">
      <alignment horizontal="center"/>
    </xf>
    <xf numFmtId="0" fontId="84" fillId="0" borderId="0" xfId="0" applyFont="1" applyAlignment="1">
      <alignment horizontal="center" vertical="center"/>
    </xf>
    <xf numFmtId="0" fontId="169" fillId="0" borderId="0" xfId="0" applyFont="1" applyAlignment="1">
      <alignment horizontal="center" vertical="center" wrapText="1"/>
    </xf>
    <xf numFmtId="0" fontId="169" fillId="0" borderId="0" xfId="0" applyFont="1" applyAlignment="1">
      <alignment horizontal="center" wrapText="1"/>
    </xf>
    <xf numFmtId="0" fontId="11" fillId="0" borderId="0" xfId="0" applyFont="1" applyAlignment="1">
      <alignment horizontal="left"/>
    </xf>
    <xf numFmtId="0" fontId="21" fillId="0" borderId="0" xfId="0" applyFont="1" applyAlignment="1">
      <alignment horizontal="center"/>
    </xf>
    <xf numFmtId="0" fontId="21" fillId="0" borderId="17" xfId="0" applyFont="1" applyBorder="1" applyAlignment="1">
      <alignment horizontal="center"/>
    </xf>
    <xf numFmtId="0" fontId="129" fillId="22" borderId="0" xfId="0" applyFont="1" applyFill="1" applyAlignment="1">
      <alignment horizontal="center" vertical="center" wrapText="1"/>
    </xf>
    <xf numFmtId="0" fontId="245" fillId="0" borderId="0" xfId="0" applyFont="1" applyAlignment="1">
      <alignment horizontal="center" vertical="center" wrapText="1"/>
    </xf>
    <xf numFmtId="0" fontId="8" fillId="15" borderId="0" xfId="0" applyFont="1" applyFill="1" applyAlignment="1">
      <alignment horizontal="center" vertical="center"/>
    </xf>
    <xf numFmtId="0" fontId="256" fillId="0" borderId="0" xfId="0" quotePrefix="1" applyFont="1" applyAlignment="1">
      <alignment horizontal="center"/>
    </xf>
    <xf numFmtId="0" fontId="0" fillId="0" borderId="0" xfId="0" applyAlignment="1">
      <alignment horizontal="center" vertical="center"/>
    </xf>
    <xf numFmtId="0" fontId="56" fillId="0" borderId="0" xfId="0" applyFont="1" applyAlignment="1">
      <alignment horizontal="center"/>
    </xf>
    <xf numFmtId="0" fontId="56" fillId="0" borderId="0" xfId="0" applyFont="1" applyAlignment="1">
      <alignment horizontal="left"/>
    </xf>
    <xf numFmtId="0" fontId="0" fillId="0" borderId="0" xfId="0" applyAlignment="1">
      <alignment horizontal="center"/>
    </xf>
    <xf numFmtId="14" fontId="56" fillId="0" borderId="0" xfId="0" applyNumberFormat="1" applyFont="1" applyAlignment="1">
      <alignment horizontal="center"/>
    </xf>
    <xf numFmtId="0" fontId="8" fillId="0" borderId="0" xfId="0" applyFont="1" applyAlignment="1">
      <alignment horizontal="center" vertical="center" wrapText="1"/>
    </xf>
    <xf numFmtId="0" fontId="258" fillId="0" borderId="0" xfId="0" applyFont="1" applyAlignment="1">
      <alignment horizontal="center"/>
    </xf>
    <xf numFmtId="0" fontId="61" fillId="0" borderId="0" xfId="0" applyFont="1" applyAlignment="1">
      <alignment horizontal="center" vertical="center"/>
    </xf>
    <xf numFmtId="0" fontId="204" fillId="32" borderId="0" xfId="0" applyFont="1" applyFill="1" applyAlignment="1">
      <alignment vertical="center" wrapText="1"/>
    </xf>
    <xf numFmtId="0" fontId="112" fillId="0" borderId="0" xfId="0" applyFont="1" applyAlignment="1">
      <alignment horizontal="center"/>
    </xf>
    <xf numFmtId="165" fontId="174" fillId="32" borderId="0" xfId="43" applyNumberFormat="1" applyFont="1" applyFill="1" applyAlignment="1">
      <alignment horizontal="center" vertical="top"/>
    </xf>
    <xf numFmtId="0" fontId="41" fillId="0" borderId="0" xfId="0" applyFont="1" applyAlignment="1">
      <alignment horizontal="center" vertical="center" textRotation="135"/>
    </xf>
    <xf numFmtId="165" fontId="170" fillId="0" borderId="0" xfId="43" applyNumberFormat="1" applyFont="1" applyAlignment="1">
      <alignment horizontal="left" vertical="center"/>
    </xf>
    <xf numFmtId="0" fontId="93" fillId="32" borderId="0" xfId="0" applyFont="1" applyFill="1" applyAlignment="1">
      <alignment horizontal="center" vertical="center"/>
    </xf>
    <xf numFmtId="0" fontId="84" fillId="0" borderId="0" xfId="0" applyFont="1" applyAlignment="1">
      <alignment horizontal="center" vertical="center"/>
    </xf>
    <xf numFmtId="165" fontId="81" fillId="0" borderId="0" xfId="43" applyNumberFormat="1" applyFont="1" applyAlignment="1">
      <alignment horizontal="center" vertical="center"/>
    </xf>
    <xf numFmtId="165" fontId="183" fillId="0" borderId="0" xfId="43" applyNumberFormat="1" applyFont="1" applyFill="1" applyAlignment="1">
      <alignment horizontal="center" vertical="center" wrapText="1"/>
    </xf>
    <xf numFmtId="165" fontId="81" fillId="10" borderId="0" xfId="43" applyNumberFormat="1" applyFont="1" applyFill="1" applyAlignment="1">
      <alignment horizontal="center" vertical="center"/>
    </xf>
    <xf numFmtId="165" fontId="99" fillId="0" borderId="0" xfId="43" applyNumberFormat="1" applyFont="1" applyAlignment="1">
      <alignment horizontal="left" vertical="center"/>
    </xf>
    <xf numFmtId="165" fontId="81" fillId="0" borderId="0" xfId="43" applyNumberFormat="1" applyFont="1" applyAlignment="1">
      <alignment horizontal="center"/>
    </xf>
    <xf numFmtId="0" fontId="84" fillId="10" borderId="0" xfId="0" applyFont="1" applyFill="1" applyAlignment="1">
      <alignment horizontal="center" vertical="center"/>
    </xf>
    <xf numFmtId="0" fontId="169" fillId="0" borderId="0" xfId="0" applyFont="1" applyAlignment="1">
      <alignment horizontal="center" vertical="top" wrapText="1"/>
    </xf>
    <xf numFmtId="0" fontId="169" fillId="0" borderId="0" xfId="0" applyFont="1" applyAlignment="1">
      <alignment horizontal="center" vertical="center" wrapText="1"/>
    </xf>
    <xf numFmtId="15" fontId="169" fillId="0" borderId="0" xfId="0" applyNumberFormat="1" applyFont="1" applyAlignment="1">
      <alignment horizontal="center" wrapText="1"/>
    </xf>
    <xf numFmtId="0" fontId="169" fillId="0" borderId="0" xfId="0" applyFont="1" applyAlignment="1">
      <alignment horizontal="center" vertical="top" textRotation="135" wrapText="1"/>
    </xf>
    <xf numFmtId="0" fontId="169" fillId="0" borderId="0" xfId="0" applyFont="1" applyAlignment="1">
      <alignment horizontal="center" wrapText="1"/>
    </xf>
    <xf numFmtId="165" fontId="174" fillId="32" borderId="0" xfId="43" applyNumberFormat="1" applyFont="1" applyFill="1" applyAlignment="1">
      <alignment horizontal="left" vertical="top"/>
    </xf>
    <xf numFmtId="0" fontId="206" fillId="47" borderId="0" xfId="0" applyFont="1" applyFill="1" applyAlignment="1">
      <alignment horizontal="center" vertical="center" textRotation="255" wrapText="1"/>
    </xf>
    <xf numFmtId="0" fontId="206" fillId="47" borderId="5" xfId="0" applyFont="1" applyFill="1" applyBorder="1" applyAlignment="1">
      <alignment horizontal="center" vertical="center" textRotation="255" wrapText="1"/>
    </xf>
    <xf numFmtId="0" fontId="203" fillId="0" borderId="0" xfId="0" applyFont="1" applyAlignment="1">
      <alignment horizontal="center" vertical="center" textRotation="255"/>
    </xf>
    <xf numFmtId="0" fontId="47" fillId="0" borderId="0" xfId="0" applyFont="1" applyAlignment="1">
      <alignment horizontal="center" vertical="center"/>
    </xf>
    <xf numFmtId="0" fontId="121" fillId="19" borderId="0" xfId="0" applyFont="1" applyFill="1" applyAlignment="1">
      <alignment horizontal="center" vertical="center" textRotation="255" wrapText="1"/>
    </xf>
    <xf numFmtId="0" fontId="51" fillId="23" borderId="0" xfId="0" applyFont="1" applyFill="1" applyAlignment="1">
      <alignment horizontal="center"/>
    </xf>
    <xf numFmtId="0" fontId="101" fillId="40" borderId="25" xfId="0" applyFont="1" applyFill="1" applyBorder="1" applyAlignment="1">
      <alignment horizontal="center" vertical="center"/>
    </xf>
    <xf numFmtId="0" fontId="101" fillId="40" borderId="0" xfId="0" applyFont="1" applyFill="1" applyAlignment="1">
      <alignment horizontal="center" vertical="center"/>
    </xf>
    <xf numFmtId="43" fontId="33" fillId="15" borderId="26" xfId="0" applyNumberFormat="1" applyFont="1" applyFill="1" applyBorder="1" applyAlignment="1">
      <alignment horizontal="center"/>
    </xf>
    <xf numFmtId="43" fontId="33" fillId="15" borderId="10" xfId="0" applyNumberFormat="1" applyFont="1" applyFill="1" applyBorder="1" applyAlignment="1">
      <alignment horizontal="center"/>
    </xf>
    <xf numFmtId="0" fontId="120" fillId="9" borderId="7" xfId="0" applyFont="1" applyFill="1" applyBorder="1" applyAlignment="1">
      <alignment horizontal="center" vertical="center" textRotation="255" wrapText="1"/>
    </xf>
    <xf numFmtId="0" fontId="120" fillId="9" borderId="0" xfId="0" applyFont="1" applyFill="1" applyAlignment="1">
      <alignment horizontal="center" vertical="center" textRotation="255" wrapText="1"/>
    </xf>
    <xf numFmtId="0" fontId="108" fillId="34" borderId="0" xfId="0" applyFont="1" applyFill="1" applyAlignment="1">
      <alignment horizontal="center" vertical="center" wrapText="1"/>
    </xf>
    <xf numFmtId="0" fontId="46" fillId="0" borderId="0" xfId="0" applyFont="1" applyAlignment="1">
      <alignment horizontal="right" vertical="center"/>
    </xf>
    <xf numFmtId="0" fontId="44" fillId="0" borderId="0" xfId="0" applyFont="1" applyAlignment="1">
      <alignment horizontal="right" vertical="top"/>
    </xf>
    <xf numFmtId="0" fontId="35" fillId="11" borderId="0" xfId="0" applyFont="1" applyFill="1" applyAlignment="1">
      <alignment horizontal="center" vertical="center" textRotation="255" wrapText="1"/>
    </xf>
    <xf numFmtId="0" fontId="122" fillId="16" borderId="0" xfId="0" applyFont="1" applyFill="1" applyAlignment="1">
      <alignment horizontal="center" vertical="center" textRotation="255" wrapText="1"/>
    </xf>
    <xf numFmtId="0" fontId="51" fillId="23" borderId="0" xfId="0" applyFont="1" applyFill="1" applyAlignment="1">
      <alignment horizontal="center" vertical="center" textRotation="255"/>
    </xf>
    <xf numFmtId="0" fontId="120" fillId="24" borderId="0" xfId="0" applyFont="1" applyFill="1" applyAlignment="1">
      <alignment horizontal="center" vertical="center" textRotation="255" wrapText="1"/>
    </xf>
    <xf numFmtId="0" fontId="245" fillId="0" borderId="0" xfId="0" applyFont="1" applyAlignment="1">
      <alignment horizontal="center" vertical="center" wrapText="1"/>
    </xf>
    <xf numFmtId="0" fontId="182" fillId="39" borderId="0" xfId="0" applyFont="1" applyFill="1" applyAlignment="1">
      <alignment horizontal="center" vertical="center" wrapText="1"/>
    </xf>
    <xf numFmtId="0" fontId="228" fillId="0" borderId="0" xfId="0" applyFont="1" applyAlignment="1">
      <alignment horizontal="center" vertical="center" wrapText="1"/>
    </xf>
    <xf numFmtId="0" fontId="48" fillId="46" borderId="0" xfId="0" applyFont="1" applyFill="1" applyAlignment="1">
      <alignment horizontal="center"/>
    </xf>
    <xf numFmtId="0" fontId="20" fillId="32" borderId="0" xfId="0" applyFont="1" applyFill="1" applyAlignment="1">
      <alignment horizontal="center" vertical="top" wrapText="1"/>
    </xf>
    <xf numFmtId="0" fontId="11" fillId="0" borderId="0" xfId="0" applyFont="1" applyAlignment="1">
      <alignment horizontal="left"/>
    </xf>
    <xf numFmtId="0" fontId="228" fillId="0" borderId="0" xfId="0" applyFont="1" applyAlignment="1">
      <alignment horizontal="center" vertical="center"/>
    </xf>
    <xf numFmtId="0" fontId="238" fillId="39" borderId="0" xfId="0" applyFont="1" applyFill="1" applyAlignment="1">
      <alignment horizontal="center" vertical="center" wrapText="1"/>
    </xf>
    <xf numFmtId="0" fontId="182" fillId="0" borderId="0" xfId="0" applyFont="1" applyAlignment="1">
      <alignment horizontal="center" vertical="center" wrapText="1"/>
    </xf>
    <xf numFmtId="0" fontId="129" fillId="22" borderId="7" xfId="0" applyFont="1" applyFill="1" applyBorder="1" applyAlignment="1">
      <alignment horizontal="center" vertical="center" wrapText="1"/>
    </xf>
    <xf numFmtId="0" fontId="21" fillId="0" borderId="24" xfId="0" applyFont="1" applyBorder="1" applyAlignment="1">
      <alignment horizontal="center"/>
    </xf>
    <xf numFmtId="0" fontId="21" fillId="0" borderId="7" xfId="0" applyFont="1" applyBorder="1" applyAlignment="1">
      <alignment horizontal="center"/>
    </xf>
    <xf numFmtId="0" fontId="21" fillId="0" borderId="30" xfId="0" applyFont="1" applyBorder="1" applyAlignment="1">
      <alignment horizontal="center"/>
    </xf>
    <xf numFmtId="0" fontId="21" fillId="0" borderId="31" xfId="0" applyFont="1" applyBorder="1" applyAlignment="1">
      <alignment horizontal="center"/>
    </xf>
    <xf numFmtId="0" fontId="21" fillId="0" borderId="0" xfId="0" applyFont="1" applyAlignment="1">
      <alignment horizontal="center"/>
    </xf>
    <xf numFmtId="0" fontId="21" fillId="0" borderId="32" xfId="0" applyFont="1" applyBorder="1" applyAlignment="1">
      <alignment horizontal="center"/>
    </xf>
    <xf numFmtId="0" fontId="21" fillId="0" borderId="21" xfId="0" applyFont="1" applyBorder="1" applyAlignment="1">
      <alignment horizontal="center"/>
    </xf>
    <xf numFmtId="0" fontId="21" fillId="0" borderId="5" xfId="0" applyFont="1" applyBorder="1" applyAlignment="1">
      <alignment horizontal="center"/>
    </xf>
    <xf numFmtId="0" fontId="21" fillId="0" borderId="17" xfId="0" applyFont="1" applyBorder="1" applyAlignment="1">
      <alignment horizontal="center"/>
    </xf>
    <xf numFmtId="0" fontId="246" fillId="0" borderId="0" xfId="0" applyFont="1" applyAlignment="1">
      <alignment horizontal="center" wrapText="1"/>
    </xf>
    <xf numFmtId="0" fontId="113" fillId="0" borderId="0" xfId="0" applyFont="1" applyAlignment="1">
      <alignment horizontal="center"/>
    </xf>
    <xf numFmtId="0" fontId="129" fillId="22" borderId="0" xfId="0" applyFont="1" applyFill="1" applyAlignment="1">
      <alignment horizontal="center" vertical="center" wrapText="1"/>
    </xf>
    <xf numFmtId="0" fontId="228" fillId="39" borderId="0" xfId="0" applyFont="1" applyFill="1" applyAlignment="1">
      <alignment horizontal="center" vertical="center" wrapText="1"/>
    </xf>
    <xf numFmtId="0" fontId="48" fillId="38" borderId="0" xfId="0" applyFont="1" applyFill="1" applyAlignment="1">
      <alignment horizontal="center"/>
    </xf>
    <xf numFmtId="0" fontId="3" fillId="0" borderId="0" xfId="0" applyFont="1" applyAlignment="1">
      <alignment horizontal="center" vertical="center" wrapText="1"/>
    </xf>
    <xf numFmtId="0" fontId="247" fillId="39" borderId="0" xfId="0" applyFont="1" applyFill="1" applyAlignment="1">
      <alignment horizontal="center" vertical="center" wrapText="1"/>
    </xf>
    <xf numFmtId="0" fontId="8" fillId="0" borderId="31" xfId="0" applyFont="1" applyBorder="1" applyAlignment="1">
      <alignment horizontal="center" vertical="center" wrapText="1"/>
    </xf>
    <xf numFmtId="0" fontId="8" fillId="0" borderId="0" xfId="0" applyFont="1" applyAlignment="1">
      <alignment horizontal="center" vertical="center" wrapText="1"/>
    </xf>
    <xf numFmtId="165" fontId="8" fillId="38" borderId="0" xfId="43" applyNumberFormat="1" applyFont="1" applyFill="1" applyAlignment="1">
      <alignment horizontal="center" vertical="center" wrapText="1"/>
    </xf>
    <xf numFmtId="0" fontId="113" fillId="0" borderId="0" xfId="0" applyFont="1" applyAlignment="1">
      <alignment vertical="center"/>
    </xf>
    <xf numFmtId="0" fontId="0" fillId="0" borderId="0" xfId="0" applyAlignment="1">
      <alignment horizontal="center"/>
    </xf>
    <xf numFmtId="0" fontId="258" fillId="0" borderId="0" xfId="0" applyFont="1" applyAlignment="1">
      <alignment horizontal="center"/>
    </xf>
    <xf numFmtId="0" fontId="8" fillId="0" borderId="31" xfId="8" quotePrefix="1" applyFont="1" applyFill="1" applyBorder="1" applyAlignment="1">
      <alignment horizontal="center" vertical="top" wrapText="1"/>
    </xf>
    <xf numFmtId="0" fontId="8" fillId="0" borderId="0" xfId="8" quotePrefix="1" applyFont="1" applyFill="1" applyBorder="1" applyAlignment="1">
      <alignment horizontal="center" vertical="top" wrapText="1"/>
    </xf>
    <xf numFmtId="0" fontId="56" fillId="0" borderId="0" xfId="0" applyFont="1" applyAlignment="1">
      <alignment horizontal="center"/>
    </xf>
    <xf numFmtId="0" fontId="0" fillId="31" borderId="0" xfId="0" applyFill="1" applyAlignment="1">
      <alignment horizontal="center"/>
    </xf>
    <xf numFmtId="14" fontId="56" fillId="0" borderId="0" xfId="0" applyNumberFormat="1" applyFont="1" applyAlignment="1">
      <alignment horizontal="center"/>
    </xf>
    <xf numFmtId="0" fontId="56" fillId="0" borderId="0" xfId="0" applyFont="1" applyAlignment="1">
      <alignment horizontal="left"/>
    </xf>
    <xf numFmtId="9" fontId="8" fillId="38" borderId="26" xfId="22" applyNumberFormat="1" applyFont="1" applyFill="1" applyBorder="1" applyAlignment="1">
      <alignment horizontal="center" vertical="top"/>
    </xf>
    <xf numFmtId="43" fontId="8" fillId="38" borderId="10" xfId="22" applyNumberFormat="1" applyFont="1" applyFill="1" applyBorder="1" applyAlignment="1">
      <alignment horizontal="center" vertical="top"/>
    </xf>
    <xf numFmtId="9" fontId="8" fillId="3" borderId="26" xfId="22" applyNumberFormat="1" applyFont="1" applyBorder="1" applyAlignment="1">
      <alignment horizontal="center"/>
    </xf>
    <xf numFmtId="43" fontId="8" fillId="3" borderId="10" xfId="22" applyNumberFormat="1" applyFont="1" applyBorder="1" applyAlignment="1">
      <alignment horizontal="center"/>
    </xf>
    <xf numFmtId="0" fontId="20" fillId="0" borderId="0" xfId="0" applyFont="1" applyAlignment="1">
      <alignment horizontal="center" vertical="center"/>
    </xf>
    <xf numFmtId="0" fontId="0" fillId="32" borderId="0" xfId="0" applyFill="1" applyAlignment="1">
      <alignment horizontal="center"/>
    </xf>
    <xf numFmtId="0" fontId="56" fillId="0" borderId="0" xfId="0" applyFont="1" applyAlignment="1">
      <alignment horizontal="center" vertical="center"/>
    </xf>
    <xf numFmtId="0" fontId="0" fillId="0" borderId="0" xfId="0" applyAlignment="1">
      <alignment horizontal="center" vertical="center"/>
    </xf>
    <xf numFmtId="9" fontId="8" fillId="49" borderId="26" xfId="22" applyNumberFormat="1" applyFont="1" applyFill="1" applyBorder="1" applyAlignment="1">
      <alignment horizontal="center" vertical="top"/>
    </xf>
    <xf numFmtId="43" fontId="8" fillId="49" borderId="10" xfId="22" applyNumberFormat="1" applyFont="1" applyFill="1" applyBorder="1" applyAlignment="1">
      <alignment horizontal="center" vertical="top"/>
    </xf>
    <xf numFmtId="9" fontId="8" fillId="38" borderId="26" xfId="22" applyNumberFormat="1" applyFont="1" applyFill="1" applyBorder="1" applyAlignment="1">
      <alignment horizontal="center"/>
    </xf>
    <xf numFmtId="43" fontId="8" fillId="38" borderId="10" xfId="22" applyNumberFormat="1" applyFont="1" applyFill="1" applyBorder="1" applyAlignment="1">
      <alignment horizontal="center"/>
    </xf>
    <xf numFmtId="9" fontId="8" fillId="3" borderId="26" xfId="22" applyNumberFormat="1" applyFont="1" applyBorder="1" applyAlignment="1">
      <alignment horizontal="center" vertical="top"/>
    </xf>
    <xf numFmtId="43" fontId="8" fillId="3" borderId="10" xfId="22" applyNumberFormat="1" applyFont="1" applyBorder="1" applyAlignment="1">
      <alignment horizontal="center" vertical="top"/>
    </xf>
    <xf numFmtId="43" fontId="257" fillId="0" borderId="26" xfId="22" applyNumberFormat="1" applyFont="1" applyFill="1" applyBorder="1" applyAlignment="1">
      <alignment horizontal="center" vertical="top"/>
    </xf>
    <xf numFmtId="43" fontId="257" fillId="0" borderId="10" xfId="22" applyNumberFormat="1" applyFont="1" applyFill="1" applyBorder="1" applyAlignment="1">
      <alignment horizontal="center" vertical="top"/>
    </xf>
    <xf numFmtId="0" fontId="8" fillId="15" borderId="0" xfId="0" applyFont="1" applyFill="1" applyAlignment="1">
      <alignment horizontal="center" vertical="center"/>
    </xf>
    <xf numFmtId="0" fontId="256" fillId="0" borderId="0" xfId="0" quotePrefix="1" applyFont="1" applyAlignment="1">
      <alignment horizontal="center"/>
    </xf>
    <xf numFmtId="43" fontId="33" fillId="3" borderId="26" xfId="22" applyNumberFormat="1" applyFont="1" applyBorder="1" applyAlignment="1">
      <alignment horizontal="center" vertical="center"/>
    </xf>
    <xf numFmtId="43" fontId="33" fillId="3" borderId="10" xfId="22" applyNumberFormat="1" applyFont="1" applyBorder="1" applyAlignment="1">
      <alignment horizontal="center" vertical="center"/>
    </xf>
    <xf numFmtId="0" fontId="101" fillId="32" borderId="0" xfId="0" applyFont="1" applyFill="1" applyAlignment="1">
      <alignment horizontal="center" vertical="center" textRotation="255"/>
    </xf>
    <xf numFmtId="0" fontId="213" fillId="0" borderId="0" xfId="0" applyFont="1" applyAlignment="1">
      <alignment horizontal="left" wrapText="1"/>
    </xf>
    <xf numFmtId="0" fontId="106" fillId="0" borderId="0" xfId="28" applyFont="1" applyAlignment="1">
      <alignment horizontal="center" vertical="center"/>
    </xf>
    <xf numFmtId="44" fontId="134" fillId="0" borderId="0" xfId="45" applyNumberFormat="1" applyFont="1" applyFill="1" applyAlignment="1">
      <alignment horizontal="left"/>
    </xf>
    <xf numFmtId="0" fontId="61" fillId="0" borderId="0" xfId="0" applyFont="1" applyAlignment="1">
      <alignment horizontal="center" vertical="center"/>
    </xf>
    <xf numFmtId="44" fontId="142" fillId="0" borderId="0" xfId="45" applyNumberFormat="1" applyFont="1" applyFill="1" applyAlignment="1">
      <alignment horizontal="left" vertical="center"/>
    </xf>
    <xf numFmtId="0" fontId="113" fillId="32" borderId="0" xfId="0" applyFont="1" applyFill="1" applyAlignment="1">
      <alignment horizontal="center" vertical="center" textRotation="255"/>
    </xf>
    <xf numFmtId="0" fontId="124" fillId="0" borderId="0" xfId="0" applyFont="1" applyAlignment="1">
      <alignment horizontal="left" vertical="top"/>
    </xf>
    <xf numFmtId="0" fontId="118" fillId="41" borderId="0" xfId="0" applyFont="1" applyFill="1" applyAlignment="1">
      <alignment horizontal="center" vertical="center" wrapText="1"/>
    </xf>
    <xf numFmtId="44" fontId="131" fillId="32" borderId="0" xfId="45" applyNumberFormat="1" applyFont="1" applyFill="1" applyAlignment="1">
      <alignment horizontal="center" vertical="center" wrapText="1"/>
    </xf>
    <xf numFmtId="0" fontId="124" fillId="0" borderId="0" xfId="0" applyFont="1" applyAlignment="1">
      <alignment horizontal="center" vertical="center"/>
    </xf>
    <xf numFmtId="0" fontId="201" fillId="0" borderId="0" xfId="0" applyFont="1" applyAlignment="1">
      <alignment horizontal="center" vertical="center"/>
    </xf>
    <xf numFmtId="0" fontId="20" fillId="32" borderId="0" xfId="0" applyFont="1" applyFill="1" applyAlignment="1">
      <alignment horizontal="center" vertical="center" textRotation="255"/>
    </xf>
    <xf numFmtId="0" fontId="119" fillId="0" borderId="0" xfId="0" applyFont="1" applyAlignment="1">
      <alignment horizontal="center" vertical="center" wrapText="1"/>
    </xf>
    <xf numFmtId="0" fontId="128" fillId="11" borderId="0" xfId="0" applyFont="1" applyFill="1" applyAlignment="1">
      <alignment horizontal="center" vertical="center" wrapText="1"/>
    </xf>
    <xf numFmtId="0" fontId="126" fillId="9" borderId="0" xfId="0" applyFont="1" applyFill="1" applyAlignment="1">
      <alignment horizontal="center" vertical="center" textRotation="255" wrapText="1"/>
    </xf>
    <xf numFmtId="0" fontId="0" fillId="0" borderId="0" xfId="0" applyAlignment="1">
      <alignment horizontal="center" vertical="center" wrapText="1"/>
    </xf>
    <xf numFmtId="0" fontId="130" fillId="0" borderId="0" xfId="0" applyFont="1" applyAlignment="1">
      <alignment horizontal="center" vertical="center" textRotation="135" wrapText="1"/>
    </xf>
    <xf numFmtId="0" fontId="20" fillId="0" borderId="0" xfId="0" applyFont="1" applyAlignment="1">
      <alignment horizontal="left" vertical="center" wrapText="1" indent="4"/>
    </xf>
    <xf numFmtId="0" fontId="20" fillId="0" borderId="0" xfId="0" applyFont="1" applyAlignment="1">
      <alignment horizontal="left" vertical="top" wrapText="1"/>
    </xf>
    <xf numFmtId="164" fontId="34" fillId="16" borderId="0" xfId="0" applyNumberFormat="1" applyFont="1" applyFill="1" applyAlignment="1">
      <alignment horizontal="center" vertical="center"/>
    </xf>
    <xf numFmtId="0" fontId="111" fillId="0" borderId="0" xfId="0" applyFont="1" applyAlignment="1">
      <alignment horizontal="left"/>
    </xf>
    <xf numFmtId="0" fontId="20" fillId="11" borderId="0" xfId="0" applyFont="1" applyFill="1" applyAlignment="1">
      <alignment vertical="center" textRotation="255" wrapText="1"/>
    </xf>
    <xf numFmtId="0" fontId="109" fillId="0" borderId="0" xfId="0" applyFont="1" applyAlignment="1">
      <alignment horizontal="center" vertical="center" textRotation="255"/>
    </xf>
    <xf numFmtId="0" fontId="20" fillId="10" borderId="0" xfId="0" applyFont="1" applyFill="1" applyAlignment="1">
      <alignment horizontal="center" vertical="center" wrapText="1"/>
    </xf>
    <xf numFmtId="0" fontId="64" fillId="0" borderId="0" xfId="0" applyFont="1" applyAlignment="1">
      <alignment horizontal="center" vertical="center" wrapText="1"/>
    </xf>
  </cellXfs>
  <cellStyles count="49">
    <cellStyle name="20% - Accent2 2" xfId="45" xr:uid="{AE8FF231-6AF8-4B52-AE88-D3258497928E}"/>
    <cellStyle name="20% - Accent3 2" xfId="26" xr:uid="{00000000-0005-0000-0000-000001000000}"/>
    <cellStyle name="20% - Accent3 2 2" xfId="38" xr:uid="{C1540660-7492-44D1-8E04-4AF2B06DC28E}"/>
    <cellStyle name="20% - Accent3 3" xfId="33" xr:uid="{E850735F-8E7B-40A2-8C66-884305B1294D}"/>
    <cellStyle name="20% - Accent5 2" xfId="42" xr:uid="{A6B5DB69-32BC-4A65-AC4B-8C2B5452778F}"/>
    <cellStyle name="40% - Accent2 2 2" xfId="3" xr:uid="{00000000-0005-0000-0000-000002000000}"/>
    <cellStyle name="40% - Accent2 2 2 2" xfId="32" xr:uid="{8C6348F5-0D64-4CDF-B606-E4274F551A3A}"/>
    <cellStyle name="Accent2 2" xfId="6" xr:uid="{00000000-0005-0000-0000-000003000000}"/>
    <cellStyle name="Accent3 2" xfId="5" xr:uid="{00000000-0005-0000-0000-000004000000}"/>
    <cellStyle name="Calculation 2" xfId="7" xr:uid="{00000000-0005-0000-0000-000006000000}"/>
    <cellStyle name="Calculation 3" xfId="22" xr:uid="{00000000-0005-0000-0000-000007000000}"/>
    <cellStyle name="Calculation 4" xfId="46" xr:uid="{52A765C3-9846-4C11-8AAB-9C55BCBBD203}"/>
    <cellStyle name="Check Cell 2" xfId="8" xr:uid="{00000000-0005-0000-0000-000008000000}"/>
    <cellStyle name="Comma" xfId="43" builtinId="3"/>
    <cellStyle name="Comma 2" xfId="24" xr:uid="{00000000-0005-0000-0000-00000A000000}"/>
    <cellStyle name="Comma 4" xfId="23" xr:uid="{00000000-0005-0000-0000-00000B000000}"/>
    <cellStyle name="Currency" xfId="48" builtinId="4"/>
    <cellStyle name="Currency 2" xfId="2" xr:uid="{00000000-0005-0000-0000-00000D000000}"/>
    <cellStyle name="Currency 3" xfId="12" xr:uid="{00000000-0005-0000-0000-00000E000000}"/>
    <cellStyle name="Currency 4" xfId="16" xr:uid="{00000000-0005-0000-0000-00000F000000}"/>
    <cellStyle name="Currency 4 2" xfId="36" xr:uid="{BEAA1F06-795F-46C0-8781-E9EAE2D00DCD}"/>
    <cellStyle name="Good 2" xfId="4" xr:uid="{00000000-0005-0000-0000-000010000000}"/>
    <cellStyle name="Hyperlink" xfId="1" builtinId="8"/>
    <cellStyle name="Hyperlink 2" xfId="11" xr:uid="{00000000-0005-0000-0000-000012000000}"/>
    <cellStyle name="Hyperlink 2 2" xfId="21" xr:uid="{00000000-0005-0000-0000-000013000000}"/>
    <cellStyle name="Hyperlink 3" xfId="18" xr:uid="{00000000-0005-0000-0000-000014000000}"/>
    <cellStyle name="Hyperlink 3 2" xfId="25" xr:uid="{00000000-0005-0000-0000-000015000000}"/>
    <cellStyle name="Hyperlink 4" xfId="31" xr:uid="{0CC31CBB-3358-4CF7-9FB1-66CF343FF7DC}"/>
    <cellStyle name="Linked Cell 2" xfId="40" xr:uid="{DCC908DD-E13E-4203-8DD7-E6E8BE86700C}"/>
    <cellStyle name="Linked Cell 3" xfId="44" xr:uid="{E2BC20A9-3223-4483-ACA3-AA512430B463}"/>
    <cellStyle name="Normal" xfId="0" builtinId="0"/>
    <cellStyle name="Normal 2" xfId="10" xr:uid="{00000000-0005-0000-0000-000018000000}"/>
    <cellStyle name="Normal 2 2" xfId="13" xr:uid="{00000000-0005-0000-0000-000019000000}"/>
    <cellStyle name="Normal 2 2 2" xfId="19" xr:uid="{00000000-0005-0000-0000-00001A000000}"/>
    <cellStyle name="Normal 2 2 3" xfId="34" xr:uid="{BC8AB216-2AC9-4DDD-B569-BABB12F3B49A}"/>
    <cellStyle name="Normal 3" xfId="15" xr:uid="{00000000-0005-0000-0000-00001B000000}"/>
    <cellStyle name="Normal 3 2" xfId="35" xr:uid="{A8B2DA2E-6008-4525-82F0-2558E3788872}"/>
    <cellStyle name="Normal 4" xfId="20" xr:uid="{00000000-0005-0000-0000-00001C000000}"/>
    <cellStyle name="Normal 5" xfId="14" xr:uid="{00000000-0005-0000-0000-00001D000000}"/>
    <cellStyle name="Normal 6" xfId="27" xr:uid="{00000000-0005-0000-0000-00001E000000}"/>
    <cellStyle name="Normal 6 2" xfId="39" xr:uid="{6BF4812A-C52E-45DB-B90B-EAFB743660E0}"/>
    <cellStyle name="Normal 7" xfId="30" xr:uid="{00000000-0005-0000-0000-00001F000000}"/>
    <cellStyle name="Output 2" xfId="29" xr:uid="{00000000-0005-0000-0000-000020000000}"/>
    <cellStyle name="Percent" xfId="47" builtinId="5"/>
    <cellStyle name="Percent 2" xfId="9" xr:uid="{00000000-0005-0000-0000-000021000000}"/>
    <cellStyle name="Percent 3" xfId="17" xr:uid="{00000000-0005-0000-0000-000022000000}"/>
    <cellStyle name="Percent 3 2" xfId="37" xr:uid="{51D7FFE5-57FC-4913-B41E-88D0673856B4}"/>
    <cellStyle name="Title 2" xfId="28" xr:uid="{00000000-0005-0000-0000-000023000000}"/>
    <cellStyle name="Total 2" xfId="41" xr:uid="{FFDF64E0-0692-4DF9-A98D-017BCF167C6D}"/>
  </cellStyles>
  <dxfs count="9">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1"/>
        <color auto="1"/>
        <name val="Arial"/>
        <family val="2"/>
        <scheme val="minor"/>
      </font>
    </dxf>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1"/>
        <color auto="1"/>
        <name val="Arial"/>
        <family val="2"/>
        <scheme val="minor"/>
      </font>
    </dxf>
    <dxf>
      <font>
        <b val="0"/>
        <i val="0"/>
        <strike val="0"/>
        <condense val="0"/>
        <extend val="0"/>
        <outline val="0"/>
        <shadow val="0"/>
        <u val="none"/>
        <vertAlign val="baseline"/>
        <sz val="14"/>
        <color rgb="FF000000"/>
        <name val="Arial"/>
        <family val="2"/>
        <scheme val="minor"/>
      </font>
      <fill>
        <patternFill>
          <bgColor theme="0"/>
        </patternFill>
      </fill>
    </dxf>
    <dxf>
      <font>
        <b val="0"/>
        <i val="0"/>
        <strike val="0"/>
        <condense val="0"/>
        <extend val="0"/>
        <outline val="0"/>
        <shadow val="0"/>
        <u val="none"/>
        <vertAlign val="baseline"/>
        <sz val="14"/>
        <color rgb="FF000000"/>
        <name val="Arial"/>
        <family val="2"/>
        <scheme val="minor"/>
      </font>
      <fill>
        <patternFill>
          <bgColor theme="0"/>
        </patternFill>
      </fill>
    </dxf>
    <dxf>
      <border outline="0">
        <top style="thin">
          <color rgb="FF7F7F7F"/>
        </top>
      </border>
    </dxf>
    <dxf>
      <font>
        <b val="0"/>
        <i val="0"/>
        <strike val="0"/>
        <condense val="0"/>
        <extend val="0"/>
        <outline val="0"/>
        <shadow val="0"/>
        <u val="none"/>
        <vertAlign val="baseline"/>
        <sz val="14"/>
        <color rgb="FF000000"/>
        <name val="Arial"/>
        <family val="2"/>
        <scheme val="minor"/>
      </font>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1</xdr:col>
      <xdr:colOff>0</xdr:colOff>
      <xdr:row>320</xdr:row>
      <xdr:rowOff>0</xdr:rowOff>
    </xdr:from>
    <xdr:ext cx="304800" cy="304800"/>
    <xdr:sp macro="" textlink="">
      <xdr:nvSpPr>
        <xdr:cNvPr id="2" name="pendo-image-badge-9f298f30">
          <a:extLst>
            <a:ext uri="{FF2B5EF4-FFF2-40B4-BE49-F238E27FC236}">
              <a16:creationId xmlns:a16="http://schemas.microsoft.com/office/drawing/2014/main" id="{305EDF46-27C2-4F21-BC71-4758BC504D7D}"/>
            </a:ext>
          </a:extLst>
        </xdr:cNvPr>
        <xdr:cNvSpPr>
          <a:spLocks noChangeAspect="1" noChangeArrowheads="1"/>
        </xdr:cNvSpPr>
      </xdr:nvSpPr>
      <xdr:spPr bwMode="auto">
        <a:xfrm>
          <a:off x="0" y="53583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175</xdr:row>
      <xdr:rowOff>0</xdr:rowOff>
    </xdr:from>
    <xdr:ext cx="304800" cy="312420"/>
    <xdr:sp macro="" textlink="">
      <xdr:nvSpPr>
        <xdr:cNvPr id="3" name="pendo-image-badge-9f298f30">
          <a:extLst>
            <a:ext uri="{FF2B5EF4-FFF2-40B4-BE49-F238E27FC236}">
              <a16:creationId xmlns:a16="http://schemas.microsoft.com/office/drawing/2014/main" id="{25525F79-24BB-4232-8761-5BFAD2A880D2}"/>
            </a:ext>
          </a:extLst>
        </xdr:cNvPr>
        <xdr:cNvSpPr>
          <a:spLocks noChangeAspect="1" noChangeArrowheads="1"/>
        </xdr:cNvSpPr>
      </xdr:nvSpPr>
      <xdr:spPr bwMode="auto">
        <a:xfrm>
          <a:off x="1219200" y="2706624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165</xdr:row>
      <xdr:rowOff>0</xdr:rowOff>
    </xdr:from>
    <xdr:ext cx="304800" cy="304800"/>
    <xdr:sp macro="" textlink="">
      <xdr:nvSpPr>
        <xdr:cNvPr id="4" name="pendo-image-badge-9f298f30">
          <a:extLst>
            <a:ext uri="{FF2B5EF4-FFF2-40B4-BE49-F238E27FC236}">
              <a16:creationId xmlns:a16="http://schemas.microsoft.com/office/drawing/2014/main" id="{995A413F-6757-457C-BA81-CB54DE9D7B4A}"/>
            </a:ext>
          </a:extLst>
        </xdr:cNvPr>
        <xdr:cNvSpPr>
          <a:spLocks noChangeAspect="1" noChangeArrowheads="1"/>
        </xdr:cNvSpPr>
      </xdr:nvSpPr>
      <xdr:spPr bwMode="auto">
        <a:xfrm>
          <a:off x="3048000" y="2523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165</xdr:row>
      <xdr:rowOff>0</xdr:rowOff>
    </xdr:from>
    <xdr:ext cx="304800" cy="304800"/>
    <xdr:sp macro="" textlink="">
      <xdr:nvSpPr>
        <xdr:cNvPr id="5" name="pendo-image-badge-9f298f30">
          <a:extLst>
            <a:ext uri="{FF2B5EF4-FFF2-40B4-BE49-F238E27FC236}">
              <a16:creationId xmlns:a16="http://schemas.microsoft.com/office/drawing/2014/main" id="{9A1D4D40-506F-47D5-97C1-E20D059E16D1}"/>
            </a:ext>
          </a:extLst>
        </xdr:cNvPr>
        <xdr:cNvSpPr>
          <a:spLocks noChangeAspect="1" noChangeArrowheads="1"/>
        </xdr:cNvSpPr>
      </xdr:nvSpPr>
      <xdr:spPr bwMode="auto">
        <a:xfrm>
          <a:off x="0" y="2523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1A3F773AC1D9A35/Documents/50-2-CONTRACT.xlsx" TargetMode="External"/><Relationship Id="rId1" Type="http://schemas.openxmlformats.org/officeDocument/2006/relationships/externalLinkPath" Target="/11A3F773AC1D9A35/Documents/50-2-CONTRAC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wner\Downloads\OH25%20MONTGOMERY%20V2%20@ASHWOOD\Templates%20OH25%20MONTGOMERY\60-SCOPE-OH25%20MONTGOMERY.xlsm" TargetMode="External"/><Relationship Id="rId1" Type="http://schemas.openxmlformats.org/officeDocument/2006/relationships/externalLinkPath" Target="file:///C:\Users\Owner\Downloads\OH25%20MONTGOMERY%20V2%20@ASHWOOD\Templates%20OH25%20MONTGOMERY\60-SCOPE-OH25%20MONTGOMER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ail cvr"/>
      <sheetName val="quicklist"/>
      <sheetName val="signpgs"/>
      <sheetName val="cst o&amp;p to ins co."/>
      <sheetName val="jobinfo(2)"/>
      <sheetName val="AOBOH"/>
      <sheetName val="AOBGA"/>
      <sheetName val="SUB MIT"/>
      <sheetName val="SUBC"/>
      <sheetName val="signpgs (3)"/>
      <sheetName val="SUBCPS1"/>
      <sheetName val="CHANGES"/>
      <sheetName val="POL"/>
      <sheetName val="DRAWS"/>
      <sheetName val="AOB2"/>
      <sheetName val="aob"/>
    </sheetNames>
    <sheetDataSet>
      <sheetData sheetId="0"/>
      <sheetData sheetId="1"/>
      <sheetData sheetId="2"/>
      <sheetData sheetId="3"/>
      <sheetData sheetId="4">
        <row r="1">
          <cell r="C1" t="str">
            <v>MONTGOMERY, JAVIONNA ANTONIO</v>
          </cell>
        </row>
        <row r="2">
          <cell r="C2" t="str">
            <v xml:space="preserve">3034 Ashwood Road, </v>
          </cell>
        </row>
        <row r="3">
          <cell r="C3" t="str">
            <v>Cleveland, OH, USA 44120</v>
          </cell>
        </row>
        <row r="4">
          <cell r="C4" t="str">
            <v>JAVIONNA@ICLOUD.COM</v>
          </cell>
        </row>
        <row r="5">
          <cell r="B5" t="str">
            <v>Cst-owner Phone#</v>
          </cell>
          <cell r="C5" t="str">
            <v>(216) 551-5572</v>
          </cell>
        </row>
        <row r="6">
          <cell r="B6" t="str">
            <v>Co-Owner.cst#2</v>
          </cell>
        </row>
        <row r="11">
          <cell r="B11" t="str">
            <v>Cause of Loss</v>
          </cell>
          <cell r="C11" t="str">
            <v>WATER BATHTUB OVERFLOW</v>
          </cell>
        </row>
        <row r="12">
          <cell r="B12" t="str">
            <v>date of loss</v>
          </cell>
          <cell r="C12" t="str">
            <v>Saturday, August 26, 2025</v>
          </cell>
        </row>
        <row r="13">
          <cell r="B13" t="str">
            <v>rebuild  type 1</v>
          </cell>
          <cell r="C13" t="str">
            <v>interior repairs LVL1</v>
          </cell>
        </row>
        <row r="14">
          <cell r="B14" t="str">
            <v>rebuild  type 2</v>
          </cell>
          <cell r="C14" t="str">
            <v>interior repairs LVL2</v>
          </cell>
        </row>
        <row r="15">
          <cell r="B15" t="str">
            <v>rebuild  type 3</v>
          </cell>
          <cell r="C15" t="str">
            <v>interior repairs BSMNT</v>
          </cell>
        </row>
        <row r="16">
          <cell r="B16" t="str">
            <v>DEMO</v>
          </cell>
          <cell r="C16" t="str">
            <v>Y</v>
          </cell>
        </row>
        <row r="17">
          <cell r="B17" t="str">
            <v>Mitigation</v>
          </cell>
          <cell r="C17" t="str">
            <v>Y</v>
          </cell>
        </row>
        <row r="18">
          <cell r="B18" t="str">
            <v>Other Structures</v>
          </cell>
          <cell r="C18" t="str">
            <v>NA</v>
          </cell>
        </row>
        <row r="19">
          <cell r="B19" t="str">
            <v>Replacement</v>
          </cell>
          <cell r="C19" t="str">
            <v>Y</v>
          </cell>
        </row>
        <row r="20">
          <cell r="B20" t="str">
            <v>CPS / CLN / CON/ CGN</v>
          </cell>
          <cell r="C20" t="str">
            <v>NA</v>
          </cell>
        </row>
        <row r="21">
          <cell r="B21" t="str">
            <v>Year Built</v>
          </cell>
          <cell r="C21" t="str">
            <v>POST 1978</v>
          </cell>
        </row>
        <row r="22">
          <cell r="B22" t="str">
            <v>Contract Date</v>
          </cell>
          <cell r="C22">
            <v>45896</v>
          </cell>
        </row>
        <row r="23">
          <cell r="B23" t="str">
            <v>Loss of use/ ALE</v>
          </cell>
          <cell r="C23" t="str">
            <v>TBD</v>
          </cell>
        </row>
        <row r="24">
          <cell r="B24" t="str">
            <v>Breathing issue</v>
          </cell>
          <cell r="C24" t="str">
            <v>TBD</v>
          </cell>
        </row>
        <row r="25">
          <cell r="B25" t="str">
            <v>HMR</v>
          </cell>
          <cell r="C25" t="str">
            <v>TBD</v>
          </cell>
        </row>
        <row r="26">
          <cell r="B26" t="str">
            <v xml:space="preserve">Insurance Co. Name </v>
          </cell>
          <cell r="C26" t="str">
            <v>INS CO</v>
          </cell>
        </row>
        <row r="27">
          <cell r="B27" t="str">
            <v xml:space="preserve">Claim # </v>
          </cell>
          <cell r="C27" t="str">
            <v>CLM# TBD</v>
          </cell>
        </row>
        <row r="28">
          <cell r="B28" t="str">
            <v>policy #</v>
          </cell>
          <cell r="C28" t="str">
            <v>PL # TBD</v>
          </cell>
        </row>
        <row r="29">
          <cell r="B29" t="str">
            <v>Email INS. co.</v>
          </cell>
        </row>
        <row r="30">
          <cell r="B30" t="str">
            <v>DESK Adjuster DA</v>
          </cell>
        </row>
        <row r="31">
          <cell r="B31" t="str">
            <v>DA Phone</v>
          </cell>
        </row>
        <row r="32">
          <cell r="B32" t="str">
            <v>DA Ph. Ext. #</v>
          </cell>
        </row>
        <row r="33">
          <cell r="B33" t="str">
            <v xml:space="preserve">DA Email </v>
          </cell>
        </row>
        <row r="34">
          <cell r="B34" t="str">
            <v>Field Adjuster Name</v>
          </cell>
        </row>
        <row r="35">
          <cell r="B35" t="str">
            <v>Phone # field adj</v>
          </cell>
        </row>
        <row r="36">
          <cell r="B36" t="str">
            <v>Field adj email</v>
          </cell>
        </row>
        <row r="37">
          <cell r="B37" t="str">
            <v>adj contents</v>
          </cell>
        </row>
        <row r="38">
          <cell r="B38" t="str">
            <v>adj CPS phone #</v>
          </cell>
        </row>
        <row r="39">
          <cell r="B39" t="str">
            <v>adj CPS email</v>
          </cell>
        </row>
        <row r="40">
          <cell r="B40" t="str">
            <v>TMP adj</v>
          </cell>
        </row>
        <row r="41">
          <cell r="B41" t="str">
            <v>TMP adj phone #</v>
          </cell>
        </row>
        <row r="42">
          <cell r="B42" t="str">
            <v>adj TMP email</v>
          </cell>
        </row>
        <row r="51">
          <cell r="C51" t="str">
            <v>OH25 MONTGOMERY</v>
          </cell>
        </row>
        <row r="100">
          <cell r="C100" t="str">
            <v>All Phase Consulting, LLC</v>
          </cell>
          <cell r="D100" t="str">
            <v>Wayside Builders, LLC</v>
          </cell>
        </row>
        <row r="112">
          <cell r="C112" t="str">
            <v>Joe Jones, PM  216.450.7228</v>
          </cell>
          <cell r="D112" t="str">
            <v>Tony Jones 216.347.2656</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peCHLST"/>
      <sheetName val="LISTS ENC"/>
      <sheetName val="kit bath"/>
      <sheetName val="jobinfo(2)"/>
      <sheetName val="quicklist"/>
      <sheetName val="chklst"/>
      <sheetName val="pics"/>
      <sheetName val="brief"/>
      <sheetName val="HMR"/>
      <sheetName val="mnt EXT"/>
      <sheetName val="LABEL10X"/>
      <sheetName val="forms"/>
      <sheetName val="ScopeINT"/>
      <sheetName val="INT QUICK"/>
      <sheetName val="RFG LABELS"/>
      <sheetName val="Scope 2"/>
      <sheetName val="Scope 3"/>
      <sheetName val="Scope 4"/>
    </sheetNames>
    <sheetDataSet>
      <sheetData sheetId="0" refreshError="1"/>
      <sheetData sheetId="1" refreshError="1"/>
      <sheetData sheetId="2" refreshError="1"/>
      <sheetData sheetId="3">
        <row r="1">
          <cell r="C1" t="str">
            <v>MONTGOMERY, JAVIONNA ANTONIO</v>
          </cell>
        </row>
        <row r="2">
          <cell r="C2" t="str">
            <v xml:space="preserve">3034 Ashwood Road, </v>
          </cell>
        </row>
        <row r="3">
          <cell r="C3" t="str">
            <v>Cleveland, OH, USA 44120</v>
          </cell>
        </row>
        <row r="5">
          <cell r="C5" t="str">
            <v>(216) 551-5572</v>
          </cell>
        </row>
        <row r="11">
          <cell r="C11" t="str">
            <v>WATER BATHTUB OVER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EBD3A2-3591-4D56-805A-89A2550800AF}" name="Table2" displayName="Table2" ref="C18:F31" headerRowCount="0" totalsRowShown="0" headerRowDxfId="8" dataDxfId="7" tableBorderDxfId="6">
  <tableColumns count="4">
    <tableColumn id="1" xr3:uid="{D71C7558-F039-44FD-AB2E-4D5FBF115296}" name="Column1" dataDxfId="5"/>
    <tableColumn id="4" xr3:uid="{842D1722-D7C4-4EA8-A1A6-B16F67430FAF}" name="Column4" dataDxfId="4"/>
    <tableColumn id="2" xr3:uid="{9C9AC948-7DAB-430A-AC3D-7EDE155CF5C0}" name="Column2" headerRowDxfId="3" dataDxfId="2"/>
    <tableColumn id="3" xr3:uid="{254B26DA-8902-4BCA-B4EB-48989542D87A}" name="Column3" headerRowDxfId="1" dataDxfId="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OH25THOMAS@GERTRUDE" TargetMode="External"/><Relationship Id="rId2" Type="http://schemas.openxmlformats.org/officeDocument/2006/relationships/hyperlink" Target="mailto:wsbjoe9@gmail.com" TargetMode="External"/><Relationship Id="rId1" Type="http://schemas.openxmlformats.org/officeDocument/2006/relationships/hyperlink" Target="http://www.akbuilds.com/"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manage.ap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523E-DA7D-4380-8A7D-81A68DD94BC3}">
  <sheetPr codeName="Sheet7"/>
  <dimension ref="A1:G118"/>
  <sheetViews>
    <sheetView view="pageBreakPreview" zoomScaleNormal="100" zoomScaleSheetLayoutView="100" workbookViewId="0">
      <selection activeCell="A16" sqref="A16"/>
    </sheetView>
  </sheetViews>
  <sheetFormatPr defaultColWidth="8.75" defaultRowHeight="21.6" customHeight="1"/>
  <cols>
    <col min="1" max="1" width="6.625" style="102" customWidth="1"/>
    <col min="2" max="2" width="1.5" style="101" hidden="1" customWidth="1"/>
    <col min="3" max="3" width="66.375" style="101" customWidth="1"/>
    <col min="4" max="4" width="15" style="101" customWidth="1"/>
    <col min="5" max="5" width="4.25" style="101" customWidth="1"/>
    <col min="6" max="6" width="5.25" style="101" customWidth="1"/>
  </cols>
  <sheetData>
    <row r="1" spans="1:7" ht="21.6" customHeight="1">
      <c r="A1" s="136" t="s">
        <v>0</v>
      </c>
      <c r="B1" s="134"/>
      <c r="D1" s="135" t="str">
        <f>+'jobinfo(2)'!C2</f>
        <v>6600 GERTRUDE</v>
      </c>
    </row>
    <row r="2" spans="1:7" ht="21.6" customHeight="1">
      <c r="A2" s="670" t="s">
        <v>1</v>
      </c>
      <c r="B2" s="133"/>
      <c r="C2" s="331" t="str">
        <f>+'jobinfo(2)'!C51</f>
        <v>OH25THOMAS@GERTRUDE</v>
      </c>
      <c r="D2" s="135" t="str">
        <f>+'jobinfo(2)'!C3</f>
        <v>Cleveland, OH 44105</v>
      </c>
    </row>
    <row r="3" spans="1:7" ht="21.6" customHeight="1">
      <c r="A3" s="775">
        <v>1</v>
      </c>
      <c r="B3" s="132" t="s">
        <v>2</v>
      </c>
      <c r="C3" s="154" t="s">
        <v>3</v>
      </c>
      <c r="D3" s="805" t="s">
        <v>4</v>
      </c>
      <c r="E3" s="805"/>
      <c r="F3" s="805"/>
    </row>
    <row r="4" spans="1:7" ht="21.6" customHeight="1">
      <c r="A4" s="774"/>
      <c r="B4" s="131"/>
      <c r="C4" s="130" t="s">
        <v>5</v>
      </c>
      <c r="D4" s="139" t="str">
        <f>'jobinfo(2)'!C26</f>
        <v>ALLSTATE INS CO.</v>
      </c>
      <c r="E4" s="161"/>
      <c r="F4" s="163"/>
      <c r="G4">
        <v>100</v>
      </c>
    </row>
    <row r="5" spans="1:7" ht="21.6" customHeight="1">
      <c r="A5" s="800" t="s">
        <v>6</v>
      </c>
      <c r="C5" s="124" t="s">
        <v>7</v>
      </c>
      <c r="D5" s="111" t="s">
        <v>8</v>
      </c>
      <c r="E5" s="118"/>
      <c r="F5" s="117"/>
    </row>
    <row r="6" spans="1:7" ht="21.6" customHeight="1">
      <c r="A6" s="800"/>
      <c r="C6" s="129" t="s">
        <v>9</v>
      </c>
      <c r="D6" s="108" t="s">
        <v>8</v>
      </c>
      <c r="E6" s="161"/>
      <c r="F6" s="163"/>
    </row>
    <row r="7" spans="1:7" ht="21.6" customHeight="1">
      <c r="A7" s="800"/>
      <c r="C7" s="128" t="s">
        <v>10</v>
      </c>
      <c r="D7" s="111" t="s">
        <v>8</v>
      </c>
      <c r="E7" s="118"/>
      <c r="F7" s="117"/>
    </row>
    <row r="8" spans="1:7" ht="21.6" customHeight="1">
      <c r="A8" s="800"/>
      <c r="C8" s="124" t="s">
        <v>11</v>
      </c>
      <c r="D8" s="109" t="s">
        <v>8</v>
      </c>
      <c r="E8" s="161"/>
      <c r="F8" s="163"/>
      <c r="G8">
        <v>200</v>
      </c>
    </row>
    <row r="9" spans="1:7" ht="21.6" customHeight="1">
      <c r="A9" s="775">
        <v>2</v>
      </c>
      <c r="B9" s="127" t="s">
        <v>12</v>
      </c>
      <c r="C9" s="126" t="s">
        <v>13</v>
      </c>
      <c r="D9" s="125" t="s">
        <v>8</v>
      </c>
      <c r="E9" s="125"/>
      <c r="F9" s="125"/>
    </row>
    <row r="10" spans="1:7" ht="21.6" customHeight="1">
      <c r="A10" s="806"/>
      <c r="B10" s="106"/>
      <c r="C10" s="124" t="s">
        <v>14</v>
      </c>
      <c r="D10" s="123" t="s">
        <v>8</v>
      </c>
      <c r="E10" s="164"/>
      <c r="F10" s="165"/>
    </row>
    <row r="11" spans="1:7" ht="21.6" customHeight="1">
      <c r="A11" s="806"/>
      <c r="B11" s="106"/>
      <c r="C11" s="121" t="s">
        <v>15</v>
      </c>
      <c r="D11" s="111" t="s">
        <v>8</v>
      </c>
      <c r="E11" s="118"/>
      <c r="F11" s="117"/>
      <c r="G11">
        <v>500</v>
      </c>
    </row>
    <row r="12" spans="1:7" ht="21.6" customHeight="1">
      <c r="A12" s="773" t="s">
        <v>16</v>
      </c>
      <c r="B12" s="106"/>
      <c r="C12" s="166" t="s">
        <v>17</v>
      </c>
      <c r="D12" s="108" t="s">
        <v>8</v>
      </c>
      <c r="E12" s="164"/>
      <c r="F12" s="165"/>
    </row>
    <row r="13" spans="1:7" ht="21.6" customHeight="1">
      <c r="A13" s="157"/>
      <c r="B13" s="106"/>
      <c r="C13" s="122" t="s">
        <v>18</v>
      </c>
      <c r="D13" s="111" t="s">
        <v>8</v>
      </c>
      <c r="E13" s="164"/>
      <c r="F13" s="165"/>
    </row>
    <row r="14" spans="1:7" ht="21.6" customHeight="1">
      <c r="A14" s="773" t="s">
        <v>19</v>
      </c>
      <c r="B14" s="106"/>
      <c r="C14" s="121" t="s">
        <v>20</v>
      </c>
      <c r="D14" s="123" t="s">
        <v>8</v>
      </c>
      <c r="E14" s="164"/>
      <c r="F14" s="165"/>
    </row>
    <row r="15" spans="1:7" ht="21.6" customHeight="1">
      <c r="A15" s="137"/>
      <c r="B15" s="106"/>
      <c r="C15" s="121" t="s">
        <v>21</v>
      </c>
      <c r="D15" s="111" t="s">
        <v>8</v>
      </c>
      <c r="E15" s="118"/>
      <c r="F15" s="117"/>
    </row>
    <row r="16" spans="1:7" ht="21.6" customHeight="1">
      <c r="A16" s="775">
        <v>3</v>
      </c>
      <c r="C16" s="325" t="s">
        <v>22</v>
      </c>
      <c r="D16" s="120" t="s">
        <v>8</v>
      </c>
      <c r="E16" s="120"/>
      <c r="F16" s="120"/>
    </row>
    <row r="17" spans="1:7" ht="21.6" customHeight="1">
      <c r="A17" s="668" t="s">
        <v>23</v>
      </c>
      <c r="B17" s="120"/>
      <c r="C17" s="119" t="s">
        <v>24</v>
      </c>
      <c r="D17" s="109" t="s">
        <v>8</v>
      </c>
      <c r="E17" s="118"/>
      <c r="F17" s="117"/>
      <c r="G17">
        <v>100</v>
      </c>
    </row>
    <row r="18" spans="1:7" ht="21.6" customHeight="1">
      <c r="A18" s="669" t="s">
        <v>25</v>
      </c>
      <c r="B18" s="152"/>
      <c r="C18" s="330" t="s">
        <v>26</v>
      </c>
      <c r="D18" s="160" t="s">
        <v>8</v>
      </c>
      <c r="E18" s="161"/>
      <c r="F18" s="117"/>
    </row>
    <row r="19" spans="1:7" ht="21.6" customHeight="1" thickBot="1">
      <c r="A19" s="667" t="s">
        <v>27</v>
      </c>
      <c r="B19" s="116" t="s">
        <v>28</v>
      </c>
      <c r="C19" s="154" t="s">
        <v>29</v>
      </c>
      <c r="D19" s="115"/>
      <c r="E19" s="115"/>
      <c r="F19" s="115"/>
    </row>
    <row r="20" spans="1:7" ht="21.6" customHeight="1" thickTop="1" thickBot="1">
      <c r="A20" s="158">
        <v>4</v>
      </c>
      <c r="C20" s="114" t="s">
        <v>30</v>
      </c>
      <c r="D20" s="113" t="s">
        <v>8</v>
      </c>
      <c r="E20" s="113"/>
      <c r="F20" s="113"/>
      <c r="G20">
        <v>1000</v>
      </c>
    </row>
    <row r="21" spans="1:7" ht="21.6" customHeight="1" thickTop="1" thickBot="1">
      <c r="A21" s="158">
        <v>5</v>
      </c>
      <c r="C21" s="112" t="s">
        <v>31</v>
      </c>
      <c r="D21" s="167" t="s">
        <v>8</v>
      </c>
      <c r="E21" s="168"/>
      <c r="F21" s="165"/>
      <c r="G21">
        <v>2000</v>
      </c>
    </row>
    <row r="22" spans="1:7" ht="21.6" customHeight="1" thickTop="1" thickBot="1">
      <c r="A22" s="158">
        <v>6</v>
      </c>
      <c r="C22" s="110" t="s">
        <v>32</v>
      </c>
      <c r="D22" s="104" t="s">
        <v>33</v>
      </c>
      <c r="E22" s="169"/>
      <c r="F22" s="170"/>
      <c r="G22">
        <v>2000</v>
      </c>
    </row>
    <row r="23" spans="1:7" ht="21.6" customHeight="1" thickTop="1" thickBot="1">
      <c r="C23" s="159" t="s">
        <v>34</v>
      </c>
      <c r="D23" s="171" t="s">
        <v>33</v>
      </c>
      <c r="E23" s="172"/>
      <c r="F23" s="173"/>
    </row>
    <row r="24" spans="1:7" ht="21.6" customHeight="1" thickTop="1">
      <c r="A24" s="667" t="s">
        <v>35</v>
      </c>
      <c r="B24" s="103" t="s">
        <v>36</v>
      </c>
      <c r="C24" s="150" t="s">
        <v>37</v>
      </c>
      <c r="D24" s="105"/>
      <c r="E24" s="105"/>
      <c r="F24" s="105"/>
    </row>
    <row r="25" spans="1:7" ht="21.6" customHeight="1" thickBot="1">
      <c r="A25" s="777"/>
      <c r="B25" s="103"/>
      <c r="C25" s="107" t="s">
        <v>38</v>
      </c>
      <c r="D25" s="105"/>
      <c r="E25" s="105"/>
      <c r="F25" s="105"/>
    </row>
    <row r="26" spans="1:7" ht="21.6" customHeight="1" thickTop="1" thickBot="1">
      <c r="A26" s="807">
        <v>7</v>
      </c>
      <c r="B26" s="106"/>
      <c r="C26" s="324" t="s">
        <v>39</v>
      </c>
      <c r="D26" s="167"/>
      <c r="E26" s="168"/>
      <c r="F26" s="165"/>
      <c r="G26">
        <v>200</v>
      </c>
    </row>
    <row r="27" spans="1:7" ht="21.6" customHeight="1" thickTop="1" thickBot="1">
      <c r="A27" s="807"/>
      <c r="B27" s="106"/>
      <c r="C27" s="322" t="s">
        <v>40</v>
      </c>
      <c r="D27" s="104" t="s">
        <v>8</v>
      </c>
      <c r="E27" s="169"/>
      <c r="F27" s="172"/>
    </row>
    <row r="28" spans="1:7" ht="21.6" customHeight="1" thickTop="1" thickBot="1">
      <c r="A28" s="807"/>
      <c r="B28" s="106"/>
      <c r="C28" s="323" t="s">
        <v>41</v>
      </c>
      <c r="D28" s="171" t="s">
        <v>33</v>
      </c>
      <c r="E28" s="172"/>
      <c r="F28" s="174"/>
    </row>
    <row r="29" spans="1:7" ht="21.6" customHeight="1" thickTop="1">
      <c r="A29" s="775">
        <v>8</v>
      </c>
      <c r="B29" s="105" t="s">
        <v>42</v>
      </c>
      <c r="C29" s="151" t="s">
        <v>42</v>
      </c>
      <c r="D29" s="105"/>
      <c r="E29" s="105"/>
      <c r="F29" s="105"/>
    </row>
    <row r="30" spans="1:7" ht="21.6" customHeight="1">
      <c r="A30" s="667" t="s">
        <v>43</v>
      </c>
      <c r="B30" s="106"/>
      <c r="C30" s="326" t="s">
        <v>44</v>
      </c>
      <c r="D30" s="171"/>
      <c r="E30" s="172"/>
      <c r="F30" s="174"/>
      <c r="G30">
        <v>500</v>
      </c>
    </row>
    <row r="31" spans="1:7" ht="21.6" customHeight="1">
      <c r="A31" s="158">
        <v>9</v>
      </c>
      <c r="B31" s="154" t="s">
        <v>45</v>
      </c>
      <c r="C31" s="162" t="s">
        <v>46</v>
      </c>
      <c r="D31" s="171"/>
      <c r="E31" s="172"/>
      <c r="F31" s="174"/>
    </row>
    <row r="32" spans="1:7" ht="21.6" customHeight="1">
      <c r="A32" s="667" t="s">
        <v>47</v>
      </c>
      <c r="B32" s="105"/>
      <c r="C32" s="328" t="s">
        <v>48</v>
      </c>
      <c r="D32" s="104"/>
      <c r="E32" s="169"/>
      <c r="F32" s="172"/>
      <c r="G32" s="151"/>
    </row>
    <row r="33" spans="1:7" ht="21.6" customHeight="1">
      <c r="A33" s="804">
        <v>10</v>
      </c>
      <c r="B33" s="101" t="s">
        <v>28</v>
      </c>
      <c r="C33" s="329" t="s">
        <v>49</v>
      </c>
      <c r="D33" s="171"/>
      <c r="E33" s="172"/>
      <c r="F33" s="174"/>
    </row>
    <row r="34" spans="1:7" ht="21.6" customHeight="1">
      <c r="A34" s="804"/>
      <c r="B34" s="149" t="s">
        <v>50</v>
      </c>
      <c r="C34" s="101" t="s">
        <v>51</v>
      </c>
      <c r="D34" s="104"/>
      <c r="E34" s="169"/>
      <c r="F34" s="172"/>
    </row>
    <row r="35" spans="1:7" ht="21.6" customHeight="1">
      <c r="A35" s="804"/>
      <c r="C35" s="327" t="s">
        <v>52</v>
      </c>
      <c r="D35" s="104"/>
      <c r="E35" s="169"/>
      <c r="F35" s="172"/>
    </row>
    <row r="36" spans="1:7" ht="21.6" customHeight="1">
      <c r="A36" s="774"/>
      <c r="G36">
        <f>SUM(G1:G35)</f>
        <v>6600</v>
      </c>
    </row>
    <row r="37" spans="1:7" ht="21.6" customHeight="1">
      <c r="B37" s="134"/>
      <c r="C37" s="136" t="s">
        <v>0</v>
      </c>
      <c r="D37" s="370" t="str">
        <f>+'jobinfo(2)'!$C$2</f>
        <v>6600 GERTRUDE</v>
      </c>
      <c r="E37" s="371"/>
      <c r="F37" s="371"/>
    </row>
    <row r="38" spans="1:7" ht="21.6" customHeight="1">
      <c r="A38" s="426" t="s">
        <v>1</v>
      </c>
      <c r="B38" s="133"/>
      <c r="C38" s="331" t="str">
        <f>+'jobinfo(2)'!C51</f>
        <v>OH25THOMAS@GERTRUDE</v>
      </c>
      <c r="D38" s="370" t="str">
        <f>+'jobinfo(2)'!$C$3</f>
        <v>Cleveland, OH 44105</v>
      </c>
      <c r="E38" s="371"/>
      <c r="F38" s="371"/>
    </row>
    <row r="39" spans="1:7" ht="21.6" customHeight="1">
      <c r="A39" s="777">
        <v>1</v>
      </c>
      <c r="B39" s="132" t="s">
        <v>2</v>
      </c>
      <c r="C39" s="405" t="s">
        <v>3</v>
      </c>
      <c r="D39" s="799" t="str">
        <f>'jobinfo(2)'!$C$27</f>
        <v>CLM</v>
      </c>
      <c r="E39" s="799"/>
      <c r="F39" s="799"/>
    </row>
    <row r="40" spans="1:7" ht="21.6" customHeight="1">
      <c r="A40" s="774"/>
      <c r="B40" s="131"/>
      <c r="C40" s="130" t="s">
        <v>5</v>
      </c>
      <c r="D40" s="799" t="str">
        <f>'jobinfo(2)'!$C$26</f>
        <v>ALLSTATE INS CO.</v>
      </c>
      <c r="E40" s="799"/>
      <c r="F40" s="799"/>
    </row>
    <row r="41" spans="1:7" ht="21.6" customHeight="1">
      <c r="A41" s="800" t="s">
        <v>6</v>
      </c>
      <c r="C41" s="124" t="s">
        <v>53</v>
      </c>
      <c r="D41" s="111"/>
      <c r="E41" s="118"/>
      <c r="F41" s="117"/>
    </row>
    <row r="42" spans="1:7" ht="21.6" customHeight="1">
      <c r="A42" s="800"/>
      <c r="C42" s="124" t="s">
        <v>11</v>
      </c>
      <c r="D42" s="109"/>
      <c r="E42" s="161"/>
      <c r="F42" s="163"/>
    </row>
    <row r="43" spans="1:7" ht="21.6" customHeight="1">
      <c r="A43" s="777">
        <v>2</v>
      </c>
      <c r="B43" s="127" t="s">
        <v>12</v>
      </c>
      <c r="C43" s="410" t="s">
        <v>13</v>
      </c>
      <c r="D43" s="125"/>
      <c r="E43" s="125"/>
      <c r="F43" s="125"/>
    </row>
    <row r="44" spans="1:7" ht="21.6" customHeight="1">
      <c r="A44" s="365" t="s">
        <v>54</v>
      </c>
      <c r="B44" s="365"/>
      <c r="C44" s="365"/>
      <c r="D44" s="414"/>
      <c r="E44" s="118"/>
      <c r="F44" s="117"/>
    </row>
    <row r="45" spans="1:7" ht="21.6" customHeight="1">
      <c r="A45" s="157"/>
      <c r="B45" s="106"/>
      <c r="C45" s="404" t="s">
        <v>55</v>
      </c>
      <c r="D45" s="111"/>
      <c r="E45" s="164"/>
      <c r="F45" s="165"/>
    </row>
    <row r="46" spans="1:7" ht="21.6" customHeight="1">
      <c r="A46" s="156" t="s">
        <v>19</v>
      </c>
      <c r="B46" s="106"/>
      <c r="C46" s="403" t="s">
        <v>56</v>
      </c>
      <c r="D46" s="123"/>
      <c r="E46" s="164"/>
      <c r="F46" s="165"/>
    </row>
    <row r="47" spans="1:7" ht="21.6" customHeight="1">
      <c r="A47" s="777">
        <v>3</v>
      </c>
      <c r="C47" s="411" t="s">
        <v>22</v>
      </c>
      <c r="D47" s="120"/>
      <c r="E47" s="120"/>
      <c r="F47" s="120"/>
    </row>
    <row r="48" spans="1:7" ht="21.6" customHeight="1">
      <c r="A48" s="158" t="s">
        <v>23</v>
      </c>
      <c r="B48" s="120"/>
      <c r="C48" s="402" t="s">
        <v>24</v>
      </c>
      <c r="D48" s="109"/>
      <c r="E48" s="118"/>
      <c r="F48" s="117"/>
    </row>
    <row r="49" spans="1:6" ht="21.6" customHeight="1" thickBot="1">
      <c r="A49" s="158" t="s">
        <v>57</v>
      </c>
      <c r="B49" s="120"/>
      <c r="C49" s="406" t="s">
        <v>58</v>
      </c>
      <c r="D49" s="109"/>
      <c r="E49" s="118"/>
      <c r="F49" s="117"/>
    </row>
    <row r="50" spans="1:6" ht="21.6" customHeight="1" thickTop="1">
      <c r="A50" s="772" t="s">
        <v>25</v>
      </c>
      <c r="B50" s="152"/>
      <c r="C50" s="330" t="s">
        <v>59</v>
      </c>
      <c r="D50" s="160"/>
      <c r="E50" s="161"/>
      <c r="F50" s="117"/>
    </row>
    <row r="51" spans="1:6" ht="21.6" customHeight="1">
      <c r="A51" s="401"/>
      <c r="B51" s="152"/>
      <c r="C51" s="101" t="s">
        <v>60</v>
      </c>
      <c r="D51" s="160"/>
      <c r="E51" s="161"/>
      <c r="F51" s="117"/>
    </row>
    <row r="52" spans="1:6" ht="21.6" customHeight="1">
      <c r="A52" s="803" t="s">
        <v>61</v>
      </c>
      <c r="B52" s="152"/>
      <c r="C52" s="367" t="s">
        <v>62</v>
      </c>
      <c r="D52" s="160"/>
      <c r="E52" s="161"/>
      <c r="F52" s="117"/>
    </row>
    <row r="53" spans="1:6" ht="21.6" customHeight="1">
      <c r="A53" s="803"/>
      <c r="B53" s="152"/>
      <c r="C53" s="101" t="s">
        <v>63</v>
      </c>
      <c r="D53" s="160"/>
      <c r="E53" s="161"/>
      <c r="F53" s="117"/>
    </row>
    <row r="54" spans="1:6" ht="21.6" customHeight="1">
      <c r="B54" s="152"/>
      <c r="D54" s="160"/>
      <c r="E54" s="161"/>
      <c r="F54" s="117"/>
    </row>
    <row r="55" spans="1:6" ht="21.6" customHeight="1">
      <c r="A55" s="775" t="s">
        <v>27</v>
      </c>
      <c r="B55" s="116" t="s">
        <v>28</v>
      </c>
      <c r="C55" s="154" t="s">
        <v>29</v>
      </c>
      <c r="D55" s="115"/>
      <c r="E55" s="115"/>
      <c r="F55" s="115"/>
    </row>
    <row r="56" spans="1:6" ht="21.6" customHeight="1" thickBot="1">
      <c r="A56" s="101" t="s">
        <v>64</v>
      </c>
      <c r="B56" s="116"/>
      <c r="C56" s="154"/>
      <c r="D56" s="115"/>
      <c r="E56" s="115"/>
      <c r="F56" s="115"/>
    </row>
    <row r="57" spans="1:6" ht="21.6" customHeight="1" thickTop="1" thickBot="1">
      <c r="A57" s="155">
        <v>4</v>
      </c>
      <c r="C57" s="114" t="s">
        <v>30</v>
      </c>
      <c r="D57" s="113"/>
      <c r="E57" s="113"/>
      <c r="F57" s="113"/>
    </row>
    <row r="58" spans="1:6" ht="21.6" customHeight="1" thickTop="1" thickBot="1">
      <c r="A58" s="155">
        <v>5</v>
      </c>
      <c r="C58" s="112" t="s">
        <v>31</v>
      </c>
      <c r="D58" s="167"/>
      <c r="E58" s="168"/>
      <c r="F58" s="165"/>
    </row>
    <row r="59" spans="1:6" ht="21.6" customHeight="1" thickTop="1" thickBot="1">
      <c r="A59" s="155">
        <v>6</v>
      </c>
      <c r="C59" s="110" t="s">
        <v>32</v>
      </c>
      <c r="D59" s="104"/>
      <c r="E59" s="169"/>
      <c r="F59" s="170"/>
    </row>
    <row r="60" spans="1:6" ht="21.6" customHeight="1" thickTop="1" thickBot="1">
      <c r="C60" s="400" t="s">
        <v>34</v>
      </c>
      <c r="D60" s="171"/>
      <c r="E60" s="172"/>
      <c r="F60" s="173"/>
    </row>
    <row r="61" spans="1:6" ht="21.6" customHeight="1" thickTop="1">
      <c r="A61" s="775" t="s">
        <v>35</v>
      </c>
      <c r="B61" s="103" t="s">
        <v>36</v>
      </c>
      <c r="C61" s="367" t="s">
        <v>65</v>
      </c>
      <c r="D61" s="105"/>
      <c r="E61" s="105"/>
      <c r="F61" s="105"/>
    </row>
    <row r="62" spans="1:6" ht="21.6" customHeight="1">
      <c r="A62" s="777"/>
      <c r="B62" s="103"/>
      <c r="C62" s="479" t="s">
        <v>66</v>
      </c>
      <c r="D62" s="105"/>
      <c r="E62" s="105"/>
      <c r="F62" s="105"/>
    </row>
    <row r="63" spans="1:6" ht="21.6" customHeight="1">
      <c r="A63" s="101" t="s">
        <v>67</v>
      </c>
      <c r="B63" s="103"/>
      <c r="D63" s="105"/>
      <c r="E63" s="105"/>
      <c r="F63" s="105"/>
    </row>
    <row r="64" spans="1:6" ht="21.6" customHeight="1" thickBot="1">
      <c r="A64" s="777"/>
      <c r="B64" s="103"/>
      <c r="C64" s="322" t="s">
        <v>40</v>
      </c>
      <c r="D64" s="105"/>
      <c r="E64" s="105"/>
      <c r="F64" s="105"/>
    </row>
    <row r="65" spans="1:6" ht="21.6" customHeight="1" thickTop="1" thickBot="1">
      <c r="A65" s="801">
        <v>7</v>
      </c>
      <c r="B65" s="106"/>
      <c r="C65" s="323" t="s">
        <v>41</v>
      </c>
      <c r="D65" s="167"/>
      <c r="E65" s="168"/>
      <c r="F65" s="165"/>
    </row>
    <row r="66" spans="1:6" ht="21.6" customHeight="1" thickTop="1" thickBot="1">
      <c r="A66" s="801"/>
      <c r="B66" s="106"/>
      <c r="C66" s="324" t="s">
        <v>39</v>
      </c>
      <c r="D66" s="104"/>
      <c r="E66" s="169"/>
      <c r="F66" s="172"/>
    </row>
    <row r="67" spans="1:6" ht="21.6" customHeight="1" thickTop="1">
      <c r="A67" s="801"/>
      <c r="B67" s="106"/>
      <c r="C67" s="408" t="s">
        <v>48</v>
      </c>
      <c r="D67" s="171"/>
      <c r="E67" s="172"/>
      <c r="F67" s="174"/>
    </row>
    <row r="68" spans="1:6" ht="21.6" customHeight="1">
      <c r="A68" s="777">
        <v>8</v>
      </c>
      <c r="B68" s="105" t="s">
        <v>42</v>
      </c>
      <c r="C68" s="407" t="s">
        <v>68</v>
      </c>
      <c r="D68" s="105"/>
      <c r="E68" s="105"/>
      <c r="F68" s="105"/>
    </row>
    <row r="69" spans="1:6" ht="21.6" customHeight="1">
      <c r="A69" s="775" t="s">
        <v>43</v>
      </c>
      <c r="B69" s="106"/>
      <c r="C69" s="326" t="s">
        <v>69</v>
      </c>
      <c r="D69" s="171"/>
      <c r="E69" s="172"/>
      <c r="F69" s="174"/>
    </row>
    <row r="70" spans="1:6" ht="21.6" customHeight="1">
      <c r="A70" s="777"/>
      <c r="B70" s="106"/>
      <c r="C70" s="398" t="s">
        <v>70</v>
      </c>
      <c r="D70" s="171"/>
      <c r="E70" s="172"/>
      <c r="F70" s="174"/>
    </row>
    <row r="71" spans="1:6" ht="21.6" customHeight="1">
      <c r="A71" s="777"/>
      <c r="B71" s="106"/>
      <c r="C71" s="398" t="s">
        <v>71</v>
      </c>
      <c r="D71" s="171"/>
      <c r="E71" s="172"/>
      <c r="F71" s="174"/>
    </row>
    <row r="72" spans="1:6" ht="21.6" customHeight="1">
      <c r="A72" s="777"/>
      <c r="B72" s="106"/>
      <c r="C72" s="480" t="s">
        <v>72</v>
      </c>
      <c r="D72" s="171"/>
      <c r="E72" s="172"/>
      <c r="F72" s="174"/>
    </row>
    <row r="73" spans="1:6" ht="21.6" customHeight="1">
      <c r="A73" s="155">
        <v>9</v>
      </c>
      <c r="B73" s="154" t="s">
        <v>45</v>
      </c>
      <c r="C73" s="409" t="s">
        <v>46</v>
      </c>
      <c r="D73" s="171"/>
      <c r="E73" s="172"/>
      <c r="F73" s="174"/>
    </row>
    <row r="74" spans="1:6" ht="21.6" customHeight="1">
      <c r="A74" s="155"/>
      <c r="B74" s="154"/>
      <c r="C74" s="425" t="s">
        <v>73</v>
      </c>
      <c r="D74" s="171"/>
      <c r="E74" s="172"/>
      <c r="F74" s="174"/>
    </row>
    <row r="75" spans="1:6" ht="21.6" customHeight="1">
      <c r="A75" s="775" t="s">
        <v>47</v>
      </c>
      <c r="B75" s="105"/>
      <c r="C75" s="424" t="s">
        <v>48</v>
      </c>
      <c r="D75" s="104"/>
      <c r="E75" s="169"/>
      <c r="F75" s="172"/>
    </row>
    <row r="76" spans="1:6" ht="21.6" customHeight="1">
      <c r="A76" s="802">
        <v>10</v>
      </c>
      <c r="B76" s="101" t="s">
        <v>28</v>
      </c>
      <c r="C76" s="329" t="s">
        <v>49</v>
      </c>
      <c r="D76" s="171"/>
      <c r="E76" s="172"/>
      <c r="F76" s="174"/>
    </row>
    <row r="77" spans="1:6" ht="21.6" customHeight="1" thickBot="1">
      <c r="A77" s="802"/>
      <c r="B77" s="149" t="s">
        <v>50</v>
      </c>
      <c r="C77" s="101" t="s">
        <v>51</v>
      </c>
      <c r="D77" s="104"/>
      <c r="E77" s="169"/>
      <c r="F77" s="172"/>
    </row>
    <row r="78" spans="1:6" ht="21.6" customHeight="1" thickTop="1" thickBot="1">
      <c r="A78" s="802"/>
      <c r="C78" s="324" t="s">
        <v>39</v>
      </c>
      <c r="D78" s="104"/>
      <c r="E78" s="169"/>
      <c r="F78" s="172"/>
    </row>
    <row r="79" spans="1:6" ht="21.6" customHeight="1" thickTop="1">
      <c r="A79" s="366" t="s">
        <v>74</v>
      </c>
      <c r="D79" s="418" t="str">
        <f>'jobinfo(2)'!$C$51</f>
        <v>OH25THOMAS@GERTRUDE</v>
      </c>
    </row>
    <row r="80" spans="1:6" ht="21.6" customHeight="1" thickBot="1">
      <c r="A80" s="365" t="s">
        <v>75</v>
      </c>
      <c r="D80" s="419" t="str">
        <f>'jobinfo(2)'!$C$1</f>
        <v>THOMAS, ANITA</v>
      </c>
    </row>
    <row r="81" spans="1:5" ht="21.6" customHeight="1" thickTop="1" thickBot="1">
      <c r="A81" s="798" t="s">
        <v>76</v>
      </c>
      <c r="B81" s="412"/>
      <c r="C81" s="112" t="s">
        <v>77</v>
      </c>
      <c r="D81" s="420" t="str">
        <f>'jobinfo(2)'!$C$2</f>
        <v>6600 GERTRUDE</v>
      </c>
    </row>
    <row r="82" spans="1:5" ht="21.6" customHeight="1" thickTop="1" thickBot="1">
      <c r="A82" s="798"/>
      <c r="C82" s="110" t="s">
        <v>78</v>
      </c>
      <c r="D82" s="421"/>
      <c r="E82" s="413"/>
    </row>
    <row r="83" spans="1:5" ht="21.6" customHeight="1" thickTop="1">
      <c r="A83" s="798"/>
      <c r="C83" s="101" t="s">
        <v>79</v>
      </c>
      <c r="D83" s="420" t="str">
        <f>'jobinfo(2)'!$C$4</f>
        <v>A@EM</v>
      </c>
    </row>
    <row r="84" spans="1:5" ht="21.6" customHeight="1">
      <c r="A84" s="798"/>
      <c r="D84" s="420" t="str">
        <f>'jobinfo(2)'!$C$5</f>
        <v>(216) 315-2040</v>
      </c>
    </row>
    <row r="85" spans="1:5" ht="21.6" customHeight="1">
      <c r="A85" s="372"/>
      <c r="B85" s="373"/>
      <c r="C85" s="373"/>
      <c r="D85" s="422"/>
    </row>
    <row r="86" spans="1:5" ht="21.6" customHeight="1">
      <c r="A86" s="397"/>
      <c r="C86" s="330" t="s">
        <v>80</v>
      </c>
      <c r="D86" s="422"/>
    </row>
    <row r="87" spans="1:5" ht="21.6" customHeight="1">
      <c r="A87" s="795" t="s">
        <v>81</v>
      </c>
      <c r="C87" s="377" t="s">
        <v>82</v>
      </c>
      <c r="D87" s="423" t="str">
        <f>'jobinfo(2)'!$C$27</f>
        <v>CLM</v>
      </c>
    </row>
    <row r="88" spans="1:5" ht="21.6" customHeight="1">
      <c r="A88" s="795"/>
      <c r="C88" s="377" t="s">
        <v>83</v>
      </c>
      <c r="D88" s="420" t="str">
        <f>'jobinfo(2)'!$C$11</f>
        <v xml:space="preserve">Water Damage=WTR </v>
      </c>
    </row>
    <row r="89" spans="1:5" ht="21.6" customHeight="1">
      <c r="A89" s="795"/>
      <c r="C89" s="377" t="s">
        <v>84</v>
      </c>
      <c r="D89" s="420" t="str">
        <f>'jobinfo(2)'!$C$12</f>
        <v>Friday, September 12, 2025</v>
      </c>
    </row>
    <row r="90" spans="1:5" ht="21.6" customHeight="1">
      <c r="A90" s="795"/>
      <c r="C90" s="399" t="s">
        <v>85</v>
      </c>
      <c r="D90" s="420" t="str">
        <f>'jobinfo(2)'!$C$13</f>
        <v>interior repairs LVL1</v>
      </c>
    </row>
    <row r="91" spans="1:5" ht="21.6" customHeight="1">
      <c r="A91" s="795"/>
      <c r="C91" s="377" t="s">
        <v>86</v>
      </c>
      <c r="D91" s="420" t="str">
        <f>'jobinfo(2)'!$C$14</f>
        <v>interior repairs LVL2</v>
      </c>
    </row>
    <row r="92" spans="1:5" ht="21.6" customHeight="1">
      <c r="A92" s="795"/>
      <c r="C92" s="415" t="s">
        <v>87</v>
      </c>
      <c r="D92" s="420" t="str">
        <f>'jobinfo(2)'!$C$15</f>
        <v>interior repairs LVL13</v>
      </c>
    </row>
    <row r="93" spans="1:5" ht="21.6" customHeight="1">
      <c r="A93" s="372"/>
      <c r="B93" s="373"/>
      <c r="C93" s="373"/>
    </row>
    <row r="94" spans="1:5" ht="21.6" customHeight="1">
      <c r="C94" s="101" t="s">
        <v>88</v>
      </c>
      <c r="D94" s="417"/>
    </row>
    <row r="95" spans="1:5" ht="21.6" customHeight="1">
      <c r="C95" s="101" t="s">
        <v>89</v>
      </c>
      <c r="D95" s="417"/>
    </row>
    <row r="96" spans="1:5" ht="21.6" customHeight="1" thickBot="1">
      <c r="D96" s="417"/>
    </row>
    <row r="97" spans="1:4" ht="21.6" customHeight="1" thickTop="1" thickBot="1">
      <c r="C97" s="416" t="s">
        <v>90</v>
      </c>
    </row>
    <row r="98" spans="1:4" ht="21.6" customHeight="1" thickTop="1" thickBot="1">
      <c r="C98" s="110" t="s">
        <v>91</v>
      </c>
    </row>
    <row r="99" spans="1:4" ht="21.6" customHeight="1" thickTop="1" thickBot="1">
      <c r="C99" s="396" t="s">
        <v>92</v>
      </c>
    </row>
    <row r="100" spans="1:4" ht="21.6" customHeight="1" thickTop="1" thickBot="1">
      <c r="C100" s="395" t="s">
        <v>31</v>
      </c>
    </row>
    <row r="101" spans="1:4" ht="21.6" customHeight="1" thickTop="1">
      <c r="A101" s="374"/>
      <c r="B101" s="375"/>
      <c r="C101" s="375"/>
    </row>
    <row r="102" spans="1:4" ht="21.6" customHeight="1">
      <c r="C102" s="367" t="s">
        <v>62</v>
      </c>
    </row>
    <row r="103" spans="1:4" ht="21.6" customHeight="1">
      <c r="C103" s="376" t="s">
        <v>93</v>
      </c>
    </row>
    <row r="104" spans="1:4" ht="21.6" customHeight="1">
      <c r="C104" s="101" t="s">
        <v>94</v>
      </c>
    </row>
    <row r="105" spans="1:4" ht="21.6" customHeight="1">
      <c r="C105" s="101" t="s">
        <v>95</v>
      </c>
    </row>
    <row r="106" spans="1:4" ht="21.6" customHeight="1">
      <c r="C106" s="101" t="s">
        <v>96</v>
      </c>
    </row>
    <row r="107" spans="1:4" ht="21.6" customHeight="1">
      <c r="A107" s="374"/>
      <c r="B107" s="375"/>
      <c r="C107" s="375"/>
    </row>
    <row r="108" spans="1:4" ht="21.6" customHeight="1">
      <c r="C108" s="368" t="s">
        <v>70</v>
      </c>
    </row>
    <row r="109" spans="1:4" ht="21.6" customHeight="1">
      <c r="A109" s="796" t="s">
        <v>97</v>
      </c>
      <c r="B109" s="796"/>
      <c r="C109" s="796"/>
      <c r="D109" s="796"/>
    </row>
    <row r="110" spans="1:4" ht="21.6" customHeight="1">
      <c r="A110" s="394" t="s">
        <v>98</v>
      </c>
      <c r="B110" s="776"/>
      <c r="C110" s="393"/>
      <c r="D110" s="776"/>
    </row>
    <row r="111" spans="1:4" ht="21.6" customHeight="1">
      <c r="A111" s="797" t="s">
        <v>99</v>
      </c>
      <c r="B111" s="797"/>
      <c r="C111" s="797"/>
      <c r="D111" s="797"/>
    </row>
    <row r="112" spans="1:4" ht="21.6" customHeight="1">
      <c r="A112" s="392"/>
      <c r="B112" s="391"/>
      <c r="C112" s="390" t="s">
        <v>72</v>
      </c>
    </row>
    <row r="113" spans="1:3" ht="21.6" customHeight="1">
      <c r="C113" s="369"/>
    </row>
    <row r="114" spans="1:3" ht="21.6" customHeight="1">
      <c r="A114" s="389"/>
      <c r="C114" s="388" t="s">
        <v>100</v>
      </c>
    </row>
    <row r="115" spans="1:3" ht="21.6" customHeight="1">
      <c r="C115" s="369"/>
    </row>
    <row r="116" spans="1:3" ht="21.6" customHeight="1">
      <c r="C116" s="387" t="s">
        <v>73</v>
      </c>
    </row>
    <row r="117" spans="1:3" ht="21.6" customHeight="1">
      <c r="C117" s="369"/>
    </row>
    <row r="118" spans="1:3" ht="21.6" customHeight="1">
      <c r="C118" s="386" t="s">
        <v>101</v>
      </c>
    </row>
  </sheetData>
  <mergeCells count="15">
    <mergeCell ref="A33:A35"/>
    <mergeCell ref="D3:F3"/>
    <mergeCell ref="A5:A8"/>
    <mergeCell ref="A10:A11"/>
    <mergeCell ref="A26:A28"/>
    <mergeCell ref="A87:A92"/>
    <mergeCell ref="A109:D109"/>
    <mergeCell ref="A111:D111"/>
    <mergeCell ref="A81:A84"/>
    <mergeCell ref="D39:F39"/>
    <mergeCell ref="A41:A42"/>
    <mergeCell ref="A65:A67"/>
    <mergeCell ref="A76:A78"/>
    <mergeCell ref="D40:F40"/>
    <mergeCell ref="A52:A53"/>
  </mergeCells>
  <printOptions gridLines="1"/>
  <pageMargins left="0.32" right="0.27" top="0.19" bottom="0.38" header="0.17" footer="0.16"/>
  <pageSetup orientation="portrait" r:id="rId1"/>
  <headerFooter>
    <oddFooter>&amp;LPage@  &amp;P  &amp;D   &amp;T&amp;C&amp;A&amp;R&amp;F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1280-A263-4208-A6A1-53CFD5ADB01A}">
  <sheetPr codeName="Sheet3"/>
  <dimension ref="A1:J140"/>
  <sheetViews>
    <sheetView topLeftCell="A79" zoomScaleNormal="100" zoomScaleSheetLayoutView="100" workbookViewId="0">
      <selection activeCell="A79" sqref="A79"/>
    </sheetView>
  </sheetViews>
  <sheetFormatPr defaultColWidth="8.75" defaultRowHeight="21" customHeight="1"/>
  <cols>
    <col min="1" max="1" width="2.75" customWidth="1"/>
    <col min="2" max="2" width="79.75" customWidth="1"/>
    <col min="3" max="3" width="5.125" style="183" customWidth="1"/>
    <col min="4" max="4" width="7.125" style="681" customWidth="1"/>
  </cols>
  <sheetData>
    <row r="1" spans="1:5" s="101" customFormat="1" ht="21" customHeight="1">
      <c r="A1" s="102"/>
      <c r="B1" s="483" t="s">
        <v>102</v>
      </c>
      <c r="C1" s="493"/>
      <c r="D1" s="808" t="str">
        <f>'jobinfo(2)'!C1</f>
        <v>THOMAS, ANITA</v>
      </c>
    </row>
    <row r="2" spans="1:5" s="101" customFormat="1" ht="21" customHeight="1">
      <c r="A2" s="683" t="s">
        <v>103</v>
      </c>
      <c r="B2" s="682"/>
      <c r="C2" s="493"/>
      <c r="D2" s="808"/>
    </row>
    <row r="3" spans="1:5" s="101" customFormat="1" ht="21" customHeight="1" thickBot="1">
      <c r="A3" s="782">
        <v>1</v>
      </c>
      <c r="B3" s="523" t="s">
        <v>104</v>
      </c>
      <c r="C3" s="521" t="s">
        <v>105</v>
      </c>
      <c r="D3" s="679"/>
      <c r="E3" s="782">
        <v>201</v>
      </c>
    </row>
    <row r="4" spans="1:5" s="101" customFormat="1" ht="21" customHeight="1" thickTop="1" thickBot="1">
      <c r="A4" s="782">
        <v>2</v>
      </c>
      <c r="B4" s="522" t="s">
        <v>106</v>
      </c>
      <c r="C4" s="535" t="s">
        <v>107</v>
      </c>
      <c r="D4" s="809" t="str">
        <f>'jobinfo(2)'!C2</f>
        <v>6600 GERTRUDE</v>
      </c>
      <c r="E4" s="573">
        <f t="shared" ref="E4:E28" si="0">E3+1</f>
        <v>202</v>
      </c>
    </row>
    <row r="5" spans="1:5" s="101" customFormat="1" ht="21" customHeight="1" thickTop="1" thickBot="1">
      <c r="A5" s="782">
        <v>3</v>
      </c>
      <c r="B5" s="484" t="s">
        <v>108</v>
      </c>
      <c r="C5" s="521" t="s">
        <v>107</v>
      </c>
      <c r="D5" s="809"/>
      <c r="E5" s="782">
        <f t="shared" si="0"/>
        <v>203</v>
      </c>
    </row>
    <row r="6" spans="1:5" s="101" customFormat="1" ht="21" customHeight="1" thickTop="1" thickBot="1">
      <c r="A6" s="782">
        <v>4</v>
      </c>
      <c r="B6" s="524" t="s">
        <v>109</v>
      </c>
      <c r="C6" s="535" t="s">
        <v>110</v>
      </c>
      <c r="D6" s="680"/>
      <c r="E6" s="573">
        <f t="shared" si="0"/>
        <v>204</v>
      </c>
    </row>
    <row r="7" spans="1:5" s="101" customFormat="1" ht="21" customHeight="1" thickTop="1" thickBot="1">
      <c r="A7" s="782">
        <v>5</v>
      </c>
      <c r="B7" s="490" t="s">
        <v>111</v>
      </c>
      <c r="C7" s="527" t="s">
        <v>112</v>
      </c>
      <c r="D7" s="778" t="str">
        <f>'jobinfo(2)'!B5</f>
        <v>Cst-owner Phone#</v>
      </c>
      <c r="E7" s="782">
        <f t="shared" si="0"/>
        <v>205</v>
      </c>
    </row>
    <row r="8" spans="1:5" s="101" customFormat="1" ht="21" customHeight="1" thickTop="1" thickBot="1">
      <c r="A8" s="526" t="s">
        <v>113</v>
      </c>
      <c r="B8" s="520"/>
      <c r="C8" s="493"/>
      <c r="D8" s="778" t="str">
        <f>'jobinfo(2)'!C5</f>
        <v>(216) 315-2040</v>
      </c>
      <c r="E8" s="573">
        <f t="shared" si="0"/>
        <v>206</v>
      </c>
    </row>
    <row r="9" spans="1:5" s="101" customFormat="1" ht="21" customHeight="1" thickTop="1" thickBot="1">
      <c r="A9" s="782">
        <v>6</v>
      </c>
      <c r="B9" s="780" t="s">
        <v>114</v>
      </c>
      <c r="C9" s="535" t="s">
        <v>110</v>
      </c>
      <c r="D9" s="371"/>
      <c r="E9" s="782">
        <f t="shared" si="0"/>
        <v>207</v>
      </c>
    </row>
    <row r="10" spans="1:5" s="101" customFormat="1" ht="21" customHeight="1" thickTop="1" thickBot="1">
      <c r="A10" s="782">
        <v>7</v>
      </c>
      <c r="B10" s="780" t="s">
        <v>115</v>
      </c>
      <c r="C10" s="521" t="s">
        <v>110</v>
      </c>
      <c r="D10" s="809" t="str">
        <f>'jobinfo(2)'!C4</f>
        <v>A@EM</v>
      </c>
      <c r="E10" s="573">
        <f t="shared" si="0"/>
        <v>208</v>
      </c>
    </row>
    <row r="11" spans="1:5" s="101" customFormat="1" ht="21" customHeight="1" thickTop="1" thickBot="1">
      <c r="A11" s="530" t="s">
        <v>116</v>
      </c>
      <c r="B11" s="520"/>
      <c r="C11" s="493"/>
      <c r="D11" s="809"/>
      <c r="E11" s="782">
        <f t="shared" si="0"/>
        <v>209</v>
      </c>
    </row>
    <row r="12" spans="1:5" s="492" customFormat="1" ht="21" customHeight="1" thickTop="1" thickBot="1">
      <c r="A12" s="782">
        <v>8</v>
      </c>
      <c r="B12" s="491" t="s">
        <v>117</v>
      </c>
      <c r="C12" s="536" t="s">
        <v>112</v>
      </c>
      <c r="E12" s="573">
        <f t="shared" si="0"/>
        <v>210</v>
      </c>
    </row>
    <row r="13" spans="1:5" s="492" customFormat="1" ht="21" customHeight="1" thickTop="1" thickBot="1">
      <c r="A13" s="782"/>
      <c r="B13" s="714" t="s">
        <v>118</v>
      </c>
      <c r="C13" s="536"/>
      <c r="E13" s="573"/>
    </row>
    <row r="14" spans="1:5" s="492" customFormat="1" ht="21" customHeight="1" thickTop="1" thickBot="1">
      <c r="A14" s="782">
        <v>9</v>
      </c>
      <c r="B14" s="532" t="s">
        <v>119</v>
      </c>
      <c r="C14" s="529" t="s">
        <v>112</v>
      </c>
      <c r="E14" s="782">
        <f>E12+1</f>
        <v>211</v>
      </c>
    </row>
    <row r="15" spans="1:5" s="101" customFormat="1" ht="21" customHeight="1" thickTop="1" thickBot="1">
      <c r="A15" s="782">
        <v>10</v>
      </c>
      <c r="B15" s="490" t="s">
        <v>120</v>
      </c>
      <c r="C15" s="536" t="s">
        <v>112</v>
      </c>
      <c r="E15" s="573">
        <f t="shared" si="0"/>
        <v>212</v>
      </c>
    </row>
    <row r="16" spans="1:5" s="101" customFormat="1" ht="21" customHeight="1" thickTop="1" thickBot="1">
      <c r="A16" s="485"/>
      <c r="B16" s="684" t="s">
        <v>121</v>
      </c>
      <c r="C16" s="529" t="s">
        <v>112</v>
      </c>
      <c r="D16" s="812" t="str">
        <f>'jobinfo(2)'!C26</f>
        <v>ALLSTATE INS CO.</v>
      </c>
      <c r="E16" s="782">
        <f t="shared" si="0"/>
        <v>213</v>
      </c>
    </row>
    <row r="17" spans="1:5" s="101" customFormat="1" ht="21" customHeight="1" thickTop="1" thickBot="1">
      <c r="A17" s="485"/>
      <c r="B17" s="684" t="s">
        <v>122</v>
      </c>
      <c r="C17" s="536" t="s">
        <v>112</v>
      </c>
      <c r="D17" s="812"/>
      <c r="E17" s="573">
        <f t="shared" si="0"/>
        <v>214</v>
      </c>
    </row>
    <row r="18" spans="1:5" s="101" customFormat="1" ht="21" customHeight="1" thickTop="1" thickBot="1">
      <c r="A18" s="485"/>
      <c r="B18" s="685" t="s">
        <v>123</v>
      </c>
      <c r="C18" s="529" t="s">
        <v>112</v>
      </c>
      <c r="D18" s="812"/>
      <c r="E18" s="782">
        <f t="shared" si="0"/>
        <v>215</v>
      </c>
    </row>
    <row r="19" spans="1:5" s="101" customFormat="1" ht="21" customHeight="1" thickTop="1" thickBot="1">
      <c r="B19" s="684" t="s">
        <v>124</v>
      </c>
      <c r="C19" s="536" t="s">
        <v>112</v>
      </c>
      <c r="E19" s="573">
        <f t="shared" si="0"/>
        <v>216</v>
      </c>
    </row>
    <row r="20" spans="1:5" s="101" customFormat="1" ht="21" customHeight="1" thickTop="1" thickBot="1">
      <c r="B20" s="684" t="s">
        <v>125</v>
      </c>
      <c r="C20" s="529" t="s">
        <v>112</v>
      </c>
      <c r="E20" s="782">
        <f t="shared" si="0"/>
        <v>217</v>
      </c>
    </row>
    <row r="21" spans="1:5" s="101" customFormat="1" ht="21" customHeight="1" thickTop="1" thickBot="1">
      <c r="B21" s="684" t="s">
        <v>126</v>
      </c>
      <c r="C21" s="537" t="s">
        <v>112</v>
      </c>
      <c r="E21" s="573">
        <f t="shared" si="0"/>
        <v>218</v>
      </c>
    </row>
    <row r="22" spans="1:5" s="101" customFormat="1" ht="21" customHeight="1" thickTop="1" thickBot="1">
      <c r="B22" s="684" t="s">
        <v>127</v>
      </c>
      <c r="C22" s="529" t="s">
        <v>112</v>
      </c>
      <c r="E22" s="782">
        <f t="shared" si="0"/>
        <v>219</v>
      </c>
    </row>
    <row r="23" spans="1:5" s="101" customFormat="1" ht="21" customHeight="1" thickTop="1" thickBot="1">
      <c r="A23" s="485">
        <v>12</v>
      </c>
      <c r="B23" s="101" t="s">
        <v>128</v>
      </c>
      <c r="C23" s="493" t="s">
        <v>129</v>
      </c>
      <c r="D23" s="810"/>
      <c r="E23" s="573">
        <f t="shared" si="0"/>
        <v>220</v>
      </c>
    </row>
    <row r="24" spans="1:5" s="101" customFormat="1" ht="21" customHeight="1" thickTop="1" thickBot="1">
      <c r="A24" s="485">
        <v>13</v>
      </c>
      <c r="B24" s="489" t="s">
        <v>130</v>
      </c>
      <c r="C24" s="493"/>
      <c r="D24" s="810"/>
      <c r="E24" s="782">
        <f t="shared" si="0"/>
        <v>221</v>
      </c>
    </row>
    <row r="25" spans="1:5" s="101" customFormat="1" ht="21" customHeight="1" thickTop="1" thickBot="1">
      <c r="A25" s="531">
        <v>14</v>
      </c>
      <c r="B25" s="686" t="s">
        <v>131</v>
      </c>
      <c r="C25" s="537" t="s">
        <v>112</v>
      </c>
      <c r="D25" s="811" t="str">
        <f>'jobinfo(2)'!C27</f>
        <v>CLM</v>
      </c>
      <c r="E25" s="573">
        <f t="shared" si="0"/>
        <v>222</v>
      </c>
    </row>
    <row r="26" spans="1:5" s="101" customFormat="1" ht="21" customHeight="1" thickTop="1" thickBot="1">
      <c r="A26" s="376" t="s">
        <v>132</v>
      </c>
      <c r="C26" s="493"/>
      <c r="D26" s="811"/>
      <c r="E26" s="782">
        <f t="shared" si="0"/>
        <v>223</v>
      </c>
    </row>
    <row r="27" spans="1:5" s="101" customFormat="1" ht="21" customHeight="1" thickTop="1" thickBot="1">
      <c r="A27" s="407" t="s">
        <v>133</v>
      </c>
      <c r="C27" s="779" t="s">
        <v>134</v>
      </c>
      <c r="D27" s="811"/>
      <c r="E27" s="573">
        <f t="shared" si="0"/>
        <v>224</v>
      </c>
    </row>
    <row r="28" spans="1:5" s="101" customFormat="1" ht="21" customHeight="1" thickTop="1" thickBot="1">
      <c r="A28" s="485">
        <v>16</v>
      </c>
      <c r="B28" s="101" t="s">
        <v>135</v>
      </c>
      <c r="C28" s="537" t="s">
        <v>112</v>
      </c>
      <c r="D28" s="811"/>
      <c r="E28" s="782">
        <f t="shared" si="0"/>
        <v>225</v>
      </c>
    </row>
    <row r="29" spans="1:5" s="101" customFormat="1" ht="21" customHeight="1" thickTop="1">
      <c r="A29" s="485">
        <v>17</v>
      </c>
      <c r="B29" s="101" t="s">
        <v>136</v>
      </c>
      <c r="C29" s="779" t="s">
        <v>134</v>
      </c>
      <c r="D29" s="811"/>
    </row>
    <row r="30" spans="1:5" s="101" customFormat="1" ht="21" customHeight="1">
      <c r="A30" s="485">
        <v>19</v>
      </c>
      <c r="B30" s="330" t="s">
        <v>137</v>
      </c>
      <c r="C30" s="779" t="s">
        <v>134</v>
      </c>
      <c r="D30" s="811"/>
    </row>
    <row r="31" spans="1:5" s="101" customFormat="1" ht="21" customHeight="1">
      <c r="A31" s="485">
        <v>20</v>
      </c>
      <c r="B31" s="101" t="s">
        <v>94</v>
      </c>
      <c r="C31" s="528" t="s">
        <v>112</v>
      </c>
      <c r="D31" s="811"/>
    </row>
    <row r="32" spans="1:5" s="101" customFormat="1" ht="21" customHeight="1">
      <c r="A32" s="485">
        <v>21</v>
      </c>
      <c r="B32" s="101" t="s">
        <v>138</v>
      </c>
      <c r="C32" s="779" t="s">
        <v>134</v>
      </c>
      <c r="D32" s="371"/>
    </row>
    <row r="33" spans="1:10" s="101" customFormat="1" ht="21" customHeight="1">
      <c r="A33" s="485"/>
      <c r="B33" s="101" t="s">
        <v>139</v>
      </c>
      <c r="C33" s="779" t="s">
        <v>134</v>
      </c>
      <c r="D33" s="371"/>
    </row>
    <row r="34" spans="1:10" s="101" customFormat="1" ht="21" customHeight="1">
      <c r="A34" s="485">
        <v>22</v>
      </c>
      <c r="B34" s="101" t="s">
        <v>140</v>
      </c>
      <c r="C34" s="779" t="s">
        <v>134</v>
      </c>
      <c r="D34" s="371"/>
    </row>
    <row r="35" spans="1:10" s="101" customFormat="1" ht="21" customHeight="1">
      <c r="A35" s="485">
        <v>23</v>
      </c>
      <c r="B35" s="330" t="s">
        <v>141</v>
      </c>
      <c r="C35" s="779" t="s">
        <v>134</v>
      </c>
      <c r="D35" s="371"/>
    </row>
    <row r="36" spans="1:10" s="101" customFormat="1" ht="21" customHeight="1">
      <c r="A36" s="485">
        <v>24</v>
      </c>
      <c r="B36" s="479" t="s">
        <v>142</v>
      </c>
      <c r="C36" s="534" t="s">
        <v>107</v>
      </c>
      <c r="D36" s="371"/>
    </row>
    <row r="37" spans="1:10" s="101" customFormat="1" ht="21" customHeight="1">
      <c r="A37" s="485">
        <v>25</v>
      </c>
      <c r="B37" s="367" t="s">
        <v>143</v>
      </c>
      <c r="C37" s="493"/>
      <c r="D37" s="371"/>
    </row>
    <row r="38" spans="1:10" s="101" customFormat="1" ht="21" customHeight="1">
      <c r="B38" s="103" t="s">
        <v>36</v>
      </c>
      <c r="C38" s="493"/>
      <c r="D38" s="371"/>
    </row>
    <row r="39" spans="1:10" s="101" customFormat="1" ht="21" customHeight="1">
      <c r="C39" s="493"/>
      <c r="D39" s="371"/>
    </row>
    <row r="40" spans="1:10" s="101" customFormat="1" ht="21" customHeight="1">
      <c r="A40" s="485">
        <v>26</v>
      </c>
      <c r="C40" s="493"/>
      <c r="D40" s="371"/>
    </row>
    <row r="41" spans="1:10" s="101" customFormat="1" ht="21" customHeight="1">
      <c r="A41" s="485">
        <v>27</v>
      </c>
      <c r="C41" s="493"/>
      <c r="D41" s="371"/>
    </row>
    <row r="42" spans="1:10" s="101" customFormat="1" ht="21" customHeight="1">
      <c r="A42" s="485">
        <v>28</v>
      </c>
      <c r="C42" s="493"/>
      <c r="D42" s="371"/>
    </row>
    <row r="43" spans="1:10" s="101" customFormat="1" ht="21" customHeight="1">
      <c r="A43" s="485">
        <v>29</v>
      </c>
      <c r="B43" s="330"/>
      <c r="C43" s="493"/>
      <c r="D43" s="371"/>
    </row>
    <row r="44" spans="1:10" s="101" customFormat="1" ht="21" customHeight="1">
      <c r="A44" s="485">
        <v>30</v>
      </c>
      <c r="B44" s="330"/>
      <c r="C44" s="493"/>
      <c r="D44" s="371"/>
    </row>
    <row r="45" spans="1:10" s="101" customFormat="1" ht="21" customHeight="1">
      <c r="A45" s="485">
        <v>31</v>
      </c>
      <c r="B45" s="386"/>
      <c r="C45" s="493"/>
      <c r="D45" s="371"/>
    </row>
    <row r="46" spans="1:10" s="101" customFormat="1" ht="21" customHeight="1">
      <c r="C46" s="493"/>
      <c r="D46" s="371"/>
      <c r="G46" s="102"/>
      <c r="I46" s="386" t="s">
        <v>144</v>
      </c>
      <c r="J46" s="422"/>
    </row>
    <row r="47" spans="1:10" s="101" customFormat="1" ht="21" customHeight="1">
      <c r="C47" s="493"/>
      <c r="D47" s="371"/>
      <c r="G47" s="102"/>
      <c r="I47" s="482" t="s">
        <v>145</v>
      </c>
      <c r="J47" s="422"/>
    </row>
    <row r="48" spans="1:10" s="101" customFormat="1" ht="21" customHeight="1">
      <c r="C48" s="493"/>
      <c r="D48" s="371"/>
      <c r="G48" s="102"/>
      <c r="I48" s="482" t="s">
        <v>146</v>
      </c>
    </row>
    <row r="49" spans="3:10" s="101" customFormat="1" ht="21" customHeight="1">
      <c r="C49" s="493"/>
      <c r="D49" s="371"/>
      <c r="G49" s="102"/>
      <c r="I49" s="386">
        <f>'quick chklst'!C54</f>
        <v>0</v>
      </c>
    </row>
    <row r="50" spans="3:10" s="101" customFormat="1" ht="21" customHeight="1">
      <c r="C50" s="493"/>
      <c r="D50" s="371"/>
      <c r="E50" s="371"/>
      <c r="F50" s="371"/>
      <c r="G50" s="102"/>
      <c r="H50" s="134"/>
      <c r="I50" s="136" t="s">
        <v>0</v>
      </c>
      <c r="J50" s="370" t="str">
        <f>+'jobinfo(2)'!$C$2</f>
        <v>6600 GERTRUDE</v>
      </c>
    </row>
    <row r="51" spans="3:10" s="101" customFormat="1" ht="21" customHeight="1">
      <c r="C51" s="493"/>
      <c r="D51" s="371"/>
      <c r="E51" s="371"/>
      <c r="F51" s="371"/>
      <c r="G51" s="426" t="s">
        <v>1</v>
      </c>
      <c r="H51" s="133"/>
      <c r="I51" s="331" t="str">
        <f>+'jobinfo(2)'!C138</f>
        <v>end date</v>
      </c>
      <c r="J51" s="370" t="str">
        <f>+'jobinfo(2)'!$C$3</f>
        <v>Cleveland, OH 44105</v>
      </c>
    </row>
    <row r="52" spans="3:10" s="101" customFormat="1" ht="21" customHeight="1">
      <c r="C52" s="493"/>
      <c r="D52" s="371"/>
      <c r="E52" s="161"/>
      <c r="F52" s="117"/>
      <c r="G52" s="772" t="s">
        <v>25</v>
      </c>
      <c r="H52" s="152"/>
      <c r="I52" s="330" t="s">
        <v>59</v>
      </c>
      <c r="J52" s="160"/>
    </row>
    <row r="53" spans="3:10" s="101" customFormat="1" ht="21" customHeight="1">
      <c r="C53" s="493"/>
      <c r="D53" s="371"/>
      <c r="E53" s="161"/>
      <c r="F53" s="117"/>
      <c r="G53" s="401"/>
      <c r="H53" s="152"/>
      <c r="I53" s="101" t="s">
        <v>60</v>
      </c>
      <c r="J53" s="160"/>
    </row>
    <row r="54" spans="3:10" s="101" customFormat="1" ht="21" customHeight="1">
      <c r="C54" s="493"/>
      <c r="D54" s="371"/>
      <c r="E54" s="161"/>
      <c r="F54" s="117"/>
      <c r="G54" s="101" t="s">
        <v>64</v>
      </c>
      <c r="H54" s="152"/>
      <c r="J54" s="160"/>
    </row>
    <row r="55" spans="3:10" s="101" customFormat="1" ht="21" customHeight="1" thickBot="1">
      <c r="C55" s="493"/>
      <c r="D55" s="371"/>
      <c r="E55" s="115"/>
      <c r="F55" s="115"/>
      <c r="G55" s="775" t="s">
        <v>27</v>
      </c>
      <c r="H55" s="116" t="s">
        <v>28</v>
      </c>
      <c r="I55" s="154" t="s">
        <v>29</v>
      </c>
      <c r="J55" s="115"/>
    </row>
    <row r="56" spans="3:10" s="101" customFormat="1" ht="21" customHeight="1" thickTop="1" thickBot="1">
      <c r="C56" s="493"/>
      <c r="D56" s="371"/>
      <c r="E56" s="113"/>
      <c r="F56" s="113"/>
      <c r="G56" s="155">
        <v>4</v>
      </c>
      <c r="I56" s="114" t="s">
        <v>30</v>
      </c>
      <c r="J56" s="113"/>
    </row>
    <row r="57" spans="3:10" s="101" customFormat="1" ht="21" customHeight="1" thickTop="1" thickBot="1">
      <c r="C57" s="493"/>
      <c r="D57" s="371"/>
      <c r="E57" s="168"/>
      <c r="F57" s="165"/>
      <c r="G57" s="155">
        <v>5</v>
      </c>
      <c r="I57" s="112" t="s">
        <v>31</v>
      </c>
      <c r="J57" s="167"/>
    </row>
    <row r="58" spans="3:10" s="101" customFormat="1" ht="21" customHeight="1" thickTop="1" thickBot="1">
      <c r="C58" s="493"/>
      <c r="D58" s="371"/>
      <c r="E58" s="169"/>
      <c r="F58" s="170"/>
      <c r="G58" s="155">
        <v>6</v>
      </c>
      <c r="I58" s="110" t="s">
        <v>32</v>
      </c>
      <c r="J58" s="104"/>
    </row>
    <row r="59" spans="3:10" s="101" customFormat="1" ht="21" customHeight="1" thickTop="1" thickBot="1">
      <c r="C59" s="493"/>
      <c r="D59" s="371"/>
      <c r="E59" s="172"/>
      <c r="F59" s="173"/>
      <c r="G59" s="102"/>
      <c r="I59" s="400" t="s">
        <v>34</v>
      </c>
      <c r="J59" s="171"/>
    </row>
    <row r="60" spans="3:10" s="101" customFormat="1" ht="21" customHeight="1" thickTop="1">
      <c r="C60" s="493"/>
      <c r="D60" s="371"/>
      <c r="E60" s="105"/>
      <c r="F60" s="105"/>
      <c r="G60" s="777"/>
      <c r="H60" s="103"/>
      <c r="I60" s="479" t="s">
        <v>66</v>
      </c>
      <c r="J60" s="105"/>
    </row>
    <row r="61" spans="3:10" s="101" customFormat="1" ht="21" customHeight="1" thickBot="1">
      <c r="C61" s="493"/>
      <c r="D61" s="371"/>
      <c r="E61" s="105"/>
      <c r="F61" s="105"/>
      <c r="G61" s="777"/>
      <c r="H61" s="103"/>
      <c r="I61" s="322" t="s">
        <v>40</v>
      </c>
      <c r="J61" s="105"/>
    </row>
    <row r="62" spans="3:10" s="101" customFormat="1" ht="21" customHeight="1" thickTop="1" thickBot="1">
      <c r="C62" s="493"/>
      <c r="D62" s="371"/>
      <c r="E62" s="168"/>
      <c r="F62" s="165"/>
      <c r="G62" s="801">
        <v>7</v>
      </c>
      <c r="H62" s="106"/>
      <c r="I62" s="323" t="s">
        <v>41</v>
      </c>
      <c r="J62" s="167"/>
    </row>
    <row r="63" spans="3:10" s="101" customFormat="1" ht="21" customHeight="1" thickTop="1" thickBot="1">
      <c r="C63" s="493"/>
      <c r="D63" s="371"/>
      <c r="E63" s="169"/>
      <c r="F63" s="172"/>
      <c r="G63" s="801"/>
      <c r="H63" s="106"/>
      <c r="I63" s="324" t="s">
        <v>39</v>
      </c>
      <c r="J63" s="104"/>
    </row>
    <row r="64" spans="3:10" s="101" customFormat="1" ht="21" customHeight="1" thickTop="1">
      <c r="C64" s="493"/>
      <c r="D64" s="371"/>
      <c r="E64" s="172"/>
      <c r="F64" s="174"/>
      <c r="G64" s="801"/>
      <c r="H64" s="106"/>
      <c r="I64" s="408" t="s">
        <v>48</v>
      </c>
      <c r="J64" s="171"/>
    </row>
    <row r="65" spans="3:10" s="101" customFormat="1" ht="21" customHeight="1">
      <c r="C65" s="493"/>
      <c r="D65" s="371"/>
      <c r="E65" s="105"/>
      <c r="F65" s="105"/>
      <c r="G65" s="777">
        <v>8</v>
      </c>
      <c r="H65" s="105" t="s">
        <v>42</v>
      </c>
      <c r="I65" s="407" t="s">
        <v>68</v>
      </c>
      <c r="J65" s="105"/>
    </row>
    <row r="66" spans="3:10" s="101" customFormat="1" ht="21" customHeight="1">
      <c r="C66" s="493"/>
      <c r="D66" s="371"/>
      <c r="E66" s="172"/>
      <c r="F66" s="174"/>
      <c r="G66" s="775" t="s">
        <v>43</v>
      </c>
      <c r="H66" s="106"/>
      <c r="I66" s="326" t="s">
        <v>69</v>
      </c>
      <c r="J66" s="171"/>
    </row>
    <row r="67" spans="3:10" s="101" customFormat="1" ht="21" customHeight="1">
      <c r="C67" s="493"/>
      <c r="D67" s="371"/>
      <c r="E67" s="172"/>
      <c r="F67" s="174"/>
      <c r="G67" s="777"/>
      <c r="H67" s="106"/>
      <c r="I67" s="398" t="s">
        <v>71</v>
      </c>
      <c r="J67" s="171"/>
    </row>
    <row r="68" spans="3:10" s="101" customFormat="1" ht="21" customHeight="1">
      <c r="C68" s="493"/>
      <c r="D68" s="371"/>
      <c r="E68" s="169"/>
      <c r="F68" s="172"/>
      <c r="G68" s="775" t="s">
        <v>47</v>
      </c>
      <c r="H68" s="105"/>
      <c r="I68" s="424" t="s">
        <v>48</v>
      </c>
      <c r="J68" s="104"/>
    </row>
    <row r="69" spans="3:10" s="101" customFormat="1" ht="21" customHeight="1">
      <c r="C69" s="493"/>
      <c r="D69" s="371"/>
      <c r="E69" s="172"/>
      <c r="F69" s="174"/>
      <c r="G69" s="802">
        <v>10</v>
      </c>
      <c r="H69" s="101" t="s">
        <v>28</v>
      </c>
      <c r="I69" s="329" t="s">
        <v>49</v>
      </c>
      <c r="J69" s="171"/>
    </row>
    <row r="70" spans="3:10" s="101" customFormat="1" ht="21" customHeight="1" thickBot="1">
      <c r="C70" s="493"/>
      <c r="D70" s="371"/>
      <c r="E70" s="169"/>
      <c r="F70" s="172"/>
      <c r="G70" s="802"/>
      <c r="H70" s="149" t="s">
        <v>50</v>
      </c>
      <c r="I70" s="101" t="s">
        <v>51</v>
      </c>
      <c r="J70" s="104"/>
    </row>
    <row r="71" spans="3:10" s="101" customFormat="1" ht="21" customHeight="1" thickTop="1" thickBot="1">
      <c r="C71" s="493"/>
      <c r="D71" s="371"/>
      <c r="E71" s="169"/>
      <c r="F71" s="172"/>
      <c r="G71" s="802"/>
      <c r="I71" s="324" t="s">
        <v>39</v>
      </c>
      <c r="J71" s="104"/>
    </row>
    <row r="72" spans="3:10" s="101" customFormat="1" ht="21" customHeight="1" thickTop="1">
      <c r="C72" s="493"/>
      <c r="D72" s="371"/>
      <c r="G72" s="366" t="s">
        <v>74</v>
      </c>
      <c r="J72" s="418" t="str">
        <f>'jobinfo(2)'!$C$51</f>
        <v>OH25THOMAS@GERTRUDE</v>
      </c>
    </row>
    <row r="73" spans="3:10" s="101" customFormat="1" ht="21" customHeight="1" thickBot="1">
      <c r="C73" s="493"/>
      <c r="D73" s="371"/>
      <c r="G73" s="365" t="s">
        <v>75</v>
      </c>
      <c r="J73" s="419" t="str">
        <f>'jobinfo(2)'!$C$1</f>
        <v>THOMAS, ANITA</v>
      </c>
    </row>
    <row r="74" spans="3:10" s="101" customFormat="1" ht="21" customHeight="1" thickTop="1" thickBot="1">
      <c r="C74" s="493"/>
      <c r="D74" s="371"/>
      <c r="G74" s="798" t="s">
        <v>76</v>
      </c>
      <c r="H74" s="412"/>
      <c r="I74" s="112" t="s">
        <v>77</v>
      </c>
      <c r="J74" s="420" t="str">
        <f>'jobinfo(2)'!$C$2</f>
        <v>6600 GERTRUDE</v>
      </c>
    </row>
    <row r="75" spans="3:10" s="101" customFormat="1" ht="21" customHeight="1" thickTop="1" thickBot="1">
      <c r="C75" s="493"/>
      <c r="D75" s="371"/>
      <c r="E75" s="413"/>
      <c r="G75" s="798"/>
      <c r="I75" s="110" t="s">
        <v>78</v>
      </c>
      <c r="J75" s="421"/>
    </row>
    <row r="76" spans="3:10" s="101" customFormat="1" ht="21" customHeight="1" thickTop="1">
      <c r="C76" s="493"/>
      <c r="D76" s="371"/>
      <c r="G76" s="798"/>
      <c r="I76" s="101" t="s">
        <v>79</v>
      </c>
      <c r="J76" s="420" t="str">
        <f>'jobinfo(2)'!$C$4</f>
        <v>A@EM</v>
      </c>
    </row>
    <row r="77" spans="3:10" s="101" customFormat="1" ht="21" customHeight="1">
      <c r="C77" s="493"/>
      <c r="D77" s="371"/>
      <c r="G77" s="798"/>
      <c r="J77" s="420" t="str">
        <f>'jobinfo(2)'!$C$5</f>
        <v>(216) 315-2040</v>
      </c>
    </row>
    <row r="78" spans="3:10" s="101" customFormat="1" ht="21" customHeight="1">
      <c r="C78" s="493"/>
      <c r="D78" s="371"/>
      <c r="G78" s="397"/>
      <c r="I78" s="330" t="s">
        <v>80</v>
      </c>
      <c r="J78" s="422"/>
    </row>
    <row r="79" spans="3:10" s="101" customFormat="1" ht="21" customHeight="1">
      <c r="C79" s="493"/>
      <c r="D79" s="371"/>
      <c r="G79" s="795" t="s">
        <v>81</v>
      </c>
      <c r="I79" s="377" t="s">
        <v>82</v>
      </c>
      <c r="J79" s="423" t="str">
        <f>'jobinfo(2)'!$C$27</f>
        <v>CLM</v>
      </c>
    </row>
    <row r="80" spans="3:10" s="101" customFormat="1" ht="21" customHeight="1">
      <c r="C80" s="493"/>
      <c r="D80" s="371"/>
      <c r="G80" s="795"/>
      <c r="I80" s="377" t="s">
        <v>83</v>
      </c>
      <c r="J80" s="420" t="str">
        <f>'jobinfo(2)'!$C$11</f>
        <v xml:space="preserve">Water Damage=WTR </v>
      </c>
    </row>
    <row r="81" spans="3:10" s="101" customFormat="1" ht="21" customHeight="1">
      <c r="C81" s="493"/>
      <c r="D81" s="371"/>
      <c r="G81" s="795"/>
      <c r="I81" s="377" t="s">
        <v>84</v>
      </c>
      <c r="J81" s="420" t="str">
        <f>'jobinfo(2)'!$C$12</f>
        <v>Friday, September 12, 2025</v>
      </c>
    </row>
    <row r="82" spans="3:10" s="101" customFormat="1" ht="21" customHeight="1">
      <c r="C82" s="493"/>
      <c r="D82" s="371"/>
      <c r="G82" s="795"/>
      <c r="I82" s="399" t="s">
        <v>85</v>
      </c>
      <c r="J82" s="420" t="str">
        <f>'jobinfo(2)'!$C$13</f>
        <v>interior repairs LVL1</v>
      </c>
    </row>
    <row r="83" spans="3:10" s="101" customFormat="1" ht="21" customHeight="1">
      <c r="C83" s="493"/>
      <c r="D83" s="371"/>
      <c r="G83" s="795"/>
      <c r="I83" s="377" t="s">
        <v>86</v>
      </c>
      <c r="J83" s="420" t="str">
        <f>'jobinfo(2)'!$C$14</f>
        <v>interior repairs LVL2</v>
      </c>
    </row>
    <row r="84" spans="3:10" s="101" customFormat="1" ht="21" customHeight="1">
      <c r="C84" s="493"/>
      <c r="D84" s="371"/>
      <c r="G84" s="795"/>
      <c r="I84" s="415" t="s">
        <v>87</v>
      </c>
      <c r="J84" s="420" t="str">
        <f>'jobinfo(2)'!$C$15</f>
        <v>interior repairs LVL13</v>
      </c>
    </row>
    <row r="85" spans="3:10" s="101" customFormat="1" ht="21" customHeight="1">
      <c r="C85" s="493"/>
      <c r="D85" s="371"/>
      <c r="G85" s="102"/>
      <c r="I85" s="101" t="s">
        <v>88</v>
      </c>
      <c r="J85" s="417"/>
    </row>
    <row r="86" spans="3:10" s="101" customFormat="1" ht="21" customHeight="1" thickBot="1">
      <c r="C86" s="493"/>
      <c r="D86" s="371"/>
      <c r="G86" s="102"/>
      <c r="I86" s="101" t="s">
        <v>89</v>
      </c>
      <c r="J86" s="417"/>
    </row>
    <row r="87" spans="3:10" s="101" customFormat="1" ht="21" customHeight="1" thickTop="1" thickBot="1">
      <c r="C87" s="493"/>
      <c r="D87" s="371"/>
      <c r="G87" s="102"/>
      <c r="I87" s="416" t="s">
        <v>90</v>
      </c>
    </row>
    <row r="88" spans="3:10" s="101" customFormat="1" ht="21" customHeight="1" thickTop="1">
      <c r="C88" s="493"/>
      <c r="D88" s="371"/>
      <c r="G88" s="102"/>
    </row>
    <row r="89" spans="3:10" s="101" customFormat="1" ht="21" customHeight="1" thickBot="1">
      <c r="C89" s="493"/>
      <c r="D89" s="371"/>
      <c r="G89" s="102"/>
      <c r="I89" s="110" t="s">
        <v>91</v>
      </c>
    </row>
    <row r="90" spans="3:10" s="101" customFormat="1" ht="21" customHeight="1" thickTop="1" thickBot="1">
      <c r="C90" s="493"/>
      <c r="D90" s="371"/>
      <c r="G90" s="102"/>
      <c r="I90" s="396" t="s">
        <v>92</v>
      </c>
    </row>
    <row r="91" spans="3:10" s="101" customFormat="1" ht="21" customHeight="1" thickTop="1" thickBot="1">
      <c r="C91" s="493"/>
      <c r="D91" s="371"/>
      <c r="G91" s="102"/>
      <c r="I91" s="395" t="s">
        <v>31</v>
      </c>
    </row>
    <row r="92" spans="3:10" s="101" customFormat="1" ht="21" customHeight="1" thickTop="1">
      <c r="C92" s="493"/>
      <c r="D92" s="371"/>
      <c r="G92" s="374"/>
      <c r="H92" s="375"/>
      <c r="I92" s="375"/>
    </row>
    <row r="93" spans="3:10" s="101" customFormat="1" ht="21" customHeight="1">
      <c r="C93" s="493"/>
      <c r="D93" s="371"/>
      <c r="G93" s="102"/>
      <c r="I93" s="101" t="s">
        <v>94</v>
      </c>
    </row>
    <row r="94" spans="3:10" s="101" customFormat="1" ht="21" customHeight="1">
      <c r="C94" s="493"/>
      <c r="D94" s="371"/>
      <c r="G94" s="102"/>
      <c r="I94" s="101" t="s">
        <v>95</v>
      </c>
    </row>
    <row r="95" spans="3:10" s="101" customFormat="1" ht="21" customHeight="1">
      <c r="C95" s="493"/>
      <c r="D95" s="371"/>
      <c r="G95" s="102"/>
      <c r="I95" s="101" t="s">
        <v>96</v>
      </c>
    </row>
    <row r="96" spans="3:10" s="101" customFormat="1" ht="21" customHeight="1">
      <c r="C96" s="493"/>
      <c r="D96" s="371"/>
      <c r="G96" s="374"/>
      <c r="H96" s="375"/>
      <c r="I96" s="375"/>
    </row>
    <row r="97" spans="1:10" s="101" customFormat="1" ht="21" customHeight="1">
      <c r="C97" s="493"/>
      <c r="D97" s="371"/>
      <c r="G97" s="102"/>
      <c r="I97" s="368" t="s">
        <v>70</v>
      </c>
    </row>
    <row r="98" spans="1:10" s="101" customFormat="1" ht="21" customHeight="1">
      <c r="C98" s="493"/>
      <c r="D98" s="371"/>
      <c r="G98" s="796" t="s">
        <v>97</v>
      </c>
      <c r="H98" s="796"/>
      <c r="I98" s="796"/>
      <c r="J98" s="796"/>
    </row>
    <row r="99" spans="1:10" s="101" customFormat="1" ht="21" customHeight="1">
      <c r="C99" s="493"/>
      <c r="D99" s="371"/>
      <c r="G99" s="394" t="s">
        <v>98</v>
      </c>
      <c r="H99" s="776"/>
      <c r="I99" s="393"/>
      <c r="J99" s="776"/>
    </row>
    <row r="100" spans="1:10" s="101" customFormat="1" ht="21" customHeight="1">
      <c r="C100" s="493"/>
      <c r="D100" s="371"/>
      <c r="G100" s="813" t="s">
        <v>99</v>
      </c>
      <c r="H100" s="813"/>
      <c r="I100" s="813"/>
      <c r="J100" s="813"/>
    </row>
    <row r="101" spans="1:10" s="101" customFormat="1" ht="21" customHeight="1">
      <c r="A101" s="102"/>
      <c r="B101" s="386"/>
      <c r="C101" s="493"/>
      <c r="D101" s="371"/>
    </row>
    <row r="102" spans="1:10" s="101" customFormat="1" ht="21" customHeight="1">
      <c r="A102" s="102"/>
      <c r="B102" s="386"/>
      <c r="C102" s="493"/>
      <c r="D102" s="371"/>
    </row>
    <row r="103" spans="1:10" s="101" customFormat="1" ht="21" customHeight="1">
      <c r="A103" s="102"/>
      <c r="B103" s="386"/>
      <c r="C103" s="493"/>
      <c r="D103" s="371"/>
    </row>
    <row r="104" spans="1:10" s="101" customFormat="1" ht="21" customHeight="1">
      <c r="A104" s="102"/>
      <c r="B104" s="386"/>
      <c r="C104" s="493"/>
      <c r="D104" s="371"/>
    </row>
    <row r="105" spans="1:10" s="101" customFormat="1" ht="21" customHeight="1">
      <c r="A105" s="102"/>
      <c r="B105" s="386"/>
      <c r="C105" s="493"/>
      <c r="D105" s="371"/>
    </row>
    <row r="106" spans="1:10" s="101" customFormat="1" ht="21" customHeight="1">
      <c r="A106" s="102"/>
      <c r="B106" s="386"/>
      <c r="C106" s="493"/>
      <c r="D106" s="371"/>
    </row>
    <row r="107" spans="1:10" s="101" customFormat="1" ht="21" customHeight="1">
      <c r="A107" s="102"/>
      <c r="B107" s="386"/>
      <c r="C107" s="493"/>
      <c r="D107" s="371"/>
    </row>
    <row r="108" spans="1:10" s="101" customFormat="1" ht="21" customHeight="1">
      <c r="A108" s="102"/>
      <c r="B108" s="386"/>
      <c r="C108" s="493"/>
      <c r="D108" s="371"/>
    </row>
    <row r="109" spans="1:10" s="101" customFormat="1" ht="21" customHeight="1">
      <c r="A109" s="102"/>
      <c r="B109" s="386"/>
      <c r="C109" s="493"/>
      <c r="D109" s="371"/>
    </row>
    <row r="110" spans="1:10" s="101" customFormat="1" ht="21" customHeight="1">
      <c r="A110" s="102"/>
      <c r="B110" s="386"/>
      <c r="C110" s="493"/>
      <c r="D110" s="371"/>
    </row>
    <row r="111" spans="1:10" s="101" customFormat="1" ht="21" customHeight="1">
      <c r="A111" s="102"/>
      <c r="B111" s="386"/>
      <c r="C111" s="493"/>
      <c r="D111" s="371"/>
    </row>
    <row r="112" spans="1:10" s="101" customFormat="1" ht="21" customHeight="1">
      <c r="A112" s="102"/>
      <c r="B112" s="386"/>
      <c r="C112" s="493"/>
      <c r="D112" s="371"/>
    </row>
    <row r="113" spans="1:4" s="101" customFormat="1" ht="21" customHeight="1">
      <c r="A113" s="102"/>
      <c r="B113" s="386"/>
      <c r="C113" s="493"/>
      <c r="D113" s="371"/>
    </row>
    <row r="114" spans="1:4" s="101" customFormat="1" ht="21" customHeight="1">
      <c r="A114" s="102"/>
      <c r="B114" s="386"/>
      <c r="C114" s="493"/>
      <c r="D114" s="371"/>
    </row>
    <row r="115" spans="1:4" s="101" customFormat="1" ht="21" customHeight="1">
      <c r="A115" s="102"/>
      <c r="B115" s="386"/>
      <c r="C115" s="493"/>
      <c r="D115" s="371"/>
    </row>
    <row r="116" spans="1:4" s="101" customFormat="1" ht="21" customHeight="1">
      <c r="A116" s="102"/>
      <c r="B116" s="386"/>
      <c r="C116" s="493"/>
      <c r="D116" s="371"/>
    </row>
    <row r="117" spans="1:4" s="101" customFormat="1" ht="21" customHeight="1">
      <c r="A117" s="102"/>
      <c r="B117" s="386"/>
      <c r="C117" s="493"/>
      <c r="D117" s="371"/>
    </row>
    <row r="118" spans="1:4" s="101" customFormat="1" ht="21" customHeight="1">
      <c r="A118" s="102"/>
      <c r="B118" s="386"/>
      <c r="C118" s="493"/>
      <c r="D118" s="371"/>
    </row>
    <row r="119" spans="1:4" s="101" customFormat="1" ht="21" customHeight="1">
      <c r="A119" s="102"/>
      <c r="B119" s="386"/>
      <c r="C119" s="493"/>
      <c r="D119" s="371"/>
    </row>
    <row r="120" spans="1:4" s="101" customFormat="1" ht="21" customHeight="1">
      <c r="A120" s="102"/>
      <c r="B120" s="386"/>
      <c r="C120" s="493"/>
      <c r="D120" s="371"/>
    </row>
    <row r="121" spans="1:4" s="101" customFormat="1" ht="21" customHeight="1">
      <c r="A121" s="102"/>
      <c r="B121" s="386"/>
      <c r="C121" s="493"/>
      <c r="D121" s="371"/>
    </row>
    <row r="122" spans="1:4" s="101" customFormat="1" ht="21" customHeight="1">
      <c r="C122" s="493"/>
      <c r="D122" s="371"/>
    </row>
    <row r="123" spans="1:4" s="101" customFormat="1" ht="21" customHeight="1">
      <c r="C123" s="493"/>
      <c r="D123" s="371"/>
    </row>
    <row r="124" spans="1:4" s="101" customFormat="1" ht="21" customHeight="1">
      <c r="C124" s="493"/>
      <c r="D124" s="371"/>
    </row>
    <row r="125" spans="1:4" s="101" customFormat="1" ht="21" customHeight="1">
      <c r="C125" s="493"/>
      <c r="D125" s="371"/>
    </row>
    <row r="126" spans="1:4" s="101" customFormat="1" ht="21" customHeight="1">
      <c r="C126" s="493"/>
      <c r="D126" s="371"/>
    </row>
    <row r="127" spans="1:4" s="101" customFormat="1" ht="21" customHeight="1">
      <c r="C127" s="493"/>
      <c r="D127" s="371"/>
    </row>
    <row r="128" spans="1:4" s="101" customFormat="1" ht="21" customHeight="1">
      <c r="C128" s="493"/>
      <c r="D128" s="371"/>
    </row>
    <row r="129" spans="3:4" s="101" customFormat="1" ht="21" customHeight="1">
      <c r="C129" s="493"/>
      <c r="D129" s="371"/>
    </row>
    <row r="130" spans="3:4" s="101" customFormat="1" ht="21" customHeight="1">
      <c r="C130" s="493"/>
      <c r="D130" s="371"/>
    </row>
    <row r="131" spans="3:4" s="101" customFormat="1" ht="21" customHeight="1">
      <c r="C131" s="493"/>
      <c r="D131" s="371"/>
    </row>
    <row r="135" spans="3:4" s="101" customFormat="1" ht="21" customHeight="1">
      <c r="C135" s="493"/>
      <c r="D135" s="371"/>
    </row>
    <row r="136" spans="3:4" s="101" customFormat="1" ht="21" customHeight="1">
      <c r="C136" s="493"/>
      <c r="D136" s="371"/>
    </row>
    <row r="137" spans="3:4" s="101" customFormat="1" ht="21" customHeight="1">
      <c r="C137" s="493"/>
      <c r="D137" s="371"/>
    </row>
    <row r="138" spans="3:4" s="101" customFormat="1" ht="21" customHeight="1">
      <c r="C138" s="493"/>
      <c r="D138" s="371"/>
    </row>
    <row r="139" spans="3:4" s="101" customFormat="1" ht="21" customHeight="1">
      <c r="C139" s="493"/>
      <c r="D139" s="371"/>
    </row>
    <row r="140" spans="3:4" s="101" customFormat="1" ht="21" customHeight="1">
      <c r="C140" s="493"/>
      <c r="D140" s="371"/>
    </row>
  </sheetData>
  <mergeCells count="12">
    <mergeCell ref="G100:J100"/>
    <mergeCell ref="G62:G64"/>
    <mergeCell ref="G69:G71"/>
    <mergeCell ref="G74:G77"/>
    <mergeCell ref="G79:G84"/>
    <mergeCell ref="G98:J98"/>
    <mergeCell ref="D1:D2"/>
    <mergeCell ref="D4:D5"/>
    <mergeCell ref="D23:D24"/>
    <mergeCell ref="D25:D31"/>
    <mergeCell ref="D16:D18"/>
    <mergeCell ref="D10:D11"/>
  </mergeCells>
  <printOptions gridLines="1"/>
  <pageMargins left="0.26" right="0.17" top="0.19" bottom="0.38" header="0.17" footer="0.16"/>
  <pageSetup orientation="portrait" r:id="rId1"/>
  <headerFooter>
    <oddFooter>&amp;LPage@  &amp;P  &amp;D   &amp;T&amp;C&amp;A&amp;R&amp;F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4B2C-AD01-46F8-9DC5-2B34BFB32745}">
  <sheetPr codeName="Sheet9"/>
  <dimension ref="A1:X407"/>
  <sheetViews>
    <sheetView topLeftCell="A97" zoomScaleNormal="100" zoomScaleSheetLayoutView="28" workbookViewId="0">
      <selection activeCell="P51" sqref="P51"/>
    </sheetView>
  </sheetViews>
  <sheetFormatPr defaultColWidth="8.75" defaultRowHeight="22.15" customHeight="1"/>
  <cols>
    <col min="1" max="1" width="5.75" style="240" customWidth="1"/>
    <col min="2" max="2" width="19.75" style="347" customWidth="1"/>
    <col min="3" max="3" width="24.875" customWidth="1"/>
    <col min="4" max="4" width="5.75" style="196" customWidth="1"/>
    <col min="5" max="5" width="5.5" style="196" customWidth="1"/>
    <col min="6" max="6" width="6.75" style="196" customWidth="1"/>
    <col min="7" max="9" width="5.25" style="196" customWidth="1"/>
    <col min="10" max="10" width="6.125" style="196" customWidth="1"/>
    <col min="11" max="12" width="8" style="196" customWidth="1"/>
    <col min="13" max="13" width="20.375" style="25" customWidth="1"/>
    <col min="14" max="14" width="32.5" style="2" customWidth="1"/>
    <col min="15" max="15" width="21" style="2" customWidth="1"/>
    <col min="16" max="16" width="13.125" style="2" customWidth="1"/>
    <col min="17" max="17" width="36.75" customWidth="1"/>
    <col min="18" max="18" width="38.125" bestFit="1" customWidth="1"/>
    <col min="19" max="19" width="31.75" bestFit="1" customWidth="1"/>
    <col min="20" max="20" width="34.125" customWidth="1"/>
    <col min="21" max="21" width="31" customWidth="1"/>
  </cols>
  <sheetData>
    <row r="1" spans="1:20" ht="22.15" customHeight="1" thickTop="1">
      <c r="A1" s="824" t="s">
        <v>147</v>
      </c>
      <c r="B1" s="433" t="s">
        <v>148</v>
      </c>
      <c r="C1" s="564" t="s">
        <v>149</v>
      </c>
      <c r="D1" s="231"/>
      <c r="E1" s="200"/>
      <c r="F1" s="231"/>
      <c r="G1" s="231"/>
      <c r="H1" s="231"/>
      <c r="I1" s="231"/>
      <c r="J1" s="231"/>
      <c r="K1" s="231"/>
      <c r="L1" s="231"/>
      <c r="M1" s="24" t="s">
        <v>150</v>
      </c>
      <c r="N1" s="153"/>
      <c r="Q1" t="s">
        <v>151</v>
      </c>
    </row>
    <row r="2" spans="1:20" ht="22.15" customHeight="1">
      <c r="A2" s="825"/>
      <c r="B2" s="434" t="s">
        <v>152</v>
      </c>
      <c r="C2" s="567" t="s">
        <v>153</v>
      </c>
      <c r="D2" s="200"/>
      <c r="E2" s="231"/>
      <c r="F2" s="200"/>
      <c r="G2" s="200"/>
      <c r="H2" s="200"/>
      <c r="I2" s="200"/>
      <c r="J2" s="200"/>
      <c r="K2" s="200"/>
      <c r="L2" s="200"/>
      <c r="M2" s="826" t="s">
        <v>154</v>
      </c>
      <c r="N2" s="1" t="s">
        <v>155</v>
      </c>
      <c r="Q2" s="13" t="s">
        <v>156</v>
      </c>
    </row>
    <row r="3" spans="1:20" ht="22.15" customHeight="1">
      <c r="A3" s="825"/>
      <c r="B3" s="435" t="s">
        <v>157</v>
      </c>
      <c r="C3" s="138" t="s">
        <v>158</v>
      </c>
      <c r="D3" s="231"/>
      <c r="E3" s="200"/>
      <c r="F3" s="231"/>
      <c r="G3" s="231"/>
      <c r="H3" s="231"/>
      <c r="I3" s="231"/>
      <c r="J3" s="231"/>
      <c r="K3" s="231"/>
      <c r="L3" s="231"/>
      <c r="M3" s="826"/>
      <c r="N3" s="1"/>
      <c r="Q3" t="s">
        <v>159</v>
      </c>
    </row>
    <row r="4" spans="1:20" ht="22.15" customHeight="1">
      <c r="A4" s="825"/>
      <c r="B4" s="434" t="s">
        <v>160</v>
      </c>
      <c r="C4" s="617" t="s">
        <v>161</v>
      </c>
      <c r="D4" s="200"/>
      <c r="E4" s="231"/>
      <c r="F4" s="200"/>
      <c r="G4" s="200"/>
      <c r="H4" s="200"/>
      <c r="I4" s="200"/>
      <c r="J4" s="200"/>
      <c r="K4" s="200"/>
      <c r="L4" s="200"/>
      <c r="M4" s="826"/>
      <c r="N4" s="1"/>
      <c r="Q4" t="s">
        <v>162</v>
      </c>
      <c r="R4" s="827"/>
      <c r="S4" s="828"/>
      <c r="T4" s="817"/>
    </row>
    <row r="5" spans="1:20" ht="22.15" customHeight="1">
      <c r="A5" s="825"/>
      <c r="B5" s="436" t="s">
        <v>163</v>
      </c>
      <c r="C5" s="138" t="s">
        <v>164</v>
      </c>
      <c r="D5" s="231"/>
      <c r="E5" s="200"/>
      <c r="F5" s="231"/>
      <c r="G5" s="231"/>
      <c r="H5" s="231"/>
      <c r="I5" s="231"/>
      <c r="J5" s="231"/>
      <c r="K5" s="231"/>
      <c r="L5" s="231"/>
      <c r="M5" s="826"/>
      <c r="N5" s="1"/>
      <c r="R5" s="827"/>
      <c r="S5" s="828"/>
      <c r="T5" s="817"/>
    </row>
    <row r="6" spans="1:20" ht="22.15" customHeight="1">
      <c r="A6" s="825"/>
      <c r="B6" s="437" t="s">
        <v>165</v>
      </c>
      <c r="C6" s="138"/>
      <c r="D6" s="200"/>
      <c r="E6" s="231"/>
      <c r="F6" s="200"/>
      <c r="G6" s="200"/>
      <c r="H6" s="200"/>
      <c r="I6" s="200"/>
      <c r="J6" s="200"/>
      <c r="K6" s="200"/>
      <c r="L6" s="200"/>
      <c r="M6" s="826"/>
      <c r="N6" s="1"/>
      <c r="Q6" s="18"/>
      <c r="T6" s="817"/>
    </row>
    <row r="7" spans="1:20" ht="22.15" customHeight="1">
      <c r="A7" s="825"/>
      <c r="B7" s="438" t="s">
        <v>166</v>
      </c>
      <c r="C7" s="138"/>
      <c r="D7" s="200"/>
      <c r="E7" s="231"/>
      <c r="F7" s="200"/>
      <c r="G7" s="200"/>
      <c r="H7" s="200"/>
      <c r="I7" s="200"/>
      <c r="J7" s="200"/>
      <c r="K7" s="200"/>
      <c r="L7" s="200"/>
      <c r="M7" s="826"/>
      <c r="N7" s="1"/>
      <c r="Q7" s="16" t="s">
        <v>167</v>
      </c>
      <c r="T7" s="817"/>
    </row>
    <row r="8" spans="1:20" ht="22.15" customHeight="1">
      <c r="A8" s="825"/>
      <c r="B8" s="439" t="s">
        <v>168</v>
      </c>
      <c r="C8" s="138"/>
      <c r="D8" s="231"/>
      <c r="E8" s="200"/>
      <c r="F8" s="231"/>
      <c r="G8" s="231"/>
      <c r="H8" s="231"/>
      <c r="I8" s="231"/>
      <c r="J8" s="231"/>
      <c r="K8" s="231"/>
      <c r="L8" s="231"/>
      <c r="M8" s="826"/>
      <c r="N8" s="1"/>
      <c r="Q8" s="17" t="s">
        <v>169</v>
      </c>
    </row>
    <row r="9" spans="1:20" ht="22.15" customHeight="1">
      <c r="A9" s="825"/>
      <c r="B9" s="440" t="s">
        <v>170</v>
      </c>
      <c r="C9" s="138"/>
      <c r="D9" s="200"/>
      <c r="E9" s="231"/>
      <c r="F9" s="200"/>
      <c r="G9" s="200"/>
      <c r="H9" s="200"/>
      <c r="I9" s="200"/>
      <c r="J9" s="200"/>
      <c r="K9" s="200"/>
      <c r="L9" s="200"/>
      <c r="M9" s="826"/>
      <c r="N9" s="15"/>
    </row>
    <row r="10" spans="1:20" ht="22.15" customHeight="1">
      <c r="A10" s="825"/>
      <c r="B10" s="439" t="s">
        <v>171</v>
      </c>
      <c r="C10" s="138"/>
      <c r="D10" s="231"/>
      <c r="E10" s="200"/>
      <c r="F10" s="231"/>
      <c r="G10" s="231"/>
      <c r="H10" s="231"/>
      <c r="I10" s="231"/>
      <c r="J10" s="231"/>
      <c r="K10" s="231"/>
      <c r="L10" s="231"/>
      <c r="M10" s="826"/>
      <c r="N10" s="15"/>
    </row>
    <row r="11" spans="1:20" ht="22.15" customHeight="1">
      <c r="A11" s="818" t="s">
        <v>172</v>
      </c>
      <c r="B11" s="441" t="s">
        <v>173</v>
      </c>
      <c r="C11" s="138" t="s">
        <v>174</v>
      </c>
      <c r="D11" s="25"/>
      <c r="E11" s="25"/>
      <c r="F11" s="25"/>
      <c r="G11" s="25"/>
      <c r="H11" s="25"/>
      <c r="I11" s="25"/>
      <c r="J11" s="25"/>
      <c r="K11" s="25"/>
      <c r="L11" s="25"/>
      <c r="M11" s="25" t="s">
        <v>175</v>
      </c>
      <c r="N11" s="20" t="s">
        <v>174</v>
      </c>
      <c r="O11" s="23" t="s">
        <v>176</v>
      </c>
      <c r="P11" s="20" t="s">
        <v>177</v>
      </c>
      <c r="Q11" s="20" t="s">
        <v>178</v>
      </c>
    </row>
    <row r="12" spans="1:20" ht="22.15" customHeight="1">
      <c r="A12" s="818"/>
      <c r="B12" s="442" t="s">
        <v>179</v>
      </c>
      <c r="C12" s="559" t="s">
        <v>180</v>
      </c>
      <c r="D12" s="231"/>
      <c r="E12" s="200"/>
      <c r="F12" s="231"/>
      <c r="G12" s="231"/>
      <c r="H12" s="231"/>
      <c r="I12" s="231"/>
      <c r="J12" s="231"/>
      <c r="K12" s="231"/>
      <c r="L12" s="231"/>
      <c r="M12" s="26" t="s">
        <v>181</v>
      </c>
    </row>
    <row r="13" spans="1:20" ht="22.15" customHeight="1">
      <c r="A13" s="818"/>
      <c r="B13" s="443" t="s">
        <v>182</v>
      </c>
      <c r="C13" s="43" t="s">
        <v>183</v>
      </c>
      <c r="D13" s="200"/>
      <c r="E13" s="231"/>
      <c r="F13" s="200"/>
      <c r="G13" s="200"/>
      <c r="H13" s="200"/>
      <c r="I13" s="200"/>
      <c r="J13" s="200"/>
      <c r="K13" s="200"/>
      <c r="L13" s="200"/>
      <c r="M13" s="21" t="s">
        <v>184</v>
      </c>
      <c r="N13" s="7"/>
      <c r="O13" s="21" t="s">
        <v>185</v>
      </c>
    </row>
    <row r="14" spans="1:20" ht="22.15" customHeight="1">
      <c r="A14" s="818"/>
      <c r="B14" s="442" t="s">
        <v>186</v>
      </c>
      <c r="C14" s="43" t="s">
        <v>187</v>
      </c>
      <c r="D14" s="231"/>
      <c r="E14" s="200"/>
      <c r="F14" s="231"/>
      <c r="G14" s="231"/>
      <c r="H14" s="231"/>
      <c r="I14" s="231"/>
      <c r="J14" s="231"/>
      <c r="K14" s="231"/>
      <c r="L14" s="231"/>
      <c r="M14" s="42" t="s">
        <v>188</v>
      </c>
      <c r="N14" s="7"/>
      <c r="O14" s="21" t="s">
        <v>189</v>
      </c>
    </row>
    <row r="15" spans="1:20" ht="22.15" customHeight="1">
      <c r="A15" s="818"/>
      <c r="B15" s="443" t="s">
        <v>190</v>
      </c>
      <c r="C15" s="43" t="s">
        <v>191</v>
      </c>
      <c r="D15" s="231"/>
      <c r="E15" s="200"/>
      <c r="F15" s="231"/>
      <c r="G15" s="231"/>
      <c r="H15" s="231"/>
      <c r="I15" s="231"/>
      <c r="J15" s="231"/>
      <c r="K15" s="231"/>
      <c r="L15" s="231"/>
      <c r="M15" s="42" t="s">
        <v>192</v>
      </c>
      <c r="N15" s="7"/>
      <c r="O15" s="21" t="s">
        <v>193</v>
      </c>
    </row>
    <row r="16" spans="1:20" ht="22.15" customHeight="1">
      <c r="A16" s="818"/>
      <c r="B16" s="444" t="s">
        <v>194</v>
      </c>
      <c r="C16" s="138" t="s">
        <v>8</v>
      </c>
      <c r="D16" s="200"/>
      <c r="E16" s="231"/>
      <c r="F16" s="200"/>
      <c r="G16" s="200"/>
      <c r="H16" s="200"/>
      <c r="I16" s="200"/>
      <c r="J16" s="200"/>
      <c r="K16" s="200"/>
      <c r="L16" s="200"/>
      <c r="M16" s="25" t="s">
        <v>8</v>
      </c>
    </row>
    <row r="17" spans="1:17" ht="22.15" customHeight="1">
      <c r="A17" s="818"/>
      <c r="B17" s="445" t="s">
        <v>195</v>
      </c>
      <c r="C17" s="138" t="s">
        <v>8</v>
      </c>
      <c r="D17" s="231"/>
      <c r="E17" s="200"/>
      <c r="F17" s="231"/>
      <c r="G17" s="231"/>
      <c r="H17" s="231"/>
      <c r="I17" s="231"/>
      <c r="J17" s="231"/>
      <c r="K17" s="231"/>
      <c r="L17" s="231"/>
      <c r="M17" s="25" t="s">
        <v>8</v>
      </c>
      <c r="Q17" s="2"/>
    </row>
    <row r="18" spans="1:17" ht="22.15" customHeight="1">
      <c r="A18" s="818"/>
      <c r="B18" s="446" t="s">
        <v>196</v>
      </c>
      <c r="C18" s="138" t="s">
        <v>33</v>
      </c>
      <c r="D18" s="200"/>
      <c r="E18" s="231"/>
      <c r="F18" s="200"/>
      <c r="G18" s="200"/>
      <c r="H18" s="200"/>
      <c r="I18" s="200"/>
      <c r="J18" s="200"/>
      <c r="K18" s="200"/>
      <c r="L18" s="200"/>
      <c r="M18" s="25" t="s">
        <v>8</v>
      </c>
      <c r="Q18" s="2"/>
    </row>
    <row r="19" spans="1:17" ht="22.15" customHeight="1">
      <c r="A19" s="830" t="s">
        <v>197</v>
      </c>
      <c r="B19" s="447" t="s">
        <v>198</v>
      </c>
      <c r="C19" s="138" t="s">
        <v>8</v>
      </c>
      <c r="D19" s="231"/>
      <c r="E19" s="200"/>
      <c r="F19" s="231"/>
      <c r="G19" s="231"/>
      <c r="H19" s="231"/>
      <c r="I19" s="231"/>
      <c r="J19" s="231"/>
      <c r="K19" s="231"/>
      <c r="L19" s="231"/>
      <c r="M19" s="25" t="s">
        <v>8</v>
      </c>
      <c r="Q19" s="2"/>
    </row>
    <row r="20" spans="1:17" ht="22.15" customHeight="1">
      <c r="A20" s="830"/>
      <c r="B20" s="448" t="s">
        <v>199</v>
      </c>
      <c r="C20" s="138" t="s">
        <v>8</v>
      </c>
      <c r="D20" s="200"/>
      <c r="E20" s="200"/>
      <c r="F20" s="200"/>
      <c r="G20" s="200"/>
      <c r="H20" s="200"/>
      <c r="I20" s="200"/>
      <c r="J20" s="200"/>
      <c r="K20" s="200"/>
      <c r="L20" s="200"/>
      <c r="M20" s="25" t="s">
        <v>8</v>
      </c>
      <c r="Q20" s="2"/>
    </row>
    <row r="21" spans="1:17" ht="22.15" customHeight="1">
      <c r="A21" s="830"/>
      <c r="B21" s="449" t="s">
        <v>200</v>
      </c>
      <c r="C21" s="138">
        <v>1920</v>
      </c>
      <c r="D21" s="2"/>
      <c r="E21" s="2"/>
      <c r="F21" s="2"/>
      <c r="G21" s="2"/>
      <c r="H21" s="2"/>
      <c r="I21" s="2"/>
      <c r="J21" s="2"/>
      <c r="K21" s="2"/>
      <c r="L21" s="2"/>
      <c r="M21" s="25" t="s">
        <v>201</v>
      </c>
      <c r="Q21" s="2"/>
    </row>
    <row r="22" spans="1:17" ht="22.15" customHeight="1">
      <c r="A22" s="830"/>
      <c r="B22" s="450" t="s">
        <v>202</v>
      </c>
      <c r="C22" s="559">
        <v>45836</v>
      </c>
      <c r="D22" s="231"/>
      <c r="E22" s="200"/>
      <c r="F22" s="231"/>
      <c r="G22" s="231"/>
      <c r="H22" s="231"/>
      <c r="I22" s="231"/>
      <c r="J22" s="231"/>
      <c r="K22" s="231"/>
      <c r="L22" s="231"/>
      <c r="M22" s="25" t="s">
        <v>201</v>
      </c>
      <c r="N22" s="2" t="s">
        <v>203</v>
      </c>
      <c r="O22" s="2" t="s">
        <v>204</v>
      </c>
      <c r="Q22" s="2"/>
    </row>
    <row r="23" spans="1:17" ht="22.15" customHeight="1">
      <c r="A23" s="237"/>
      <c r="B23" s="439" t="s">
        <v>205</v>
      </c>
      <c r="C23" s="138" t="s">
        <v>201</v>
      </c>
      <c r="D23" s="200"/>
      <c r="E23" s="231"/>
      <c r="F23" s="200"/>
      <c r="G23" s="200"/>
      <c r="H23" s="200"/>
      <c r="I23" s="200"/>
      <c r="J23" s="200"/>
      <c r="K23" s="200"/>
      <c r="L23" s="200"/>
      <c r="M23" s="27" t="s">
        <v>206</v>
      </c>
      <c r="Q23" s="2"/>
    </row>
    <row r="24" spans="1:17" ht="22.15" customHeight="1">
      <c r="A24" s="237"/>
      <c r="B24" s="449" t="s">
        <v>207</v>
      </c>
      <c r="C24" s="138" t="s">
        <v>201</v>
      </c>
      <c r="D24" s="231"/>
      <c r="E24" s="200"/>
      <c r="F24" s="231"/>
      <c r="G24" s="231"/>
      <c r="H24" s="231"/>
      <c r="I24" s="231"/>
      <c r="J24" s="231"/>
      <c r="K24" s="231"/>
      <c r="L24" s="231"/>
      <c r="M24" s="25" t="s">
        <v>208</v>
      </c>
      <c r="Q24" s="2"/>
    </row>
    <row r="25" spans="1:17" ht="22.15" customHeight="1">
      <c r="A25" s="237"/>
      <c r="B25" s="449" t="s">
        <v>209</v>
      </c>
      <c r="C25" s="138" t="s">
        <v>201</v>
      </c>
      <c r="D25" s="200"/>
      <c r="E25" s="231"/>
      <c r="F25" s="200"/>
      <c r="G25" s="200"/>
      <c r="H25" s="200"/>
      <c r="I25" s="200"/>
      <c r="J25" s="200"/>
      <c r="K25" s="200"/>
      <c r="L25" s="200"/>
      <c r="M25" s="25" t="s">
        <v>210</v>
      </c>
      <c r="Q25" s="2"/>
    </row>
    <row r="26" spans="1:17" ht="22.15" customHeight="1">
      <c r="A26" s="238"/>
      <c r="B26" s="451" t="s">
        <v>211</v>
      </c>
      <c r="C26" s="138" t="s">
        <v>212</v>
      </c>
      <c r="D26" s="231"/>
      <c r="E26" s="200"/>
      <c r="F26" s="231"/>
      <c r="G26" s="231"/>
      <c r="H26" s="231"/>
      <c r="I26" s="231"/>
      <c r="J26" s="231"/>
      <c r="K26" s="231"/>
      <c r="L26" s="231"/>
      <c r="M26" s="831" t="s">
        <v>213</v>
      </c>
      <c r="N26" s="2" t="s">
        <v>214</v>
      </c>
      <c r="P26" s="2" t="s">
        <v>215</v>
      </c>
      <c r="Q26" s="2"/>
    </row>
    <row r="27" spans="1:17" ht="22.15" customHeight="1">
      <c r="A27" s="832" t="s">
        <v>216</v>
      </c>
      <c r="B27" s="452" t="s">
        <v>217</v>
      </c>
      <c r="C27" s="138" t="s">
        <v>218</v>
      </c>
      <c r="D27" s="231"/>
      <c r="E27" s="200"/>
      <c r="F27" s="231"/>
      <c r="G27" s="231"/>
      <c r="H27" s="231"/>
      <c r="I27" s="231"/>
      <c r="J27" s="231"/>
      <c r="K27" s="231"/>
      <c r="L27" s="231"/>
      <c r="M27" s="831"/>
      <c r="N27" s="7" t="s">
        <v>219</v>
      </c>
      <c r="Q27" s="2"/>
    </row>
    <row r="28" spans="1:17" ht="22.15" customHeight="1">
      <c r="A28" s="832"/>
      <c r="B28" s="453" t="s">
        <v>220</v>
      </c>
      <c r="C28" s="138" t="s">
        <v>221</v>
      </c>
      <c r="D28" s="200"/>
      <c r="E28" s="231"/>
      <c r="F28" s="200"/>
      <c r="G28" s="200"/>
      <c r="H28" s="200"/>
      <c r="I28" s="200"/>
      <c r="J28" s="200"/>
      <c r="K28" s="200"/>
      <c r="L28" s="200"/>
      <c r="M28" s="831"/>
      <c r="N28" s="2" t="s">
        <v>214</v>
      </c>
      <c r="O28" s="2" t="s">
        <v>222</v>
      </c>
      <c r="Q28" s="2"/>
    </row>
    <row r="29" spans="1:17" ht="22.15" customHeight="1">
      <c r="A29" s="832"/>
      <c r="B29" s="454" t="s">
        <v>223</v>
      </c>
      <c r="C29" s="138"/>
      <c r="D29" s="231"/>
      <c r="E29" s="200"/>
      <c r="F29" s="231"/>
      <c r="G29" s="231"/>
      <c r="H29" s="231"/>
      <c r="I29" s="231"/>
      <c r="J29" s="231"/>
      <c r="K29" s="231"/>
      <c r="L29" s="231"/>
      <c r="M29" s="831"/>
      <c r="N29" s="2" t="s">
        <v>214</v>
      </c>
      <c r="Q29" s="2"/>
    </row>
    <row r="30" spans="1:17" ht="22.15" customHeight="1">
      <c r="A30" s="832"/>
      <c r="B30" s="455" t="s">
        <v>224</v>
      </c>
      <c r="C30" s="138"/>
      <c r="D30" s="200"/>
      <c r="E30" s="231"/>
      <c r="F30" s="200"/>
      <c r="G30" s="200"/>
      <c r="H30" s="200"/>
      <c r="I30" s="200"/>
      <c r="J30" s="200"/>
      <c r="K30" s="200"/>
      <c r="L30" s="200"/>
      <c r="M30" s="831"/>
      <c r="N30" s="2" t="s">
        <v>219</v>
      </c>
      <c r="Q30" s="19"/>
    </row>
    <row r="31" spans="1:17" ht="22.15" customHeight="1">
      <c r="A31" s="832"/>
      <c r="B31" s="455" t="s">
        <v>225</v>
      </c>
      <c r="C31" s="508"/>
      <c r="D31" s="231"/>
      <c r="E31" s="200"/>
      <c r="F31" s="231"/>
      <c r="G31" s="231"/>
      <c r="H31" s="231"/>
      <c r="I31" s="231"/>
      <c r="J31" s="231"/>
      <c r="K31" s="231"/>
      <c r="L31" s="231"/>
      <c r="M31" s="831"/>
      <c r="N31" s="30" t="s">
        <v>226</v>
      </c>
      <c r="Q31" s="19"/>
    </row>
    <row r="32" spans="1:17" ht="22.15" customHeight="1">
      <c r="A32" s="832"/>
      <c r="B32" s="456" t="s">
        <v>227</v>
      </c>
      <c r="C32" s="508"/>
      <c r="D32" s="231"/>
      <c r="E32" s="200"/>
      <c r="F32" s="231"/>
      <c r="G32" s="231"/>
      <c r="H32" s="231"/>
      <c r="I32" s="231"/>
      <c r="J32" s="231"/>
      <c r="K32" s="231"/>
      <c r="L32" s="231"/>
      <c r="M32" s="831"/>
      <c r="N32" s="2" t="s">
        <v>228</v>
      </c>
      <c r="Q32" s="2"/>
    </row>
    <row r="33" spans="1:17" ht="22.15" customHeight="1">
      <c r="A33" s="832"/>
      <c r="B33" s="456" t="s">
        <v>229</v>
      </c>
      <c r="C33" s="138"/>
      <c r="D33" s="200"/>
      <c r="E33" s="231"/>
      <c r="F33" s="200"/>
      <c r="G33" s="200"/>
      <c r="H33" s="200"/>
      <c r="I33" s="200"/>
      <c r="J33" s="200"/>
      <c r="K33" s="200"/>
      <c r="L33" s="200"/>
      <c r="M33" s="831"/>
      <c r="N33" s="31">
        <v>43789</v>
      </c>
      <c r="Q33" s="2"/>
    </row>
    <row r="34" spans="1:17" ht="22.15" customHeight="1">
      <c r="A34" s="832"/>
      <c r="B34" s="434" t="s">
        <v>230</v>
      </c>
      <c r="C34" s="138"/>
      <c r="D34" s="231"/>
      <c r="E34" s="200"/>
      <c r="F34" s="231"/>
      <c r="G34" s="231"/>
      <c r="H34" s="231"/>
      <c r="I34" s="231"/>
      <c r="J34" s="231"/>
      <c r="K34" s="231"/>
      <c r="L34" s="231"/>
      <c r="M34" s="831"/>
      <c r="N34" s="31" t="s">
        <v>231</v>
      </c>
      <c r="Q34" s="2"/>
    </row>
    <row r="35" spans="1:17" ht="22.15" customHeight="1">
      <c r="A35" s="832"/>
      <c r="B35" s="454" t="s">
        <v>232</v>
      </c>
      <c r="C35" s="508"/>
      <c r="D35" s="200"/>
      <c r="E35" s="231"/>
      <c r="F35" s="200"/>
      <c r="G35" s="200"/>
      <c r="H35" s="200"/>
      <c r="I35" s="200"/>
      <c r="J35" s="200"/>
      <c r="K35" s="200"/>
      <c r="L35" s="200"/>
      <c r="M35" s="831"/>
      <c r="Q35" s="2"/>
    </row>
    <row r="36" spans="1:17" ht="22.15" customHeight="1">
      <c r="A36" s="832"/>
      <c r="B36" s="454" t="s">
        <v>233</v>
      </c>
      <c r="C36" s="138"/>
      <c r="D36" s="231"/>
      <c r="E36" s="200"/>
      <c r="F36" s="231"/>
      <c r="G36" s="231"/>
      <c r="H36" s="231"/>
      <c r="I36" s="231"/>
      <c r="J36" s="231"/>
      <c r="K36" s="231"/>
      <c r="L36" s="231"/>
      <c r="M36" s="831"/>
      <c r="Q36" s="2"/>
    </row>
    <row r="37" spans="1:17" ht="22.15" customHeight="1">
      <c r="A37" s="832"/>
      <c r="B37" s="456" t="s">
        <v>234</v>
      </c>
      <c r="C37" s="138"/>
      <c r="D37" s="231"/>
      <c r="E37" s="200"/>
      <c r="F37" s="231"/>
      <c r="G37" s="231"/>
      <c r="H37" s="231"/>
      <c r="I37" s="231"/>
      <c r="J37" s="231"/>
      <c r="K37" s="231"/>
      <c r="L37" s="231"/>
      <c r="M37" s="831"/>
      <c r="N37" s="14" t="s">
        <v>219</v>
      </c>
      <c r="Q37" s="2"/>
    </row>
    <row r="38" spans="1:17" ht="22.15" customHeight="1">
      <c r="A38" s="832"/>
      <c r="B38" s="456" t="s">
        <v>235</v>
      </c>
      <c r="C38" s="138"/>
      <c r="D38" s="200"/>
      <c r="E38" s="231"/>
      <c r="F38" s="200"/>
      <c r="G38" s="200"/>
      <c r="H38" s="200"/>
      <c r="I38" s="200"/>
      <c r="J38" s="200"/>
      <c r="K38" s="200"/>
      <c r="L38" s="200"/>
      <c r="M38" s="831"/>
      <c r="Q38" s="2"/>
    </row>
    <row r="39" spans="1:17" ht="22.15" customHeight="1">
      <c r="A39" s="832"/>
      <c r="B39" s="456" t="s">
        <v>236</v>
      </c>
      <c r="C39" s="138"/>
      <c r="D39" s="231"/>
      <c r="E39" s="200"/>
      <c r="F39" s="231"/>
      <c r="G39" s="231"/>
      <c r="H39" s="231"/>
      <c r="I39" s="231"/>
      <c r="J39" s="231"/>
      <c r="K39" s="231"/>
      <c r="L39" s="231"/>
      <c r="M39" s="831"/>
      <c r="Q39" s="2"/>
    </row>
    <row r="40" spans="1:17" ht="22.15" customHeight="1">
      <c r="A40" s="832"/>
      <c r="B40" s="454" t="s">
        <v>237</v>
      </c>
      <c r="C40" s="138"/>
      <c r="D40" s="200"/>
      <c r="E40" s="231"/>
      <c r="F40" s="200"/>
      <c r="G40" s="200"/>
      <c r="H40" s="200"/>
      <c r="I40" s="200"/>
      <c r="J40" s="200"/>
      <c r="K40" s="200"/>
      <c r="L40" s="200"/>
      <c r="M40" s="831"/>
      <c r="N40" s="14" t="s">
        <v>219</v>
      </c>
      <c r="Q40" s="2"/>
    </row>
    <row r="41" spans="1:17" ht="22.15" customHeight="1">
      <c r="A41" s="832"/>
      <c r="B41" s="454" t="s">
        <v>238</v>
      </c>
      <c r="C41" s="138"/>
      <c r="D41" s="231"/>
      <c r="E41" s="200"/>
      <c r="F41" s="231"/>
      <c r="G41" s="231"/>
      <c r="H41" s="231"/>
      <c r="I41" s="231"/>
      <c r="J41" s="231"/>
      <c r="K41" s="231"/>
      <c r="L41" s="231"/>
      <c r="M41" s="831"/>
      <c r="Q41" s="2"/>
    </row>
    <row r="42" spans="1:17" ht="22.15" customHeight="1">
      <c r="A42" s="832"/>
      <c r="B42" s="454" t="s">
        <v>239</v>
      </c>
      <c r="C42" s="138"/>
      <c r="D42" s="231"/>
      <c r="E42" s="200"/>
      <c r="F42" s="231"/>
      <c r="G42" s="231"/>
      <c r="H42" s="231"/>
      <c r="I42" s="231"/>
      <c r="J42" s="231"/>
      <c r="K42" s="231"/>
      <c r="L42" s="231"/>
      <c r="M42" s="831"/>
      <c r="Q42" s="2"/>
    </row>
    <row r="43" spans="1:17" ht="22.15" customHeight="1">
      <c r="A43" s="832"/>
      <c r="B43" s="456" t="s">
        <v>240</v>
      </c>
      <c r="C43" s="138"/>
      <c r="D43" s="200"/>
      <c r="E43" s="231"/>
      <c r="F43" s="200"/>
      <c r="G43" s="200"/>
      <c r="H43" s="200"/>
      <c r="I43" s="200"/>
      <c r="J43" s="200"/>
      <c r="K43" s="200"/>
      <c r="L43" s="200"/>
      <c r="M43" s="831"/>
      <c r="N43" s="2" t="str">
        <f>+N26</f>
        <v>Per declaration pages</v>
      </c>
      <c r="Q43" s="2"/>
    </row>
    <row r="44" spans="1:17" ht="22.15" customHeight="1">
      <c r="A44" s="832"/>
      <c r="B44" s="456" t="s">
        <v>241</v>
      </c>
      <c r="C44" s="138"/>
      <c r="D44" s="231"/>
      <c r="E44" s="200"/>
      <c r="F44" s="231"/>
      <c r="G44" s="231"/>
      <c r="H44" s="231"/>
      <c r="I44" s="231"/>
      <c r="J44" s="231"/>
      <c r="K44" s="231"/>
      <c r="L44" s="231"/>
      <c r="M44" s="831"/>
      <c r="Q44" s="2"/>
    </row>
    <row r="45" spans="1:17" ht="22.15" customHeight="1">
      <c r="A45" s="832"/>
      <c r="B45" s="456" t="s">
        <v>242</v>
      </c>
      <c r="C45" s="138"/>
      <c r="D45" s="200"/>
      <c r="E45" s="231"/>
      <c r="F45" s="200"/>
      <c r="G45" s="200"/>
      <c r="H45" s="200"/>
      <c r="I45" s="200"/>
      <c r="J45" s="200"/>
      <c r="K45" s="200"/>
      <c r="L45" s="200"/>
      <c r="M45" s="831"/>
      <c r="Q45" s="2"/>
    </row>
    <row r="46" spans="1:17" ht="22.15" customHeight="1">
      <c r="A46" s="832"/>
      <c r="B46" s="455" t="s">
        <v>243</v>
      </c>
      <c r="C46" s="508"/>
      <c r="D46" s="231"/>
      <c r="E46" s="200"/>
      <c r="F46" s="231"/>
      <c r="G46" s="231"/>
      <c r="H46" s="231"/>
      <c r="I46" s="231"/>
      <c r="J46" s="231"/>
      <c r="K46" s="231"/>
      <c r="L46" s="231"/>
      <c r="M46" s="831"/>
      <c r="Q46" s="2"/>
    </row>
    <row r="47" spans="1:17" ht="22.15" customHeight="1">
      <c r="A47" s="832"/>
      <c r="B47" s="456" t="s">
        <v>244</v>
      </c>
      <c r="C47" s="138"/>
      <c r="D47" s="231"/>
      <c r="E47" s="200"/>
      <c r="F47" s="231"/>
      <c r="G47" s="231"/>
      <c r="H47" s="231"/>
      <c r="I47" s="231"/>
      <c r="J47" s="231"/>
      <c r="K47" s="231"/>
      <c r="L47" s="231"/>
      <c r="M47" s="831"/>
      <c r="Q47" s="2"/>
    </row>
    <row r="48" spans="1:17" ht="22.15" customHeight="1">
      <c r="A48" s="832"/>
      <c r="B48" s="456" t="s">
        <v>245</v>
      </c>
      <c r="C48" s="138"/>
      <c r="D48" s="200"/>
      <c r="E48" s="231"/>
      <c r="F48" s="200"/>
      <c r="G48" s="200"/>
      <c r="H48" s="200"/>
      <c r="I48" s="200"/>
      <c r="J48" s="200"/>
      <c r="K48" s="200"/>
      <c r="L48" s="200"/>
      <c r="M48" s="831"/>
      <c r="Q48" s="2"/>
    </row>
    <row r="49" spans="1:20" ht="22.15" customHeight="1">
      <c r="A49" s="832"/>
      <c r="B49" s="456" t="s">
        <v>246</v>
      </c>
      <c r="C49" s="138"/>
      <c r="D49" s="231"/>
      <c r="E49" s="200"/>
      <c r="F49" s="231"/>
      <c r="G49" s="231"/>
      <c r="H49" s="231"/>
      <c r="I49" s="231"/>
      <c r="J49" s="231"/>
      <c r="K49" s="231"/>
      <c r="L49" s="231"/>
      <c r="M49" s="831"/>
      <c r="N49" s="221" t="s">
        <v>247</v>
      </c>
      <c r="O49" s="221"/>
      <c r="P49" s="221"/>
      <c r="Q49" s="221"/>
    </row>
    <row r="50" spans="1:20" ht="22.15" customHeight="1">
      <c r="A50" s="239"/>
      <c r="B50" s="456" t="s">
        <v>248</v>
      </c>
      <c r="C50" s="138"/>
      <c r="D50" s="200"/>
      <c r="E50" s="231"/>
      <c r="F50" s="200"/>
      <c r="G50" s="200"/>
      <c r="H50" s="200"/>
      <c r="I50" s="200"/>
      <c r="J50" s="200"/>
      <c r="K50" s="200"/>
      <c r="L50" s="200"/>
      <c r="M50" s="831"/>
      <c r="Q50" s="2"/>
    </row>
    <row r="51" spans="1:20" ht="25.9" customHeight="1">
      <c r="A51" s="236"/>
      <c r="B51" s="457" t="s">
        <v>249</v>
      </c>
      <c r="C51" s="716" t="s">
        <v>250</v>
      </c>
      <c r="D51" s="231"/>
      <c r="E51" s="200"/>
      <c r="F51" s="231"/>
      <c r="G51" s="231"/>
      <c r="H51" s="231"/>
      <c r="I51" s="231"/>
      <c r="J51" s="231"/>
      <c r="K51" s="231"/>
      <c r="L51" s="231"/>
    </row>
    <row r="52" spans="1:20" ht="25.9" customHeight="1">
      <c r="A52" s="236"/>
      <c r="B52" s="458" t="s">
        <v>251</v>
      </c>
      <c r="C52" s="138" t="s">
        <v>149</v>
      </c>
      <c r="D52" s="200" t="s">
        <v>252</v>
      </c>
      <c r="E52" s="219" t="s">
        <v>253</v>
      </c>
      <c r="F52" s="505" t="s">
        <v>254</v>
      </c>
      <c r="G52" s="504" t="s">
        <v>255</v>
      </c>
      <c r="H52" s="504" t="s">
        <v>256</v>
      </c>
      <c r="I52" s="504" t="s">
        <v>209</v>
      </c>
      <c r="J52" s="506" t="s">
        <v>257</v>
      </c>
      <c r="K52" s="506"/>
      <c r="L52" s="506"/>
      <c r="M52" s="28" t="s">
        <v>258</v>
      </c>
      <c r="N52" s="10" t="s">
        <v>259</v>
      </c>
      <c r="O52" s="22" t="s">
        <v>260</v>
      </c>
      <c r="P52" s="819" t="s">
        <v>261</v>
      </c>
      <c r="Q52" s="819"/>
      <c r="R52" s="819"/>
    </row>
    <row r="53" spans="1:20" ht="25.9" customHeight="1" thickBot="1">
      <c r="A53" s="485">
        <v>1</v>
      </c>
      <c r="B53" s="501" t="s">
        <v>262</v>
      </c>
      <c r="C53" s="138" t="s">
        <v>263</v>
      </c>
      <c r="D53" s="35"/>
      <c r="E53" s="220"/>
      <c r="F53" s="35">
        <v>401</v>
      </c>
      <c r="G53" s="35">
        <v>501</v>
      </c>
      <c r="H53" s="35">
        <v>601</v>
      </c>
      <c r="I53" s="35">
        <v>701</v>
      </c>
      <c r="J53" s="35">
        <v>901</v>
      </c>
      <c r="K53" s="35"/>
      <c r="L53" s="35"/>
      <c r="M53" s="35" t="s">
        <v>264</v>
      </c>
      <c r="N53" s="32" t="s">
        <v>265</v>
      </c>
      <c r="O53" s="33" t="s">
        <v>266</v>
      </c>
      <c r="P53" s="208" t="s">
        <v>267</v>
      </c>
      <c r="Q53" s="820" t="s">
        <v>268</v>
      </c>
      <c r="R53" s="821"/>
      <c r="S53" s="821"/>
    </row>
    <row r="54" spans="1:20" ht="25.9" customHeight="1" thickTop="1" thickBot="1">
      <c r="A54" s="485">
        <v>2</v>
      </c>
      <c r="B54" s="502" t="s">
        <v>269</v>
      </c>
      <c r="C54" s="618" t="s">
        <v>270</v>
      </c>
      <c r="D54" s="220"/>
      <c r="E54" s="35"/>
      <c r="F54" s="220">
        <f>F53+1</f>
        <v>402</v>
      </c>
      <c r="G54" s="220">
        <f>G53+1</f>
        <v>502</v>
      </c>
      <c r="H54" s="220">
        <f t="shared" ref="H54:I69" si="0">H53+1</f>
        <v>602</v>
      </c>
      <c r="I54" s="220">
        <f t="shared" si="0"/>
        <v>702</v>
      </c>
      <c r="J54" s="220">
        <f>J53+1</f>
        <v>902</v>
      </c>
      <c r="K54" s="220"/>
      <c r="L54" s="220"/>
      <c r="M54" s="38" t="s">
        <v>271</v>
      </c>
      <c r="N54" s="34" t="s">
        <v>272</v>
      </c>
      <c r="O54" s="33" t="s">
        <v>273</v>
      </c>
      <c r="P54" s="209" t="s">
        <v>274</v>
      </c>
      <c r="Q54" s="207" t="s">
        <v>275</v>
      </c>
      <c r="R54" s="210" t="s">
        <v>276</v>
      </c>
      <c r="S54" s="211"/>
    </row>
    <row r="55" spans="1:20" ht="25.9" customHeight="1" thickTop="1" thickBot="1">
      <c r="A55" s="485">
        <v>3</v>
      </c>
      <c r="B55" s="503" t="s">
        <v>277</v>
      </c>
      <c r="C55" s="138" t="s">
        <v>278</v>
      </c>
      <c r="D55" s="35"/>
      <c r="E55" s="220"/>
      <c r="F55" s="220">
        <f t="shared" ref="F55:J77" si="1">F54+1</f>
        <v>403</v>
      </c>
      <c r="G55" s="220">
        <f t="shared" si="1"/>
        <v>503</v>
      </c>
      <c r="H55" s="220">
        <f t="shared" si="0"/>
        <v>603</v>
      </c>
      <c r="I55" s="220">
        <f t="shared" si="0"/>
        <v>703</v>
      </c>
      <c r="J55" s="220">
        <f t="shared" si="1"/>
        <v>903</v>
      </c>
      <c r="K55" s="232"/>
      <c r="L55" s="232"/>
      <c r="M55" s="32" t="s">
        <v>279</v>
      </c>
      <c r="N55" s="35" t="s">
        <v>280</v>
      </c>
      <c r="O55" s="32" t="s">
        <v>281</v>
      </c>
      <c r="P55" s="138"/>
      <c r="Q55" s="138"/>
      <c r="R55" s="212" t="s">
        <v>282</v>
      </c>
      <c r="S55" s="213" t="s">
        <v>283</v>
      </c>
      <c r="T55" s="7" t="s">
        <v>284</v>
      </c>
    </row>
    <row r="56" spans="1:20" ht="25.9" customHeight="1" thickTop="1" thickBot="1">
      <c r="A56" s="485">
        <v>4</v>
      </c>
      <c r="B56" s="502" t="s">
        <v>285</v>
      </c>
      <c r="C56" s="43" t="s">
        <v>286</v>
      </c>
      <c r="D56" s="220"/>
      <c r="E56" s="35"/>
      <c r="F56" s="220">
        <f t="shared" si="1"/>
        <v>404</v>
      </c>
      <c r="G56" s="220">
        <f t="shared" si="1"/>
        <v>504</v>
      </c>
      <c r="H56" s="220">
        <f t="shared" si="0"/>
        <v>604</v>
      </c>
      <c r="I56" s="220">
        <f t="shared" si="0"/>
        <v>704</v>
      </c>
      <c r="J56" s="220">
        <f t="shared" si="1"/>
        <v>904</v>
      </c>
      <c r="K56" s="220"/>
      <c r="L56" s="220"/>
      <c r="M56" s="38" t="s">
        <v>287</v>
      </c>
      <c r="N56" s="8" t="s">
        <v>288</v>
      </c>
      <c r="O56" s="35" t="s">
        <v>289</v>
      </c>
      <c r="P56" s="214" t="s">
        <v>290</v>
      </c>
      <c r="Q56" s="822" t="s">
        <v>291</v>
      </c>
      <c r="R56" s="823"/>
      <c r="S56" s="215" t="s">
        <v>292</v>
      </c>
    </row>
    <row r="57" spans="1:20" ht="25.9" customHeight="1" thickTop="1" thickBot="1">
      <c r="A57" s="485">
        <v>5</v>
      </c>
      <c r="B57" s="503" t="s">
        <v>293</v>
      </c>
      <c r="C57" s="138" t="s">
        <v>294</v>
      </c>
      <c r="D57" s="35"/>
      <c r="E57" s="220"/>
      <c r="F57" s="220">
        <f t="shared" si="1"/>
        <v>405</v>
      </c>
      <c r="G57" s="220">
        <f t="shared" si="1"/>
        <v>505</v>
      </c>
      <c r="H57" s="220">
        <f t="shared" si="0"/>
        <v>605</v>
      </c>
      <c r="I57" s="220">
        <f t="shared" si="0"/>
        <v>705</v>
      </c>
      <c r="J57" s="220">
        <f t="shared" si="1"/>
        <v>905</v>
      </c>
      <c r="K57" s="220"/>
      <c r="L57" s="220"/>
      <c r="M57" s="38" t="s">
        <v>295</v>
      </c>
      <c r="N57" s="33" t="s">
        <v>296</v>
      </c>
      <c r="O57" s="32" t="s">
        <v>297</v>
      </c>
      <c r="P57" s="216" t="s">
        <v>298</v>
      </c>
      <c r="Q57" s="217"/>
      <c r="R57" s="218"/>
      <c r="S57" s="215"/>
    </row>
    <row r="58" spans="1:20" ht="25.9" customHeight="1" thickTop="1" thickBot="1">
      <c r="A58" s="485">
        <v>6</v>
      </c>
      <c r="B58" s="502" t="s">
        <v>299</v>
      </c>
      <c r="C58" s="231" t="s">
        <v>300</v>
      </c>
      <c r="D58" s="220"/>
      <c r="E58" s="35"/>
      <c r="F58" s="220">
        <f t="shared" si="1"/>
        <v>406</v>
      </c>
      <c r="G58" s="220">
        <f t="shared" si="1"/>
        <v>506</v>
      </c>
      <c r="H58" s="220">
        <f t="shared" si="0"/>
        <v>606</v>
      </c>
      <c r="I58" s="220">
        <f t="shared" si="0"/>
        <v>706</v>
      </c>
      <c r="J58" s="220">
        <f t="shared" si="1"/>
        <v>906</v>
      </c>
      <c r="K58" s="220"/>
      <c r="L58" s="220"/>
      <c r="M58" s="35" t="s">
        <v>301</v>
      </c>
      <c r="N58" s="36" t="s">
        <v>302</v>
      </c>
      <c r="O58" s="8" t="s">
        <v>303</v>
      </c>
    </row>
    <row r="59" spans="1:20" ht="25.9" customHeight="1" thickTop="1" thickBot="1">
      <c r="A59" s="485">
        <v>7</v>
      </c>
      <c r="B59" s="503" t="s">
        <v>304</v>
      </c>
      <c r="C59" s="43" t="s">
        <v>305</v>
      </c>
      <c r="D59" s="35"/>
      <c r="E59" s="220"/>
      <c r="F59" s="220">
        <f t="shared" si="1"/>
        <v>407</v>
      </c>
      <c r="G59" s="220">
        <f t="shared" si="1"/>
        <v>507</v>
      </c>
      <c r="H59" s="220">
        <f t="shared" si="0"/>
        <v>607</v>
      </c>
      <c r="I59" s="220">
        <f t="shared" si="0"/>
        <v>707</v>
      </c>
      <c r="J59" s="220">
        <f t="shared" si="1"/>
        <v>907</v>
      </c>
      <c r="K59" s="220"/>
      <c r="L59" s="220"/>
      <c r="M59" s="38" t="s">
        <v>286</v>
      </c>
      <c r="N59" s="37" t="s">
        <v>306</v>
      </c>
      <c r="O59" s="8" t="s">
        <v>307</v>
      </c>
      <c r="Q59" s="350"/>
    </row>
    <row r="60" spans="1:20" ht="25.9" customHeight="1" thickTop="1" thickBot="1">
      <c r="A60" s="485">
        <v>8</v>
      </c>
      <c r="B60" s="502" t="s">
        <v>308</v>
      </c>
      <c r="C60" s="43" t="s">
        <v>309</v>
      </c>
      <c r="D60" s="220"/>
      <c r="E60" s="35"/>
      <c r="F60" s="220">
        <f t="shared" si="1"/>
        <v>408</v>
      </c>
      <c r="G60" s="220">
        <f t="shared" si="1"/>
        <v>508</v>
      </c>
      <c r="H60" s="220">
        <f t="shared" si="0"/>
        <v>608</v>
      </c>
      <c r="I60" s="220">
        <f t="shared" si="0"/>
        <v>708</v>
      </c>
      <c r="J60" s="220">
        <f t="shared" si="1"/>
        <v>908</v>
      </c>
      <c r="K60" s="220"/>
      <c r="L60" s="220"/>
      <c r="M60" s="35" t="s">
        <v>310</v>
      </c>
      <c r="N60" s="36" t="s">
        <v>311</v>
      </c>
      <c r="O60" s="8" t="s">
        <v>312</v>
      </c>
      <c r="Q60" s="351"/>
    </row>
    <row r="61" spans="1:20" ht="25.9" customHeight="1" thickTop="1" thickBot="1">
      <c r="A61" s="485">
        <v>9</v>
      </c>
      <c r="B61" s="503" t="s">
        <v>313</v>
      </c>
      <c r="C61" s="138" t="s">
        <v>314</v>
      </c>
      <c r="D61" s="35"/>
      <c r="E61" s="220"/>
      <c r="F61" s="220">
        <f t="shared" si="1"/>
        <v>409</v>
      </c>
      <c r="G61" s="220">
        <f t="shared" si="1"/>
        <v>509</v>
      </c>
      <c r="H61" s="220">
        <f t="shared" si="0"/>
        <v>609</v>
      </c>
      <c r="I61" s="220">
        <f t="shared" si="0"/>
        <v>709</v>
      </c>
      <c r="J61" s="220">
        <f t="shared" si="1"/>
        <v>909</v>
      </c>
      <c r="K61" s="220"/>
      <c r="L61" s="220"/>
      <c r="M61" s="38" t="s">
        <v>315</v>
      </c>
      <c r="N61" s="34" t="s">
        <v>316</v>
      </c>
      <c r="O61" s="39" t="s">
        <v>317</v>
      </c>
      <c r="Q61" s="360" t="s">
        <v>318</v>
      </c>
    </row>
    <row r="62" spans="1:20" ht="25.9" customHeight="1" thickTop="1" thickBot="1">
      <c r="A62" s="485">
        <v>10</v>
      </c>
      <c r="B62" s="502" t="s">
        <v>319</v>
      </c>
      <c r="C62" s="138" t="s">
        <v>320</v>
      </c>
      <c r="D62" s="220"/>
      <c r="E62" s="35"/>
      <c r="F62" s="220">
        <f t="shared" si="1"/>
        <v>410</v>
      </c>
      <c r="G62" s="220">
        <f t="shared" si="1"/>
        <v>510</v>
      </c>
      <c r="H62" s="220">
        <f t="shared" si="0"/>
        <v>610</v>
      </c>
      <c r="I62" s="220">
        <f t="shared" si="0"/>
        <v>710</v>
      </c>
      <c r="J62" s="220">
        <f t="shared" si="1"/>
        <v>910</v>
      </c>
      <c r="K62" s="220"/>
      <c r="L62" s="220"/>
      <c r="M62" s="35" t="s">
        <v>321</v>
      </c>
      <c r="N62" s="35" t="s">
        <v>322</v>
      </c>
      <c r="O62" s="202" t="s">
        <v>323</v>
      </c>
      <c r="Q62" s="360" t="s">
        <v>324</v>
      </c>
    </row>
    <row r="63" spans="1:20" ht="25.9" customHeight="1" thickTop="1" thickBot="1">
      <c r="A63" s="485">
        <v>11</v>
      </c>
      <c r="B63" s="503" t="s">
        <v>325</v>
      </c>
      <c r="C63" s="231" t="s">
        <v>326</v>
      </c>
      <c r="D63" s="35"/>
      <c r="E63" s="220"/>
      <c r="F63" s="220">
        <f t="shared" si="1"/>
        <v>411</v>
      </c>
      <c r="G63" s="220">
        <f t="shared" si="1"/>
        <v>511</v>
      </c>
      <c r="H63" s="220">
        <f t="shared" si="0"/>
        <v>611</v>
      </c>
      <c r="I63" s="220">
        <f t="shared" si="0"/>
        <v>711</v>
      </c>
      <c r="J63" s="220">
        <f t="shared" si="1"/>
        <v>911</v>
      </c>
      <c r="K63" s="220"/>
      <c r="L63" s="220"/>
      <c r="M63" s="35" t="s">
        <v>327</v>
      </c>
      <c r="N63" s="36" t="s">
        <v>328</v>
      </c>
      <c r="O63" s="203" t="s">
        <v>329</v>
      </c>
      <c r="Q63" s="360" t="s">
        <v>330</v>
      </c>
    </row>
    <row r="64" spans="1:20" ht="25.9" customHeight="1" thickTop="1" thickBot="1">
      <c r="A64" s="485">
        <v>12</v>
      </c>
      <c r="B64" s="502" t="s">
        <v>331</v>
      </c>
      <c r="C64" s="231" t="s">
        <v>332</v>
      </c>
      <c r="D64" s="220"/>
      <c r="E64" s="35"/>
      <c r="F64" s="220">
        <f t="shared" si="1"/>
        <v>412</v>
      </c>
      <c r="G64" s="220">
        <f t="shared" si="1"/>
        <v>512</v>
      </c>
      <c r="H64" s="220">
        <f t="shared" si="0"/>
        <v>612</v>
      </c>
      <c r="I64" s="220">
        <f t="shared" si="0"/>
        <v>712</v>
      </c>
      <c r="J64" s="220">
        <f t="shared" si="1"/>
        <v>912</v>
      </c>
      <c r="K64" s="220"/>
      <c r="L64" s="220"/>
      <c r="M64" s="35" t="s">
        <v>333</v>
      </c>
      <c r="N64" s="33" t="s">
        <v>334</v>
      </c>
      <c r="O64" s="204" t="s">
        <v>185</v>
      </c>
      <c r="Q64" s="350"/>
    </row>
    <row r="65" spans="1:17" ht="25.9" customHeight="1" thickTop="1" thickBot="1">
      <c r="A65" s="485">
        <v>13</v>
      </c>
      <c r="B65" s="503" t="s">
        <v>335</v>
      </c>
      <c r="C65" s="231" t="s">
        <v>336</v>
      </c>
      <c r="D65" s="35"/>
      <c r="E65" s="220"/>
      <c r="F65" s="220">
        <f t="shared" si="1"/>
        <v>413</v>
      </c>
      <c r="G65" s="220">
        <f t="shared" si="1"/>
        <v>513</v>
      </c>
      <c r="H65" s="220">
        <f t="shared" si="0"/>
        <v>613</v>
      </c>
      <c r="I65" s="220">
        <f t="shared" si="0"/>
        <v>713</v>
      </c>
      <c r="J65" s="220">
        <f t="shared" si="1"/>
        <v>913</v>
      </c>
      <c r="K65" s="220"/>
      <c r="L65" s="220"/>
      <c r="M65" s="35" t="s">
        <v>337</v>
      </c>
      <c r="N65" s="35" t="s">
        <v>338</v>
      </c>
      <c r="O65" s="204" t="s">
        <v>189</v>
      </c>
      <c r="Q65" s="350"/>
    </row>
    <row r="66" spans="1:17" ht="25.9" customHeight="1" thickTop="1" thickBot="1">
      <c r="A66" s="485">
        <v>14</v>
      </c>
      <c r="B66" s="502" t="s">
        <v>339</v>
      </c>
      <c r="C66" s="138" t="s">
        <v>340</v>
      </c>
      <c r="D66" s="220"/>
      <c r="E66" s="35"/>
      <c r="F66" s="220">
        <f t="shared" si="1"/>
        <v>414</v>
      </c>
      <c r="G66" s="220">
        <f t="shared" si="1"/>
        <v>514</v>
      </c>
      <c r="H66" s="220">
        <f t="shared" si="0"/>
        <v>614</v>
      </c>
      <c r="I66" s="220">
        <f t="shared" si="0"/>
        <v>714</v>
      </c>
      <c r="J66" s="220">
        <f t="shared" si="1"/>
        <v>914</v>
      </c>
      <c r="K66" s="232"/>
      <c r="L66" s="232"/>
      <c r="M66" s="32" t="s">
        <v>341</v>
      </c>
      <c r="N66" s="8"/>
      <c r="O66" s="205" t="s">
        <v>192</v>
      </c>
      <c r="Q66" s="350"/>
    </row>
    <row r="67" spans="1:17" ht="25.9" customHeight="1" thickTop="1" thickBot="1">
      <c r="A67" s="485">
        <v>15</v>
      </c>
      <c r="B67" s="503" t="s">
        <v>342</v>
      </c>
      <c r="C67" s="138" t="s">
        <v>343</v>
      </c>
      <c r="D67" s="35"/>
      <c r="E67" s="220"/>
      <c r="F67" s="220">
        <f t="shared" si="1"/>
        <v>415</v>
      </c>
      <c r="G67" s="220">
        <f t="shared" si="1"/>
        <v>515</v>
      </c>
      <c r="H67" s="220">
        <f t="shared" si="0"/>
        <v>615</v>
      </c>
      <c r="I67" s="220">
        <f t="shared" si="0"/>
        <v>715</v>
      </c>
      <c r="J67" s="220">
        <f t="shared" si="1"/>
        <v>915</v>
      </c>
      <c r="K67" s="232"/>
      <c r="L67" s="232"/>
      <c r="M67" s="40" t="s">
        <v>344</v>
      </c>
      <c r="N67" s="8"/>
      <c r="O67" s="204" t="s">
        <v>345</v>
      </c>
      <c r="Q67" s="350"/>
    </row>
    <row r="68" spans="1:17" ht="25.9" customHeight="1" thickTop="1" thickBot="1">
      <c r="A68" s="485">
        <v>16</v>
      </c>
      <c r="B68" s="502" t="s">
        <v>346</v>
      </c>
      <c r="C68" s="138" t="s">
        <v>347</v>
      </c>
      <c r="D68" s="220"/>
      <c r="E68" s="35"/>
      <c r="F68" s="220">
        <f t="shared" si="1"/>
        <v>416</v>
      </c>
      <c r="G68" s="220">
        <f t="shared" si="1"/>
        <v>516</v>
      </c>
      <c r="H68" s="220">
        <f t="shared" si="0"/>
        <v>616</v>
      </c>
      <c r="I68" s="220">
        <f t="shared" si="0"/>
        <v>716</v>
      </c>
      <c r="J68" s="220">
        <f t="shared" si="1"/>
        <v>916</v>
      </c>
      <c r="K68" s="220"/>
      <c r="L68" s="220"/>
      <c r="M68" s="35" t="s">
        <v>281</v>
      </c>
      <c r="N68" s="32"/>
      <c r="O68" s="206" t="s">
        <v>348</v>
      </c>
      <c r="Q68" s="350"/>
    </row>
    <row r="69" spans="1:17" ht="25.9" customHeight="1" thickTop="1" thickBot="1">
      <c r="A69" s="485">
        <v>17</v>
      </c>
      <c r="B69" s="503" t="s">
        <v>349</v>
      </c>
      <c r="C69" s="138" t="s">
        <v>350</v>
      </c>
      <c r="D69" s="35"/>
      <c r="E69" s="220"/>
      <c r="F69" s="220">
        <f t="shared" si="1"/>
        <v>417</v>
      </c>
      <c r="G69" s="220">
        <f t="shared" si="1"/>
        <v>517</v>
      </c>
      <c r="H69" s="220">
        <f t="shared" si="0"/>
        <v>617</v>
      </c>
      <c r="I69" s="220">
        <f t="shared" si="0"/>
        <v>717</v>
      </c>
      <c r="J69" s="220">
        <f t="shared" si="1"/>
        <v>917</v>
      </c>
      <c r="K69" s="220"/>
      <c r="L69" s="220"/>
      <c r="M69" s="38" t="s">
        <v>351</v>
      </c>
      <c r="N69" s="32"/>
      <c r="O69" s="204" t="s">
        <v>352</v>
      </c>
      <c r="Q69" s="350"/>
    </row>
    <row r="70" spans="1:17" ht="25.9" customHeight="1" thickTop="1" thickBot="1">
      <c r="A70" s="485">
        <v>18</v>
      </c>
      <c r="B70" s="502" t="s">
        <v>353</v>
      </c>
      <c r="C70" s="138" t="s">
        <v>354</v>
      </c>
      <c r="D70" s="220"/>
      <c r="E70" s="35"/>
      <c r="F70" s="220">
        <f t="shared" si="1"/>
        <v>418</v>
      </c>
      <c r="G70" s="220">
        <f t="shared" si="1"/>
        <v>518</v>
      </c>
      <c r="H70" s="220">
        <f t="shared" ref="H70:H99" si="2">H69+1</f>
        <v>618</v>
      </c>
      <c r="I70" s="220">
        <f t="shared" ref="I70:I99" si="3">I69+1</f>
        <v>718</v>
      </c>
      <c r="J70" s="220">
        <f t="shared" si="1"/>
        <v>918</v>
      </c>
      <c r="K70" s="232"/>
      <c r="L70" s="232"/>
      <c r="M70" s="8"/>
      <c r="N70" s="8"/>
      <c r="O70" s="204" t="s">
        <v>355</v>
      </c>
      <c r="Q70" s="350"/>
    </row>
    <row r="71" spans="1:17" ht="25.9" customHeight="1" thickTop="1" thickBot="1">
      <c r="A71" s="485">
        <v>19</v>
      </c>
      <c r="B71" s="503" t="s">
        <v>356</v>
      </c>
      <c r="C71" s="138" t="s">
        <v>357</v>
      </c>
      <c r="D71" s="35"/>
      <c r="E71" s="220"/>
      <c r="F71" s="220">
        <f t="shared" si="1"/>
        <v>419</v>
      </c>
      <c r="G71" s="220">
        <f t="shared" si="1"/>
        <v>519</v>
      </c>
      <c r="H71" s="220">
        <f t="shared" si="2"/>
        <v>619</v>
      </c>
      <c r="I71" s="220">
        <f t="shared" si="3"/>
        <v>719</v>
      </c>
      <c r="J71" s="220">
        <f t="shared" si="1"/>
        <v>919</v>
      </c>
      <c r="K71" s="232"/>
      <c r="L71" s="232"/>
      <c r="M71" s="8"/>
      <c r="N71" s="8"/>
      <c r="O71" s="2" t="s">
        <v>358</v>
      </c>
      <c r="Q71" s="352"/>
    </row>
    <row r="72" spans="1:17" ht="25.9" customHeight="1" thickTop="1" thickBot="1">
      <c r="A72" s="485">
        <v>20</v>
      </c>
      <c r="B72" s="502" t="s">
        <v>359</v>
      </c>
      <c r="C72" s="138"/>
      <c r="D72" s="220"/>
      <c r="E72" s="35"/>
      <c r="F72" s="220">
        <f t="shared" si="1"/>
        <v>420</v>
      </c>
      <c r="G72" s="220">
        <f t="shared" si="1"/>
        <v>520</v>
      </c>
      <c r="H72" s="220">
        <f t="shared" si="2"/>
        <v>620</v>
      </c>
      <c r="I72" s="220">
        <f t="shared" si="3"/>
        <v>720</v>
      </c>
      <c r="J72" s="220">
        <f t="shared" si="1"/>
        <v>920</v>
      </c>
      <c r="K72" s="232"/>
      <c r="L72" s="232"/>
      <c r="M72" s="41"/>
      <c r="N72" s="283"/>
      <c r="Q72" s="353"/>
    </row>
    <row r="73" spans="1:17" ht="25.9" customHeight="1" thickTop="1" thickBot="1">
      <c r="A73" s="485">
        <v>21</v>
      </c>
      <c r="B73" s="502" t="s">
        <v>360</v>
      </c>
      <c r="C73" s="138"/>
      <c r="D73" s="232"/>
      <c r="E73" s="8"/>
      <c r="F73" s="220">
        <f t="shared" si="1"/>
        <v>421</v>
      </c>
      <c r="G73" s="220">
        <f t="shared" si="1"/>
        <v>521</v>
      </c>
      <c r="H73" s="220">
        <f t="shared" si="2"/>
        <v>621</v>
      </c>
      <c r="I73" s="220">
        <f t="shared" si="3"/>
        <v>721</v>
      </c>
      <c r="J73" s="220">
        <f t="shared" si="1"/>
        <v>921</v>
      </c>
      <c r="K73" s="232"/>
      <c r="L73" s="232"/>
      <c r="M73" s="235"/>
      <c r="N73" s="283"/>
      <c r="Q73" s="354"/>
    </row>
    <row r="74" spans="1:17" ht="25.9" customHeight="1" thickTop="1" thickBot="1">
      <c r="A74" s="485">
        <v>22</v>
      </c>
      <c r="B74" s="502" t="s">
        <v>361</v>
      </c>
      <c r="C74" s="138"/>
      <c r="D74" s="232"/>
      <c r="E74" s="8"/>
      <c r="F74" s="220">
        <f t="shared" si="1"/>
        <v>422</v>
      </c>
      <c r="G74" s="220">
        <f t="shared" si="1"/>
        <v>522</v>
      </c>
      <c r="H74" s="220">
        <f t="shared" si="2"/>
        <v>622</v>
      </c>
      <c r="I74" s="220">
        <f t="shared" si="3"/>
        <v>722</v>
      </c>
      <c r="J74" s="220">
        <f t="shared" si="1"/>
        <v>922</v>
      </c>
      <c r="K74" s="232"/>
      <c r="L74" s="232"/>
      <c r="M74" s="235"/>
      <c r="N74" s="283"/>
      <c r="Q74" s="355"/>
    </row>
    <row r="75" spans="1:17" ht="25.9" customHeight="1" thickTop="1" thickBot="1">
      <c r="A75" s="485">
        <v>23</v>
      </c>
      <c r="B75" s="502" t="s">
        <v>362</v>
      </c>
      <c r="C75" s="138"/>
      <c r="D75" s="232"/>
      <c r="E75" s="8"/>
      <c r="F75" s="220">
        <f t="shared" si="1"/>
        <v>423</v>
      </c>
      <c r="G75" s="220">
        <f t="shared" si="1"/>
        <v>523</v>
      </c>
      <c r="H75" s="220">
        <f t="shared" si="2"/>
        <v>623</v>
      </c>
      <c r="I75" s="220">
        <f t="shared" si="3"/>
        <v>723</v>
      </c>
      <c r="J75" s="220">
        <f t="shared" si="1"/>
        <v>923</v>
      </c>
      <c r="K75" s="232"/>
      <c r="L75" s="232"/>
      <c r="M75" s="235"/>
      <c r="N75" s="283"/>
      <c r="Q75" s="354"/>
    </row>
    <row r="76" spans="1:17" ht="25.9" customHeight="1" thickTop="1" thickBot="1">
      <c r="A76" s="485">
        <v>24</v>
      </c>
      <c r="B76" s="502" t="s">
        <v>363</v>
      </c>
      <c r="C76" s="138"/>
      <c r="D76" s="232"/>
      <c r="E76" s="8"/>
      <c r="F76" s="220">
        <f t="shared" si="1"/>
        <v>424</v>
      </c>
      <c r="G76" s="220">
        <f t="shared" si="1"/>
        <v>524</v>
      </c>
      <c r="H76" s="220">
        <f t="shared" si="2"/>
        <v>624</v>
      </c>
      <c r="I76" s="220">
        <f t="shared" si="3"/>
        <v>724</v>
      </c>
      <c r="J76" s="220">
        <f t="shared" si="1"/>
        <v>924</v>
      </c>
      <c r="K76" s="232"/>
      <c r="L76" s="232"/>
      <c r="M76" s="235"/>
      <c r="N76" s="283"/>
      <c r="Q76" s="354"/>
    </row>
    <row r="77" spans="1:17" ht="25.9" customHeight="1" thickTop="1" thickBot="1">
      <c r="A77" s="485">
        <v>25</v>
      </c>
      <c r="B77" s="502" t="s">
        <v>364</v>
      </c>
      <c r="C77" s="138"/>
      <c r="D77" s="232"/>
      <c r="E77" s="8"/>
      <c r="F77" s="220">
        <f t="shared" si="1"/>
        <v>425</v>
      </c>
      <c r="G77" s="220">
        <f t="shared" si="1"/>
        <v>525</v>
      </c>
      <c r="H77" s="220">
        <f t="shared" si="2"/>
        <v>625</v>
      </c>
      <c r="I77" s="220">
        <f t="shared" si="3"/>
        <v>725</v>
      </c>
      <c r="J77" s="220">
        <f t="shared" si="1"/>
        <v>925</v>
      </c>
      <c r="K77" s="232"/>
      <c r="L77" s="232"/>
      <c r="M77" s="235"/>
      <c r="N77" s="283"/>
      <c r="Q77" s="352"/>
    </row>
    <row r="78" spans="1:17" ht="22.15" customHeight="1" thickTop="1" thickBot="1">
      <c r="A78" s="485">
        <v>26</v>
      </c>
      <c r="B78" s="459" t="s">
        <v>365</v>
      </c>
      <c r="C78" s="138"/>
      <c r="D78" s="231"/>
      <c r="E78" s="200"/>
      <c r="F78" s="220">
        <f t="shared" ref="F78:F99" si="4">F77+1</f>
        <v>426</v>
      </c>
      <c r="G78" s="220">
        <f t="shared" ref="G78:G99" si="5">G77+1</f>
        <v>526</v>
      </c>
      <c r="H78" s="220">
        <f t="shared" si="2"/>
        <v>626</v>
      </c>
      <c r="I78" s="220">
        <f t="shared" si="3"/>
        <v>726</v>
      </c>
      <c r="J78" s="220">
        <f t="shared" ref="J78:J99" si="6">J77+1</f>
        <v>926</v>
      </c>
      <c r="K78" s="232"/>
      <c r="L78" s="232"/>
      <c r="M78" s="829" t="s">
        <v>366</v>
      </c>
      <c r="N78" s="427" t="s">
        <v>367</v>
      </c>
      <c r="Q78" s="353"/>
    </row>
    <row r="79" spans="1:17" ht="22.15" customHeight="1" thickTop="1" thickBot="1">
      <c r="A79" s="485">
        <v>27</v>
      </c>
      <c r="B79" s="460" t="s">
        <v>368</v>
      </c>
      <c r="C79" s="138"/>
      <c r="D79" s="200"/>
      <c r="E79" s="231"/>
      <c r="F79" s="220">
        <f t="shared" si="4"/>
        <v>427</v>
      </c>
      <c r="G79" s="220">
        <f t="shared" si="5"/>
        <v>527</v>
      </c>
      <c r="H79" s="220">
        <f t="shared" si="2"/>
        <v>627</v>
      </c>
      <c r="I79" s="220">
        <f t="shared" si="3"/>
        <v>727</v>
      </c>
      <c r="J79" s="220">
        <f t="shared" si="6"/>
        <v>927</v>
      </c>
      <c r="K79" s="232"/>
      <c r="L79" s="232"/>
      <c r="M79" s="829"/>
      <c r="Q79" s="356"/>
    </row>
    <row r="80" spans="1:17" ht="22.15" customHeight="1" thickTop="1" thickBot="1">
      <c r="A80" s="485">
        <v>28</v>
      </c>
      <c r="B80" s="461" t="s">
        <v>369</v>
      </c>
      <c r="C80" s="138"/>
      <c r="D80" s="231"/>
      <c r="E80" s="200"/>
      <c r="F80" s="220">
        <f t="shared" si="4"/>
        <v>428</v>
      </c>
      <c r="G80" s="220">
        <f t="shared" si="5"/>
        <v>528</v>
      </c>
      <c r="H80" s="220">
        <f t="shared" si="2"/>
        <v>628</v>
      </c>
      <c r="I80" s="220">
        <f t="shared" si="3"/>
        <v>728</v>
      </c>
      <c r="J80" s="220">
        <f t="shared" si="6"/>
        <v>928</v>
      </c>
      <c r="K80" s="232"/>
      <c r="L80" s="232"/>
      <c r="M80" s="829"/>
      <c r="N80" s="428" t="s">
        <v>370</v>
      </c>
      <c r="Q80" s="357"/>
    </row>
    <row r="81" spans="1:17" ht="22.15" customHeight="1" thickTop="1" thickBot="1">
      <c r="A81" s="485">
        <v>29</v>
      </c>
      <c r="B81" s="444" t="s">
        <v>371</v>
      </c>
      <c r="C81" s="138"/>
      <c r="D81" s="200"/>
      <c r="E81" s="231"/>
      <c r="F81" s="220">
        <f t="shared" si="4"/>
        <v>429</v>
      </c>
      <c r="G81" s="220">
        <f t="shared" si="5"/>
        <v>529</v>
      </c>
      <c r="H81" s="220">
        <f t="shared" si="2"/>
        <v>629</v>
      </c>
      <c r="I81" s="220">
        <f t="shared" si="3"/>
        <v>729</v>
      </c>
      <c r="J81" s="220">
        <f t="shared" si="6"/>
        <v>929</v>
      </c>
      <c r="K81" s="232"/>
      <c r="L81" s="232"/>
      <c r="M81" s="829"/>
      <c r="N81" s="21"/>
      <c r="Q81" s="358"/>
    </row>
    <row r="82" spans="1:17" ht="22.15" customHeight="1" thickTop="1" thickBot="1">
      <c r="A82" s="485">
        <v>30</v>
      </c>
      <c r="B82" s="445" t="s">
        <v>372</v>
      </c>
      <c r="C82" s="138"/>
      <c r="D82" s="231"/>
      <c r="E82" s="200"/>
      <c r="F82" s="220">
        <f t="shared" si="4"/>
        <v>430</v>
      </c>
      <c r="G82" s="220">
        <f t="shared" si="5"/>
        <v>530</v>
      </c>
      <c r="H82" s="220">
        <f t="shared" si="2"/>
        <v>630</v>
      </c>
      <c r="I82" s="220">
        <f t="shared" si="3"/>
        <v>730</v>
      </c>
      <c r="J82" s="220">
        <f t="shared" si="6"/>
        <v>930</v>
      </c>
      <c r="K82" s="232"/>
      <c r="L82" s="232"/>
      <c r="M82" s="829"/>
      <c r="N82" s="21"/>
      <c r="Q82" s="359"/>
    </row>
    <row r="83" spans="1:17" ht="22.15" customHeight="1" thickTop="1" thickBot="1">
      <c r="A83" s="485">
        <v>31</v>
      </c>
      <c r="B83" s="454" t="s">
        <v>373</v>
      </c>
      <c r="C83" s="138"/>
      <c r="D83" s="201"/>
      <c r="E83" s="201"/>
      <c r="F83" s="220">
        <f t="shared" si="4"/>
        <v>431</v>
      </c>
      <c r="G83" s="220">
        <f t="shared" si="5"/>
        <v>531</v>
      </c>
      <c r="H83" s="220">
        <f t="shared" si="2"/>
        <v>631</v>
      </c>
      <c r="I83" s="220">
        <f t="shared" si="3"/>
        <v>731</v>
      </c>
      <c r="J83" s="220">
        <f t="shared" si="6"/>
        <v>931</v>
      </c>
      <c r="K83" s="232"/>
      <c r="L83" s="232"/>
      <c r="M83" s="829"/>
      <c r="N83" s="21"/>
    </row>
    <row r="84" spans="1:17" ht="22.15" customHeight="1" thickTop="1" thickBot="1">
      <c r="A84" s="814" t="s">
        <v>374</v>
      </c>
      <c r="B84" s="445"/>
      <c r="C84" s="138"/>
      <c r="D84" s="231"/>
      <c r="E84" s="200"/>
      <c r="F84" s="220">
        <f t="shared" si="4"/>
        <v>432</v>
      </c>
      <c r="G84" s="220">
        <f t="shared" si="5"/>
        <v>532</v>
      </c>
      <c r="H84" s="220">
        <f t="shared" si="2"/>
        <v>632</v>
      </c>
      <c r="I84" s="220">
        <f t="shared" si="3"/>
        <v>732</v>
      </c>
      <c r="J84" s="220">
        <f t="shared" si="6"/>
        <v>932</v>
      </c>
      <c r="K84" s="232"/>
      <c r="L84" s="232"/>
      <c r="M84" s="829"/>
    </row>
    <row r="85" spans="1:17" ht="22.15" customHeight="1" thickTop="1" thickBot="1">
      <c r="A85" s="814"/>
      <c r="B85" s="462" t="s">
        <v>375</v>
      </c>
      <c r="C85" s="138"/>
      <c r="D85" s="200"/>
      <c r="E85" s="231"/>
      <c r="F85" s="220">
        <f t="shared" si="4"/>
        <v>433</v>
      </c>
      <c r="G85" s="220">
        <f t="shared" si="5"/>
        <v>533</v>
      </c>
      <c r="H85" s="220">
        <f t="shared" si="2"/>
        <v>633</v>
      </c>
      <c r="I85" s="220">
        <f t="shared" si="3"/>
        <v>733</v>
      </c>
      <c r="J85" s="220">
        <f t="shared" si="6"/>
        <v>933</v>
      </c>
      <c r="K85" s="232"/>
      <c r="L85" s="232"/>
      <c r="M85" s="829"/>
    </row>
    <row r="86" spans="1:17" ht="22.15" customHeight="1" thickTop="1" thickBot="1">
      <c r="A86" s="814"/>
      <c r="B86" s="445" t="s">
        <v>376</v>
      </c>
      <c r="C86" s="138"/>
      <c r="D86" s="231"/>
      <c r="E86" s="200"/>
      <c r="F86" s="220">
        <f t="shared" si="4"/>
        <v>434</v>
      </c>
      <c r="G86" s="220">
        <f t="shared" si="5"/>
        <v>534</v>
      </c>
      <c r="H86" s="220">
        <f t="shared" si="2"/>
        <v>634</v>
      </c>
      <c r="I86" s="220">
        <f t="shared" si="3"/>
        <v>734</v>
      </c>
      <c r="J86" s="220">
        <f t="shared" si="6"/>
        <v>934</v>
      </c>
      <c r="K86" s="232"/>
      <c r="L86" s="232"/>
      <c r="M86" s="829"/>
    </row>
    <row r="87" spans="1:17" ht="22.15" customHeight="1" thickTop="1" thickBot="1">
      <c r="A87" s="814"/>
      <c r="B87" s="444" t="s">
        <v>377</v>
      </c>
      <c r="C87" s="138"/>
      <c r="D87" s="200"/>
      <c r="E87" s="231"/>
      <c r="F87" s="220">
        <f t="shared" si="4"/>
        <v>435</v>
      </c>
      <c r="G87" s="220">
        <f t="shared" si="5"/>
        <v>535</v>
      </c>
      <c r="H87" s="220">
        <f t="shared" si="2"/>
        <v>635</v>
      </c>
      <c r="I87" s="220">
        <f t="shared" si="3"/>
        <v>735</v>
      </c>
      <c r="J87" s="220">
        <f t="shared" si="6"/>
        <v>935</v>
      </c>
      <c r="K87" s="232"/>
      <c r="L87" s="232"/>
      <c r="M87" s="829"/>
    </row>
    <row r="88" spans="1:17" ht="22.15" customHeight="1" thickTop="1" thickBot="1">
      <c r="A88" s="814"/>
      <c r="B88" s="444" t="s">
        <v>378</v>
      </c>
      <c r="C88" s="138"/>
      <c r="D88" s="231"/>
      <c r="E88" s="200"/>
      <c r="F88" s="220">
        <f t="shared" si="4"/>
        <v>436</v>
      </c>
      <c r="G88" s="220">
        <f t="shared" si="5"/>
        <v>536</v>
      </c>
      <c r="H88" s="220">
        <f t="shared" si="2"/>
        <v>636</v>
      </c>
      <c r="I88" s="220">
        <f t="shared" si="3"/>
        <v>736</v>
      </c>
      <c r="J88" s="220">
        <f t="shared" si="6"/>
        <v>936</v>
      </c>
      <c r="K88" s="232"/>
      <c r="L88" s="232"/>
      <c r="M88" s="829"/>
    </row>
    <row r="89" spans="1:17" ht="22.15" customHeight="1" thickTop="1" thickBot="1">
      <c r="A89" s="814"/>
      <c r="B89" s="445" t="s">
        <v>379</v>
      </c>
      <c r="C89" s="138"/>
      <c r="D89" s="201"/>
      <c r="E89" s="201"/>
      <c r="F89" s="220">
        <f t="shared" si="4"/>
        <v>437</v>
      </c>
      <c r="G89" s="220">
        <f t="shared" si="5"/>
        <v>537</v>
      </c>
      <c r="H89" s="220">
        <f t="shared" si="2"/>
        <v>637</v>
      </c>
      <c r="I89" s="220">
        <f t="shared" si="3"/>
        <v>737</v>
      </c>
      <c r="J89" s="220">
        <f t="shared" si="6"/>
        <v>937</v>
      </c>
      <c r="K89" s="232"/>
      <c r="L89" s="232"/>
      <c r="M89" s="829"/>
    </row>
    <row r="90" spans="1:17" ht="22.15" customHeight="1" thickTop="1" thickBot="1">
      <c r="A90" s="814"/>
      <c r="B90" s="445" t="s">
        <v>380</v>
      </c>
      <c r="C90" s="138"/>
      <c r="D90" s="231"/>
      <c r="E90" s="200"/>
      <c r="F90" s="220">
        <f t="shared" si="4"/>
        <v>438</v>
      </c>
      <c r="G90" s="220">
        <f t="shared" si="5"/>
        <v>538</v>
      </c>
      <c r="H90" s="220">
        <f t="shared" si="2"/>
        <v>638</v>
      </c>
      <c r="I90" s="220">
        <f t="shared" si="3"/>
        <v>738</v>
      </c>
      <c r="J90" s="220">
        <f t="shared" si="6"/>
        <v>938</v>
      </c>
      <c r="K90" s="232"/>
      <c r="L90" s="232"/>
      <c r="M90" s="829"/>
    </row>
    <row r="91" spans="1:17" ht="22.15" customHeight="1" thickTop="1" thickBot="1">
      <c r="A91" s="814"/>
      <c r="B91" s="444" t="s">
        <v>381</v>
      </c>
      <c r="C91" s="138"/>
      <c r="D91" s="200"/>
      <c r="E91" s="231"/>
      <c r="F91" s="220">
        <f t="shared" si="4"/>
        <v>439</v>
      </c>
      <c r="G91" s="220">
        <f t="shared" si="5"/>
        <v>539</v>
      </c>
      <c r="H91" s="220">
        <f t="shared" si="2"/>
        <v>639</v>
      </c>
      <c r="I91" s="220">
        <f t="shared" si="3"/>
        <v>739</v>
      </c>
      <c r="J91" s="220">
        <f t="shared" si="6"/>
        <v>939</v>
      </c>
      <c r="K91" s="232"/>
      <c r="L91" s="232"/>
      <c r="M91" s="829"/>
    </row>
    <row r="92" spans="1:17" ht="22.15" customHeight="1" thickTop="1" thickBot="1">
      <c r="A92" s="814"/>
      <c r="B92" s="439" t="s">
        <v>382</v>
      </c>
      <c r="C92" s="138"/>
      <c r="D92" s="231"/>
      <c r="E92" s="200"/>
      <c r="F92" s="220">
        <f t="shared" si="4"/>
        <v>440</v>
      </c>
      <c r="G92" s="220">
        <f t="shared" si="5"/>
        <v>540</v>
      </c>
      <c r="H92" s="220">
        <f t="shared" si="2"/>
        <v>640</v>
      </c>
      <c r="I92" s="220">
        <f t="shared" si="3"/>
        <v>740</v>
      </c>
      <c r="J92" s="220">
        <f t="shared" si="6"/>
        <v>940</v>
      </c>
      <c r="K92" s="232"/>
      <c r="L92" s="232"/>
      <c r="M92" s="829"/>
    </row>
    <row r="93" spans="1:17" ht="22.15" customHeight="1" thickTop="1" thickBot="1">
      <c r="A93" s="815"/>
      <c r="B93" s="439" t="s">
        <v>383</v>
      </c>
      <c r="C93" s="138"/>
      <c r="D93" s="200"/>
      <c r="E93" s="231"/>
      <c r="F93" s="220">
        <f t="shared" si="4"/>
        <v>441</v>
      </c>
      <c r="G93" s="220">
        <f t="shared" si="5"/>
        <v>541</v>
      </c>
      <c r="H93" s="220">
        <f t="shared" si="2"/>
        <v>641</v>
      </c>
      <c r="I93" s="220">
        <f t="shared" si="3"/>
        <v>741</v>
      </c>
      <c r="J93" s="220">
        <f t="shared" si="6"/>
        <v>941</v>
      </c>
      <c r="K93" s="232"/>
      <c r="L93" s="232"/>
      <c r="M93" s="829"/>
    </row>
    <row r="94" spans="1:17" ht="22.15" customHeight="1" thickTop="1" thickBot="1">
      <c r="B94" s="457"/>
      <c r="C94" s="138"/>
      <c r="D94" s="231"/>
      <c r="E94" s="200"/>
      <c r="F94" s="220">
        <f t="shared" si="4"/>
        <v>442</v>
      </c>
      <c r="G94" s="220">
        <f t="shared" si="5"/>
        <v>542</v>
      </c>
      <c r="H94" s="220">
        <f t="shared" si="2"/>
        <v>642</v>
      </c>
      <c r="I94" s="220">
        <f t="shared" si="3"/>
        <v>742</v>
      </c>
      <c r="J94" s="220">
        <f t="shared" si="6"/>
        <v>942</v>
      </c>
      <c r="K94" s="232"/>
      <c r="L94" s="232"/>
      <c r="M94" s="21"/>
    </row>
    <row r="95" spans="1:17" ht="22.15" customHeight="1" thickTop="1" thickBot="1">
      <c r="B95" s="463" t="s">
        <v>384</v>
      </c>
      <c r="C95" s="138"/>
      <c r="D95" s="231"/>
      <c r="E95" s="200"/>
      <c r="F95" s="220">
        <f t="shared" si="4"/>
        <v>443</v>
      </c>
      <c r="G95" s="220">
        <f t="shared" si="5"/>
        <v>543</v>
      </c>
      <c r="H95" s="220">
        <f t="shared" si="2"/>
        <v>643</v>
      </c>
      <c r="I95" s="220">
        <f t="shared" si="3"/>
        <v>743</v>
      </c>
      <c r="J95" s="220">
        <f t="shared" si="6"/>
        <v>943</v>
      </c>
      <c r="K95" s="232"/>
      <c r="L95" s="232"/>
    </row>
    <row r="96" spans="1:17" ht="22.15" customHeight="1" thickTop="1" thickBot="1">
      <c r="B96" s="463" t="s">
        <v>385</v>
      </c>
      <c r="C96" s="138"/>
      <c r="D96" s="200"/>
      <c r="E96" s="231"/>
      <c r="F96" s="220">
        <f t="shared" si="4"/>
        <v>444</v>
      </c>
      <c r="G96" s="220">
        <f t="shared" si="5"/>
        <v>544</v>
      </c>
      <c r="H96" s="220">
        <f t="shared" si="2"/>
        <v>644</v>
      </c>
      <c r="I96" s="220">
        <f t="shared" si="3"/>
        <v>744</v>
      </c>
      <c r="J96" s="220">
        <f t="shared" si="6"/>
        <v>944</v>
      </c>
      <c r="K96" s="232"/>
      <c r="L96" s="232"/>
    </row>
    <row r="97" spans="1:24" ht="22.15" customHeight="1" thickTop="1" thickBot="1">
      <c r="B97" s="457" t="s">
        <v>386</v>
      </c>
      <c r="C97" s="138"/>
      <c r="D97" s="231"/>
      <c r="E97" s="200"/>
      <c r="F97" s="220">
        <f t="shared" si="4"/>
        <v>445</v>
      </c>
      <c r="G97" s="220">
        <f t="shared" si="5"/>
        <v>545</v>
      </c>
      <c r="H97" s="220">
        <f t="shared" si="2"/>
        <v>645</v>
      </c>
      <c r="I97" s="220">
        <f t="shared" si="3"/>
        <v>745</v>
      </c>
      <c r="J97" s="220">
        <f t="shared" si="6"/>
        <v>945</v>
      </c>
      <c r="K97" s="232"/>
      <c r="L97" s="232"/>
    </row>
    <row r="98" spans="1:24" ht="22.15" customHeight="1" thickTop="1" thickBot="1">
      <c r="B98" s="457"/>
      <c r="C98" s="138"/>
      <c r="D98" s="200"/>
      <c r="E98" s="231"/>
      <c r="F98" s="220">
        <f t="shared" si="4"/>
        <v>446</v>
      </c>
      <c r="G98" s="220">
        <f t="shared" si="5"/>
        <v>546</v>
      </c>
      <c r="H98" s="220">
        <f t="shared" si="2"/>
        <v>646</v>
      </c>
      <c r="I98" s="220">
        <f t="shared" si="3"/>
        <v>746</v>
      </c>
      <c r="J98" s="220">
        <f t="shared" si="6"/>
        <v>946</v>
      </c>
      <c r="K98" s="232"/>
      <c r="L98" s="232"/>
    </row>
    <row r="99" spans="1:24" ht="22.15" customHeight="1" thickTop="1" thickBot="1">
      <c r="B99" s="457"/>
      <c r="C99" s="138"/>
      <c r="D99" s="231"/>
      <c r="E99" s="200"/>
      <c r="F99" s="220">
        <f t="shared" si="4"/>
        <v>447</v>
      </c>
      <c r="G99" s="220">
        <f t="shared" si="5"/>
        <v>547</v>
      </c>
      <c r="H99" s="220">
        <f t="shared" si="2"/>
        <v>647</v>
      </c>
      <c r="I99" s="220">
        <f t="shared" si="3"/>
        <v>747</v>
      </c>
      <c r="J99" s="220">
        <f t="shared" si="6"/>
        <v>947</v>
      </c>
      <c r="K99" s="232"/>
      <c r="L99" s="232"/>
    </row>
    <row r="100" spans="1:24" ht="28.15" customHeight="1" thickTop="1">
      <c r="B100" s="464" t="s">
        <v>387</v>
      </c>
      <c r="C100" s="512" t="s">
        <v>388</v>
      </c>
      <c r="D100" s="231"/>
      <c r="E100" s="200"/>
      <c r="F100" s="231"/>
      <c r="G100" s="231"/>
      <c r="H100" s="231"/>
      <c r="I100" s="231"/>
      <c r="J100" s="231"/>
      <c r="K100" s="231"/>
      <c r="L100" s="231"/>
      <c r="M100" s="140"/>
      <c r="N100" s="140"/>
      <c r="O100" s="140"/>
      <c r="P100" s="381" t="s">
        <v>389</v>
      </c>
      <c r="Q100" s="231" t="s">
        <v>390</v>
      </c>
      <c r="R100" s="233" t="s">
        <v>391</v>
      </c>
      <c r="S100" s="14" t="s">
        <v>392</v>
      </c>
      <c r="T100" s="2" t="s">
        <v>393</v>
      </c>
      <c r="U100" t="s">
        <v>394</v>
      </c>
      <c r="V100" t="s">
        <v>394</v>
      </c>
      <c r="W100" t="s">
        <v>395</v>
      </c>
      <c r="X100" t="s">
        <v>396</v>
      </c>
    </row>
    <row r="101" spans="1:24" ht="28.15" customHeight="1">
      <c r="B101" s="465" t="s">
        <v>397</v>
      </c>
      <c r="C101" s="560" t="s">
        <v>398</v>
      </c>
      <c r="D101" s="200"/>
      <c r="E101" s="231"/>
      <c r="F101" s="200"/>
      <c r="G101" s="200"/>
      <c r="H101" s="200"/>
      <c r="I101" s="200"/>
      <c r="J101" s="200"/>
      <c r="K101" s="200"/>
      <c r="L101" s="200"/>
      <c r="N101" s="195" t="s">
        <v>399</v>
      </c>
      <c r="P101" s="382" t="s">
        <v>400</v>
      </c>
      <c r="Q101" s="231"/>
      <c r="R101" s="14" t="s">
        <v>401</v>
      </c>
      <c r="S101" s="14"/>
      <c r="T101" s="2" t="s">
        <v>402</v>
      </c>
      <c r="U101" t="s">
        <v>403</v>
      </c>
      <c r="V101" t="s">
        <v>403</v>
      </c>
      <c r="W101" t="s">
        <v>404</v>
      </c>
      <c r="X101" t="s">
        <v>404</v>
      </c>
    </row>
    <row r="102" spans="1:24" ht="28.15" customHeight="1">
      <c r="B102" s="466" t="s">
        <v>405</v>
      </c>
      <c r="C102" s="619" t="s">
        <v>406</v>
      </c>
      <c r="D102" s="231"/>
      <c r="E102" s="200"/>
      <c r="F102" s="231"/>
      <c r="G102" s="231"/>
      <c r="H102" s="231"/>
      <c r="I102" s="231"/>
      <c r="J102" s="231"/>
      <c r="K102" s="231"/>
      <c r="L102" s="231"/>
      <c r="M102" s="141"/>
      <c r="N102" s="141"/>
      <c r="P102" s="383" t="s">
        <v>407</v>
      </c>
      <c r="Q102" s="231" t="s">
        <v>408</v>
      </c>
      <c r="R102" s="14" t="s">
        <v>409</v>
      </c>
      <c r="S102" s="14" t="s">
        <v>410</v>
      </c>
      <c r="T102" s="2" t="s">
        <v>411</v>
      </c>
      <c r="U102" t="s">
        <v>412</v>
      </c>
      <c r="V102" t="s">
        <v>412</v>
      </c>
      <c r="W102" t="s">
        <v>412</v>
      </c>
      <c r="X102" t="s">
        <v>412</v>
      </c>
    </row>
    <row r="103" spans="1:24" ht="28.15" customHeight="1">
      <c r="B103" s="466" t="s">
        <v>413</v>
      </c>
      <c r="C103" s="561" t="s">
        <v>414</v>
      </c>
      <c r="D103" s="200"/>
      <c r="E103" s="231"/>
      <c r="F103" s="200"/>
      <c r="G103" s="200"/>
      <c r="H103" s="200"/>
      <c r="I103" s="200"/>
      <c r="J103" s="200"/>
      <c r="K103" s="200"/>
      <c r="L103" s="200"/>
      <c r="M103" s="143"/>
      <c r="P103" s="378" t="s">
        <v>415</v>
      </c>
      <c r="Q103" s="379" t="s">
        <v>416</v>
      </c>
      <c r="R103" s="14" t="s">
        <v>417</v>
      </c>
      <c r="S103" s="14" t="s">
        <v>418</v>
      </c>
      <c r="T103" s="2" t="s">
        <v>419</v>
      </c>
      <c r="U103" t="s">
        <v>420</v>
      </c>
      <c r="V103" t="s">
        <v>421</v>
      </c>
      <c r="W103" t="s">
        <v>422</v>
      </c>
      <c r="X103" t="s">
        <v>423</v>
      </c>
    </row>
    <row r="104" spans="1:24" ht="28.15" customHeight="1">
      <c r="B104" s="466" t="s">
        <v>424</v>
      </c>
      <c r="C104" s="562" t="s">
        <v>425</v>
      </c>
      <c r="D104" s="231"/>
      <c r="E104" s="200"/>
      <c r="F104" s="231"/>
      <c r="G104" s="231"/>
      <c r="H104" s="231"/>
      <c r="I104" s="231"/>
      <c r="J104" s="231"/>
      <c r="K104" s="231"/>
      <c r="L104" s="231"/>
      <c r="M104" s="143"/>
      <c r="P104" s="380" t="s">
        <v>426</v>
      </c>
      <c r="Q104" s="379" t="s">
        <v>427</v>
      </c>
      <c r="R104" s="14" t="s">
        <v>428</v>
      </c>
      <c r="S104" s="14" t="s">
        <v>429</v>
      </c>
      <c r="T104" s="2" t="s">
        <v>425</v>
      </c>
      <c r="U104" t="s">
        <v>430</v>
      </c>
      <c r="V104" t="s">
        <v>431</v>
      </c>
      <c r="W104" t="s">
        <v>432</v>
      </c>
      <c r="X104" t="s">
        <v>433</v>
      </c>
    </row>
    <row r="105" spans="1:24" ht="28.15" customHeight="1">
      <c r="B105" s="465" t="s">
        <v>434</v>
      </c>
      <c r="C105" s="209" t="s">
        <v>435</v>
      </c>
      <c r="D105" s="231"/>
      <c r="E105" s="200"/>
      <c r="F105" s="231"/>
      <c r="G105" s="231"/>
      <c r="H105" s="231"/>
      <c r="I105" s="231"/>
      <c r="J105" s="231"/>
      <c r="K105" s="231"/>
      <c r="L105" s="231"/>
      <c r="M105" s="143"/>
      <c r="N105" s="9"/>
      <c r="P105" s="143"/>
      <c r="Q105" s="379"/>
      <c r="R105" s="14"/>
      <c r="S105" s="138"/>
      <c r="T105" s="2" t="s">
        <v>421</v>
      </c>
      <c r="U105" t="s">
        <v>435</v>
      </c>
      <c r="V105" t="s">
        <v>435</v>
      </c>
      <c r="W105" t="s">
        <v>436</v>
      </c>
      <c r="X105" t="s">
        <v>158</v>
      </c>
    </row>
    <row r="106" spans="1:24" ht="28.15" customHeight="1">
      <c r="A106" s="481"/>
      <c r="B106" s="466" t="s">
        <v>437</v>
      </c>
      <c r="C106" s="509" t="s">
        <v>438</v>
      </c>
      <c r="D106" s="200"/>
      <c r="E106" s="231"/>
      <c r="F106" s="200"/>
      <c r="G106" s="200"/>
      <c r="H106" s="200"/>
      <c r="I106" s="200"/>
      <c r="J106" s="200"/>
      <c r="K106" s="200"/>
      <c r="L106" s="200"/>
      <c r="M106" s="143"/>
      <c r="N106" s="9"/>
      <c r="P106" s="143"/>
      <c r="Q106" s="379"/>
      <c r="R106" s="14"/>
      <c r="S106" s="14"/>
      <c r="T106" s="2" t="s">
        <v>431</v>
      </c>
      <c r="U106" t="s">
        <v>438</v>
      </c>
      <c r="V106" t="s">
        <v>438</v>
      </c>
      <c r="W106" t="s">
        <v>436</v>
      </c>
    </row>
    <row r="107" spans="1:24" ht="28.15" customHeight="1">
      <c r="A107" s="481"/>
      <c r="B107" s="466" t="s">
        <v>439</v>
      </c>
      <c r="C107" s="138" t="s">
        <v>440</v>
      </c>
      <c r="D107" s="231"/>
      <c r="E107" s="200"/>
      <c r="F107" s="231"/>
      <c r="G107" s="231"/>
      <c r="H107" s="231"/>
      <c r="I107" s="231"/>
      <c r="J107" s="231"/>
      <c r="K107" s="231"/>
      <c r="L107" s="231"/>
      <c r="M107" s="143"/>
      <c r="N107" s="9"/>
      <c r="P107" s="143"/>
      <c r="Q107" s="379"/>
      <c r="R107" s="14"/>
      <c r="S107" s="14"/>
      <c r="T107" s="2" t="s">
        <v>435</v>
      </c>
      <c r="U107" t="s">
        <v>414</v>
      </c>
      <c r="V107" t="s">
        <v>414</v>
      </c>
    </row>
    <row r="108" spans="1:24" ht="28.15" customHeight="1">
      <c r="A108" s="481"/>
      <c r="B108" s="466" t="s">
        <v>441</v>
      </c>
      <c r="C108" s="138" t="s">
        <v>442</v>
      </c>
      <c r="D108" s="200"/>
      <c r="E108" s="231"/>
      <c r="F108" s="200"/>
      <c r="G108" s="200"/>
      <c r="H108" s="200"/>
      <c r="I108" s="200"/>
      <c r="J108" s="200"/>
      <c r="K108" s="200"/>
      <c r="L108" s="200"/>
      <c r="M108" s="143"/>
      <c r="N108" s="9"/>
      <c r="P108" s="143"/>
      <c r="Q108" s="379"/>
      <c r="R108" s="14"/>
      <c r="S108" s="14"/>
      <c r="T108" s="2" t="s">
        <v>438</v>
      </c>
      <c r="U108" t="s">
        <v>425</v>
      </c>
      <c r="V108" t="s">
        <v>425</v>
      </c>
    </row>
    <row r="109" spans="1:24" ht="28.15" customHeight="1">
      <c r="A109" s="481"/>
      <c r="B109" s="467" t="s">
        <v>443</v>
      </c>
      <c r="C109" s="512" t="s">
        <v>444</v>
      </c>
      <c r="D109" s="231"/>
      <c r="E109" s="200"/>
      <c r="F109" s="231"/>
      <c r="G109" s="231"/>
      <c r="H109" s="231"/>
      <c r="I109" s="231"/>
      <c r="J109" s="231"/>
      <c r="K109" s="231"/>
      <c r="L109" s="231"/>
      <c r="M109" s="144"/>
      <c r="N109" s="144"/>
      <c r="O109" s="144"/>
      <c r="P109" s="378" t="s">
        <v>445</v>
      </c>
      <c r="Q109" s="231" t="s">
        <v>446</v>
      </c>
      <c r="R109" s="144" t="s">
        <v>447</v>
      </c>
      <c r="S109" s="14"/>
      <c r="T109" s="2" t="s">
        <v>448</v>
      </c>
      <c r="U109" t="s">
        <v>449</v>
      </c>
      <c r="V109" t="s">
        <v>449</v>
      </c>
    </row>
    <row r="110" spans="1:24" ht="28.15" customHeight="1">
      <c r="A110" s="481"/>
      <c r="B110" s="467" t="s">
        <v>450</v>
      </c>
      <c r="C110" s="513" t="s">
        <v>449</v>
      </c>
      <c r="D110" s="200"/>
      <c r="E110" s="200"/>
      <c r="F110" s="200"/>
      <c r="G110" s="200"/>
      <c r="H110" s="200"/>
      <c r="I110" s="200"/>
      <c r="J110" s="200"/>
      <c r="K110" s="200"/>
      <c r="L110" s="200"/>
      <c r="P110" s="5" t="s">
        <v>451</v>
      </c>
      <c r="Q110" s="231" t="s">
        <v>452</v>
      </c>
      <c r="R110" s="14"/>
      <c r="S110" s="14"/>
      <c r="T110" s="2" t="s">
        <v>449</v>
      </c>
      <c r="U110" t="s">
        <v>453</v>
      </c>
      <c r="V110" t="s">
        <v>453</v>
      </c>
    </row>
    <row r="111" spans="1:24" ht="28.15" customHeight="1">
      <c r="A111" s="481"/>
      <c r="B111" s="468" t="s">
        <v>454</v>
      </c>
      <c r="C111" s="512" t="s">
        <v>453</v>
      </c>
      <c r="D111" s="231"/>
      <c r="E111" s="200"/>
      <c r="F111" s="231"/>
      <c r="G111" s="231"/>
      <c r="H111" s="231"/>
      <c r="I111" s="231"/>
      <c r="J111" s="231"/>
      <c r="K111" s="231"/>
      <c r="L111" s="231"/>
      <c r="M111" s="145"/>
      <c r="N111" s="142"/>
      <c r="P111" s="384" t="s">
        <v>455</v>
      </c>
      <c r="Q111" s="231" t="s">
        <v>456</v>
      </c>
      <c r="R111" s="14"/>
      <c r="S111" s="14"/>
      <c r="T111" s="2" t="s">
        <v>453</v>
      </c>
      <c r="U111" t="s">
        <v>444</v>
      </c>
      <c r="V111" t="s">
        <v>444</v>
      </c>
    </row>
    <row r="112" spans="1:24" ht="28.15" customHeight="1">
      <c r="A112" s="481"/>
      <c r="B112" s="469" t="s">
        <v>457</v>
      </c>
      <c r="C112" s="514" t="s">
        <v>458</v>
      </c>
      <c r="D112" s="200"/>
      <c r="E112" s="231"/>
      <c r="F112" s="200"/>
      <c r="G112" s="200"/>
      <c r="H112" s="200"/>
      <c r="I112" s="200"/>
      <c r="J112" s="200"/>
      <c r="K112" s="200"/>
      <c r="L112" s="200"/>
      <c r="M112" s="142"/>
      <c r="N112" s="142"/>
      <c r="P112" s="378" t="s">
        <v>459</v>
      </c>
      <c r="Q112" s="231" t="s">
        <v>460</v>
      </c>
      <c r="R112" s="14" t="s">
        <v>461</v>
      </c>
      <c r="S112" s="14" t="s">
        <v>462</v>
      </c>
      <c r="T112" s="2" t="s">
        <v>458</v>
      </c>
      <c r="U112" t="s">
        <v>463</v>
      </c>
      <c r="V112" t="s">
        <v>464</v>
      </c>
    </row>
    <row r="113" spans="1:24" ht="28.15" customHeight="1">
      <c r="A113" s="481"/>
      <c r="B113" s="465" t="s">
        <v>465</v>
      </c>
      <c r="C113" s="519" t="s">
        <v>466</v>
      </c>
      <c r="D113" s="231"/>
      <c r="E113" s="200"/>
      <c r="F113" s="231"/>
      <c r="G113" s="231"/>
      <c r="H113" s="231"/>
      <c r="I113" s="231"/>
      <c r="J113" s="231"/>
      <c r="K113" s="231"/>
      <c r="L113" s="231"/>
      <c r="M113" s="142"/>
      <c r="N113" s="142"/>
      <c r="P113" s="381" t="s">
        <v>467</v>
      </c>
      <c r="Q113" s="231" t="s">
        <v>408</v>
      </c>
      <c r="R113" s="14" t="s">
        <v>409</v>
      </c>
      <c r="S113" s="138" t="s">
        <v>410</v>
      </c>
      <c r="T113" s="2" t="s">
        <v>466</v>
      </c>
      <c r="U113" t="s">
        <v>468</v>
      </c>
      <c r="V113" t="s">
        <v>466</v>
      </c>
      <c r="W113" t="s">
        <v>469</v>
      </c>
      <c r="X113" t="s">
        <v>433</v>
      </c>
    </row>
    <row r="114" spans="1:24" ht="28.15" customHeight="1">
      <c r="A114" s="481"/>
      <c r="B114" s="465" t="s">
        <v>470</v>
      </c>
      <c r="C114" s="509" t="s">
        <v>471</v>
      </c>
      <c r="D114" s="200"/>
      <c r="E114" s="231"/>
      <c r="F114" s="200"/>
      <c r="G114" s="200"/>
      <c r="H114" s="200"/>
      <c r="I114" s="200"/>
      <c r="J114" s="200"/>
      <c r="K114" s="200"/>
      <c r="L114" s="200"/>
      <c r="M114" s="142"/>
      <c r="N114" s="142"/>
      <c r="P114" s="43" t="s">
        <v>464</v>
      </c>
      <c r="Q114" s="231"/>
      <c r="R114" s="14" t="s">
        <v>458</v>
      </c>
      <c r="S114" s="14"/>
      <c r="T114" s="2" t="s">
        <v>463</v>
      </c>
      <c r="U114" t="s">
        <v>464</v>
      </c>
      <c r="V114" t="s">
        <v>463</v>
      </c>
      <c r="W114" t="s">
        <v>422</v>
      </c>
      <c r="X114" t="s">
        <v>423</v>
      </c>
    </row>
    <row r="115" spans="1:24" ht="28.15" customHeight="1">
      <c r="A115" s="481"/>
      <c r="B115" s="466" t="s">
        <v>472</v>
      </c>
      <c r="C115" s="509" t="s">
        <v>411</v>
      </c>
      <c r="D115" s="231"/>
      <c r="E115" s="200"/>
      <c r="F115" s="231"/>
      <c r="G115" s="231"/>
      <c r="H115" s="231"/>
      <c r="I115" s="231"/>
      <c r="J115" s="231"/>
      <c r="K115" s="231"/>
      <c r="L115" s="231"/>
      <c r="M115" s="141"/>
      <c r="P115" s="243" t="s">
        <v>466</v>
      </c>
      <c r="Q115" s="231"/>
      <c r="R115" s="14" t="s">
        <v>466</v>
      </c>
      <c r="S115" s="14"/>
      <c r="T115" s="2" t="s">
        <v>473</v>
      </c>
      <c r="U115" t="s">
        <v>466</v>
      </c>
      <c r="V115" t="s">
        <v>468</v>
      </c>
      <c r="W115" t="s">
        <v>463</v>
      </c>
      <c r="X115" t="s">
        <v>474</v>
      </c>
    </row>
    <row r="116" spans="1:24" ht="28.15" customHeight="1">
      <c r="A116" s="481"/>
      <c r="B116" s="470" t="s">
        <v>475</v>
      </c>
      <c r="C116" s="563" t="s">
        <v>476</v>
      </c>
      <c r="D116" s="200"/>
      <c r="E116" s="200"/>
      <c r="F116" s="200"/>
      <c r="G116" s="200"/>
      <c r="H116" s="200"/>
      <c r="I116" s="200"/>
      <c r="J116" s="200"/>
      <c r="K116" s="200"/>
      <c r="L116" s="200"/>
      <c r="M116" s="141"/>
      <c r="N116" s="141"/>
      <c r="P116" s="385" t="s">
        <v>477</v>
      </c>
      <c r="Q116" s="231" t="s">
        <v>478</v>
      </c>
      <c r="R116" s="14" t="s">
        <v>479</v>
      </c>
      <c r="S116" s="14" t="s">
        <v>480</v>
      </c>
      <c r="T116" s="2" t="s">
        <v>481</v>
      </c>
      <c r="U116" t="s">
        <v>482</v>
      </c>
      <c r="V116" t="s">
        <v>482</v>
      </c>
      <c r="W116" t="s">
        <v>473</v>
      </c>
      <c r="X116" t="s">
        <v>423</v>
      </c>
    </row>
    <row r="117" spans="1:24" ht="28.15" customHeight="1">
      <c r="A117" s="481"/>
      <c r="B117" s="463" t="s">
        <v>483</v>
      </c>
      <c r="C117" s="512" t="s">
        <v>484</v>
      </c>
      <c r="D117" s="231"/>
      <c r="E117" s="200"/>
      <c r="F117" s="231"/>
      <c r="G117" s="231"/>
      <c r="H117" s="231"/>
      <c r="I117" s="231"/>
      <c r="J117" s="231"/>
      <c r="K117" s="231"/>
      <c r="L117" s="231"/>
      <c r="P117" s="242"/>
      <c r="Q117" s="231" t="s">
        <v>485</v>
      </c>
      <c r="R117" s="14"/>
      <c r="S117" s="138" t="s">
        <v>484</v>
      </c>
      <c r="T117" s="2" t="s">
        <v>485</v>
      </c>
      <c r="U117" t="s">
        <v>484</v>
      </c>
      <c r="V117" t="s">
        <v>484</v>
      </c>
    </row>
    <row r="118" spans="1:24" ht="28.15" customHeight="1">
      <c r="A118" s="481"/>
      <c r="B118" s="471" t="s">
        <v>486</v>
      </c>
      <c r="C118" s="348"/>
      <c r="D118" s="200"/>
      <c r="E118" s="231"/>
      <c r="F118" s="200"/>
      <c r="G118" s="200"/>
      <c r="H118" s="200"/>
      <c r="I118" s="200"/>
      <c r="J118" s="200"/>
      <c r="K118" s="200"/>
      <c r="L118" s="200"/>
      <c r="M118" s="12" t="s">
        <v>487</v>
      </c>
      <c r="P118" s="234" t="s">
        <v>487</v>
      </c>
      <c r="Q118" s="12"/>
      <c r="R118" s="14"/>
      <c r="S118" s="348"/>
      <c r="T118" s="347"/>
    </row>
    <row r="119" spans="1:24" ht="28.15" customHeight="1">
      <c r="B119" s="472" t="s">
        <v>488</v>
      </c>
      <c r="C119" s="349"/>
      <c r="D119" s="231"/>
      <c r="E119" s="200"/>
      <c r="F119" s="231"/>
      <c r="G119" s="231"/>
      <c r="H119" s="231"/>
      <c r="I119" s="231"/>
      <c r="J119" s="231"/>
      <c r="K119" s="231"/>
      <c r="L119" s="231"/>
      <c r="M119" s="12"/>
      <c r="P119" s="347"/>
    </row>
    <row r="120" spans="1:24" ht="28.15" customHeight="1">
      <c r="B120" s="471" t="s">
        <v>489</v>
      </c>
      <c r="C120" s="8"/>
      <c r="D120" s="200"/>
      <c r="E120" s="231"/>
      <c r="F120" s="200"/>
      <c r="G120" s="200"/>
      <c r="H120" s="200"/>
      <c r="I120" s="200"/>
      <c r="J120" s="200"/>
      <c r="K120" s="200"/>
      <c r="L120" s="200"/>
      <c r="M120" s="12"/>
      <c r="P120" s="347"/>
    </row>
    <row r="121" spans="1:24" ht="28.15" customHeight="1">
      <c r="B121" s="471" t="s">
        <v>490</v>
      </c>
      <c r="C121" s="511"/>
      <c r="D121" s="231"/>
      <c r="E121" s="200"/>
      <c r="F121" s="231"/>
      <c r="G121" s="231"/>
      <c r="H121" s="231"/>
      <c r="I121" s="231"/>
      <c r="J121" s="231"/>
      <c r="K121" s="231"/>
      <c r="L121" s="231"/>
      <c r="M121" s="12"/>
      <c r="P121" s="347"/>
      <c r="Q121" s="364"/>
    </row>
    <row r="122" spans="1:24" ht="28.15" customHeight="1">
      <c r="B122" s="471" t="s">
        <v>491</v>
      </c>
      <c r="C122" s="138"/>
      <c r="D122" s="12"/>
      <c r="E122" s="200"/>
      <c r="F122" s="200"/>
      <c r="G122" s="200"/>
      <c r="H122" s="200"/>
      <c r="I122" s="200"/>
      <c r="J122" s="200"/>
      <c r="K122" s="200"/>
      <c r="L122" s="200"/>
      <c r="M122" s="12"/>
      <c r="Q122" s="364"/>
    </row>
    <row r="123" spans="1:24" ht="28.15" customHeight="1">
      <c r="B123" s="471" t="s">
        <v>492</v>
      </c>
      <c r="C123" s="620" t="s">
        <v>493</v>
      </c>
      <c r="D123" s="231"/>
      <c r="E123" s="200"/>
      <c r="F123" s="231"/>
      <c r="G123" s="231"/>
      <c r="H123" s="231"/>
      <c r="I123" s="231"/>
      <c r="J123" s="231"/>
      <c r="K123" s="231"/>
      <c r="L123" s="231"/>
      <c r="M123" s="12"/>
    </row>
    <row r="124" spans="1:24" ht="28.15" customHeight="1">
      <c r="B124" s="471" t="s">
        <v>494</v>
      </c>
      <c r="C124" s="620"/>
      <c r="D124" s="200"/>
      <c r="E124" s="231"/>
      <c r="F124" s="200"/>
      <c r="G124" s="200"/>
      <c r="H124" s="200"/>
      <c r="I124" s="200"/>
      <c r="J124" s="200"/>
      <c r="K124" s="200"/>
      <c r="L124" s="200"/>
      <c r="M124" s="12"/>
    </row>
    <row r="125" spans="1:24" ht="28.15" customHeight="1">
      <c r="B125" s="471"/>
      <c r="C125" s="621"/>
      <c r="D125" s="231"/>
      <c r="E125" s="200"/>
      <c r="F125" s="231"/>
      <c r="G125" s="231"/>
      <c r="H125" s="231"/>
      <c r="I125" s="231"/>
      <c r="J125" s="231"/>
      <c r="K125" s="231"/>
      <c r="L125" s="231"/>
      <c r="M125" s="12"/>
      <c r="Q125" s="354" t="s">
        <v>495</v>
      </c>
    </row>
    <row r="126" spans="1:24" ht="22.15" customHeight="1">
      <c r="A126" s="816" t="s">
        <v>205</v>
      </c>
      <c r="B126" s="348" t="s">
        <v>205</v>
      </c>
      <c r="C126" s="622" t="s">
        <v>496</v>
      </c>
      <c r="D126" s="231"/>
      <c r="E126" s="200"/>
      <c r="F126" s="231"/>
      <c r="G126" s="231"/>
      <c r="H126" s="231"/>
      <c r="I126" s="231"/>
      <c r="J126" s="231"/>
      <c r="K126" s="231"/>
      <c r="L126" s="231"/>
      <c r="Q126" s="363"/>
    </row>
    <row r="127" spans="1:24" ht="22.15" customHeight="1">
      <c r="A127" s="816"/>
      <c r="B127" s="780" t="s">
        <v>497</v>
      </c>
      <c r="C127" s="623" t="s">
        <v>498</v>
      </c>
      <c r="D127" s="25"/>
      <c r="E127" s="283"/>
      <c r="F127" s="283"/>
      <c r="G127" s="283"/>
      <c r="H127" s="283"/>
      <c r="I127" s="283"/>
      <c r="J127" s="283"/>
      <c r="K127" s="283"/>
      <c r="L127" s="283"/>
      <c r="Q127" s="363"/>
    </row>
    <row r="128" spans="1:24" ht="22.15" customHeight="1">
      <c r="A128" s="816"/>
      <c r="B128" s="43" t="s">
        <v>152</v>
      </c>
      <c r="C128" s="231" t="s">
        <v>149</v>
      </c>
      <c r="D128" s="25"/>
      <c r="E128" s="283"/>
      <c r="F128" s="283"/>
      <c r="G128" s="283"/>
      <c r="H128" s="283"/>
      <c r="I128" s="283"/>
      <c r="J128" s="283"/>
      <c r="K128" s="283"/>
      <c r="L128" s="283"/>
      <c r="Q128" s="363"/>
    </row>
    <row r="129" spans="1:17" ht="22.15" customHeight="1">
      <c r="A129" s="816"/>
      <c r="B129" s="43" t="s">
        <v>157</v>
      </c>
      <c r="C129" s="231" t="s">
        <v>153</v>
      </c>
      <c r="D129" s="25"/>
      <c r="E129" s="283"/>
      <c r="F129" s="283"/>
      <c r="G129" s="283"/>
      <c r="H129" s="283"/>
      <c r="I129" s="283"/>
      <c r="J129" s="283"/>
      <c r="K129" s="283"/>
      <c r="L129" s="283"/>
      <c r="Q129" s="363"/>
    </row>
    <row r="130" spans="1:17" ht="22.15" customHeight="1">
      <c r="A130" s="816"/>
      <c r="B130" s="43" t="s">
        <v>160</v>
      </c>
      <c r="C130" s="231" t="s">
        <v>158</v>
      </c>
      <c r="D130" s="25"/>
      <c r="E130" s="283"/>
      <c r="F130" s="283"/>
      <c r="G130" s="283"/>
      <c r="H130" s="283"/>
      <c r="I130" s="283"/>
      <c r="J130" s="283"/>
      <c r="K130" s="283"/>
      <c r="L130" s="283"/>
      <c r="Q130" s="363"/>
    </row>
    <row r="131" spans="1:17" ht="22.15" customHeight="1">
      <c r="A131" s="816"/>
      <c r="B131" s="43" t="s">
        <v>163</v>
      </c>
      <c r="C131" s="231" t="s">
        <v>161</v>
      </c>
      <c r="D131" s="25"/>
      <c r="E131" s="283"/>
      <c r="F131" s="283"/>
      <c r="G131" s="283"/>
      <c r="H131" s="283"/>
      <c r="I131" s="283"/>
      <c r="J131" s="283"/>
      <c r="K131" s="283"/>
      <c r="L131" s="283"/>
      <c r="Q131" s="363"/>
    </row>
    <row r="132" spans="1:17" ht="22.15" customHeight="1">
      <c r="A132" s="816"/>
      <c r="B132" s="43" t="s">
        <v>173</v>
      </c>
      <c r="C132" s="231" t="s">
        <v>164</v>
      </c>
      <c r="D132" s="25"/>
      <c r="E132" s="283"/>
      <c r="F132" s="283"/>
      <c r="G132" s="283"/>
      <c r="H132" s="283"/>
      <c r="I132" s="283"/>
      <c r="J132" s="283"/>
      <c r="K132" s="283"/>
      <c r="L132" s="283"/>
    </row>
    <row r="133" spans="1:17" ht="22.15" customHeight="1">
      <c r="A133" s="816"/>
      <c r="B133" s="43" t="s">
        <v>179</v>
      </c>
      <c r="C133" s="624" t="s">
        <v>499</v>
      </c>
      <c r="D133" s="25"/>
      <c r="E133" s="283"/>
      <c r="F133" s="283"/>
      <c r="G133" s="283"/>
      <c r="H133" s="283"/>
      <c r="I133" s="283"/>
      <c r="J133" s="283"/>
      <c r="K133" s="283"/>
      <c r="L133" s="283"/>
    </row>
    <row r="134" spans="1:17" ht="22.15" customHeight="1">
      <c r="A134" s="816"/>
      <c r="B134" s="43" t="s">
        <v>202</v>
      </c>
      <c r="C134" s="231" t="s">
        <v>174</v>
      </c>
      <c r="D134" s="283"/>
      <c r="E134" s="283"/>
      <c r="F134" s="283"/>
      <c r="G134" s="283"/>
      <c r="H134" s="283"/>
      <c r="I134" s="283"/>
      <c r="J134" s="283"/>
      <c r="K134" s="283"/>
      <c r="L134" s="283"/>
      <c r="Q134" s="362"/>
    </row>
    <row r="135" spans="1:17" ht="22.15" customHeight="1">
      <c r="A135" s="816"/>
      <c r="B135" s="43" t="s">
        <v>211</v>
      </c>
      <c r="C135" s="625" t="s">
        <v>180</v>
      </c>
      <c r="D135" s="283"/>
      <c r="E135" s="283"/>
      <c r="F135" s="283"/>
      <c r="G135" s="283"/>
      <c r="H135" s="283"/>
      <c r="I135" s="283"/>
      <c r="J135" s="283"/>
      <c r="K135" s="283"/>
      <c r="L135" s="283"/>
      <c r="Q135" s="361"/>
    </row>
    <row r="136" spans="1:17" ht="22.15" customHeight="1">
      <c r="A136" s="816"/>
      <c r="B136" s="43" t="s">
        <v>217</v>
      </c>
      <c r="C136" s="625" t="s">
        <v>174</v>
      </c>
      <c r="D136" s="283"/>
      <c r="E136" s="283"/>
      <c r="F136" s="283"/>
      <c r="G136" s="283"/>
      <c r="H136" s="283"/>
      <c r="I136" s="283"/>
      <c r="J136" s="283"/>
      <c r="K136" s="283"/>
      <c r="L136" s="283"/>
      <c r="Q136" s="16"/>
    </row>
    <row r="137" spans="1:17" ht="22.15" customHeight="1">
      <c r="A137" s="816"/>
      <c r="B137" s="43" t="s">
        <v>220</v>
      </c>
      <c r="C137" s="624" t="s">
        <v>180</v>
      </c>
      <c r="D137" s="283"/>
      <c r="E137" s="283"/>
      <c r="F137" s="283"/>
      <c r="G137" s="283"/>
      <c r="H137" s="283"/>
      <c r="I137" s="283"/>
      <c r="J137" s="283"/>
      <c r="K137" s="283"/>
      <c r="L137" s="283"/>
      <c r="Q137" s="362"/>
    </row>
    <row r="138" spans="1:17" ht="22.15" customHeight="1">
      <c r="A138" s="816"/>
      <c r="B138" s="43" t="s">
        <v>223</v>
      </c>
      <c r="C138" s="626" t="s">
        <v>500</v>
      </c>
      <c r="D138" s="283"/>
      <c r="E138" s="283"/>
      <c r="F138" s="283"/>
      <c r="G138" s="283"/>
      <c r="H138" s="283"/>
      <c r="I138" s="283"/>
      <c r="J138" s="283"/>
      <c r="K138" s="283"/>
      <c r="L138" s="283"/>
      <c r="Q138" s="362"/>
    </row>
    <row r="139" spans="1:17" ht="22.15" customHeight="1">
      <c r="A139" s="816"/>
      <c r="B139" s="43" t="s">
        <v>224</v>
      </c>
      <c r="C139" s="626"/>
      <c r="D139" s="283"/>
      <c r="E139" s="283"/>
      <c r="F139" s="283"/>
      <c r="G139" s="283"/>
      <c r="H139" s="283"/>
      <c r="I139" s="283"/>
      <c r="J139" s="283"/>
      <c r="K139" s="283"/>
      <c r="L139" s="283"/>
      <c r="Q139" s="361"/>
    </row>
    <row r="140" spans="1:17" ht="22.15" customHeight="1">
      <c r="A140" s="816"/>
      <c r="B140" s="43" t="s">
        <v>225</v>
      </c>
      <c r="C140" s="626" t="s">
        <v>212</v>
      </c>
      <c r="D140" s="283"/>
      <c r="E140" s="283"/>
      <c r="F140" s="283"/>
      <c r="G140" s="283"/>
      <c r="H140" s="283"/>
      <c r="I140" s="283"/>
      <c r="J140" s="283"/>
      <c r="K140" s="283"/>
      <c r="L140" s="283"/>
      <c r="Q140" s="16"/>
    </row>
    <row r="141" spans="1:17" ht="22.15" customHeight="1">
      <c r="A141" s="816"/>
      <c r="B141" s="43" t="s">
        <v>227</v>
      </c>
      <c r="C141" s="626" t="s">
        <v>218</v>
      </c>
      <c r="D141" s="283"/>
      <c r="E141" s="283"/>
      <c r="F141" s="283"/>
      <c r="G141" s="283"/>
      <c r="H141" s="283"/>
      <c r="I141" s="283"/>
      <c r="J141" s="283"/>
      <c r="K141" s="283"/>
      <c r="L141" s="283"/>
      <c r="Q141" s="362"/>
    </row>
    <row r="142" spans="1:17" ht="22.15" customHeight="1">
      <c r="A142" s="816"/>
      <c r="B142" s="43" t="s">
        <v>229</v>
      </c>
      <c r="C142" s="626" t="s">
        <v>221</v>
      </c>
      <c r="D142" s="283"/>
      <c r="E142" s="283"/>
      <c r="F142" s="283"/>
      <c r="G142" s="283"/>
      <c r="H142" s="283"/>
      <c r="I142" s="283"/>
      <c r="J142" s="283"/>
      <c r="K142" s="283"/>
      <c r="L142" s="283"/>
      <c r="Q142" s="362"/>
    </row>
    <row r="143" spans="1:17" ht="22.15" customHeight="1">
      <c r="A143" s="816"/>
      <c r="B143" s="43"/>
      <c r="C143" s="627" t="s">
        <v>501</v>
      </c>
      <c r="D143" s="283"/>
      <c r="E143" s="283"/>
      <c r="F143" s="283"/>
      <c r="G143" s="283"/>
      <c r="H143" s="283"/>
      <c r="I143" s="283"/>
      <c r="J143" s="283"/>
      <c r="K143" s="283"/>
      <c r="L143" s="283"/>
      <c r="Q143" s="361"/>
    </row>
    <row r="144" spans="1:17" ht="22.15" customHeight="1">
      <c r="A144" s="816"/>
      <c r="B144" s="780"/>
      <c r="C144" s="626" t="s">
        <v>501</v>
      </c>
      <c r="D144" s="283"/>
      <c r="E144" s="283"/>
      <c r="F144" s="283"/>
      <c r="G144" s="283"/>
      <c r="H144" s="283"/>
      <c r="I144" s="283"/>
      <c r="J144" s="283"/>
      <c r="K144" s="283"/>
      <c r="L144" s="283"/>
      <c r="Q144" s="16"/>
    </row>
    <row r="145" spans="1:17" ht="22.15" customHeight="1">
      <c r="A145" s="816"/>
      <c r="B145" s="43" t="s">
        <v>502</v>
      </c>
      <c r="C145" s="626" t="s">
        <v>501</v>
      </c>
      <c r="D145" s="283"/>
      <c r="E145" s="283"/>
      <c r="F145" s="283"/>
      <c r="G145" s="283"/>
      <c r="H145" s="283"/>
      <c r="I145" s="283"/>
      <c r="J145" s="283"/>
      <c r="K145" s="283"/>
      <c r="L145" s="283"/>
      <c r="Q145" s="362"/>
    </row>
    <row r="146" spans="1:17" ht="22.15" customHeight="1">
      <c r="A146" s="816"/>
      <c r="B146" s="43" t="s">
        <v>503</v>
      </c>
      <c r="C146" s="626" t="s">
        <v>501</v>
      </c>
      <c r="D146" s="283"/>
      <c r="E146" s="283"/>
      <c r="F146" s="283"/>
      <c r="G146" s="283"/>
      <c r="H146" s="283"/>
      <c r="I146" s="283"/>
      <c r="J146" s="283"/>
      <c r="K146" s="283"/>
      <c r="L146" s="283"/>
      <c r="Q146" s="362"/>
    </row>
    <row r="147" spans="1:17" ht="22.15" customHeight="1">
      <c r="A147" s="816"/>
      <c r="B147" s="231"/>
      <c r="C147" s="628" t="s">
        <v>501</v>
      </c>
      <c r="D147" s="283"/>
      <c r="E147" s="283"/>
      <c r="F147" s="283"/>
      <c r="G147" s="283"/>
      <c r="H147" s="283"/>
      <c r="I147" s="283"/>
      <c r="J147" s="283"/>
      <c r="K147" s="283"/>
      <c r="L147" s="283"/>
      <c r="Q147" s="361"/>
    </row>
    <row r="148" spans="1:17" ht="22.15" customHeight="1">
      <c r="A148" s="816"/>
      <c r="B148" s="780" t="s">
        <v>504</v>
      </c>
      <c r="C148" s="629" t="s">
        <v>505</v>
      </c>
      <c r="D148" s="283"/>
      <c r="E148" s="283"/>
      <c r="F148" s="283"/>
      <c r="G148" s="283"/>
      <c r="H148" s="283"/>
      <c r="I148" s="283"/>
      <c r="J148" s="283"/>
      <c r="K148" s="283"/>
      <c r="L148" s="283"/>
      <c r="Q148" s="16"/>
    </row>
    <row r="149" spans="1:17" ht="22.15" customHeight="1">
      <c r="A149" s="816"/>
      <c r="B149" s="43" t="s">
        <v>152</v>
      </c>
      <c r="C149" s="629" t="s">
        <v>506</v>
      </c>
      <c r="D149" s="283"/>
      <c r="E149" s="283"/>
      <c r="F149" s="283"/>
      <c r="G149" s="283"/>
      <c r="H149" s="283"/>
      <c r="I149" s="283"/>
      <c r="J149" s="283"/>
      <c r="K149" s="283"/>
      <c r="L149" s="283"/>
      <c r="Q149" s="362"/>
    </row>
    <row r="150" spans="1:17" ht="22.15" customHeight="1">
      <c r="A150" s="816"/>
      <c r="B150" s="43" t="s">
        <v>157</v>
      </c>
      <c r="C150" s="625" t="s">
        <v>507</v>
      </c>
      <c r="D150" s="283"/>
      <c r="E150" s="283"/>
      <c r="F150" s="283"/>
      <c r="G150" s="283"/>
      <c r="H150" s="283"/>
      <c r="I150" s="283"/>
      <c r="J150" s="283"/>
      <c r="K150" s="283"/>
      <c r="L150" s="283"/>
      <c r="Q150" s="362"/>
    </row>
    <row r="151" spans="1:17" ht="22.15" customHeight="1">
      <c r="A151" s="816"/>
      <c r="B151" s="43" t="s">
        <v>160</v>
      </c>
      <c r="C151" s="625" t="s">
        <v>508</v>
      </c>
      <c r="D151" s="283"/>
      <c r="E151" s="283"/>
      <c r="F151" s="283"/>
      <c r="G151" s="283"/>
      <c r="H151" s="283"/>
      <c r="I151" s="283"/>
      <c r="J151" s="283"/>
      <c r="K151" s="283"/>
      <c r="L151" s="283"/>
      <c r="Q151" s="361"/>
    </row>
    <row r="152" spans="1:17" ht="22.15" customHeight="1">
      <c r="A152" s="816"/>
      <c r="B152" s="43" t="s">
        <v>163</v>
      </c>
      <c r="C152" s="641" t="s">
        <v>509</v>
      </c>
      <c r="D152" s="283"/>
      <c r="E152" s="283"/>
      <c r="F152" s="283"/>
      <c r="G152" s="283"/>
      <c r="H152" s="283"/>
      <c r="I152" s="283"/>
      <c r="J152" s="283"/>
      <c r="K152" s="283"/>
      <c r="L152" s="283"/>
      <c r="Q152" s="16"/>
    </row>
    <row r="153" spans="1:17" ht="25.15" customHeight="1">
      <c r="A153" s="816"/>
      <c r="B153" s="43" t="s">
        <v>510</v>
      </c>
      <c r="C153" s="630" t="s">
        <v>500</v>
      </c>
      <c r="D153"/>
      <c r="E153" s="283"/>
      <c r="F153" s="283"/>
      <c r="G153" s="283"/>
      <c r="H153" s="283"/>
      <c r="I153" s="283"/>
      <c r="J153" s="283"/>
      <c r="K153" s="283"/>
      <c r="L153" s="283"/>
      <c r="Q153" s="362"/>
    </row>
    <row r="154" spans="1:17" ht="25.15" customHeight="1">
      <c r="A154" s="816"/>
      <c r="B154" s="43" t="s">
        <v>511</v>
      </c>
      <c r="C154" s="631" t="s">
        <v>512</v>
      </c>
      <c r="D154"/>
      <c r="E154" s="283"/>
      <c r="F154" s="283"/>
      <c r="G154" s="283"/>
      <c r="H154" s="283"/>
      <c r="I154" s="283"/>
      <c r="J154" s="283"/>
      <c r="K154" s="283"/>
      <c r="L154" s="283"/>
      <c r="Q154" s="362"/>
    </row>
    <row r="155" spans="1:17" ht="25.15" customHeight="1">
      <c r="A155" s="816"/>
      <c r="B155" s="43" t="s">
        <v>503</v>
      </c>
      <c r="C155" s="518"/>
      <c r="D155"/>
      <c r="E155" s="283"/>
      <c r="F155" s="283"/>
      <c r="G155" s="283"/>
      <c r="H155" s="283"/>
      <c r="I155" s="283"/>
      <c r="J155" s="283"/>
      <c r="K155" s="283"/>
      <c r="L155" s="283"/>
      <c r="Q155" s="361"/>
    </row>
    <row r="156" spans="1:17" ht="22.15" customHeight="1">
      <c r="B156" s="244"/>
      <c r="C156" s="632" t="s">
        <v>513</v>
      </c>
      <c r="D156"/>
      <c r="E156" s="283"/>
      <c r="F156" s="283"/>
      <c r="G156" s="283"/>
      <c r="H156" s="283"/>
      <c r="I156" s="283"/>
      <c r="J156" s="283"/>
      <c r="K156" s="283"/>
      <c r="L156" s="283"/>
      <c r="Q156" s="16"/>
    </row>
    <row r="157" spans="1:17" ht="22.15" customHeight="1">
      <c r="B157" s="29"/>
      <c r="C157" s="633" t="s">
        <v>514</v>
      </c>
      <c r="D157" s="283"/>
      <c r="E157" s="283"/>
      <c r="F157" s="283"/>
      <c r="G157" s="283"/>
      <c r="H157" s="283"/>
      <c r="I157" s="283"/>
      <c r="J157" s="283"/>
      <c r="K157" s="283"/>
      <c r="L157" s="283"/>
      <c r="Q157" s="362"/>
    </row>
    <row r="158" spans="1:17" ht="22.15" customHeight="1">
      <c r="B158" s="29"/>
      <c r="C158" s="634" t="s">
        <v>515</v>
      </c>
      <c r="D158" s="283"/>
      <c r="E158" s="283"/>
      <c r="F158" s="283"/>
      <c r="G158" s="283"/>
      <c r="H158" s="283"/>
      <c r="I158" s="283"/>
      <c r="J158" s="283"/>
      <c r="K158" s="283"/>
      <c r="L158" s="283"/>
      <c r="Q158" s="362"/>
    </row>
    <row r="159" spans="1:17" ht="22.15" customHeight="1">
      <c r="C159" s="635" t="s">
        <v>516</v>
      </c>
      <c r="D159" s="283"/>
      <c r="E159" s="283"/>
      <c r="F159" s="283"/>
      <c r="G159" s="283"/>
      <c r="H159" s="283"/>
      <c r="I159" s="283"/>
      <c r="J159" s="283"/>
      <c r="K159" s="283"/>
      <c r="L159" s="283"/>
    </row>
    <row r="160" spans="1:17" ht="22.15" customHeight="1">
      <c r="C160" s="636" t="s">
        <v>517</v>
      </c>
      <c r="D160" s="283"/>
      <c r="E160" s="283"/>
      <c r="F160" s="283"/>
      <c r="G160" s="283"/>
      <c r="H160" s="283"/>
      <c r="I160" s="283"/>
      <c r="J160" s="283"/>
      <c r="K160" s="283"/>
      <c r="L160" s="283"/>
    </row>
    <row r="161" spans="3:3" ht="22.15" customHeight="1">
      <c r="C161" s="231" t="s">
        <v>518</v>
      </c>
    </row>
    <row r="162" spans="3:3" ht="22.15" customHeight="1">
      <c r="C162" s="633" t="s">
        <v>519</v>
      </c>
    </row>
    <row r="163" spans="3:3" ht="22.15" customHeight="1">
      <c r="C163" s="574" t="s">
        <v>520</v>
      </c>
    </row>
    <row r="164" spans="3:3" ht="22.15" customHeight="1">
      <c r="C164" s="637" t="s">
        <v>516</v>
      </c>
    </row>
    <row r="165" spans="3:3" ht="22.15" customHeight="1">
      <c r="C165" s="637"/>
    </row>
    <row r="166" spans="3:3" ht="22.15" customHeight="1">
      <c r="C166" s="283"/>
    </row>
    <row r="167" spans="3:3" ht="22.15" customHeight="1">
      <c r="C167" s="283"/>
    </row>
    <row r="168" spans="3:3" ht="22.15" customHeight="1">
      <c r="C168" s="638"/>
    </row>
    <row r="169" spans="3:3" ht="22.15" customHeight="1">
      <c r="C169" s="283"/>
    </row>
    <row r="170" spans="3:3" ht="22.15" customHeight="1">
      <c r="C170" s="509"/>
    </row>
    <row r="171" spans="3:3" ht="22.15" customHeight="1">
      <c r="C171" s="509"/>
    </row>
    <row r="172" spans="3:3" ht="22.15" customHeight="1">
      <c r="C172" s="509"/>
    </row>
    <row r="173" spans="3:3" ht="22.15" customHeight="1">
      <c r="C173" s="639"/>
    </row>
    <row r="174" spans="3:3" ht="22.15" customHeight="1">
      <c r="C174" s="567"/>
    </row>
    <row r="175" spans="3:3" ht="22.15" customHeight="1">
      <c r="C175" s="2"/>
    </row>
    <row r="176" spans="3:3" ht="22.15" customHeight="1">
      <c r="C176" s="640"/>
    </row>
    <row r="177" spans="3:3" ht="22.15" customHeight="1">
      <c r="C177" s="567"/>
    </row>
    <row r="178" spans="3:3" ht="22.15" customHeight="1">
      <c r="C178" s="138"/>
    </row>
    <row r="179" spans="3:3" ht="22.15" customHeight="1">
      <c r="C179" s="138"/>
    </row>
    <row r="180" spans="3:3" ht="22.15" customHeight="1">
      <c r="C180" s="138"/>
    </row>
    <row r="181" spans="3:3" ht="22.15" customHeight="1">
      <c r="C181" s="138"/>
    </row>
    <row r="182" spans="3:3" ht="22.15" customHeight="1">
      <c r="C182" s="138"/>
    </row>
    <row r="183" spans="3:3" ht="22.15" customHeight="1">
      <c r="C183" s="138"/>
    </row>
    <row r="184" spans="3:3" ht="22.15" customHeight="1">
      <c r="C184" s="138"/>
    </row>
    <row r="185" spans="3:3" ht="22.15" customHeight="1">
      <c r="C185" s="138"/>
    </row>
    <row r="186" spans="3:3" ht="22.15" customHeight="1">
      <c r="C186" s="138"/>
    </row>
    <row r="187" spans="3:3" ht="22.15" customHeight="1">
      <c r="C187" s="8"/>
    </row>
    <row r="188" spans="3:3" ht="22.15" customHeight="1">
      <c r="C188" s="8"/>
    </row>
    <row r="189" spans="3:3" ht="22.15" customHeight="1">
      <c r="C189" s="8"/>
    </row>
    <row r="190" spans="3:3" ht="22.15" customHeight="1">
      <c r="C190" s="8"/>
    </row>
    <row r="191" spans="3:3" ht="22.15" customHeight="1">
      <c r="C191" s="8"/>
    </row>
    <row r="192" spans="3:3" ht="22.15" customHeight="1">
      <c r="C192" s="8"/>
    </row>
    <row r="193" spans="3:3" ht="22.15" customHeight="1">
      <c r="C193" s="8"/>
    </row>
    <row r="194" spans="3:3" ht="22.15" customHeight="1">
      <c r="C194" s="8"/>
    </row>
    <row r="195" spans="3:3" ht="22.15" customHeight="1">
      <c r="C195" s="8"/>
    </row>
    <row r="196" spans="3:3" ht="22.15" customHeight="1">
      <c r="C196" s="8"/>
    </row>
    <row r="197" spans="3:3" ht="22.15" customHeight="1">
      <c r="C197" s="8"/>
    </row>
    <row r="198" spans="3:3" ht="22.15" customHeight="1">
      <c r="C198" s="8"/>
    </row>
    <row r="199" spans="3:3" ht="22.15" customHeight="1">
      <c r="C199" s="8"/>
    </row>
    <row r="200" spans="3:3" ht="22.15" customHeight="1">
      <c r="C200" s="8"/>
    </row>
    <row r="201" spans="3:3" ht="22.15" customHeight="1">
      <c r="C201" s="8"/>
    </row>
    <row r="202" spans="3:3" ht="22.15" customHeight="1">
      <c r="C202" s="8"/>
    </row>
    <row r="203" spans="3:3" ht="22.15" customHeight="1">
      <c r="C203" s="8"/>
    </row>
    <row r="204" spans="3:3" ht="22.15" customHeight="1">
      <c r="C204" s="8"/>
    </row>
    <row r="205" spans="3:3" ht="22.15" customHeight="1">
      <c r="C205" s="8"/>
    </row>
    <row r="206" spans="3:3" ht="22.15" customHeight="1">
      <c r="C206" s="8"/>
    </row>
    <row r="207" spans="3:3" ht="22.15" customHeight="1">
      <c r="C207" s="8"/>
    </row>
    <row r="208" spans="3:3" ht="22.15" customHeight="1">
      <c r="C208" s="8"/>
    </row>
    <row r="209" spans="3:3" ht="22.15" customHeight="1">
      <c r="C209" s="8"/>
    </row>
    <row r="210" spans="3:3" ht="22.15" customHeight="1">
      <c r="C210" s="8"/>
    </row>
    <row r="211" spans="3:3" ht="22.15" customHeight="1">
      <c r="C211" s="8"/>
    </row>
    <row r="212" spans="3:3" ht="22.15" customHeight="1">
      <c r="C212" s="8"/>
    </row>
    <row r="213" spans="3:3" ht="22.15" customHeight="1">
      <c r="C213" s="8"/>
    </row>
    <row r="214" spans="3:3" ht="22.15" customHeight="1">
      <c r="C214" s="8"/>
    </row>
    <row r="215" spans="3:3" ht="22.15" customHeight="1">
      <c r="C215" s="8"/>
    </row>
    <row r="216" spans="3:3" ht="22.15" customHeight="1">
      <c r="C216" s="8"/>
    </row>
    <row r="217" spans="3:3" ht="22.15" customHeight="1">
      <c r="C217" s="8"/>
    </row>
    <row r="218" spans="3:3" ht="22.15" customHeight="1">
      <c r="C218" s="8"/>
    </row>
    <row r="219" spans="3:3" ht="22.15" customHeight="1">
      <c r="C219" s="8"/>
    </row>
    <row r="220" spans="3:3" ht="22.15" customHeight="1">
      <c r="C220" s="8"/>
    </row>
    <row r="221" spans="3:3" ht="22.15" customHeight="1">
      <c r="C221" s="8"/>
    </row>
    <row r="222" spans="3:3" ht="22.15" customHeight="1">
      <c r="C222" s="8"/>
    </row>
    <row r="223" spans="3:3" ht="22.15" customHeight="1">
      <c r="C223" s="8"/>
    </row>
    <row r="224" spans="3:3" ht="22.15" customHeight="1">
      <c r="C224" s="8"/>
    </row>
    <row r="225" spans="3:3" ht="22.15" customHeight="1">
      <c r="C225" s="8"/>
    </row>
    <row r="226" spans="3:3" ht="22.15" customHeight="1">
      <c r="C226" s="8"/>
    </row>
    <row r="227" spans="3:3" ht="22.15" customHeight="1">
      <c r="C227" s="8"/>
    </row>
    <row r="228" spans="3:3" ht="22.15" customHeight="1">
      <c r="C228" s="8"/>
    </row>
    <row r="229" spans="3:3" ht="22.15" customHeight="1">
      <c r="C229" s="8"/>
    </row>
    <row r="230" spans="3:3" ht="22.15" customHeight="1">
      <c r="C230" s="8"/>
    </row>
    <row r="231" spans="3:3" ht="22.15" customHeight="1">
      <c r="C231" s="8"/>
    </row>
    <row r="232" spans="3:3" ht="22.15" customHeight="1">
      <c r="C232" s="8"/>
    </row>
    <row r="233" spans="3:3" ht="22.15" customHeight="1">
      <c r="C233" s="8"/>
    </row>
    <row r="234" spans="3:3" ht="22.15" customHeight="1">
      <c r="C234" s="8"/>
    </row>
    <row r="235" spans="3:3" ht="22.15" customHeight="1">
      <c r="C235" s="8"/>
    </row>
    <row r="236" spans="3:3" ht="22.15" customHeight="1">
      <c r="C236" s="8"/>
    </row>
    <row r="237" spans="3:3" ht="22.15" customHeight="1">
      <c r="C237" s="8"/>
    </row>
    <row r="238" spans="3:3" ht="22.15" customHeight="1">
      <c r="C238" s="8"/>
    </row>
    <row r="239" spans="3:3" ht="22.15" customHeight="1">
      <c r="C239" s="8"/>
    </row>
    <row r="240" spans="3:3" ht="22.15" customHeight="1">
      <c r="C240" s="8"/>
    </row>
    <row r="241" spans="3:3" ht="22.15" customHeight="1">
      <c r="C241" s="8"/>
    </row>
    <row r="242" spans="3:3" ht="22.15" customHeight="1">
      <c r="C242" s="8"/>
    </row>
    <row r="243" spans="3:3" ht="22.15" customHeight="1">
      <c r="C243" s="8"/>
    </row>
    <row r="244" spans="3:3" ht="22.15" customHeight="1">
      <c r="C244" s="8"/>
    </row>
    <row r="263" spans="3:3" ht="22.15" customHeight="1">
      <c r="C263" t="s">
        <v>521</v>
      </c>
    </row>
    <row r="269" spans="3:3" ht="22.15" customHeight="1">
      <c r="C269" t="s">
        <v>521</v>
      </c>
    </row>
    <row r="273" spans="3:3" ht="22.15" customHeight="1">
      <c r="C273" t="s">
        <v>521</v>
      </c>
    </row>
    <row r="279" spans="3:3" ht="22.15" customHeight="1">
      <c r="C279" t="s">
        <v>521</v>
      </c>
    </row>
    <row r="394" spans="3:3" ht="22.15" customHeight="1">
      <c r="C394" t="s">
        <v>521</v>
      </c>
    </row>
    <row r="400" spans="3:3" ht="22.15" customHeight="1">
      <c r="C400" t="s">
        <v>521</v>
      </c>
    </row>
    <row r="407" spans="3:3" ht="22.15" customHeight="1">
      <c r="C407" t="s">
        <v>521</v>
      </c>
    </row>
  </sheetData>
  <mergeCells count="15">
    <mergeCell ref="A84:A93"/>
    <mergeCell ref="A126:A155"/>
    <mergeCell ref="T4:T7"/>
    <mergeCell ref="A11:A18"/>
    <mergeCell ref="P52:R52"/>
    <mergeCell ref="Q53:S53"/>
    <mergeCell ref="Q56:R56"/>
    <mergeCell ref="A1:A10"/>
    <mergeCell ref="M2:M10"/>
    <mergeCell ref="R4:R5"/>
    <mergeCell ref="S4:S5"/>
    <mergeCell ref="M78:M93"/>
    <mergeCell ref="A19:A22"/>
    <mergeCell ref="M26:M50"/>
    <mergeCell ref="A27:A49"/>
  </mergeCells>
  <hyperlinks>
    <hyperlink ref="P101" r:id="rId1" display="http://www.akbuilds.com/" xr:uid="{B16C0517-5AA3-48D6-98B3-CAA1C22763EB}"/>
    <hyperlink ref="P115" r:id="rId2" display="mailto:wsbjoe9@gmail.com" xr:uid="{94DE0ABB-873E-4F68-988F-EC5DF74EF0B3}"/>
    <hyperlink ref="C51" r:id="rId3" xr:uid="{8CEAD37A-670C-4C93-8EE7-1FC031E039DF}"/>
  </hyperlinks>
  <printOptions gridLines="1"/>
  <pageMargins left="0.21" right="0.23" top="0.25" bottom="0.12" header="0.2" footer="0.21"/>
  <pageSetup orientation="portrait" r:id="rId4"/>
  <headerFooter>
    <oddFooter>&amp;L&amp;P&amp;C&amp;F&amp;R&amp;A</oddFooter>
  </headerFooter>
  <rowBreaks count="4" manualBreakCount="4">
    <brk id="25" max="5" man="1"/>
    <brk id="50" max="5" man="1"/>
    <brk id="77" max="7" man="1"/>
    <brk id="12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43EE-509A-45C6-8EFF-31BEEE8798B8}">
  <sheetPr codeName="Sheet33"/>
  <dimension ref="A1:CZ44"/>
  <sheetViews>
    <sheetView zoomScaleNormal="100" zoomScaleSheetLayoutView="94" workbookViewId="0"/>
  </sheetViews>
  <sheetFormatPr defaultColWidth="8" defaultRowHeight="26.65" customHeight="1"/>
  <cols>
    <col min="1" max="1" width="24.5" customWidth="1"/>
    <col min="2" max="2" width="7.25" customWidth="1"/>
    <col min="3" max="3" width="7" customWidth="1"/>
    <col min="4" max="4" width="8.125" customWidth="1"/>
    <col min="5" max="6" width="7.25" customWidth="1"/>
    <col min="7" max="7" width="7.5" customWidth="1"/>
    <col min="8" max="8" width="9.625" customWidth="1"/>
    <col min="9" max="11" width="8.75" bestFit="1" customWidth="1"/>
    <col min="12" max="12" width="17.25" customWidth="1"/>
    <col min="13" max="13" width="17.375" customWidth="1"/>
    <col min="14" max="14" width="17.125" customWidth="1"/>
    <col min="15" max="15" width="18.125" customWidth="1"/>
    <col min="16" max="16" width="8.75" style="240" customWidth="1"/>
    <col min="17" max="17" width="3.875" style="2" bestFit="1" customWidth="1"/>
    <col min="18" max="18" width="27.875" customWidth="1"/>
    <col min="19" max="19" width="0.875" customWidth="1"/>
    <col min="20" max="20" width="8.125" style="283" customWidth="1"/>
    <col min="21" max="21" width="7.5" customWidth="1"/>
    <col min="22" max="22" width="3.875" bestFit="1" customWidth="1"/>
    <col min="23" max="23" width="14.75" customWidth="1"/>
    <col min="24" max="24" width="36.375" customWidth="1"/>
    <col min="25" max="25" width="7.875" style="642" customWidth="1"/>
    <col min="26" max="26" width="5.25" style="244" customWidth="1"/>
    <col min="27" max="27" width="3.875" bestFit="1" customWidth="1"/>
    <col min="28" max="28" width="25" bestFit="1" customWidth="1"/>
    <col min="29" max="29" width="24.5" bestFit="1" customWidth="1"/>
    <col min="30" max="30" width="7.75" customWidth="1"/>
    <col min="31" max="31" width="5.75" customWidth="1"/>
    <col min="32" max="32" width="3.875" bestFit="1" customWidth="1"/>
    <col min="33" max="33" width="23.5" customWidth="1"/>
    <col min="34" max="34" width="15.625" customWidth="1"/>
    <col min="35" max="35" width="7.75" customWidth="1"/>
    <col min="36" max="36" width="0.25" customWidth="1"/>
    <col min="37" max="37" width="5.75" customWidth="1"/>
    <col min="38" max="38" width="3.875" bestFit="1" customWidth="1"/>
    <col min="39" max="39" width="21.75" customWidth="1"/>
    <col min="40" max="40" width="26.75" customWidth="1"/>
    <col min="41" max="41" width="7.75" style="432" customWidth="1"/>
    <col min="42" max="42" width="5.75" style="432" customWidth="1"/>
    <col min="43" max="43" width="3.875" style="432" customWidth="1"/>
    <col min="44" max="44" width="21.75" style="432" customWidth="1"/>
    <col min="45" max="45" width="26.75" style="432" customWidth="1"/>
    <col min="46" max="46" width="7.75" style="432" customWidth="1"/>
    <col min="47" max="47" width="5.25" customWidth="1"/>
    <col min="48" max="48" width="0.875" customWidth="1"/>
    <col min="49" max="49" width="29.625" customWidth="1"/>
    <col min="50" max="50" width="36.5" bestFit="1" customWidth="1"/>
    <col min="51" max="51" width="7.75" customWidth="1"/>
    <col min="52" max="52" width="7.75" style="244" customWidth="1"/>
    <col min="53" max="53" width="0.875" style="244" customWidth="1"/>
    <col min="54" max="54" width="24.75" customWidth="1"/>
    <col min="55" max="55" width="12.25" customWidth="1"/>
    <col min="56" max="56" width="18.625" bestFit="1" customWidth="1"/>
    <col min="57" max="57" width="7.625" customWidth="1"/>
    <col min="58" max="58" width="12" customWidth="1"/>
    <col min="59" max="59" width="0.875" style="244" customWidth="1"/>
    <col min="60" max="60" width="25" bestFit="1" customWidth="1"/>
    <col min="61" max="61" width="25.375" bestFit="1" customWidth="1"/>
    <col min="62" max="62" width="8" customWidth="1"/>
    <col min="63" max="63" width="6.875" customWidth="1"/>
    <col min="64" max="64" width="0.875" customWidth="1"/>
    <col min="65" max="65" width="24.75" style="244" customWidth="1"/>
    <col min="66" max="66" width="25.375" bestFit="1" customWidth="1"/>
    <col min="67" max="67" width="7.75" customWidth="1"/>
    <col min="68" max="68" width="8.625" customWidth="1"/>
    <col min="69" max="69" width="0.875" customWidth="1"/>
    <col min="70" max="70" width="24.75" customWidth="1"/>
    <col min="71" max="71" width="28.25" customWidth="1"/>
    <col min="72" max="72" width="7.75" customWidth="1"/>
    <col min="73" max="73" width="9.125" customWidth="1"/>
    <col min="74" max="74" width="18.375" customWidth="1"/>
    <col min="75" max="75" width="24.75" customWidth="1"/>
    <col min="76" max="76" width="12" customWidth="1"/>
    <col min="77" max="77" width="7.375" customWidth="1"/>
    <col min="78" max="78" width="12" customWidth="1"/>
    <col min="79" max="79" width="20.5" hidden="1" customWidth="1"/>
    <col min="80" max="80" width="9.125" customWidth="1"/>
    <col min="81" max="81" width="3" customWidth="1"/>
    <col min="82" max="82" width="29.25" customWidth="1"/>
    <col min="83" max="83" width="35.75" customWidth="1"/>
    <col min="84" max="84" width="0.875" customWidth="1"/>
    <col min="85" max="85" width="15.625" customWidth="1"/>
    <col min="86" max="86" width="8.25" style="7" customWidth="1"/>
    <col min="87" max="87" width="0.875" style="7" customWidth="1"/>
    <col min="88" max="88" width="17.5" customWidth="1"/>
    <col min="89" max="89" width="0.875" customWidth="1"/>
    <col min="90" max="90" width="11.625" customWidth="1"/>
    <col min="91" max="91" width="0.875" customWidth="1"/>
    <col min="92" max="92" width="37.25" customWidth="1"/>
    <col min="93" max="93" width="10.125" customWidth="1"/>
    <col min="94" max="94" width="16.75" customWidth="1"/>
    <col min="95" max="95" width="12" customWidth="1"/>
    <col min="98" max="98" width="24.125" bestFit="1" customWidth="1"/>
    <col min="99" max="99" width="35.125" bestFit="1" customWidth="1"/>
  </cols>
  <sheetData>
    <row r="1" spans="1:104" ht="26.65" customHeight="1">
      <c r="A1" s="193" t="str">
        <f>'jobinfo(2)'!C51</f>
        <v>OH25THOMAS@GERTRUDE</v>
      </c>
      <c r="B1" s="852" t="str">
        <f>'jobinfo(2)'!C3</f>
        <v>Cleveland, OH 44105</v>
      </c>
      <c r="C1" s="840" t="s">
        <v>522</v>
      </c>
      <c r="D1" s="841" t="s">
        <v>197</v>
      </c>
      <c r="E1" s="834" t="s">
        <v>523</v>
      </c>
      <c r="F1" s="855" t="s">
        <v>524</v>
      </c>
      <c r="G1" s="834" t="s">
        <v>525</v>
      </c>
      <c r="H1" s="835" t="s">
        <v>526</v>
      </c>
      <c r="I1" s="835"/>
      <c r="J1" s="835"/>
      <c r="K1" s="835"/>
      <c r="L1" s="839" t="s">
        <v>527</v>
      </c>
      <c r="M1" s="839"/>
      <c r="N1" s="839"/>
      <c r="O1" s="839"/>
      <c r="P1" s="650" t="s">
        <v>528</v>
      </c>
      <c r="R1" s="644" t="s">
        <v>529</v>
      </c>
      <c r="S1" s="644"/>
      <c r="T1" s="833" t="s">
        <v>530</v>
      </c>
      <c r="U1" s="712" t="s">
        <v>531</v>
      </c>
      <c r="V1" s="713"/>
      <c r="W1" s="713" t="s">
        <v>532</v>
      </c>
      <c r="X1" s="713"/>
      <c r="Y1" s="833" t="s">
        <v>530</v>
      </c>
      <c r="Z1" s="836" t="s">
        <v>533</v>
      </c>
      <c r="AA1" s="836"/>
      <c r="AB1" s="836"/>
      <c r="AC1" s="836"/>
      <c r="AD1" s="833" t="s">
        <v>530</v>
      </c>
      <c r="AE1" s="836" t="s">
        <v>533</v>
      </c>
      <c r="AF1" s="836"/>
      <c r="AG1" s="836"/>
      <c r="AH1" s="836"/>
      <c r="AI1" s="833" t="s">
        <v>530</v>
      </c>
      <c r="AJ1" s="30" t="s">
        <v>533</v>
      </c>
      <c r="AK1" s="836" t="s">
        <v>533</v>
      </c>
      <c r="AL1" s="836"/>
      <c r="AM1" s="836"/>
      <c r="AN1" s="836"/>
      <c r="AO1" s="833" t="s">
        <v>530</v>
      </c>
      <c r="AP1" s="837" t="s">
        <v>534</v>
      </c>
      <c r="AQ1" s="837"/>
      <c r="AR1" s="837"/>
      <c r="AS1" s="837"/>
      <c r="AT1" s="784" t="s">
        <v>530</v>
      </c>
      <c r="AU1" s="835" t="s">
        <v>535</v>
      </c>
      <c r="AV1" s="835"/>
      <c r="AW1" s="835"/>
      <c r="AX1" s="835"/>
      <c r="AY1" s="833" t="s">
        <v>530</v>
      </c>
      <c r="AZ1" s="565" t="s">
        <v>536</v>
      </c>
      <c r="BA1" s="610"/>
      <c r="BB1" s="610"/>
      <c r="BC1" s="610"/>
      <c r="BD1" s="610"/>
      <c r="BE1" s="833" t="s">
        <v>530</v>
      </c>
      <c r="BF1" s="565" t="s">
        <v>537</v>
      </c>
      <c r="BG1" s="565"/>
      <c r="BH1" s="609"/>
      <c r="BI1" s="609"/>
      <c r="BJ1" s="833" t="s">
        <v>530</v>
      </c>
      <c r="BK1" s="565" t="s">
        <v>538</v>
      </c>
      <c r="BL1" s="565"/>
      <c r="BM1" s="609"/>
      <c r="BN1" s="609"/>
      <c r="BO1" s="833" t="s">
        <v>530</v>
      </c>
      <c r="BP1" s="565" t="s">
        <v>539</v>
      </c>
      <c r="BQ1" s="565"/>
      <c r="BR1" s="609"/>
      <c r="BS1" s="609"/>
      <c r="BT1" s="833" t="s">
        <v>530</v>
      </c>
      <c r="BU1" s="610" t="s">
        <v>527</v>
      </c>
      <c r="BV1" s="610"/>
      <c r="BW1" s="610"/>
      <c r="BX1" s="610"/>
      <c r="CB1" t="s">
        <v>540</v>
      </c>
      <c r="CD1" t="s">
        <v>541</v>
      </c>
      <c r="CE1" t="s">
        <v>542</v>
      </c>
      <c r="CF1" s="652"/>
      <c r="CG1" s="652"/>
      <c r="CH1" s="611" t="s">
        <v>543</v>
      </c>
      <c r="CI1" s="611"/>
      <c r="CL1" s="14"/>
      <c r="CM1" s="138"/>
      <c r="CO1" s="138"/>
      <c r="CP1" t="s">
        <v>544</v>
      </c>
      <c r="CQ1" s="610"/>
      <c r="CR1" s="610"/>
      <c r="CS1" s="610"/>
      <c r="CT1" s="610"/>
      <c r="CU1" s="610"/>
      <c r="CZ1" s="565"/>
    </row>
    <row r="2" spans="1:104" ht="25.9" customHeight="1">
      <c r="A2" t="str">
        <f>'jobinfo(2)'!C2</f>
        <v>6600 GERTRUDE</v>
      </c>
      <c r="B2" s="852"/>
      <c r="C2" s="840"/>
      <c r="D2" s="841"/>
      <c r="E2" s="834"/>
      <c r="F2" s="855"/>
      <c r="G2" s="834"/>
      <c r="H2" s="783" t="s">
        <v>545</v>
      </c>
      <c r="I2" s="575" t="s">
        <v>546</v>
      </c>
      <c r="J2" s="783" t="s">
        <v>547</v>
      </c>
      <c r="K2" s="575" t="s">
        <v>548</v>
      </c>
      <c r="L2" s="783" t="s">
        <v>545</v>
      </c>
      <c r="M2" s="575" t="s">
        <v>546</v>
      </c>
      <c r="N2" s="783" t="s">
        <v>547</v>
      </c>
      <c r="O2" s="575" t="s">
        <v>548</v>
      </c>
      <c r="P2" s="565" t="s">
        <v>549</v>
      </c>
      <c r="Q2" s="780"/>
      <c r="T2" s="833"/>
      <c r="U2" s="660" t="str">
        <f>P2</f>
        <v xml:space="preserve"> = … JOB/ROOMS OVERVIEW PICS ..</v>
      </c>
      <c r="V2" s="660"/>
      <c r="W2" s="565"/>
      <c r="X2" s="565"/>
      <c r="Y2" s="833"/>
      <c r="Z2" s="661" t="s">
        <v>550</v>
      </c>
      <c r="AA2" s="576"/>
      <c r="AB2" s="577"/>
      <c r="AC2" s="565"/>
      <c r="AD2" s="833"/>
      <c r="AE2" s="834" t="s">
        <v>551</v>
      </c>
      <c r="AF2" s="834"/>
      <c r="AG2" s="834"/>
      <c r="AH2" s="834"/>
      <c r="AI2" s="833"/>
      <c r="AJ2" s="566"/>
      <c r="AK2" s="579" t="s">
        <v>552</v>
      </c>
      <c r="AL2" s="579"/>
      <c r="AM2" s="579"/>
      <c r="AN2" s="580" t="str">
        <f>E1</f>
        <v>PPR</v>
      </c>
      <c r="AO2" s="833"/>
      <c r="AP2" s="432" t="s">
        <v>553</v>
      </c>
      <c r="AQ2" s="715"/>
      <c r="AR2" s="706"/>
      <c r="AS2" s="784"/>
      <c r="AT2" s="784"/>
      <c r="AU2" s="576" t="str">
        <f>G1</f>
        <v>MIT WTR</v>
      </c>
      <c r="AV2" s="576"/>
      <c r="AW2" s="228"/>
      <c r="AX2" s="228"/>
      <c r="AY2" s="833"/>
      <c r="AZ2" s="611" t="s">
        <v>554</v>
      </c>
      <c r="BA2" s="611"/>
      <c r="BB2" s="783"/>
      <c r="BC2" s="783"/>
      <c r="BD2" s="783"/>
      <c r="BE2" s="833"/>
      <c r="BF2" s="611" t="s">
        <v>555</v>
      </c>
      <c r="BG2" s="611"/>
      <c r="BH2" s="783"/>
      <c r="BI2" s="783"/>
      <c r="BJ2" s="833"/>
      <c r="BK2" s="611" t="s">
        <v>556</v>
      </c>
      <c r="BL2" s="611"/>
      <c r="BM2" s="783"/>
      <c r="BN2" s="783"/>
      <c r="BO2" s="833"/>
      <c r="BP2" s="611" t="s">
        <v>557</v>
      </c>
      <c r="BQ2" s="611"/>
      <c r="BR2" s="783"/>
      <c r="BS2" s="783"/>
      <c r="BT2" s="833"/>
      <c r="BU2" s="611" t="s">
        <v>558</v>
      </c>
      <c r="BV2" s="783"/>
      <c r="BW2" s="611"/>
      <c r="BX2" s="783"/>
      <c r="CB2" s="138" t="s">
        <v>559</v>
      </c>
      <c r="CC2" s="138"/>
      <c r="CE2" s="653" t="s">
        <v>560</v>
      </c>
      <c r="CF2" s="652"/>
      <c r="CG2" s="652"/>
      <c r="CH2" s="611" t="str">
        <f>CH1</f>
        <v>… DAY # 0  … MC READINGS STABILIZATION</v>
      </c>
      <c r="CI2" s="702"/>
      <c r="CL2" s="706" t="s">
        <v>530</v>
      </c>
      <c r="CM2" s="706"/>
      <c r="CN2" s="702"/>
      <c r="CP2" t="s">
        <v>544</v>
      </c>
      <c r="CQ2" s="783"/>
      <c r="CR2" s="783"/>
      <c r="CS2" s="783"/>
      <c r="CT2" s="783"/>
      <c r="CU2" s="783"/>
      <c r="CZ2" s="565"/>
    </row>
    <row r="3" spans="1:104" ht="26.65" customHeight="1">
      <c r="A3" s="432" t="str">
        <f>R3</f>
        <v>JOB/ROOMS OVERVIEW PICS</v>
      </c>
      <c r="B3" s="485">
        <f t="shared" ref="B3:K3" si="0">B4-1</f>
        <v>100</v>
      </c>
      <c r="C3" s="485">
        <f t="shared" si="0"/>
        <v>200</v>
      </c>
      <c r="D3" s="674">
        <v>300</v>
      </c>
      <c r="E3" s="485">
        <f t="shared" si="0"/>
        <v>400</v>
      </c>
      <c r="F3" s="485">
        <v>500</v>
      </c>
      <c r="G3" s="485">
        <f t="shared" si="0"/>
        <v>800</v>
      </c>
      <c r="H3" s="675">
        <f t="shared" si="0"/>
        <v>6100.1</v>
      </c>
      <c r="I3" s="675">
        <f t="shared" si="0"/>
        <v>6200.2</v>
      </c>
      <c r="J3" s="675">
        <f t="shared" si="0"/>
        <v>6300.3</v>
      </c>
      <c r="K3" s="675">
        <f t="shared" si="0"/>
        <v>6400.4</v>
      </c>
      <c r="P3" s="485">
        <f>P4-1</f>
        <v>100</v>
      </c>
      <c r="Q3" s="200" t="s">
        <v>561</v>
      </c>
      <c r="R3" s="656" t="s">
        <v>562</v>
      </c>
      <c r="S3" s="707" t="s">
        <v>563</v>
      </c>
      <c r="T3" s="569" t="s">
        <v>564</v>
      </c>
      <c r="U3" s="485">
        <f>P3</f>
        <v>100</v>
      </c>
      <c r="V3" s="200" t="str">
        <f>Q3</f>
        <v>….</v>
      </c>
      <c r="W3" s="662" t="str">
        <f>U2</f>
        <v xml:space="preserve"> = … JOB/ROOMS OVERVIEW PICS ..</v>
      </c>
      <c r="X3" s="569"/>
      <c r="Y3" s="569" t="s">
        <v>565</v>
      </c>
      <c r="Z3" s="533">
        <f t="shared" ref="Z3:Z28" si="1">C3</f>
        <v>200</v>
      </c>
      <c r="AA3" s="200" t="str">
        <f>V3</f>
        <v>….</v>
      </c>
      <c r="AB3" s="662" t="str">
        <f>Z2</f>
        <v>….. SOURCE of  LOSS PICS …..</v>
      </c>
      <c r="AC3" s="569" t="s">
        <v>566</v>
      </c>
      <c r="AD3" s="569" t="s">
        <v>565</v>
      </c>
      <c r="AE3" s="533">
        <f t="shared" ref="AE3:AE28" si="2">D3</f>
        <v>300</v>
      </c>
      <c r="AF3" s="200" t="str">
        <f>AA3</f>
        <v>….</v>
      </c>
      <c r="AG3" s="663" t="str">
        <f>AE2</f>
        <v>…..  C.P.S.  …...</v>
      </c>
      <c r="AH3" s="569" t="s">
        <v>567</v>
      </c>
      <c r="AI3" s="569" t="s">
        <v>565</v>
      </c>
      <c r="AK3" s="533">
        <f t="shared" ref="AK3:AK28" si="3">E3</f>
        <v>400</v>
      </c>
      <c r="AL3" s="200" t="str">
        <f>AF3</f>
        <v>….</v>
      </c>
      <c r="AM3" t="str">
        <f>AK2</f>
        <v>NON SALVAGEABLE ITEMS</v>
      </c>
      <c r="AN3" s="569" t="s">
        <v>568</v>
      </c>
      <c r="AP3" s="432">
        <f>F3</f>
        <v>500</v>
      </c>
      <c r="AQ3" s="200" t="s">
        <v>561</v>
      </c>
      <c r="AR3" t="str">
        <f>AP2</f>
        <v>,,,,,, DMO = DEMOLITION …....</v>
      </c>
      <c r="AS3" s="569" t="s">
        <v>568</v>
      </c>
      <c r="AT3" s="138" t="s">
        <v>568</v>
      </c>
      <c r="AU3" s="533">
        <f t="shared" ref="AU3:AU28" si="4">G3</f>
        <v>800</v>
      </c>
      <c r="AV3" s="200" t="s">
        <v>569</v>
      </c>
      <c r="AW3" s="582" t="s">
        <v>570</v>
      </c>
      <c r="AY3" s="138" t="s">
        <v>568</v>
      </c>
      <c r="AZ3" s="612">
        <f>AZ4-0.1</f>
        <v>6101</v>
      </c>
      <c r="BA3" s="200" t="s">
        <v>569</v>
      </c>
      <c r="BB3" t="str">
        <f>AZ1</f>
        <v xml:space="preserve">  ...  DAY1    MC READINGS ..</v>
      </c>
      <c r="BC3" s="569" t="s">
        <v>571</v>
      </c>
      <c r="BD3" s="569" t="s">
        <v>572</v>
      </c>
      <c r="BE3" s="723" t="s">
        <v>573</v>
      </c>
      <c r="BF3" s="612">
        <f>BF4-0.2</f>
        <v>6201</v>
      </c>
      <c r="BG3" s="200" t="s">
        <v>569</v>
      </c>
      <c r="BH3" t="str">
        <f>BF1</f>
        <v xml:space="preserve">  ...  DAY2    MC READINGS ..</v>
      </c>
      <c r="BI3" s="569" t="s">
        <v>572</v>
      </c>
      <c r="BJ3" s="723" t="s">
        <v>565</v>
      </c>
      <c r="BK3" s="612">
        <f>BK4-0.3</f>
        <v>6301</v>
      </c>
      <c r="BL3" s="200" t="s">
        <v>569</v>
      </c>
      <c r="BM3" t="str">
        <f>BK2</f>
        <v xml:space="preserve">….. DAY 3 ….. </v>
      </c>
      <c r="BN3" s="569" t="s">
        <v>574</v>
      </c>
      <c r="BO3" s="723" t="s">
        <v>565</v>
      </c>
      <c r="BP3" s="612">
        <f>BP4-0.4</f>
        <v>6401</v>
      </c>
      <c r="BQ3" s="200" t="s">
        <v>569</v>
      </c>
      <c r="BR3" t="str">
        <f>BP2</f>
        <v xml:space="preserve">….. DAY 4 ….. </v>
      </c>
      <c r="BS3" s="569" t="s">
        <v>572</v>
      </c>
      <c r="BT3" s="790" t="str">
        <f>BP2</f>
        <v xml:space="preserve">….. DAY 4 ….. </v>
      </c>
      <c r="BU3" s="657">
        <f>BU5-0.1</f>
        <v>7099.9</v>
      </c>
      <c r="BV3" s="2" t="s">
        <v>575</v>
      </c>
      <c r="BW3" s="616" t="s">
        <v>576</v>
      </c>
      <c r="BX3" s="578"/>
      <c r="CB3" s="677">
        <v>0</v>
      </c>
      <c r="CC3" t="s">
        <v>577</v>
      </c>
      <c r="CD3" t="s">
        <v>578</v>
      </c>
      <c r="CH3" s="7">
        <v>70000</v>
      </c>
      <c r="CI3" t="s">
        <v>577</v>
      </c>
      <c r="CJ3" s="711" t="s">
        <v>579</v>
      </c>
      <c r="CK3" s="702"/>
      <c r="CL3" s="706"/>
      <c r="CM3" s="706"/>
      <c r="CP3" t="str">
        <f>R4</f>
        <v>Living Room</v>
      </c>
      <c r="CQ3" t="str">
        <f>T4</f>
        <v>….........</v>
      </c>
      <c r="CZ3" s="568"/>
    </row>
    <row r="4" spans="1:104" ht="26.65" customHeight="1" thickBot="1">
      <c r="A4" t="str">
        <f>R4</f>
        <v>Living Room</v>
      </c>
      <c r="B4" s="655">
        <f t="shared" ref="B4:B28" si="5">P4</f>
        <v>101</v>
      </c>
      <c r="C4" s="782">
        <v>201</v>
      </c>
      <c r="D4" s="782">
        <v>301</v>
      </c>
      <c r="E4" s="782">
        <v>401</v>
      </c>
      <c r="F4" s="782">
        <v>501</v>
      </c>
      <c r="G4" s="782">
        <v>801</v>
      </c>
      <c r="H4" s="782">
        <v>6101.1</v>
      </c>
      <c r="I4" s="782">
        <v>6201.2</v>
      </c>
      <c r="J4" s="782">
        <v>6301.3</v>
      </c>
      <c r="K4" s="782">
        <v>6401.4</v>
      </c>
      <c r="P4" s="485">
        <v>101</v>
      </c>
      <c r="Q4" s="200" t="s">
        <v>561</v>
      </c>
      <c r="R4" s="138" t="s">
        <v>287</v>
      </c>
      <c r="S4" s="707" t="s">
        <v>563</v>
      </c>
      <c r="T4" s="676" t="s">
        <v>580</v>
      </c>
      <c r="U4" s="485">
        <f t="shared" ref="U4:U28" si="6">P4</f>
        <v>101</v>
      </c>
      <c r="V4" s="200" t="str">
        <f t="shared" ref="V4:V28" si="7">Q4</f>
        <v>….</v>
      </c>
      <c r="W4" s="581" t="str">
        <f t="shared" ref="W4:W26" si="8">R4</f>
        <v>Living Room</v>
      </c>
      <c r="X4" s="662" t="str">
        <f t="shared" ref="X4:X28" si="9">$U$2</f>
        <v xml:space="preserve"> = … JOB/ROOMS OVERVIEW PICS ..</v>
      </c>
      <c r="Y4" s="643" t="str">
        <f>$T$4</f>
        <v>….........</v>
      </c>
      <c r="Z4" s="533">
        <f t="shared" si="1"/>
        <v>201</v>
      </c>
      <c r="AA4" s="200" t="str">
        <f t="shared" ref="AA4:AA28" si="10">V4</f>
        <v>….</v>
      </c>
      <c r="AB4" s="533" t="str">
        <f t="shared" ref="AB4:AB28" si="11">W4</f>
        <v>Living Room</v>
      </c>
      <c r="AC4" s="662" t="str">
        <f t="shared" ref="AC4:AC28" si="12">$Z$2</f>
        <v>….. SOURCE of  LOSS PICS …..</v>
      </c>
      <c r="AD4" s="643" t="str">
        <f>$T$4</f>
        <v>….........</v>
      </c>
      <c r="AE4" s="533">
        <f t="shared" si="2"/>
        <v>301</v>
      </c>
      <c r="AF4" s="200" t="str">
        <f t="shared" ref="AF4:AF28" si="13">AA4</f>
        <v>….</v>
      </c>
      <c r="AG4" s="533" t="str">
        <f>AB4</f>
        <v>Living Room</v>
      </c>
      <c r="AH4" s="533" t="str">
        <f t="shared" ref="AH4:AH28" si="14">$AE$2</f>
        <v>…..  C.P.S.  …...</v>
      </c>
      <c r="AI4" s="643" t="str">
        <f>$T$4</f>
        <v>….........</v>
      </c>
      <c r="AJ4" s="571"/>
      <c r="AK4" s="533">
        <f t="shared" si="3"/>
        <v>401</v>
      </c>
      <c r="AL4" s="200" t="str">
        <f t="shared" ref="AL4:AL28" si="15">AF4</f>
        <v>….</v>
      </c>
      <c r="AM4" s="533" t="str">
        <f>AG4</f>
        <v>Living Room</v>
      </c>
      <c r="AN4" s="533" t="str">
        <f t="shared" ref="AN4:AN28" si="16">$AK$2</f>
        <v>NON SALVAGEABLE ITEMS</v>
      </c>
      <c r="AO4" s="643" t="str">
        <f>$T$4</f>
        <v>….........</v>
      </c>
      <c r="AP4" s="432">
        <f>F4</f>
        <v>501</v>
      </c>
      <c r="AQ4" s="200" t="s">
        <v>561</v>
      </c>
      <c r="AR4" s="533" t="str">
        <f t="shared" ref="AR4:AR28" si="17">AM4</f>
        <v>Living Room</v>
      </c>
      <c r="AS4" s="533" t="str">
        <f>AR3</f>
        <v>,,,,,, DMO = DEMOLITION …....</v>
      </c>
      <c r="AT4" s="643" t="str">
        <f>T4</f>
        <v>….........</v>
      </c>
      <c r="AU4" s="533">
        <f t="shared" si="4"/>
        <v>801</v>
      </c>
      <c r="AV4" s="200" t="s">
        <v>569</v>
      </c>
      <c r="AW4" s="533" t="str">
        <f>AM4</f>
        <v>Living Room</v>
      </c>
      <c r="AX4" s="581" t="str">
        <f>AU1</f>
        <v>… MITIGATION  EQUIPMENT &amp; W.I.P . ...</v>
      </c>
      <c r="AY4" s="643" t="str">
        <f>$T$4</f>
        <v>….........</v>
      </c>
      <c r="AZ4" s="244">
        <f t="shared" ref="AZ4:AZ28" si="18">H4</f>
        <v>6101.1</v>
      </c>
      <c r="BA4" s="200" t="s">
        <v>569</v>
      </c>
      <c r="BB4" s="533" t="str">
        <f>AW4</f>
        <v>Living Room</v>
      </c>
      <c r="BC4" s="533" t="str">
        <f>AZ1</f>
        <v xml:space="preserve">  ...  DAY1    MC READINGS ..</v>
      </c>
      <c r="BE4" s="643" t="str">
        <f>$T$4</f>
        <v>….........</v>
      </c>
      <c r="BF4" s="244">
        <f t="shared" ref="BF4:BF28" si="19">I4</f>
        <v>6201.2</v>
      </c>
      <c r="BG4" s="200" t="s">
        <v>569</v>
      </c>
      <c r="BH4" s="533" t="str">
        <f>BB4</f>
        <v>Living Room</v>
      </c>
      <c r="BI4" t="str">
        <f>BF1</f>
        <v xml:space="preserve">  ...  DAY2    MC READINGS ..</v>
      </c>
      <c r="BJ4" s="643" t="str">
        <f>$T$4</f>
        <v>….........</v>
      </c>
      <c r="BK4" s="244">
        <f t="shared" ref="BK4:BK28" si="20">J4</f>
        <v>6301.3</v>
      </c>
      <c r="BL4" s="200" t="s">
        <v>569</v>
      </c>
      <c r="BM4" s="533" t="str">
        <f>BH4</f>
        <v>Living Room</v>
      </c>
      <c r="BN4" t="str">
        <f>BK1</f>
        <v xml:space="preserve">  ...  DAY3    MC READINGS ..</v>
      </c>
      <c r="BO4" s="643" t="str">
        <f>$T$4</f>
        <v>….........</v>
      </c>
      <c r="BP4" s="244">
        <f>K4</f>
        <v>6401.4</v>
      </c>
      <c r="BQ4" s="200" t="s">
        <v>569</v>
      </c>
      <c r="BR4" s="533" t="str">
        <f>BM4</f>
        <v>Living Room</v>
      </c>
      <c r="BS4" t="str">
        <f>BP1</f>
        <v xml:space="preserve">  ...  DAY4    MC READINGS </v>
      </c>
      <c r="BT4" s="643" t="str">
        <f>$T$4</f>
        <v>….........</v>
      </c>
      <c r="BU4" s="613">
        <v>7100</v>
      </c>
      <c r="BV4" s="610" t="s">
        <v>581</v>
      </c>
      <c r="BW4" s="613" t="str">
        <f>BU2</f>
        <v xml:space="preserve">….. DAY 1 ….. </v>
      </c>
      <c r="BX4" s="614"/>
      <c r="CB4" s="677">
        <v>1E-4</v>
      </c>
      <c r="CC4" t="s">
        <v>577</v>
      </c>
      <c r="CD4" s="614" t="s">
        <v>582</v>
      </c>
      <c r="CH4" s="7">
        <v>70101</v>
      </c>
      <c r="CI4" s="200" t="s">
        <v>569</v>
      </c>
      <c r="CJ4" s="699" t="str">
        <f>R4</f>
        <v>Living Room</v>
      </c>
      <c r="CK4" s="709" t="s">
        <v>563</v>
      </c>
      <c r="CL4" s="138" t="str">
        <f>T4</f>
        <v>….........</v>
      </c>
      <c r="CM4" s="709" t="s">
        <v>563</v>
      </c>
      <c r="CN4" s="689" t="str">
        <f>CH1</f>
        <v>… DAY # 0  … MC READINGS STABILIZATION</v>
      </c>
      <c r="CO4" s="614"/>
      <c r="CP4" t="str">
        <f>R5</f>
        <v>GUEST CLOSET</v>
      </c>
      <c r="CQ4" t="str">
        <f>T5</f>
        <v>…..........</v>
      </c>
      <c r="CZ4" s="570"/>
    </row>
    <row r="5" spans="1:104" ht="26.65" customHeight="1" thickTop="1" thickBot="1">
      <c r="A5" s="432" t="str">
        <f t="shared" ref="A5:A28" si="21">R5</f>
        <v>GUEST CLOSET</v>
      </c>
      <c r="B5" s="485">
        <f t="shared" si="5"/>
        <v>102</v>
      </c>
      <c r="C5" s="573">
        <f t="shared" ref="C5:C28" si="22">C4+1</f>
        <v>202</v>
      </c>
      <c r="D5" s="573">
        <f t="shared" ref="D5:D28" si="23">D4+1</f>
        <v>302</v>
      </c>
      <c r="E5" s="573">
        <f t="shared" ref="E5:F28" si="24">E4+1</f>
        <v>402</v>
      </c>
      <c r="F5" s="573">
        <f t="shared" si="24"/>
        <v>502</v>
      </c>
      <c r="G5" s="573">
        <v>802</v>
      </c>
      <c r="H5" s="573">
        <f t="shared" ref="H5:H28" si="25">H4+1</f>
        <v>6102.1</v>
      </c>
      <c r="I5" s="573">
        <f t="shared" ref="I5:I28" si="26">I4+1</f>
        <v>6202.2</v>
      </c>
      <c r="J5" s="573">
        <f t="shared" ref="J5:J28" si="27">J4+1</f>
        <v>6302.3</v>
      </c>
      <c r="K5" s="573">
        <f t="shared" ref="K5:K28" si="28">K4+1</f>
        <v>6402.4</v>
      </c>
      <c r="L5" t="s">
        <v>575</v>
      </c>
      <c r="P5" s="485">
        <v>102</v>
      </c>
      <c r="Q5" s="200" t="s">
        <v>561</v>
      </c>
      <c r="R5" s="687" t="s">
        <v>270</v>
      </c>
      <c r="S5" s="707" t="s">
        <v>563</v>
      </c>
      <c r="T5" s="700" t="s">
        <v>583</v>
      </c>
      <c r="U5" s="485">
        <f t="shared" si="6"/>
        <v>102</v>
      </c>
      <c r="V5" s="200" t="str">
        <f t="shared" si="7"/>
        <v>….</v>
      </c>
      <c r="W5" s="533" t="str">
        <f t="shared" si="8"/>
        <v>GUEST CLOSET</v>
      </c>
      <c r="X5" s="533" t="str">
        <f t="shared" si="9"/>
        <v xml:space="preserve"> = … JOB/ROOMS OVERVIEW PICS ..</v>
      </c>
      <c r="Y5" s="643" t="str">
        <f>$T$5</f>
        <v>…..........</v>
      </c>
      <c r="Z5" s="581">
        <f t="shared" si="1"/>
        <v>202</v>
      </c>
      <c r="AA5" s="200" t="str">
        <f t="shared" si="10"/>
        <v>….</v>
      </c>
      <c r="AB5" s="533" t="str">
        <f t="shared" si="11"/>
        <v>GUEST CLOSET</v>
      </c>
      <c r="AC5" s="533" t="str">
        <f t="shared" si="12"/>
        <v>….. SOURCE of  LOSS PICS …..</v>
      </c>
      <c r="AD5" s="643" t="str">
        <f>$T$5</f>
        <v>…..........</v>
      </c>
      <c r="AE5" s="533">
        <f t="shared" si="2"/>
        <v>302</v>
      </c>
      <c r="AF5" s="200" t="str">
        <f t="shared" si="13"/>
        <v>….</v>
      </c>
      <c r="AG5" s="533" t="str">
        <f t="shared" ref="AG5:AG28" si="29">AB5</f>
        <v>GUEST CLOSET</v>
      </c>
      <c r="AH5" s="533" t="str">
        <f t="shared" si="14"/>
        <v>…..  C.P.S.  …...</v>
      </c>
      <c r="AI5" s="643" t="str">
        <f>$T$5</f>
        <v>…..........</v>
      </c>
      <c r="AJ5" s="432"/>
      <c r="AK5" s="533">
        <f t="shared" si="3"/>
        <v>402</v>
      </c>
      <c r="AL5" s="200" t="str">
        <f t="shared" si="15"/>
        <v>….</v>
      </c>
      <c r="AM5" s="533" t="str">
        <f>AG5</f>
        <v>GUEST CLOSET</v>
      </c>
      <c r="AN5" s="533" t="str">
        <f t="shared" si="16"/>
        <v>NON SALVAGEABLE ITEMS</v>
      </c>
      <c r="AO5" s="643" t="str">
        <f>$T$5</f>
        <v>…..........</v>
      </c>
      <c r="AP5" s="432">
        <f t="shared" ref="AP5:AP28" si="30">F5</f>
        <v>502</v>
      </c>
      <c r="AQ5" s="200" t="s">
        <v>561</v>
      </c>
      <c r="AR5" s="533" t="str">
        <f t="shared" si="17"/>
        <v>GUEST CLOSET</v>
      </c>
      <c r="AS5" s="643" t="str">
        <f>AS4</f>
        <v>,,,,,, DMO = DEMOLITION …....</v>
      </c>
      <c r="AT5" s="643" t="str">
        <f t="shared" ref="AT5:AT28" si="31">T5</f>
        <v>…..........</v>
      </c>
      <c r="AU5" s="533">
        <f t="shared" si="4"/>
        <v>802</v>
      </c>
      <c r="AV5" s="200" t="s">
        <v>569</v>
      </c>
      <c r="AW5" s="533" t="str">
        <f t="shared" ref="AW5:AW28" si="32">AM5</f>
        <v>GUEST CLOSET</v>
      </c>
      <c r="AX5" s="581" t="str">
        <f t="shared" ref="AX5:AX28" si="33">AX4</f>
        <v>… MITIGATION  EQUIPMENT &amp; W.I.P . ...</v>
      </c>
      <c r="AY5" s="643" t="str">
        <f>$T$5</f>
        <v>…..........</v>
      </c>
      <c r="AZ5" s="244">
        <f t="shared" si="18"/>
        <v>6102.1</v>
      </c>
      <c r="BA5" s="200" t="s">
        <v>569</v>
      </c>
      <c r="BB5" s="533" t="str">
        <f t="shared" ref="BB5:BB28" si="34">AW5</f>
        <v>GUEST CLOSET</v>
      </c>
      <c r="BC5" s="533" t="str">
        <f>BC4</f>
        <v xml:space="preserve">  ...  DAY1    MC READINGS ..</v>
      </c>
      <c r="BE5" s="643" t="str">
        <f>$T$5</f>
        <v>…..........</v>
      </c>
      <c r="BF5" s="244">
        <f t="shared" si="19"/>
        <v>6202.2</v>
      </c>
      <c r="BG5" s="200" t="s">
        <v>569</v>
      </c>
      <c r="BH5" s="533" t="str">
        <f t="shared" ref="BH5:BH28" si="35">BB5</f>
        <v>GUEST CLOSET</v>
      </c>
      <c r="BI5" t="str">
        <f>BI4</f>
        <v xml:space="preserve">  ...  DAY2    MC READINGS ..</v>
      </c>
      <c r="BJ5" s="643" t="str">
        <f>$T$5</f>
        <v>…..........</v>
      </c>
      <c r="BK5" s="244">
        <f t="shared" si="20"/>
        <v>6302.3</v>
      </c>
      <c r="BL5" s="200" t="s">
        <v>569</v>
      </c>
      <c r="BM5" s="533" t="str">
        <f t="shared" ref="BM5:BM28" si="36">BH5</f>
        <v>GUEST CLOSET</v>
      </c>
      <c r="BN5" t="str">
        <f>BN4</f>
        <v xml:space="preserve">  ...  DAY3    MC READINGS ..</v>
      </c>
      <c r="BO5" s="643" t="str">
        <f>$T$5</f>
        <v>…..........</v>
      </c>
      <c r="BP5" s="244">
        <f>K5</f>
        <v>6402.4</v>
      </c>
      <c r="BQ5" s="200" t="s">
        <v>569</v>
      </c>
      <c r="BR5" s="533" t="str">
        <f t="shared" ref="BR5:BR28" si="37">BM5</f>
        <v>GUEST CLOSET</v>
      </c>
      <c r="BS5" t="str">
        <f>BS4</f>
        <v xml:space="preserve">  ...  DAY4    MC READINGS </v>
      </c>
      <c r="BT5" s="643" t="str">
        <f>$T$5</f>
        <v>…..........</v>
      </c>
      <c r="BU5" s="613">
        <v>7100</v>
      </c>
      <c r="BV5" s="614" t="s">
        <v>584</v>
      </c>
      <c r="BW5" s="782" t="str">
        <f>BU2</f>
        <v xml:space="preserve">….. DAY 1 ….. </v>
      </c>
      <c r="BX5" s="614"/>
      <c r="CB5" s="677">
        <v>2.0000000000000001E-4</v>
      </c>
      <c r="CC5" s="200" t="s">
        <v>569</v>
      </c>
      <c r="CD5" t="s">
        <v>585</v>
      </c>
      <c r="CF5" t="s">
        <v>563</v>
      </c>
      <c r="CG5" s="138" t="s">
        <v>565</v>
      </c>
      <c r="CH5" s="597">
        <f>CH4+1</f>
        <v>70102</v>
      </c>
      <c r="CI5" s="200" t="s">
        <v>569</v>
      </c>
      <c r="CJ5" s="703" t="str">
        <f>R5</f>
        <v>GUEST CLOSET</v>
      </c>
      <c r="CK5" s="709" t="s">
        <v>563</v>
      </c>
      <c r="CL5" s="138" t="s">
        <v>586</v>
      </c>
      <c r="CM5" s="709" t="s">
        <v>563</v>
      </c>
      <c r="CN5" s="689" t="str">
        <f t="shared" ref="CN5:CN28" si="38">CN4</f>
        <v>… DAY # 0  … MC READINGS STABILIZATION</v>
      </c>
      <c r="CO5" s="614"/>
      <c r="CP5" t="str">
        <f>R6</f>
        <v>Dining Room</v>
      </c>
      <c r="CQ5" t="str">
        <f>T6</f>
        <v>….........</v>
      </c>
      <c r="CZ5" s="572"/>
    </row>
    <row r="6" spans="1:104" ht="26.65" customHeight="1" thickTop="1" thickBot="1">
      <c r="A6" t="str">
        <f t="shared" si="21"/>
        <v>Dining Room</v>
      </c>
      <c r="B6" s="485">
        <f t="shared" si="5"/>
        <v>103</v>
      </c>
      <c r="C6" s="782">
        <f t="shared" si="22"/>
        <v>203</v>
      </c>
      <c r="D6" s="782">
        <f t="shared" si="23"/>
        <v>303</v>
      </c>
      <c r="E6" s="782">
        <f t="shared" si="24"/>
        <v>403</v>
      </c>
      <c r="F6" s="782">
        <f t="shared" si="24"/>
        <v>503</v>
      </c>
      <c r="G6" s="782">
        <v>803</v>
      </c>
      <c r="H6" s="782">
        <f t="shared" si="25"/>
        <v>6103.1</v>
      </c>
      <c r="I6" s="782">
        <f t="shared" si="26"/>
        <v>6203.2</v>
      </c>
      <c r="J6" s="782">
        <f t="shared" si="27"/>
        <v>6303.3</v>
      </c>
      <c r="K6" s="782">
        <f t="shared" si="28"/>
        <v>6403.4</v>
      </c>
      <c r="L6" s="578">
        <f>L8-0.1</f>
        <v>7100</v>
      </c>
      <c r="M6" s="578">
        <f>M8-0.1</f>
        <v>7200.0999999999995</v>
      </c>
      <c r="P6" s="485">
        <v>103</v>
      </c>
      <c r="Q6" s="200" t="s">
        <v>561</v>
      </c>
      <c r="R6" s="138" t="s">
        <v>295</v>
      </c>
      <c r="S6" s="707" t="s">
        <v>563</v>
      </c>
      <c r="T6" s="676" t="s">
        <v>580</v>
      </c>
      <c r="U6" s="485">
        <f t="shared" si="6"/>
        <v>103</v>
      </c>
      <c r="V6" s="200" t="str">
        <f t="shared" si="7"/>
        <v>….</v>
      </c>
      <c r="W6" s="533" t="str">
        <f t="shared" si="8"/>
        <v>Dining Room</v>
      </c>
      <c r="X6" s="533" t="str">
        <f t="shared" si="9"/>
        <v xml:space="preserve"> = … JOB/ROOMS OVERVIEW PICS ..</v>
      </c>
      <c r="Y6" s="643" t="str">
        <f>$T$6</f>
        <v>….........</v>
      </c>
      <c r="Z6" s="581">
        <f t="shared" si="1"/>
        <v>203</v>
      </c>
      <c r="AA6" s="200" t="str">
        <f t="shared" si="10"/>
        <v>….</v>
      </c>
      <c r="AB6" s="533" t="str">
        <f t="shared" si="11"/>
        <v>Dining Room</v>
      </c>
      <c r="AC6" s="533" t="str">
        <f t="shared" si="12"/>
        <v>….. SOURCE of  LOSS PICS …..</v>
      </c>
      <c r="AD6" s="643" t="str">
        <f>$T$6</f>
        <v>….........</v>
      </c>
      <c r="AE6" s="533">
        <f t="shared" si="2"/>
        <v>303</v>
      </c>
      <c r="AF6" s="200" t="str">
        <f t="shared" si="13"/>
        <v>….</v>
      </c>
      <c r="AG6" s="533" t="str">
        <f t="shared" si="29"/>
        <v>Dining Room</v>
      </c>
      <c r="AH6" s="533" t="str">
        <f t="shared" si="14"/>
        <v>…..  C.P.S.  …...</v>
      </c>
      <c r="AI6" s="643" t="str">
        <f>$T$6</f>
        <v>….........</v>
      </c>
      <c r="AJ6" s="432"/>
      <c r="AK6" s="533">
        <f t="shared" si="3"/>
        <v>403</v>
      </c>
      <c r="AL6" s="200" t="str">
        <f t="shared" si="15"/>
        <v>….</v>
      </c>
      <c r="AM6" s="533" t="str">
        <f t="shared" ref="AM6:AM28" si="39">AG6</f>
        <v>Dining Room</v>
      </c>
      <c r="AN6" s="533" t="str">
        <f t="shared" si="16"/>
        <v>NON SALVAGEABLE ITEMS</v>
      </c>
      <c r="AO6" s="643" t="str">
        <f>$T$6</f>
        <v>….........</v>
      </c>
      <c r="AP6" s="432">
        <f t="shared" si="30"/>
        <v>503</v>
      </c>
      <c r="AQ6" s="200" t="s">
        <v>561</v>
      </c>
      <c r="AR6" s="533" t="str">
        <f t="shared" si="17"/>
        <v>Dining Room</v>
      </c>
      <c r="AS6" s="643" t="str">
        <f t="shared" ref="AS6:AS28" si="40">AS5</f>
        <v>,,,,,, DMO = DEMOLITION …....</v>
      </c>
      <c r="AT6" s="643" t="str">
        <f t="shared" si="31"/>
        <v>….........</v>
      </c>
      <c r="AU6" s="533">
        <f t="shared" si="4"/>
        <v>803</v>
      </c>
      <c r="AV6" s="200" t="s">
        <v>569</v>
      </c>
      <c r="AW6" s="533" t="str">
        <f t="shared" si="32"/>
        <v>Dining Room</v>
      </c>
      <c r="AX6" s="581" t="str">
        <f t="shared" si="33"/>
        <v>… MITIGATION  EQUIPMENT &amp; W.I.P . ...</v>
      </c>
      <c r="AY6" s="643" t="str">
        <f>$T$6</f>
        <v>….........</v>
      </c>
      <c r="AZ6" s="244">
        <f t="shared" si="18"/>
        <v>6103.1</v>
      </c>
      <c r="BA6" s="200" t="s">
        <v>569</v>
      </c>
      <c r="BB6" s="533" t="str">
        <f t="shared" si="34"/>
        <v>Dining Room</v>
      </c>
      <c r="BC6" s="533" t="str">
        <f t="shared" ref="BC6:BC28" si="41">BC5</f>
        <v xml:space="preserve">  ...  DAY1    MC READINGS ..</v>
      </c>
      <c r="BE6" s="643" t="str">
        <f>$T$6</f>
        <v>….........</v>
      </c>
      <c r="BF6" s="244">
        <f t="shared" si="19"/>
        <v>6203.2</v>
      </c>
      <c r="BG6" s="200" t="s">
        <v>569</v>
      </c>
      <c r="BH6" s="533" t="str">
        <f t="shared" si="35"/>
        <v>Dining Room</v>
      </c>
      <c r="BI6" t="str">
        <f t="shared" ref="BI6:BI24" si="42">BI5</f>
        <v xml:space="preserve">  ...  DAY2    MC READINGS ..</v>
      </c>
      <c r="BJ6" s="643" t="str">
        <f>$T$6</f>
        <v>….........</v>
      </c>
      <c r="BK6" s="244">
        <f t="shared" si="20"/>
        <v>6303.3</v>
      </c>
      <c r="BL6" s="200" t="s">
        <v>569</v>
      </c>
      <c r="BM6" s="533" t="str">
        <f t="shared" si="36"/>
        <v>Dining Room</v>
      </c>
      <c r="BN6" t="str">
        <f t="shared" ref="BN6:BN28" si="43">BN5</f>
        <v xml:space="preserve">  ...  DAY3    MC READINGS ..</v>
      </c>
      <c r="BO6" s="643" t="str">
        <f>$T$6</f>
        <v>….........</v>
      </c>
      <c r="BP6" s="244">
        <f>K6</f>
        <v>6403.4</v>
      </c>
      <c r="BQ6" s="200" t="s">
        <v>569</v>
      </c>
      <c r="BR6" s="533" t="str">
        <f t="shared" si="37"/>
        <v>Dining Room</v>
      </c>
      <c r="BS6" t="str">
        <f t="shared" ref="BS6:BS28" si="44">BS5</f>
        <v xml:space="preserve">  ...  DAY4    MC READINGS </v>
      </c>
      <c r="BT6" s="643" t="str">
        <f>$T$6</f>
        <v>….........</v>
      </c>
      <c r="BU6" s="648">
        <f>BU5+1</f>
        <v>7101</v>
      </c>
      <c r="BV6" s="615" t="s">
        <v>587</v>
      </c>
      <c r="BW6" s="8" t="str">
        <f>BW5</f>
        <v xml:space="preserve">….. DAY 1 ….. </v>
      </c>
      <c r="BX6" s="610" t="s">
        <v>588</v>
      </c>
      <c r="CB6" s="677">
        <v>2.9999999999999997E-4</v>
      </c>
      <c r="CC6" s="200" t="s">
        <v>569</v>
      </c>
      <c r="CD6" t="s">
        <v>589</v>
      </c>
      <c r="CE6" s="138"/>
      <c r="CF6" t="s">
        <v>563</v>
      </c>
      <c r="CG6" s="138" t="s">
        <v>565</v>
      </c>
      <c r="CH6" s="597">
        <f>CH5+1</f>
        <v>70103</v>
      </c>
      <c r="CI6" s="200" t="s">
        <v>569</v>
      </c>
      <c r="CJ6" s="703" t="str">
        <f>R6</f>
        <v>Dining Room</v>
      </c>
      <c r="CK6" s="709" t="s">
        <v>563</v>
      </c>
      <c r="CL6" s="138" t="str">
        <f>T6</f>
        <v>….........</v>
      </c>
      <c r="CM6" s="709" t="s">
        <v>563</v>
      </c>
      <c r="CN6" s="689" t="str">
        <f t="shared" si="38"/>
        <v>… DAY # 0  … MC READINGS STABILIZATION</v>
      </c>
      <c r="CO6" s="614"/>
      <c r="CP6" t="str">
        <f>R7</f>
        <v>DEN</v>
      </c>
      <c r="CQ6" t="str">
        <f>T7</f>
        <v>….........</v>
      </c>
      <c r="CZ6" s="570"/>
    </row>
    <row r="7" spans="1:104" ht="26.65" customHeight="1" thickTop="1" thickBot="1">
      <c r="A7" s="432" t="str">
        <f t="shared" si="21"/>
        <v>DEN</v>
      </c>
      <c r="B7" s="485">
        <f t="shared" si="5"/>
        <v>104</v>
      </c>
      <c r="C7" s="573">
        <f t="shared" si="22"/>
        <v>204</v>
      </c>
      <c r="D7" s="573">
        <f t="shared" si="23"/>
        <v>304</v>
      </c>
      <c r="E7" s="573">
        <f t="shared" si="24"/>
        <v>404</v>
      </c>
      <c r="F7" s="573">
        <f t="shared" si="24"/>
        <v>504</v>
      </c>
      <c r="G7" s="573">
        <v>804</v>
      </c>
      <c r="H7" s="573">
        <f t="shared" si="25"/>
        <v>6104.1</v>
      </c>
      <c r="I7" s="573">
        <f t="shared" si="26"/>
        <v>6204.2</v>
      </c>
      <c r="J7" s="573">
        <f t="shared" si="27"/>
        <v>6304.3</v>
      </c>
      <c r="K7" s="573">
        <f t="shared" si="28"/>
        <v>6404.4</v>
      </c>
      <c r="L7" s="853" t="s">
        <v>584</v>
      </c>
      <c r="M7" s="853"/>
      <c r="N7" s="853"/>
      <c r="O7" s="853"/>
      <c r="P7" s="485">
        <v>104</v>
      </c>
      <c r="Q7" s="200" t="s">
        <v>561</v>
      </c>
      <c r="R7" s="43" t="s">
        <v>286</v>
      </c>
      <c r="S7" s="707" t="s">
        <v>563</v>
      </c>
      <c r="T7" s="676" t="s">
        <v>580</v>
      </c>
      <c r="U7" s="485">
        <f t="shared" si="6"/>
        <v>104</v>
      </c>
      <c r="V7" s="200" t="str">
        <f t="shared" si="7"/>
        <v>….</v>
      </c>
      <c r="W7" s="533" t="str">
        <f t="shared" si="8"/>
        <v>DEN</v>
      </c>
      <c r="X7" s="533" t="str">
        <f t="shared" si="9"/>
        <v xml:space="preserve"> = … JOB/ROOMS OVERVIEW PICS ..</v>
      </c>
      <c r="Y7" s="643" t="str">
        <f>$T$7</f>
        <v>….........</v>
      </c>
      <c r="Z7" s="581">
        <f t="shared" si="1"/>
        <v>204</v>
      </c>
      <c r="AA7" s="200" t="str">
        <f t="shared" si="10"/>
        <v>….</v>
      </c>
      <c r="AB7" s="533" t="str">
        <f t="shared" si="11"/>
        <v>DEN</v>
      </c>
      <c r="AC7" s="533" t="str">
        <f t="shared" si="12"/>
        <v>….. SOURCE of  LOSS PICS …..</v>
      </c>
      <c r="AD7" s="643" t="str">
        <f>$T$7</f>
        <v>….........</v>
      </c>
      <c r="AE7" s="533">
        <f t="shared" si="2"/>
        <v>304</v>
      </c>
      <c r="AF7" s="200" t="str">
        <f t="shared" si="13"/>
        <v>….</v>
      </c>
      <c r="AG7" s="533" t="str">
        <f t="shared" si="29"/>
        <v>DEN</v>
      </c>
      <c r="AH7" s="533" t="str">
        <f t="shared" si="14"/>
        <v>…..  C.P.S.  …...</v>
      </c>
      <c r="AI7" s="643" t="str">
        <f>$T$7</f>
        <v>….........</v>
      </c>
      <c r="AJ7" s="432"/>
      <c r="AK7" s="533">
        <f t="shared" si="3"/>
        <v>404</v>
      </c>
      <c r="AL7" s="200" t="str">
        <f t="shared" si="15"/>
        <v>….</v>
      </c>
      <c r="AM7" s="533" t="str">
        <f t="shared" si="39"/>
        <v>DEN</v>
      </c>
      <c r="AN7" s="533" t="str">
        <f t="shared" si="16"/>
        <v>NON SALVAGEABLE ITEMS</v>
      </c>
      <c r="AO7" s="643" t="str">
        <f>$T$7</f>
        <v>….........</v>
      </c>
      <c r="AP7" s="432">
        <f t="shared" si="30"/>
        <v>504</v>
      </c>
      <c r="AQ7" s="200" t="s">
        <v>561</v>
      </c>
      <c r="AR7" s="533" t="str">
        <f t="shared" si="17"/>
        <v>DEN</v>
      </c>
      <c r="AS7" s="643" t="str">
        <f t="shared" si="40"/>
        <v>,,,,,, DMO = DEMOLITION …....</v>
      </c>
      <c r="AT7" s="643" t="str">
        <f t="shared" si="31"/>
        <v>….........</v>
      </c>
      <c r="AU7" s="533">
        <f t="shared" si="4"/>
        <v>804</v>
      </c>
      <c r="AV7" s="200" t="s">
        <v>569</v>
      </c>
      <c r="AW7" s="533" t="str">
        <f t="shared" si="32"/>
        <v>DEN</v>
      </c>
      <c r="AX7" s="581" t="str">
        <f t="shared" si="33"/>
        <v>… MITIGATION  EQUIPMENT &amp; W.I.P . ...</v>
      </c>
      <c r="AY7" s="643" t="str">
        <f>$T$7</f>
        <v>….........</v>
      </c>
      <c r="AZ7" s="244">
        <f t="shared" si="18"/>
        <v>6104.1</v>
      </c>
      <c r="BA7" s="200" t="s">
        <v>569</v>
      </c>
      <c r="BB7" s="533" t="str">
        <f t="shared" si="34"/>
        <v>DEN</v>
      </c>
      <c r="BC7" s="533" t="str">
        <f t="shared" si="41"/>
        <v xml:space="preserve">  ...  DAY1    MC READINGS ..</v>
      </c>
      <c r="BE7" s="643" t="str">
        <f>$T$7</f>
        <v>….........</v>
      </c>
      <c r="BF7" s="244">
        <f t="shared" si="19"/>
        <v>6204.2</v>
      </c>
      <c r="BG7" s="200" t="s">
        <v>569</v>
      </c>
      <c r="BH7" s="533" t="str">
        <f t="shared" si="35"/>
        <v>DEN</v>
      </c>
      <c r="BI7" t="str">
        <f t="shared" si="42"/>
        <v xml:space="preserve">  ...  DAY2    MC READINGS ..</v>
      </c>
      <c r="BJ7" s="643" t="str">
        <f>$T$7</f>
        <v>….........</v>
      </c>
      <c r="BK7" s="244">
        <f t="shared" si="20"/>
        <v>6304.3</v>
      </c>
      <c r="BL7" s="200" t="s">
        <v>569</v>
      </c>
      <c r="BM7" s="533" t="str">
        <f t="shared" si="36"/>
        <v>DEN</v>
      </c>
      <c r="BN7" t="str">
        <f t="shared" si="43"/>
        <v xml:space="preserve">  ...  DAY3    MC READINGS ..</v>
      </c>
      <c r="BO7" s="643" t="str">
        <f>$T$7</f>
        <v>….........</v>
      </c>
      <c r="BP7" s="244">
        <f>K7</f>
        <v>6404.4</v>
      </c>
      <c r="BQ7" s="200" t="s">
        <v>569</v>
      </c>
      <c r="BR7" s="533" t="str">
        <f t="shared" si="37"/>
        <v>DEN</v>
      </c>
      <c r="BS7" t="str">
        <f t="shared" si="44"/>
        <v xml:space="preserve">  ...  DAY4    MC READINGS </v>
      </c>
      <c r="BT7" s="643" t="str">
        <f>$T$7</f>
        <v>….........</v>
      </c>
      <c r="BU7" s="649">
        <f>BU6+1</f>
        <v>7102</v>
      </c>
      <c r="BV7" s="615" t="s">
        <v>590</v>
      </c>
      <c r="BW7" s="32" t="str">
        <f>BW6</f>
        <v xml:space="preserve">….. DAY 1 ….. </v>
      </c>
      <c r="BX7" s="610" t="s">
        <v>588</v>
      </c>
      <c r="CB7" s="678">
        <v>4.0000000000000002E-4</v>
      </c>
      <c r="CC7" s="200" t="s">
        <v>569</v>
      </c>
      <c r="CD7" s="138" t="s">
        <v>591</v>
      </c>
      <c r="CE7" s="138" t="s">
        <v>592</v>
      </c>
      <c r="CF7" t="s">
        <v>563</v>
      </c>
      <c r="CG7" s="138" t="s">
        <v>565</v>
      </c>
      <c r="CH7" s="597">
        <f t="shared" ref="CH7:CH15" si="45">CH6+1</f>
        <v>70104</v>
      </c>
      <c r="CI7" s="200" t="s">
        <v>569</v>
      </c>
      <c r="CJ7" s="703" t="str">
        <f>R7</f>
        <v>DEN</v>
      </c>
      <c r="CK7" s="709" t="s">
        <v>563</v>
      </c>
      <c r="CL7" s="138" t="str">
        <f>T7</f>
        <v>….........</v>
      </c>
      <c r="CM7" s="709" t="s">
        <v>563</v>
      </c>
      <c r="CN7" s="689" t="str">
        <f t="shared" si="38"/>
        <v>… DAY # 0  … MC READINGS STABILIZATION</v>
      </c>
      <c r="CO7" s="614"/>
      <c r="CP7" t="str">
        <f>R8</f>
        <v>Kitchen</v>
      </c>
      <c r="CQ7" t="str">
        <f>T8</f>
        <v>….........</v>
      </c>
      <c r="CZ7" s="572"/>
    </row>
    <row r="8" spans="1:104" ht="26.65" customHeight="1" thickTop="1" thickBot="1">
      <c r="A8" t="str">
        <f t="shared" si="21"/>
        <v>Kitchen</v>
      </c>
      <c r="B8" s="485">
        <f t="shared" si="5"/>
        <v>105</v>
      </c>
      <c r="C8" s="782">
        <f t="shared" si="22"/>
        <v>205</v>
      </c>
      <c r="D8" s="782">
        <f t="shared" si="23"/>
        <v>305</v>
      </c>
      <c r="E8" s="782">
        <f t="shared" si="24"/>
        <v>405</v>
      </c>
      <c r="F8" s="782">
        <f t="shared" si="24"/>
        <v>505</v>
      </c>
      <c r="G8" s="782">
        <v>805</v>
      </c>
      <c r="H8" s="782">
        <f t="shared" si="25"/>
        <v>6105.1</v>
      </c>
      <c r="I8" s="782">
        <f t="shared" si="26"/>
        <v>6205.2</v>
      </c>
      <c r="J8" s="782">
        <f t="shared" si="27"/>
        <v>6305.3</v>
      </c>
      <c r="K8" s="782">
        <f t="shared" si="28"/>
        <v>6405.4</v>
      </c>
      <c r="L8" s="782">
        <v>7100.1</v>
      </c>
      <c r="M8" s="782">
        <v>7200.2</v>
      </c>
      <c r="N8" s="782">
        <v>7300.3</v>
      </c>
      <c r="O8" s="782">
        <v>7400.4</v>
      </c>
      <c r="P8" s="485">
        <v>105</v>
      </c>
      <c r="Q8" s="200" t="s">
        <v>561</v>
      </c>
      <c r="R8" s="138" t="s">
        <v>315</v>
      </c>
      <c r="S8" s="707" t="s">
        <v>563</v>
      </c>
      <c r="T8" s="676" t="s">
        <v>580</v>
      </c>
      <c r="U8" s="485">
        <f t="shared" si="6"/>
        <v>105</v>
      </c>
      <c r="V8" s="200" t="str">
        <f t="shared" si="7"/>
        <v>….</v>
      </c>
      <c r="W8" s="533" t="str">
        <f t="shared" si="8"/>
        <v>Kitchen</v>
      </c>
      <c r="X8" s="533" t="str">
        <f t="shared" si="9"/>
        <v xml:space="preserve"> = … JOB/ROOMS OVERVIEW PICS ..</v>
      </c>
      <c r="Y8" s="643" t="str">
        <f>$T$8</f>
        <v>….........</v>
      </c>
      <c r="Z8" s="581">
        <f t="shared" si="1"/>
        <v>205</v>
      </c>
      <c r="AA8" s="200" t="str">
        <f t="shared" si="10"/>
        <v>….</v>
      </c>
      <c r="AB8" s="533" t="str">
        <f t="shared" si="11"/>
        <v>Kitchen</v>
      </c>
      <c r="AC8" s="533" t="str">
        <f t="shared" si="12"/>
        <v>….. SOURCE of  LOSS PICS …..</v>
      </c>
      <c r="AD8" s="643" t="str">
        <f>$T$8</f>
        <v>….........</v>
      </c>
      <c r="AE8" s="533">
        <f t="shared" si="2"/>
        <v>305</v>
      </c>
      <c r="AF8" s="200" t="str">
        <f t="shared" si="13"/>
        <v>….</v>
      </c>
      <c r="AG8" s="533" t="str">
        <f t="shared" si="29"/>
        <v>Kitchen</v>
      </c>
      <c r="AH8" s="533" t="str">
        <f t="shared" si="14"/>
        <v>…..  C.P.S.  …...</v>
      </c>
      <c r="AI8" s="643" t="str">
        <f>$T$8</f>
        <v>….........</v>
      </c>
      <c r="AJ8" s="432"/>
      <c r="AK8" s="533">
        <f t="shared" si="3"/>
        <v>405</v>
      </c>
      <c r="AL8" s="200" t="str">
        <f t="shared" si="15"/>
        <v>….</v>
      </c>
      <c r="AM8" s="533" t="str">
        <f t="shared" si="39"/>
        <v>Kitchen</v>
      </c>
      <c r="AN8" s="533" t="str">
        <f t="shared" si="16"/>
        <v>NON SALVAGEABLE ITEMS</v>
      </c>
      <c r="AO8" s="643" t="str">
        <f>$T$8</f>
        <v>….........</v>
      </c>
      <c r="AP8" s="432">
        <f t="shared" si="30"/>
        <v>505</v>
      </c>
      <c r="AQ8" s="200" t="s">
        <v>561</v>
      </c>
      <c r="AR8" s="533" t="str">
        <f t="shared" si="17"/>
        <v>Kitchen</v>
      </c>
      <c r="AS8" s="643" t="str">
        <f t="shared" si="40"/>
        <v>,,,,,, DMO = DEMOLITION …....</v>
      </c>
      <c r="AT8" s="643" t="str">
        <f t="shared" si="31"/>
        <v>….........</v>
      </c>
      <c r="AU8" s="533">
        <f t="shared" si="4"/>
        <v>805</v>
      </c>
      <c r="AV8" s="200" t="s">
        <v>569</v>
      </c>
      <c r="AW8" s="533" t="str">
        <f t="shared" si="32"/>
        <v>Kitchen</v>
      </c>
      <c r="AX8" s="581" t="str">
        <f t="shared" si="33"/>
        <v>… MITIGATION  EQUIPMENT &amp; W.I.P . ...</v>
      </c>
      <c r="AY8" s="643" t="str">
        <f>$T$8</f>
        <v>….........</v>
      </c>
      <c r="AZ8" s="244">
        <f t="shared" si="18"/>
        <v>6105.1</v>
      </c>
      <c r="BA8" s="200" t="s">
        <v>569</v>
      </c>
      <c r="BB8" s="533" t="str">
        <f t="shared" si="34"/>
        <v>Kitchen</v>
      </c>
      <c r="BC8" s="533" t="str">
        <f t="shared" si="41"/>
        <v xml:space="preserve">  ...  DAY1    MC READINGS ..</v>
      </c>
      <c r="BE8" s="643" t="str">
        <f>$T$8</f>
        <v>….........</v>
      </c>
      <c r="BF8" s="244">
        <f t="shared" si="19"/>
        <v>6205.2</v>
      </c>
      <c r="BG8" s="200" t="s">
        <v>569</v>
      </c>
      <c r="BH8" s="533" t="str">
        <f t="shared" si="35"/>
        <v>Kitchen</v>
      </c>
      <c r="BI8" t="str">
        <f t="shared" si="42"/>
        <v xml:space="preserve">  ...  DAY2    MC READINGS ..</v>
      </c>
      <c r="BJ8" s="643" t="str">
        <f>$T$8</f>
        <v>….........</v>
      </c>
      <c r="BK8" s="244">
        <f t="shared" si="20"/>
        <v>6305.3</v>
      </c>
      <c r="BL8" s="200" t="s">
        <v>569</v>
      </c>
      <c r="BM8" s="533" t="str">
        <f t="shared" si="36"/>
        <v>Kitchen</v>
      </c>
      <c r="BN8" t="str">
        <f t="shared" si="43"/>
        <v xml:space="preserve">  ...  DAY3    MC READINGS ..</v>
      </c>
      <c r="BO8" s="643" t="str">
        <f>$T$8</f>
        <v>….........</v>
      </c>
      <c r="BP8" s="244">
        <f>K8</f>
        <v>6405.4</v>
      </c>
      <c r="BQ8" s="200" t="s">
        <v>569</v>
      </c>
      <c r="BR8" s="533" t="str">
        <f t="shared" si="37"/>
        <v>Kitchen</v>
      </c>
      <c r="BS8" t="str">
        <f t="shared" si="44"/>
        <v xml:space="preserve">  ...  DAY4    MC READINGS </v>
      </c>
      <c r="BT8" s="643" t="str">
        <f>$T$8</f>
        <v>….........</v>
      </c>
      <c r="BU8" s="648">
        <f>BU7+1</f>
        <v>7103</v>
      </c>
      <c r="BV8" s="615" t="s">
        <v>593</v>
      </c>
      <c r="BW8" s="32" t="str">
        <f>BW7</f>
        <v xml:space="preserve">….. DAY 1 ….. </v>
      </c>
      <c r="BX8" s="610" t="s">
        <v>588</v>
      </c>
      <c r="CB8" s="177">
        <v>1997</v>
      </c>
      <c r="CC8" s="200" t="s">
        <v>569</v>
      </c>
      <c r="CD8" s="376" t="s">
        <v>594</v>
      </c>
      <c r="CE8" s="138" t="s">
        <v>595</v>
      </c>
      <c r="CF8" t="s">
        <v>563</v>
      </c>
      <c r="CG8" s="138" t="s">
        <v>565</v>
      </c>
      <c r="CH8" s="597">
        <f t="shared" si="45"/>
        <v>70105</v>
      </c>
      <c r="CI8" s="200" t="s">
        <v>569</v>
      </c>
      <c r="CJ8" s="703" t="str">
        <f>R8</f>
        <v>Kitchen</v>
      </c>
      <c r="CK8" s="709" t="s">
        <v>563</v>
      </c>
      <c r="CL8" s="138" t="str">
        <f>T8</f>
        <v>….........</v>
      </c>
      <c r="CM8" s="709" t="s">
        <v>563</v>
      </c>
      <c r="CN8" s="689" t="str">
        <f t="shared" si="38"/>
        <v>… DAY # 0  … MC READINGS STABILIZATION</v>
      </c>
      <c r="CO8" s="614"/>
      <c r="CP8" t="str">
        <f>R9</f>
        <v>STAIRS UP</v>
      </c>
      <c r="CQ8" t="str">
        <f>T9</f>
        <v>LOS / TRAVEL</v>
      </c>
      <c r="CZ8" s="570"/>
    </row>
    <row r="9" spans="1:104" ht="26.65" customHeight="1" thickTop="1" thickBot="1">
      <c r="A9" s="432" t="str">
        <f t="shared" si="21"/>
        <v>STAIRS UP</v>
      </c>
      <c r="B9" s="485">
        <f t="shared" si="5"/>
        <v>106</v>
      </c>
      <c r="C9" s="573">
        <f t="shared" si="22"/>
        <v>206</v>
      </c>
      <c r="D9" s="573">
        <f t="shared" si="23"/>
        <v>306</v>
      </c>
      <c r="E9" s="573">
        <f t="shared" si="24"/>
        <v>406</v>
      </c>
      <c r="F9" s="573">
        <f t="shared" si="24"/>
        <v>506</v>
      </c>
      <c r="G9" s="573">
        <v>806</v>
      </c>
      <c r="H9" s="573">
        <f t="shared" si="25"/>
        <v>6106.1</v>
      </c>
      <c r="I9" s="573">
        <f t="shared" si="26"/>
        <v>6206.2</v>
      </c>
      <c r="J9" s="573">
        <f t="shared" si="27"/>
        <v>6306.3</v>
      </c>
      <c r="K9" s="573">
        <f t="shared" si="28"/>
        <v>6406.4</v>
      </c>
      <c r="L9" s="854" t="s">
        <v>596</v>
      </c>
      <c r="M9" s="854"/>
      <c r="N9" s="854"/>
      <c r="O9" s="854"/>
      <c r="P9" s="485">
        <v>106</v>
      </c>
      <c r="Q9" s="200" t="s">
        <v>561</v>
      </c>
      <c r="R9" s="231" t="s">
        <v>300</v>
      </c>
      <c r="S9" s="707" t="s">
        <v>563</v>
      </c>
      <c r="T9" s="700" t="s">
        <v>530</v>
      </c>
      <c r="U9" s="485">
        <f t="shared" si="6"/>
        <v>106</v>
      </c>
      <c r="V9" s="200" t="str">
        <f t="shared" si="7"/>
        <v>….</v>
      </c>
      <c r="W9" s="533" t="str">
        <f t="shared" si="8"/>
        <v>STAIRS UP</v>
      </c>
      <c r="X9" s="533" t="str">
        <f t="shared" si="9"/>
        <v xml:space="preserve"> = … JOB/ROOMS OVERVIEW PICS ..</v>
      </c>
      <c r="Y9" s="643" t="str">
        <f>$T$9</f>
        <v>LOS / TRAVEL</v>
      </c>
      <c r="Z9" s="581">
        <f t="shared" si="1"/>
        <v>206</v>
      </c>
      <c r="AA9" s="200" t="str">
        <f t="shared" si="10"/>
        <v>….</v>
      </c>
      <c r="AB9" s="533" t="str">
        <f t="shared" si="11"/>
        <v>STAIRS UP</v>
      </c>
      <c r="AC9" s="533" t="str">
        <f t="shared" si="12"/>
        <v>….. SOURCE of  LOSS PICS …..</v>
      </c>
      <c r="AD9" s="643" t="str">
        <f>$T$9</f>
        <v>LOS / TRAVEL</v>
      </c>
      <c r="AE9" s="533">
        <f t="shared" si="2"/>
        <v>306</v>
      </c>
      <c r="AF9" s="200" t="str">
        <f t="shared" si="13"/>
        <v>….</v>
      </c>
      <c r="AG9" s="533" t="str">
        <f t="shared" si="29"/>
        <v>STAIRS UP</v>
      </c>
      <c r="AH9" s="533" t="str">
        <f t="shared" si="14"/>
        <v>…..  C.P.S.  …...</v>
      </c>
      <c r="AI9" s="643" t="str">
        <f>$T$9</f>
        <v>LOS / TRAVEL</v>
      </c>
      <c r="AJ9" s="432"/>
      <c r="AK9" s="533">
        <f t="shared" si="3"/>
        <v>406</v>
      </c>
      <c r="AL9" s="200" t="str">
        <f t="shared" si="15"/>
        <v>….</v>
      </c>
      <c r="AM9" s="533" t="str">
        <f t="shared" si="39"/>
        <v>STAIRS UP</v>
      </c>
      <c r="AN9" s="533" t="str">
        <f t="shared" si="16"/>
        <v>NON SALVAGEABLE ITEMS</v>
      </c>
      <c r="AO9" s="643" t="str">
        <f>$T$9</f>
        <v>LOS / TRAVEL</v>
      </c>
      <c r="AP9" s="432">
        <f t="shared" si="30"/>
        <v>506</v>
      </c>
      <c r="AQ9" s="200" t="s">
        <v>561</v>
      </c>
      <c r="AR9" s="533" t="str">
        <f t="shared" si="17"/>
        <v>STAIRS UP</v>
      </c>
      <c r="AS9" s="643" t="str">
        <f t="shared" si="40"/>
        <v>,,,,,, DMO = DEMOLITION …....</v>
      </c>
      <c r="AT9" s="643" t="str">
        <f t="shared" si="31"/>
        <v>LOS / TRAVEL</v>
      </c>
      <c r="AU9" s="533">
        <f t="shared" si="4"/>
        <v>806</v>
      </c>
      <c r="AV9" s="200" t="s">
        <v>569</v>
      </c>
      <c r="AW9" s="533" t="str">
        <f t="shared" si="32"/>
        <v>STAIRS UP</v>
      </c>
      <c r="AX9" s="581" t="str">
        <f t="shared" si="33"/>
        <v>… MITIGATION  EQUIPMENT &amp; W.I.P . ...</v>
      </c>
      <c r="AY9" s="643" t="str">
        <f>$T$9</f>
        <v>LOS / TRAVEL</v>
      </c>
      <c r="AZ9" s="244">
        <f t="shared" si="18"/>
        <v>6106.1</v>
      </c>
      <c r="BA9" s="200" t="s">
        <v>569</v>
      </c>
      <c r="BB9" s="533" t="str">
        <f t="shared" si="34"/>
        <v>STAIRS UP</v>
      </c>
      <c r="BC9" s="533" t="str">
        <f t="shared" si="41"/>
        <v xml:space="preserve">  ...  DAY1    MC READINGS ..</v>
      </c>
      <c r="BE9" s="643" t="str">
        <f>$T$9</f>
        <v>LOS / TRAVEL</v>
      </c>
      <c r="BF9" s="244">
        <f t="shared" si="19"/>
        <v>6206.2</v>
      </c>
      <c r="BG9" s="200" t="s">
        <v>569</v>
      </c>
      <c r="BH9" s="533" t="str">
        <f t="shared" si="35"/>
        <v>STAIRS UP</v>
      </c>
      <c r="BI9" t="str">
        <f t="shared" si="42"/>
        <v xml:space="preserve">  ...  DAY2    MC READINGS ..</v>
      </c>
      <c r="BJ9" s="643" t="str">
        <f>$T$9</f>
        <v>LOS / TRAVEL</v>
      </c>
      <c r="BK9" s="244">
        <f t="shared" si="20"/>
        <v>6306.3</v>
      </c>
      <c r="BL9" s="200" t="s">
        <v>569</v>
      </c>
      <c r="BM9" s="533" t="str">
        <f t="shared" si="36"/>
        <v>STAIRS UP</v>
      </c>
      <c r="BN9" t="str">
        <f t="shared" si="43"/>
        <v xml:space="preserve">  ...  DAY3    MC READINGS ..</v>
      </c>
      <c r="BO9" s="643" t="str">
        <f>$T$9</f>
        <v>LOS / TRAVEL</v>
      </c>
      <c r="BP9" s="244">
        <f>K9</f>
        <v>6406.4</v>
      </c>
      <c r="BQ9" s="200" t="s">
        <v>569</v>
      </c>
      <c r="BR9" s="533" t="str">
        <f t="shared" si="37"/>
        <v>STAIRS UP</v>
      </c>
      <c r="BS9" t="str">
        <f t="shared" si="44"/>
        <v xml:space="preserve">  ...  DAY4    MC READINGS </v>
      </c>
      <c r="BT9" s="643" t="str">
        <f>$T$9</f>
        <v>LOS / TRAVEL</v>
      </c>
      <c r="BU9" s="649">
        <f>BU8+1</f>
        <v>7104</v>
      </c>
      <c r="BV9" s="615" t="s">
        <v>597</v>
      </c>
      <c r="BW9" s="32" t="str">
        <f>BW8</f>
        <v xml:space="preserve">….. DAY 1 ….. </v>
      </c>
      <c r="BX9" s="610" t="s">
        <v>588</v>
      </c>
      <c r="CB9" s="177">
        <v>1998</v>
      </c>
      <c r="CC9" s="200" t="s">
        <v>569</v>
      </c>
      <c r="CD9" s="138" t="s">
        <v>559</v>
      </c>
      <c r="CE9" s="138" t="s">
        <v>598</v>
      </c>
      <c r="CF9" t="s">
        <v>563</v>
      </c>
      <c r="CG9" s="138" t="s">
        <v>565</v>
      </c>
      <c r="CH9" s="597">
        <f t="shared" si="45"/>
        <v>70106</v>
      </c>
      <c r="CI9" s="200" t="s">
        <v>569</v>
      </c>
      <c r="CJ9" s="703" t="str">
        <f>R9</f>
        <v>STAIRS UP</v>
      </c>
      <c r="CK9" s="709" t="s">
        <v>563</v>
      </c>
      <c r="CL9" s="138" t="str">
        <f>T9</f>
        <v>LOS / TRAVEL</v>
      </c>
      <c r="CM9" s="709" t="s">
        <v>563</v>
      </c>
      <c r="CN9" s="689" t="str">
        <f t="shared" si="38"/>
        <v>… DAY # 0  … MC READINGS STABILIZATION</v>
      </c>
      <c r="CO9" s="614"/>
      <c r="CP9" t="str">
        <f>R10</f>
        <v>HALL UP</v>
      </c>
      <c r="CQ9" t="str">
        <f>T10</f>
        <v>….........</v>
      </c>
      <c r="CZ9" s="572"/>
    </row>
    <row r="10" spans="1:104" ht="26.65" customHeight="1" thickTop="1" thickBot="1">
      <c r="A10" t="str">
        <f t="shared" si="21"/>
        <v>HALL UP</v>
      </c>
      <c r="B10" s="485">
        <f t="shared" si="5"/>
        <v>107</v>
      </c>
      <c r="C10" s="782">
        <f t="shared" si="22"/>
        <v>207</v>
      </c>
      <c r="D10" s="782">
        <f t="shared" si="23"/>
        <v>307</v>
      </c>
      <c r="E10" s="782">
        <f t="shared" si="24"/>
        <v>407</v>
      </c>
      <c r="F10" s="782">
        <f t="shared" si="24"/>
        <v>507</v>
      </c>
      <c r="G10" s="782">
        <v>807</v>
      </c>
      <c r="H10" s="782">
        <f t="shared" si="25"/>
        <v>6107.1</v>
      </c>
      <c r="I10" s="782">
        <f t="shared" si="26"/>
        <v>6207.2</v>
      </c>
      <c r="J10" s="782">
        <f t="shared" si="27"/>
        <v>6307.3</v>
      </c>
      <c r="K10" s="782">
        <f t="shared" si="28"/>
        <v>6407.4</v>
      </c>
      <c r="L10" s="573">
        <f>L8+1</f>
        <v>7101.1</v>
      </c>
      <c r="M10" s="573">
        <f>M8+1</f>
        <v>7201.2</v>
      </c>
      <c r="N10" s="573">
        <f>N8+1</f>
        <v>7301.3</v>
      </c>
      <c r="O10" s="573">
        <f>O8+1</f>
        <v>7401.4</v>
      </c>
      <c r="P10" s="485">
        <v>107</v>
      </c>
      <c r="Q10" s="200" t="s">
        <v>561</v>
      </c>
      <c r="R10" s="43" t="s">
        <v>305</v>
      </c>
      <c r="S10" s="707" t="s">
        <v>563</v>
      </c>
      <c r="T10" s="676" t="s">
        <v>580</v>
      </c>
      <c r="U10" s="485">
        <f t="shared" si="6"/>
        <v>107</v>
      </c>
      <c r="V10" s="200" t="str">
        <f t="shared" si="7"/>
        <v>….</v>
      </c>
      <c r="W10" s="581" t="str">
        <f t="shared" si="8"/>
        <v>HALL UP</v>
      </c>
      <c r="X10" s="533" t="str">
        <f t="shared" si="9"/>
        <v xml:space="preserve"> = … JOB/ROOMS OVERVIEW PICS ..</v>
      </c>
      <c r="Y10" s="643" t="str">
        <f>$T$10</f>
        <v>….........</v>
      </c>
      <c r="Z10" s="581">
        <f t="shared" si="1"/>
        <v>207</v>
      </c>
      <c r="AA10" s="200" t="str">
        <f t="shared" si="10"/>
        <v>….</v>
      </c>
      <c r="AB10" s="533" t="str">
        <f t="shared" si="11"/>
        <v>HALL UP</v>
      </c>
      <c r="AC10" s="533" t="str">
        <f t="shared" si="12"/>
        <v>….. SOURCE of  LOSS PICS …..</v>
      </c>
      <c r="AD10" s="643" t="str">
        <f>$T$10</f>
        <v>….........</v>
      </c>
      <c r="AE10" s="533">
        <f t="shared" si="2"/>
        <v>307</v>
      </c>
      <c r="AF10" s="200" t="str">
        <f t="shared" si="13"/>
        <v>….</v>
      </c>
      <c r="AG10" s="533" t="str">
        <f t="shared" si="29"/>
        <v>HALL UP</v>
      </c>
      <c r="AH10" s="533" t="str">
        <f t="shared" si="14"/>
        <v>…..  C.P.S.  …...</v>
      </c>
      <c r="AI10" s="643" t="str">
        <f>$T$10</f>
        <v>….........</v>
      </c>
      <c r="AJ10" s="432"/>
      <c r="AK10" s="533">
        <f t="shared" si="3"/>
        <v>407</v>
      </c>
      <c r="AL10" s="200" t="str">
        <f t="shared" si="15"/>
        <v>….</v>
      </c>
      <c r="AM10" s="533" t="str">
        <f t="shared" si="39"/>
        <v>HALL UP</v>
      </c>
      <c r="AN10" s="533" t="str">
        <f t="shared" si="16"/>
        <v>NON SALVAGEABLE ITEMS</v>
      </c>
      <c r="AO10" s="643" t="str">
        <f>$T$10</f>
        <v>….........</v>
      </c>
      <c r="AP10" s="432">
        <f t="shared" si="30"/>
        <v>507</v>
      </c>
      <c r="AQ10" s="200" t="s">
        <v>561</v>
      </c>
      <c r="AR10" s="533" t="str">
        <f t="shared" si="17"/>
        <v>HALL UP</v>
      </c>
      <c r="AS10" s="643" t="str">
        <f t="shared" si="40"/>
        <v>,,,,,, DMO = DEMOLITION …....</v>
      </c>
      <c r="AT10" s="643" t="str">
        <f t="shared" si="31"/>
        <v>….........</v>
      </c>
      <c r="AU10" s="533">
        <f t="shared" si="4"/>
        <v>807</v>
      </c>
      <c r="AV10" s="200" t="s">
        <v>569</v>
      </c>
      <c r="AW10" s="533" t="str">
        <f t="shared" si="32"/>
        <v>HALL UP</v>
      </c>
      <c r="AX10" s="581" t="str">
        <f t="shared" si="33"/>
        <v>… MITIGATION  EQUIPMENT &amp; W.I.P . ...</v>
      </c>
      <c r="AY10" s="643" t="str">
        <f>$T$10</f>
        <v>….........</v>
      </c>
      <c r="AZ10" s="244">
        <f t="shared" si="18"/>
        <v>6107.1</v>
      </c>
      <c r="BA10" s="200" t="s">
        <v>569</v>
      </c>
      <c r="BB10" s="533" t="str">
        <f t="shared" si="34"/>
        <v>HALL UP</v>
      </c>
      <c r="BC10" s="533" t="str">
        <f t="shared" si="41"/>
        <v xml:space="preserve">  ...  DAY1    MC READINGS ..</v>
      </c>
      <c r="BE10" s="643" t="str">
        <f>$T$10</f>
        <v>….........</v>
      </c>
      <c r="BF10" s="244">
        <f t="shared" si="19"/>
        <v>6207.2</v>
      </c>
      <c r="BG10" s="200" t="s">
        <v>569</v>
      </c>
      <c r="BH10" s="533" t="str">
        <f t="shared" si="35"/>
        <v>HALL UP</v>
      </c>
      <c r="BI10" t="str">
        <f t="shared" si="42"/>
        <v xml:space="preserve">  ...  DAY2    MC READINGS ..</v>
      </c>
      <c r="BJ10" s="643" t="str">
        <f>$T$10</f>
        <v>….........</v>
      </c>
      <c r="BK10" s="244">
        <f t="shared" si="20"/>
        <v>6307.3</v>
      </c>
      <c r="BL10" s="200" t="s">
        <v>569</v>
      </c>
      <c r="BM10" s="533" t="str">
        <f t="shared" si="36"/>
        <v>HALL UP</v>
      </c>
      <c r="BN10" t="str">
        <f t="shared" si="43"/>
        <v xml:space="preserve">  ...  DAY3    MC READINGS ..</v>
      </c>
      <c r="BO10" s="643" t="str">
        <f>$T$10</f>
        <v>….........</v>
      </c>
      <c r="BP10" s="244">
        <f>K10</f>
        <v>6407.4</v>
      </c>
      <c r="BQ10" s="200" t="s">
        <v>569</v>
      </c>
      <c r="BR10" s="533" t="str">
        <f t="shared" si="37"/>
        <v>HALL UP</v>
      </c>
      <c r="BS10" t="str">
        <f t="shared" si="44"/>
        <v xml:space="preserve">  ...  DAY4    MC READINGS </v>
      </c>
      <c r="BT10" s="643" t="str">
        <f>$T$10</f>
        <v>….........</v>
      </c>
      <c r="BU10" s="648">
        <f>BU11-0.2</f>
        <v>7200</v>
      </c>
      <c r="BV10" s="610" t="str">
        <f>BV4</f>
        <v>RH &amp;T &amp; GPP  DRY CHAMBERS [DC] .READ INGS  ===========</v>
      </c>
      <c r="BW10" s="647" t="s">
        <v>555</v>
      </c>
      <c r="BX10" s="614"/>
      <c r="CB10" s="177">
        <v>1999</v>
      </c>
      <c r="CC10" s="200" t="s">
        <v>569</v>
      </c>
      <c r="CD10" s="138" t="s">
        <v>599</v>
      </c>
      <c r="CE10" s="138" t="s">
        <v>600</v>
      </c>
      <c r="CF10" t="s">
        <v>563</v>
      </c>
      <c r="CG10" s="138" t="s">
        <v>565</v>
      </c>
      <c r="CH10" s="597">
        <f t="shared" si="45"/>
        <v>70107</v>
      </c>
      <c r="CI10" s="200" t="s">
        <v>569</v>
      </c>
      <c r="CJ10" s="703" t="str">
        <f>R10</f>
        <v>HALL UP</v>
      </c>
      <c r="CK10" s="709" t="s">
        <v>563</v>
      </c>
      <c r="CL10" s="138" t="str">
        <f>T10</f>
        <v>….........</v>
      </c>
      <c r="CM10" s="709" t="s">
        <v>563</v>
      </c>
      <c r="CN10" s="689" t="str">
        <f t="shared" si="38"/>
        <v>… DAY # 0  … MC READINGS STABILIZATION</v>
      </c>
      <c r="CO10" s="614"/>
      <c r="CP10" t="str">
        <f>R11</f>
        <v>LINEN CLOSET</v>
      </c>
      <c r="CQ10" t="str">
        <f>T11</f>
        <v>….........</v>
      </c>
      <c r="CZ10" s="570"/>
    </row>
    <row r="11" spans="1:104" ht="26.65" customHeight="1" thickTop="1" thickBot="1">
      <c r="A11" s="432" t="str">
        <f t="shared" si="21"/>
        <v>LINEN CLOSET</v>
      </c>
      <c r="B11" s="485">
        <f t="shared" si="5"/>
        <v>108</v>
      </c>
      <c r="C11" s="573">
        <f t="shared" si="22"/>
        <v>208</v>
      </c>
      <c r="D11" s="573">
        <f t="shared" si="23"/>
        <v>308</v>
      </c>
      <c r="E11" s="573">
        <f t="shared" si="24"/>
        <v>408</v>
      </c>
      <c r="F11" s="573">
        <f t="shared" si="24"/>
        <v>508</v>
      </c>
      <c r="G11" s="573">
        <v>808</v>
      </c>
      <c r="H11" s="573">
        <f t="shared" si="25"/>
        <v>6108.1</v>
      </c>
      <c r="I11" s="573">
        <f t="shared" si="26"/>
        <v>6208.2</v>
      </c>
      <c r="J11" s="573">
        <f t="shared" si="27"/>
        <v>6308.3</v>
      </c>
      <c r="K11" s="573">
        <f t="shared" si="28"/>
        <v>6408.4</v>
      </c>
      <c r="L11" s="842" t="s">
        <v>601</v>
      </c>
      <c r="M11" s="842"/>
      <c r="N11" s="842"/>
      <c r="O11" s="842"/>
      <c r="P11" s="485">
        <v>108</v>
      </c>
      <c r="Q11" s="200" t="s">
        <v>561</v>
      </c>
      <c r="R11" s="43" t="s">
        <v>309</v>
      </c>
      <c r="S11" s="707" t="s">
        <v>563</v>
      </c>
      <c r="T11" s="676" t="s">
        <v>580</v>
      </c>
      <c r="U11" s="485">
        <f t="shared" si="6"/>
        <v>108</v>
      </c>
      <c r="V11" s="200" t="str">
        <f t="shared" si="7"/>
        <v>….</v>
      </c>
      <c r="W11" s="533" t="str">
        <f t="shared" si="8"/>
        <v>LINEN CLOSET</v>
      </c>
      <c r="X11" s="533" t="str">
        <f t="shared" si="9"/>
        <v xml:space="preserve"> = … JOB/ROOMS OVERVIEW PICS ..</v>
      </c>
      <c r="Y11" s="643" t="str">
        <f>$T$11</f>
        <v>….........</v>
      </c>
      <c r="Z11" s="581">
        <f t="shared" si="1"/>
        <v>208</v>
      </c>
      <c r="AA11" s="200" t="str">
        <f t="shared" si="10"/>
        <v>….</v>
      </c>
      <c r="AB11" s="533" t="str">
        <f t="shared" si="11"/>
        <v>LINEN CLOSET</v>
      </c>
      <c r="AC11" s="533" t="str">
        <f t="shared" si="12"/>
        <v>….. SOURCE of  LOSS PICS …..</v>
      </c>
      <c r="AD11" s="643" t="str">
        <f>$T$11</f>
        <v>….........</v>
      </c>
      <c r="AE11" s="533">
        <f t="shared" si="2"/>
        <v>308</v>
      </c>
      <c r="AF11" s="200" t="str">
        <f t="shared" si="13"/>
        <v>….</v>
      </c>
      <c r="AG11" s="533" t="str">
        <f t="shared" si="29"/>
        <v>LINEN CLOSET</v>
      </c>
      <c r="AH11" s="533" t="str">
        <f t="shared" si="14"/>
        <v>…..  C.P.S.  …...</v>
      </c>
      <c r="AI11" s="643" t="str">
        <f>$T$11</f>
        <v>….........</v>
      </c>
      <c r="AJ11" s="432"/>
      <c r="AK11" s="533">
        <f t="shared" si="3"/>
        <v>408</v>
      </c>
      <c r="AL11" s="200" t="str">
        <f t="shared" si="15"/>
        <v>….</v>
      </c>
      <c r="AM11" s="533" t="str">
        <f t="shared" si="39"/>
        <v>LINEN CLOSET</v>
      </c>
      <c r="AN11" s="533" t="str">
        <f t="shared" si="16"/>
        <v>NON SALVAGEABLE ITEMS</v>
      </c>
      <c r="AO11" s="643" t="str">
        <f>$T$11</f>
        <v>….........</v>
      </c>
      <c r="AP11" s="432">
        <f t="shared" si="30"/>
        <v>508</v>
      </c>
      <c r="AQ11" s="200" t="s">
        <v>561</v>
      </c>
      <c r="AR11" s="533" t="str">
        <f t="shared" si="17"/>
        <v>LINEN CLOSET</v>
      </c>
      <c r="AS11" s="643" t="str">
        <f t="shared" si="40"/>
        <v>,,,,,, DMO = DEMOLITION …....</v>
      </c>
      <c r="AT11" s="643" t="str">
        <f t="shared" si="31"/>
        <v>….........</v>
      </c>
      <c r="AU11" s="533">
        <f t="shared" si="4"/>
        <v>808</v>
      </c>
      <c r="AV11" s="200" t="s">
        <v>569</v>
      </c>
      <c r="AW11" s="533" t="str">
        <f t="shared" si="32"/>
        <v>LINEN CLOSET</v>
      </c>
      <c r="AX11" s="581" t="str">
        <f t="shared" si="33"/>
        <v>… MITIGATION  EQUIPMENT &amp; W.I.P . ...</v>
      </c>
      <c r="AY11" s="643" t="str">
        <f>$T$11</f>
        <v>….........</v>
      </c>
      <c r="AZ11" s="244">
        <f t="shared" si="18"/>
        <v>6108.1</v>
      </c>
      <c r="BA11" s="200" t="s">
        <v>569</v>
      </c>
      <c r="BB11" s="533" t="str">
        <f t="shared" si="34"/>
        <v>LINEN CLOSET</v>
      </c>
      <c r="BC11" s="533" t="str">
        <f t="shared" si="41"/>
        <v xml:space="preserve">  ...  DAY1    MC READINGS ..</v>
      </c>
      <c r="BE11" s="643" t="str">
        <f>$T$11</f>
        <v>….........</v>
      </c>
      <c r="BF11" s="244">
        <f t="shared" si="19"/>
        <v>6208.2</v>
      </c>
      <c r="BG11" s="200" t="s">
        <v>569</v>
      </c>
      <c r="BH11" s="533" t="str">
        <f t="shared" si="35"/>
        <v>LINEN CLOSET</v>
      </c>
      <c r="BI11" t="str">
        <f t="shared" si="42"/>
        <v xml:space="preserve">  ...  DAY2    MC READINGS ..</v>
      </c>
      <c r="BJ11" s="643" t="str">
        <f>$T$11</f>
        <v>….........</v>
      </c>
      <c r="BK11" s="244">
        <f t="shared" si="20"/>
        <v>6308.3</v>
      </c>
      <c r="BL11" s="200" t="s">
        <v>569</v>
      </c>
      <c r="BM11" s="533" t="str">
        <f t="shared" si="36"/>
        <v>LINEN CLOSET</v>
      </c>
      <c r="BN11" t="str">
        <f t="shared" si="43"/>
        <v xml:space="preserve">  ...  DAY3    MC READINGS ..</v>
      </c>
      <c r="BO11" s="643" t="str">
        <f>$T$11</f>
        <v>….........</v>
      </c>
      <c r="BP11" s="244">
        <f>K11</f>
        <v>6408.4</v>
      </c>
      <c r="BQ11" s="200" t="s">
        <v>569</v>
      </c>
      <c r="BR11" s="533" t="str">
        <f t="shared" si="37"/>
        <v>LINEN CLOSET</v>
      </c>
      <c r="BS11" t="str">
        <f t="shared" si="44"/>
        <v xml:space="preserve">  ...  DAY4    MC READINGS </v>
      </c>
      <c r="BT11" s="643" t="str">
        <f>$T$11</f>
        <v>….........</v>
      </c>
      <c r="BU11" s="658">
        <v>7200.2</v>
      </c>
      <c r="BV11" s="614" t="s">
        <v>584</v>
      </c>
      <c r="BW11" s="646" t="str">
        <f>BW10</f>
        <v xml:space="preserve">….. DAY 2 ….. </v>
      </c>
      <c r="CB11" s="790">
        <v>3222</v>
      </c>
      <c r="CC11" s="200" t="s">
        <v>569</v>
      </c>
      <c r="CD11" s="381" t="s">
        <v>602</v>
      </c>
      <c r="CE11" s="138" t="s">
        <v>603</v>
      </c>
      <c r="CF11" t="s">
        <v>563</v>
      </c>
      <c r="CG11" s="569" t="s">
        <v>565</v>
      </c>
      <c r="CH11" s="597">
        <f t="shared" si="45"/>
        <v>70108</v>
      </c>
      <c r="CI11" s="200" t="s">
        <v>569</v>
      </c>
      <c r="CJ11" s="703" t="str">
        <f>R11</f>
        <v>LINEN CLOSET</v>
      </c>
      <c r="CK11" s="709" t="s">
        <v>563</v>
      </c>
      <c r="CL11" s="138" t="str">
        <f>T11</f>
        <v>….........</v>
      </c>
      <c r="CM11" s="709" t="s">
        <v>563</v>
      </c>
      <c r="CN11" s="689" t="str">
        <f t="shared" si="38"/>
        <v>… DAY # 0  … MC READINGS STABILIZATION</v>
      </c>
      <c r="CO11" s="614"/>
      <c r="CP11" t="str">
        <f>R12</f>
        <v>BATH UP</v>
      </c>
      <c r="CQ11" t="str">
        <f>T12</f>
        <v>….........</v>
      </c>
      <c r="CZ11" s="572"/>
    </row>
    <row r="12" spans="1:104" ht="26.65" customHeight="1" thickTop="1" thickBot="1">
      <c r="A12" t="str">
        <f t="shared" si="21"/>
        <v>BATH UP</v>
      </c>
      <c r="B12" s="485">
        <f t="shared" si="5"/>
        <v>109</v>
      </c>
      <c r="C12" s="782">
        <f t="shared" si="22"/>
        <v>209</v>
      </c>
      <c r="D12" s="782">
        <f t="shared" si="23"/>
        <v>309</v>
      </c>
      <c r="E12" s="782">
        <f t="shared" si="24"/>
        <v>409</v>
      </c>
      <c r="F12" s="782">
        <f t="shared" si="24"/>
        <v>509</v>
      </c>
      <c r="G12" s="782">
        <v>809</v>
      </c>
      <c r="H12" s="782">
        <f t="shared" si="25"/>
        <v>6109.1</v>
      </c>
      <c r="I12" s="782">
        <f t="shared" si="26"/>
        <v>6209.2</v>
      </c>
      <c r="J12" s="782">
        <f t="shared" si="27"/>
        <v>6309.3</v>
      </c>
      <c r="K12" s="782">
        <f t="shared" si="28"/>
        <v>6409.4</v>
      </c>
      <c r="L12" s="782">
        <f>L10+1</f>
        <v>7102.1</v>
      </c>
      <c r="M12" s="782">
        <f>M10+1</f>
        <v>7202.2</v>
      </c>
      <c r="N12" s="782">
        <f>N10+1</f>
        <v>7302.3</v>
      </c>
      <c r="O12" s="782">
        <f>O10+1</f>
        <v>7402.4</v>
      </c>
      <c r="P12" s="485">
        <v>109</v>
      </c>
      <c r="Q12" s="200" t="s">
        <v>561</v>
      </c>
      <c r="R12" s="138" t="s">
        <v>314</v>
      </c>
      <c r="S12" s="707" t="s">
        <v>563</v>
      </c>
      <c r="T12" s="676" t="s">
        <v>580</v>
      </c>
      <c r="U12" s="485">
        <f t="shared" si="6"/>
        <v>109</v>
      </c>
      <c r="V12" s="200" t="str">
        <f t="shared" si="7"/>
        <v>….</v>
      </c>
      <c r="W12" s="533" t="str">
        <f t="shared" si="8"/>
        <v>BATH UP</v>
      </c>
      <c r="X12" s="533" t="str">
        <f t="shared" si="9"/>
        <v xml:space="preserve"> = … JOB/ROOMS OVERVIEW PICS ..</v>
      </c>
      <c r="Y12" s="643" t="str">
        <f>$T$12</f>
        <v>….........</v>
      </c>
      <c r="Z12" s="581">
        <f t="shared" si="1"/>
        <v>209</v>
      </c>
      <c r="AA12" s="200" t="str">
        <f t="shared" si="10"/>
        <v>….</v>
      </c>
      <c r="AB12" s="533" t="str">
        <f t="shared" si="11"/>
        <v>BATH UP</v>
      </c>
      <c r="AC12" s="533" t="str">
        <f t="shared" si="12"/>
        <v>….. SOURCE of  LOSS PICS …..</v>
      </c>
      <c r="AD12" s="643" t="str">
        <f>$T$12</f>
        <v>….........</v>
      </c>
      <c r="AE12" s="533">
        <f t="shared" si="2"/>
        <v>309</v>
      </c>
      <c r="AF12" s="200" t="str">
        <f t="shared" si="13"/>
        <v>….</v>
      </c>
      <c r="AG12" s="533" t="str">
        <f t="shared" si="29"/>
        <v>BATH UP</v>
      </c>
      <c r="AH12" s="533" t="str">
        <f t="shared" si="14"/>
        <v>…..  C.P.S.  …...</v>
      </c>
      <c r="AI12" s="643" t="str">
        <f>$T$12</f>
        <v>….........</v>
      </c>
      <c r="AJ12" s="432"/>
      <c r="AK12" s="533">
        <f t="shared" si="3"/>
        <v>409</v>
      </c>
      <c r="AL12" s="200" t="str">
        <f t="shared" si="15"/>
        <v>….</v>
      </c>
      <c r="AM12" s="533" t="str">
        <f t="shared" si="39"/>
        <v>BATH UP</v>
      </c>
      <c r="AN12" s="533" t="str">
        <f t="shared" si="16"/>
        <v>NON SALVAGEABLE ITEMS</v>
      </c>
      <c r="AO12" s="643" t="str">
        <f>$T$12</f>
        <v>….........</v>
      </c>
      <c r="AP12" s="432">
        <f t="shared" si="30"/>
        <v>509</v>
      </c>
      <c r="AQ12" s="200" t="s">
        <v>561</v>
      </c>
      <c r="AR12" s="533" t="str">
        <f t="shared" si="17"/>
        <v>BATH UP</v>
      </c>
      <c r="AS12" s="643" t="str">
        <f t="shared" si="40"/>
        <v>,,,,,, DMO = DEMOLITION …....</v>
      </c>
      <c r="AT12" s="643" t="str">
        <f t="shared" si="31"/>
        <v>….........</v>
      </c>
      <c r="AU12" s="533">
        <f t="shared" si="4"/>
        <v>809</v>
      </c>
      <c r="AV12" s="200" t="s">
        <v>569</v>
      </c>
      <c r="AW12" s="533" t="str">
        <f t="shared" si="32"/>
        <v>BATH UP</v>
      </c>
      <c r="AX12" s="581" t="str">
        <f t="shared" si="33"/>
        <v>… MITIGATION  EQUIPMENT &amp; W.I.P . ...</v>
      </c>
      <c r="AY12" s="643" t="str">
        <f>$T$12</f>
        <v>….........</v>
      </c>
      <c r="AZ12" s="244">
        <f t="shared" si="18"/>
        <v>6109.1</v>
      </c>
      <c r="BA12" s="200" t="s">
        <v>569</v>
      </c>
      <c r="BB12" s="533" t="str">
        <f t="shared" si="34"/>
        <v>BATH UP</v>
      </c>
      <c r="BC12" s="533" t="str">
        <f t="shared" si="41"/>
        <v xml:space="preserve">  ...  DAY1    MC READINGS ..</v>
      </c>
      <c r="BE12" s="643" t="str">
        <f>$T$12</f>
        <v>….........</v>
      </c>
      <c r="BF12" s="244">
        <f t="shared" si="19"/>
        <v>6209.2</v>
      </c>
      <c r="BG12" s="200" t="s">
        <v>569</v>
      </c>
      <c r="BH12" s="533" t="str">
        <f t="shared" si="35"/>
        <v>BATH UP</v>
      </c>
      <c r="BI12" t="str">
        <f t="shared" si="42"/>
        <v xml:space="preserve">  ...  DAY2    MC READINGS ..</v>
      </c>
      <c r="BJ12" s="643" t="str">
        <f>$T$12</f>
        <v>….........</v>
      </c>
      <c r="BK12" s="244">
        <f t="shared" si="20"/>
        <v>6309.3</v>
      </c>
      <c r="BL12" s="200" t="s">
        <v>569</v>
      </c>
      <c r="BM12" s="533" t="str">
        <f t="shared" si="36"/>
        <v>BATH UP</v>
      </c>
      <c r="BN12" t="str">
        <f t="shared" si="43"/>
        <v xml:space="preserve">  ...  DAY3    MC READINGS ..</v>
      </c>
      <c r="BO12" s="643" t="str">
        <f>$T$12</f>
        <v>….........</v>
      </c>
      <c r="BP12" s="244">
        <f>K12</f>
        <v>6409.4</v>
      </c>
      <c r="BQ12" s="200" t="s">
        <v>569</v>
      </c>
      <c r="BR12" s="533" t="str">
        <f t="shared" si="37"/>
        <v>BATH UP</v>
      </c>
      <c r="BS12" t="str">
        <f t="shared" si="44"/>
        <v xml:space="preserve">  ...  DAY4    MC READINGS </v>
      </c>
      <c r="BT12" s="643" t="str">
        <f>$T$12</f>
        <v>….........</v>
      </c>
      <c r="BU12" s="659">
        <f>BU11+1</f>
        <v>7201.2</v>
      </c>
      <c r="BV12" s="615" t="s">
        <v>587</v>
      </c>
      <c r="BW12" s="8" t="str">
        <f>BW11</f>
        <v xml:space="preserve">….. DAY 2 ….. </v>
      </c>
      <c r="BX12" s="610" t="s">
        <v>588</v>
      </c>
      <c r="CB12" s="790">
        <v>3322</v>
      </c>
      <c r="CC12" s="200" t="s">
        <v>569</v>
      </c>
      <c r="CD12" s="381" t="s">
        <v>604</v>
      </c>
      <c r="CE12" s="138" t="s">
        <v>605</v>
      </c>
      <c r="CF12" t="s">
        <v>563</v>
      </c>
      <c r="CG12" s="569" t="s">
        <v>565</v>
      </c>
      <c r="CH12" s="597">
        <f t="shared" si="45"/>
        <v>70109</v>
      </c>
      <c r="CI12" s="200" t="s">
        <v>569</v>
      </c>
      <c r="CJ12" s="703" t="str">
        <f>R12</f>
        <v>BATH UP</v>
      </c>
      <c r="CK12" s="709" t="s">
        <v>563</v>
      </c>
      <c r="CL12" s="138" t="str">
        <f>T12</f>
        <v>….........</v>
      </c>
      <c r="CM12" s="709" t="s">
        <v>563</v>
      </c>
      <c r="CN12" s="689" t="str">
        <f t="shared" si="38"/>
        <v>… DAY # 0  … MC READINGS STABILIZATION</v>
      </c>
      <c r="CO12" s="614"/>
      <c r="CP12" t="str">
        <f>R13</f>
        <v>Bedroom 1</v>
      </c>
      <c r="CQ12" t="str">
        <f>T13</f>
        <v>….........</v>
      </c>
      <c r="CZ12" s="570"/>
    </row>
    <row r="13" spans="1:104" ht="26.65" customHeight="1" thickTop="1" thickBot="1">
      <c r="A13" s="432" t="str">
        <f t="shared" si="21"/>
        <v>Bedroom 1</v>
      </c>
      <c r="B13" s="485">
        <f t="shared" si="5"/>
        <v>110</v>
      </c>
      <c r="C13" s="573">
        <f t="shared" si="22"/>
        <v>210</v>
      </c>
      <c r="D13" s="573">
        <f t="shared" si="23"/>
        <v>310</v>
      </c>
      <c r="E13" s="573">
        <f t="shared" si="24"/>
        <v>410</v>
      </c>
      <c r="F13" s="573">
        <f t="shared" si="24"/>
        <v>510</v>
      </c>
      <c r="G13" s="573">
        <v>810</v>
      </c>
      <c r="H13" s="573">
        <f t="shared" si="25"/>
        <v>6110.1</v>
      </c>
      <c r="I13" s="573">
        <f t="shared" si="26"/>
        <v>6210.2</v>
      </c>
      <c r="J13" s="573">
        <f t="shared" si="27"/>
        <v>6310.3</v>
      </c>
      <c r="K13" s="573">
        <f t="shared" si="28"/>
        <v>6410.4</v>
      </c>
      <c r="L13" s="842" t="s">
        <v>606</v>
      </c>
      <c r="M13" s="842"/>
      <c r="N13" s="842"/>
      <c r="O13" s="842"/>
      <c r="P13" s="485">
        <v>110</v>
      </c>
      <c r="Q13" s="200" t="s">
        <v>561</v>
      </c>
      <c r="R13" s="138" t="s">
        <v>607</v>
      </c>
      <c r="S13" s="707" t="s">
        <v>563</v>
      </c>
      <c r="T13" s="676" t="s">
        <v>580</v>
      </c>
      <c r="U13" s="485">
        <f t="shared" si="6"/>
        <v>110</v>
      </c>
      <c r="V13" s="200" t="str">
        <f t="shared" si="7"/>
        <v>….</v>
      </c>
      <c r="W13" s="533" t="str">
        <f t="shared" si="8"/>
        <v>Bedroom 1</v>
      </c>
      <c r="X13" s="533" t="str">
        <f t="shared" si="9"/>
        <v xml:space="preserve"> = … JOB/ROOMS OVERVIEW PICS ..</v>
      </c>
      <c r="Y13" s="643" t="str">
        <f>$T$13</f>
        <v>….........</v>
      </c>
      <c r="Z13" s="581">
        <f t="shared" si="1"/>
        <v>210</v>
      </c>
      <c r="AA13" s="200" t="str">
        <f t="shared" si="10"/>
        <v>….</v>
      </c>
      <c r="AB13" s="533" t="str">
        <f t="shared" si="11"/>
        <v>Bedroom 1</v>
      </c>
      <c r="AC13" s="533" t="str">
        <f t="shared" si="12"/>
        <v>….. SOURCE of  LOSS PICS …..</v>
      </c>
      <c r="AD13" s="643" t="str">
        <f>$T$13</f>
        <v>….........</v>
      </c>
      <c r="AE13" s="533">
        <f t="shared" si="2"/>
        <v>310</v>
      </c>
      <c r="AF13" s="200" t="str">
        <f t="shared" si="13"/>
        <v>….</v>
      </c>
      <c r="AG13" s="533" t="str">
        <f t="shared" si="29"/>
        <v>Bedroom 1</v>
      </c>
      <c r="AH13" s="533" t="str">
        <f t="shared" si="14"/>
        <v>…..  C.P.S.  …...</v>
      </c>
      <c r="AI13" s="643" t="str">
        <f>$T$13</f>
        <v>….........</v>
      </c>
      <c r="AJ13" s="432"/>
      <c r="AK13" s="533">
        <f t="shared" si="3"/>
        <v>410</v>
      </c>
      <c r="AL13" s="200" t="str">
        <f t="shared" si="15"/>
        <v>….</v>
      </c>
      <c r="AM13" s="533" t="str">
        <f t="shared" si="39"/>
        <v>Bedroom 1</v>
      </c>
      <c r="AN13" s="533" t="str">
        <f t="shared" si="16"/>
        <v>NON SALVAGEABLE ITEMS</v>
      </c>
      <c r="AO13" s="643" t="str">
        <f>$T$13</f>
        <v>….........</v>
      </c>
      <c r="AP13" s="432">
        <f t="shared" si="30"/>
        <v>510</v>
      </c>
      <c r="AQ13" s="200" t="s">
        <v>561</v>
      </c>
      <c r="AR13" s="533" t="str">
        <f t="shared" si="17"/>
        <v>Bedroom 1</v>
      </c>
      <c r="AS13" s="643" t="str">
        <f t="shared" si="40"/>
        <v>,,,,,, DMO = DEMOLITION …....</v>
      </c>
      <c r="AT13" s="643" t="str">
        <f t="shared" si="31"/>
        <v>….........</v>
      </c>
      <c r="AU13" s="533">
        <f t="shared" si="4"/>
        <v>810</v>
      </c>
      <c r="AV13" s="200" t="s">
        <v>569</v>
      </c>
      <c r="AW13" s="533" t="str">
        <f t="shared" si="32"/>
        <v>Bedroom 1</v>
      </c>
      <c r="AX13" s="581" t="str">
        <f t="shared" si="33"/>
        <v>… MITIGATION  EQUIPMENT &amp; W.I.P . ...</v>
      </c>
      <c r="AY13" s="643" t="str">
        <f>$T$13</f>
        <v>….........</v>
      </c>
      <c r="AZ13" s="244">
        <f t="shared" si="18"/>
        <v>6110.1</v>
      </c>
      <c r="BA13" s="200" t="s">
        <v>569</v>
      </c>
      <c r="BB13" s="533" t="str">
        <f t="shared" si="34"/>
        <v>Bedroom 1</v>
      </c>
      <c r="BC13" s="533" t="str">
        <f t="shared" si="41"/>
        <v xml:space="preserve">  ...  DAY1    MC READINGS ..</v>
      </c>
      <c r="BE13" s="643" t="str">
        <f>$T$13</f>
        <v>….........</v>
      </c>
      <c r="BF13" s="244">
        <f t="shared" si="19"/>
        <v>6210.2</v>
      </c>
      <c r="BG13" s="200" t="s">
        <v>569</v>
      </c>
      <c r="BH13" s="533" t="str">
        <f t="shared" si="35"/>
        <v>Bedroom 1</v>
      </c>
      <c r="BI13" t="str">
        <f t="shared" si="42"/>
        <v xml:space="preserve">  ...  DAY2    MC READINGS ..</v>
      </c>
      <c r="BJ13" s="643" t="str">
        <f>$T$13</f>
        <v>….........</v>
      </c>
      <c r="BK13" s="244">
        <f t="shared" si="20"/>
        <v>6310.3</v>
      </c>
      <c r="BL13" s="200" t="s">
        <v>569</v>
      </c>
      <c r="BM13" s="533" t="str">
        <f t="shared" si="36"/>
        <v>Bedroom 1</v>
      </c>
      <c r="BN13" t="str">
        <f t="shared" si="43"/>
        <v xml:space="preserve">  ...  DAY3    MC READINGS ..</v>
      </c>
      <c r="BO13" s="643" t="str">
        <f>$T$13</f>
        <v>….........</v>
      </c>
      <c r="BP13" s="244">
        <f>K13</f>
        <v>6410.4</v>
      </c>
      <c r="BQ13" s="200" t="s">
        <v>569</v>
      </c>
      <c r="BR13" s="533" t="str">
        <f t="shared" si="37"/>
        <v>Bedroom 1</v>
      </c>
      <c r="BS13" t="str">
        <f t="shared" si="44"/>
        <v xml:space="preserve">  ...  DAY4    MC READINGS </v>
      </c>
      <c r="BT13" s="643" t="str">
        <f>$T$13</f>
        <v>….........</v>
      </c>
      <c r="BU13" s="658">
        <f>BU12+1</f>
        <v>7202.2</v>
      </c>
      <c r="BV13" s="615" t="s">
        <v>590</v>
      </c>
      <c r="BW13" s="32" t="str">
        <f>BW12</f>
        <v xml:space="preserve">….. DAY 2 ….. </v>
      </c>
      <c r="BX13" s="610" t="s">
        <v>588</v>
      </c>
      <c r="CB13" s="790">
        <v>3444</v>
      </c>
      <c r="CC13" s="200" t="s">
        <v>569</v>
      </c>
      <c r="CD13" s="381" t="s">
        <v>608</v>
      </c>
      <c r="CE13" s="138" t="s">
        <v>609</v>
      </c>
      <c r="CF13" t="s">
        <v>563</v>
      </c>
      <c r="CG13" s="569" t="s">
        <v>565</v>
      </c>
      <c r="CH13" s="597">
        <f t="shared" si="45"/>
        <v>70110</v>
      </c>
      <c r="CI13" s="200" t="s">
        <v>569</v>
      </c>
      <c r="CJ13" s="703" t="str">
        <f>R13</f>
        <v>Bedroom 1</v>
      </c>
      <c r="CK13" s="709" t="s">
        <v>563</v>
      </c>
      <c r="CL13" s="138" t="str">
        <f>T13</f>
        <v>….........</v>
      </c>
      <c r="CM13" s="709" t="s">
        <v>563</v>
      </c>
      <c r="CN13" s="689" t="str">
        <f t="shared" si="38"/>
        <v>… DAY # 0  … MC READINGS STABILIZATION</v>
      </c>
      <c r="CO13" s="614"/>
      <c r="CP13" t="str">
        <f>R14</f>
        <v>BR1 Closet</v>
      </c>
      <c r="CQ13" t="str">
        <f>T14</f>
        <v>LOS / TRAVEL</v>
      </c>
      <c r="CZ13" s="572"/>
    </row>
    <row r="14" spans="1:104" ht="26.65" customHeight="1" thickTop="1" thickBot="1">
      <c r="A14" t="str">
        <f t="shared" si="21"/>
        <v>BR1 Closet</v>
      </c>
      <c r="B14" s="485">
        <f t="shared" si="5"/>
        <v>111</v>
      </c>
      <c r="C14" s="782">
        <f t="shared" si="22"/>
        <v>211</v>
      </c>
      <c r="D14" s="782">
        <f t="shared" si="23"/>
        <v>311</v>
      </c>
      <c r="E14" s="782">
        <f t="shared" si="24"/>
        <v>411</v>
      </c>
      <c r="F14" s="782">
        <f t="shared" si="24"/>
        <v>511</v>
      </c>
      <c r="G14" s="782">
        <v>811</v>
      </c>
      <c r="H14" s="782">
        <f t="shared" si="25"/>
        <v>6111.1</v>
      </c>
      <c r="I14" s="782">
        <f t="shared" si="26"/>
        <v>6211.2</v>
      </c>
      <c r="J14" s="782">
        <f t="shared" si="27"/>
        <v>6311.3</v>
      </c>
      <c r="K14" s="782">
        <f t="shared" si="28"/>
        <v>6411.4</v>
      </c>
      <c r="L14" s="573">
        <f>L12+1</f>
        <v>7103.1</v>
      </c>
      <c r="M14" s="573">
        <f>M12+1</f>
        <v>7203.2</v>
      </c>
      <c r="N14" s="573">
        <f>N12+1</f>
        <v>7303.3</v>
      </c>
      <c r="O14" s="573">
        <f>O12+1</f>
        <v>7403.4</v>
      </c>
      <c r="P14" s="485">
        <v>111</v>
      </c>
      <c r="Q14" s="200" t="s">
        <v>561</v>
      </c>
      <c r="R14" s="231" t="s">
        <v>326</v>
      </c>
      <c r="S14" s="707" t="s">
        <v>563</v>
      </c>
      <c r="T14" s="676" t="s">
        <v>530</v>
      </c>
      <c r="U14" s="485">
        <f t="shared" si="6"/>
        <v>111</v>
      </c>
      <c r="V14" s="200" t="str">
        <f t="shared" si="7"/>
        <v>….</v>
      </c>
      <c r="W14" s="533" t="str">
        <f t="shared" si="8"/>
        <v>BR1 Closet</v>
      </c>
      <c r="X14" s="533" t="str">
        <f t="shared" si="9"/>
        <v xml:space="preserve"> = … JOB/ROOMS OVERVIEW PICS ..</v>
      </c>
      <c r="Y14" s="643" t="str">
        <f>$T$14</f>
        <v>LOS / TRAVEL</v>
      </c>
      <c r="Z14" s="581">
        <f t="shared" si="1"/>
        <v>211</v>
      </c>
      <c r="AA14" s="200" t="str">
        <f t="shared" si="10"/>
        <v>….</v>
      </c>
      <c r="AB14" s="533" t="str">
        <f t="shared" si="11"/>
        <v>BR1 Closet</v>
      </c>
      <c r="AC14" s="533" t="str">
        <f t="shared" si="12"/>
        <v>….. SOURCE of  LOSS PICS …..</v>
      </c>
      <c r="AD14" s="643" t="str">
        <f>$T$14</f>
        <v>LOS / TRAVEL</v>
      </c>
      <c r="AE14" s="533">
        <f t="shared" si="2"/>
        <v>311</v>
      </c>
      <c r="AF14" s="200" t="str">
        <f t="shared" si="13"/>
        <v>….</v>
      </c>
      <c r="AG14" s="533" t="str">
        <f t="shared" si="29"/>
        <v>BR1 Closet</v>
      </c>
      <c r="AH14" s="533" t="str">
        <f t="shared" si="14"/>
        <v>…..  C.P.S.  …...</v>
      </c>
      <c r="AI14" s="643" t="str">
        <f>$T$14</f>
        <v>LOS / TRAVEL</v>
      </c>
      <c r="AJ14" s="432"/>
      <c r="AK14" s="533">
        <f t="shared" si="3"/>
        <v>411</v>
      </c>
      <c r="AL14" s="200" t="str">
        <f t="shared" si="15"/>
        <v>….</v>
      </c>
      <c r="AM14" s="533" t="str">
        <f t="shared" si="39"/>
        <v>BR1 Closet</v>
      </c>
      <c r="AN14" s="533" t="str">
        <f t="shared" si="16"/>
        <v>NON SALVAGEABLE ITEMS</v>
      </c>
      <c r="AO14" s="643" t="str">
        <f>$T$14</f>
        <v>LOS / TRAVEL</v>
      </c>
      <c r="AP14" s="432">
        <f t="shared" si="30"/>
        <v>511</v>
      </c>
      <c r="AQ14" s="200" t="s">
        <v>561</v>
      </c>
      <c r="AR14" s="533" t="str">
        <f t="shared" si="17"/>
        <v>BR1 Closet</v>
      </c>
      <c r="AS14" s="643" t="str">
        <f t="shared" si="40"/>
        <v>,,,,,, DMO = DEMOLITION …....</v>
      </c>
      <c r="AT14" s="643" t="str">
        <f t="shared" si="31"/>
        <v>LOS / TRAVEL</v>
      </c>
      <c r="AU14" s="533">
        <f t="shared" si="4"/>
        <v>811</v>
      </c>
      <c r="AV14" s="200" t="s">
        <v>569</v>
      </c>
      <c r="AW14" s="533" t="str">
        <f t="shared" si="32"/>
        <v>BR1 Closet</v>
      </c>
      <c r="AX14" s="581" t="str">
        <f t="shared" si="33"/>
        <v>… MITIGATION  EQUIPMENT &amp; W.I.P . ...</v>
      </c>
      <c r="AY14" s="643" t="str">
        <f>$T$14</f>
        <v>LOS / TRAVEL</v>
      </c>
      <c r="AZ14" s="244">
        <f t="shared" si="18"/>
        <v>6111.1</v>
      </c>
      <c r="BA14" s="200" t="s">
        <v>569</v>
      </c>
      <c r="BB14" s="533" t="str">
        <f t="shared" si="34"/>
        <v>BR1 Closet</v>
      </c>
      <c r="BC14" s="533" t="str">
        <f t="shared" si="41"/>
        <v xml:space="preserve">  ...  DAY1    MC READINGS ..</v>
      </c>
      <c r="BE14" s="643" t="str">
        <f>$T$14</f>
        <v>LOS / TRAVEL</v>
      </c>
      <c r="BF14" s="244">
        <f t="shared" si="19"/>
        <v>6211.2</v>
      </c>
      <c r="BG14" s="200" t="s">
        <v>569</v>
      </c>
      <c r="BH14" s="533" t="str">
        <f t="shared" si="35"/>
        <v>BR1 Closet</v>
      </c>
      <c r="BI14" t="str">
        <f t="shared" si="42"/>
        <v xml:space="preserve">  ...  DAY2    MC READINGS ..</v>
      </c>
      <c r="BJ14" s="643" t="str">
        <f>$T$14</f>
        <v>LOS / TRAVEL</v>
      </c>
      <c r="BK14" s="244">
        <f t="shared" si="20"/>
        <v>6311.3</v>
      </c>
      <c r="BL14" s="200" t="s">
        <v>569</v>
      </c>
      <c r="BM14" s="533" t="str">
        <f t="shared" si="36"/>
        <v>BR1 Closet</v>
      </c>
      <c r="BN14" t="str">
        <f t="shared" si="43"/>
        <v xml:space="preserve">  ...  DAY3    MC READINGS ..</v>
      </c>
      <c r="BO14" s="643" t="str">
        <f>$T$14</f>
        <v>LOS / TRAVEL</v>
      </c>
      <c r="BP14" s="244">
        <f>K14</f>
        <v>6411.4</v>
      </c>
      <c r="BQ14" s="200" t="s">
        <v>569</v>
      </c>
      <c r="BR14" s="533" t="str">
        <f t="shared" si="37"/>
        <v>BR1 Closet</v>
      </c>
      <c r="BS14" t="str">
        <f t="shared" si="44"/>
        <v xml:space="preserve">  ...  DAY4    MC READINGS </v>
      </c>
      <c r="BT14" s="643" t="str">
        <f>$T$14</f>
        <v>LOS / TRAVEL</v>
      </c>
      <c r="BU14" s="659">
        <f>BU13+1</f>
        <v>7203.2</v>
      </c>
      <c r="BV14" s="615" t="s">
        <v>593</v>
      </c>
      <c r="BW14" s="32" t="str">
        <f t="shared" ref="BW14:BW16" si="46">BW12</f>
        <v xml:space="preserve">….. DAY 2 ….. </v>
      </c>
      <c r="BX14" s="610" t="s">
        <v>588</v>
      </c>
      <c r="CB14" s="672">
        <v>4111.1000000000004</v>
      </c>
      <c r="CC14" s="200" t="s">
        <v>569</v>
      </c>
      <c r="CD14" s="673" t="s">
        <v>610</v>
      </c>
      <c r="CF14" t="s">
        <v>563</v>
      </c>
      <c r="CG14" s="569" t="s">
        <v>565</v>
      </c>
      <c r="CH14" s="597">
        <f t="shared" si="45"/>
        <v>70111</v>
      </c>
      <c r="CI14" s="200" t="s">
        <v>569</v>
      </c>
      <c r="CJ14" s="703" t="str">
        <f>R14</f>
        <v>BR1 Closet</v>
      </c>
      <c r="CK14" s="709" t="s">
        <v>563</v>
      </c>
      <c r="CL14" s="138" t="str">
        <f>T14</f>
        <v>LOS / TRAVEL</v>
      </c>
      <c r="CM14" s="709" t="s">
        <v>563</v>
      </c>
      <c r="CN14" s="689" t="str">
        <f t="shared" si="38"/>
        <v>… DAY # 0  … MC READINGS STABILIZATION</v>
      </c>
      <c r="CO14" s="614"/>
      <c r="CP14" t="str">
        <f>R15</f>
        <v>Bedroom 2</v>
      </c>
      <c r="CQ14" t="str">
        <f>T15</f>
        <v>….........</v>
      </c>
      <c r="CZ14" s="570"/>
    </row>
    <row r="15" spans="1:104" ht="26.65" customHeight="1" thickTop="1" thickBot="1">
      <c r="A15" s="432" t="str">
        <f t="shared" si="21"/>
        <v>Bedroom 2</v>
      </c>
      <c r="B15" s="485">
        <f t="shared" si="5"/>
        <v>112</v>
      </c>
      <c r="C15" s="573">
        <f t="shared" si="22"/>
        <v>212</v>
      </c>
      <c r="D15" s="573">
        <f t="shared" si="23"/>
        <v>312</v>
      </c>
      <c r="E15" s="573">
        <f t="shared" si="24"/>
        <v>412</v>
      </c>
      <c r="F15" s="573">
        <f t="shared" si="24"/>
        <v>512</v>
      </c>
      <c r="G15" s="573">
        <v>812</v>
      </c>
      <c r="H15" s="573">
        <f t="shared" si="25"/>
        <v>6112.1</v>
      </c>
      <c r="I15" s="573">
        <f t="shared" si="26"/>
        <v>6212.2</v>
      </c>
      <c r="J15" s="573">
        <f t="shared" si="27"/>
        <v>6312.3</v>
      </c>
      <c r="K15" s="573">
        <f t="shared" si="28"/>
        <v>6412.4</v>
      </c>
      <c r="L15" s="842" t="s">
        <v>611</v>
      </c>
      <c r="M15" s="842"/>
      <c r="N15" s="842"/>
      <c r="O15" s="842"/>
      <c r="P15" s="485">
        <v>112</v>
      </c>
      <c r="Q15" s="200" t="s">
        <v>561</v>
      </c>
      <c r="R15" s="231" t="s">
        <v>332</v>
      </c>
      <c r="S15" s="707" t="s">
        <v>563</v>
      </c>
      <c r="T15" s="676" t="s">
        <v>580</v>
      </c>
      <c r="U15" s="485">
        <f t="shared" si="6"/>
        <v>112</v>
      </c>
      <c r="V15" s="200" t="str">
        <f t="shared" si="7"/>
        <v>….</v>
      </c>
      <c r="W15" s="533" t="str">
        <f t="shared" si="8"/>
        <v>Bedroom 2</v>
      </c>
      <c r="X15" s="533" t="str">
        <f t="shared" si="9"/>
        <v xml:space="preserve"> = … JOB/ROOMS OVERVIEW PICS ..</v>
      </c>
      <c r="Y15" s="643" t="str">
        <f>$T$15</f>
        <v>….........</v>
      </c>
      <c r="Z15" s="581">
        <f t="shared" si="1"/>
        <v>212</v>
      </c>
      <c r="AA15" s="200" t="str">
        <f t="shared" si="10"/>
        <v>….</v>
      </c>
      <c r="AB15" s="533" t="str">
        <f t="shared" si="11"/>
        <v>Bedroom 2</v>
      </c>
      <c r="AC15" s="533" t="str">
        <f t="shared" si="12"/>
        <v>….. SOURCE of  LOSS PICS …..</v>
      </c>
      <c r="AD15" s="643" t="str">
        <f>$T$15</f>
        <v>….........</v>
      </c>
      <c r="AE15" s="533">
        <f t="shared" si="2"/>
        <v>312</v>
      </c>
      <c r="AF15" s="200" t="str">
        <f t="shared" si="13"/>
        <v>….</v>
      </c>
      <c r="AG15" s="533" t="str">
        <f t="shared" si="29"/>
        <v>Bedroom 2</v>
      </c>
      <c r="AH15" s="533" t="str">
        <f t="shared" si="14"/>
        <v>…..  C.P.S.  …...</v>
      </c>
      <c r="AI15" s="643" t="str">
        <f>$T$15</f>
        <v>….........</v>
      </c>
      <c r="AJ15" s="432"/>
      <c r="AK15" s="533">
        <f t="shared" si="3"/>
        <v>412</v>
      </c>
      <c r="AL15" s="200" t="str">
        <f t="shared" si="15"/>
        <v>….</v>
      </c>
      <c r="AM15" s="533" t="str">
        <f t="shared" si="39"/>
        <v>Bedroom 2</v>
      </c>
      <c r="AN15" s="533" t="str">
        <f t="shared" si="16"/>
        <v>NON SALVAGEABLE ITEMS</v>
      </c>
      <c r="AO15" s="643" t="str">
        <f>$T$15</f>
        <v>….........</v>
      </c>
      <c r="AP15" s="432">
        <f t="shared" si="30"/>
        <v>512</v>
      </c>
      <c r="AQ15" s="200" t="s">
        <v>561</v>
      </c>
      <c r="AR15" s="533" t="str">
        <f t="shared" si="17"/>
        <v>Bedroom 2</v>
      </c>
      <c r="AS15" s="643" t="str">
        <f t="shared" si="40"/>
        <v>,,,,,, DMO = DEMOLITION …....</v>
      </c>
      <c r="AT15" s="643" t="str">
        <f t="shared" si="31"/>
        <v>….........</v>
      </c>
      <c r="AU15" s="533">
        <f t="shared" si="4"/>
        <v>812</v>
      </c>
      <c r="AV15" s="200" t="s">
        <v>569</v>
      </c>
      <c r="AW15" s="533" t="str">
        <f t="shared" si="32"/>
        <v>Bedroom 2</v>
      </c>
      <c r="AX15" s="581" t="str">
        <f t="shared" si="33"/>
        <v>… MITIGATION  EQUIPMENT &amp; W.I.P . ...</v>
      </c>
      <c r="AY15" s="643" t="str">
        <f>$T$15</f>
        <v>….........</v>
      </c>
      <c r="AZ15" s="244">
        <f t="shared" si="18"/>
        <v>6112.1</v>
      </c>
      <c r="BA15" s="200" t="s">
        <v>569</v>
      </c>
      <c r="BB15" s="533" t="str">
        <f t="shared" si="34"/>
        <v>Bedroom 2</v>
      </c>
      <c r="BC15" s="533" t="str">
        <f t="shared" si="41"/>
        <v xml:space="preserve">  ...  DAY1    MC READINGS ..</v>
      </c>
      <c r="BE15" s="643" t="str">
        <f>$T$15</f>
        <v>….........</v>
      </c>
      <c r="BF15" s="244">
        <f t="shared" si="19"/>
        <v>6212.2</v>
      </c>
      <c r="BG15" s="200" t="s">
        <v>569</v>
      </c>
      <c r="BH15" s="533" t="str">
        <f t="shared" si="35"/>
        <v>Bedroom 2</v>
      </c>
      <c r="BI15" t="str">
        <f t="shared" si="42"/>
        <v xml:space="preserve">  ...  DAY2    MC READINGS ..</v>
      </c>
      <c r="BJ15" s="643" t="str">
        <f>$T$15</f>
        <v>….........</v>
      </c>
      <c r="BK15" s="244">
        <f t="shared" si="20"/>
        <v>6312.3</v>
      </c>
      <c r="BL15" s="200" t="s">
        <v>569</v>
      </c>
      <c r="BM15" s="533" t="str">
        <f t="shared" si="36"/>
        <v>Bedroom 2</v>
      </c>
      <c r="BN15" t="str">
        <f t="shared" si="43"/>
        <v xml:space="preserve">  ...  DAY3    MC READINGS ..</v>
      </c>
      <c r="BO15" s="643" t="str">
        <f>$T$15</f>
        <v>….........</v>
      </c>
      <c r="BP15" s="244">
        <f>K15</f>
        <v>6412.4</v>
      </c>
      <c r="BQ15" s="200" t="s">
        <v>569</v>
      </c>
      <c r="BR15" s="533" t="str">
        <f t="shared" si="37"/>
        <v>Bedroom 2</v>
      </c>
      <c r="BS15" t="str">
        <f t="shared" si="44"/>
        <v xml:space="preserve">  ...  DAY4    MC READINGS </v>
      </c>
      <c r="BT15" s="643" t="str">
        <f>$T$15</f>
        <v>….........</v>
      </c>
      <c r="BU15" s="658">
        <f>BU14+1</f>
        <v>7204.2</v>
      </c>
      <c r="BV15" s="615" t="s">
        <v>597</v>
      </c>
      <c r="BW15" s="32" t="str">
        <f t="shared" si="46"/>
        <v xml:space="preserve">….. DAY 2 ….. </v>
      </c>
      <c r="BX15" s="610" t="s">
        <v>588</v>
      </c>
      <c r="CB15" s="790">
        <v>4222.2</v>
      </c>
      <c r="CC15" s="200" t="s">
        <v>569</v>
      </c>
      <c r="CD15" s="673" t="s">
        <v>612</v>
      </c>
      <c r="CF15" t="s">
        <v>563</v>
      </c>
      <c r="CH15" s="597">
        <f t="shared" si="45"/>
        <v>70112</v>
      </c>
      <c r="CI15" s="200" t="s">
        <v>569</v>
      </c>
      <c r="CJ15" s="703" t="str">
        <f>R15</f>
        <v>Bedroom 2</v>
      </c>
      <c r="CK15" s="709" t="s">
        <v>563</v>
      </c>
      <c r="CL15" s="138" t="str">
        <f>T15</f>
        <v>….........</v>
      </c>
      <c r="CM15" s="709" t="s">
        <v>563</v>
      </c>
      <c r="CN15" s="689" t="str">
        <f t="shared" si="38"/>
        <v>… DAY # 0  … MC READINGS STABILIZATION</v>
      </c>
      <c r="CO15" s="614"/>
      <c r="CP15" t="str">
        <f>R16</f>
        <v>BR2 Closet,</v>
      </c>
      <c r="CQ15" t="str">
        <f>T16</f>
        <v>LOS / TRAVEL</v>
      </c>
      <c r="CZ15" s="572"/>
    </row>
    <row r="16" spans="1:104" ht="26.65" customHeight="1" thickTop="1" thickBot="1">
      <c r="A16" t="str">
        <f t="shared" si="21"/>
        <v>BR2 Closet,</v>
      </c>
      <c r="B16" s="485">
        <f t="shared" si="5"/>
        <v>113</v>
      </c>
      <c r="C16" s="782">
        <f t="shared" si="22"/>
        <v>213</v>
      </c>
      <c r="D16" s="782">
        <f t="shared" si="23"/>
        <v>313</v>
      </c>
      <c r="E16" s="782">
        <f t="shared" si="24"/>
        <v>413</v>
      </c>
      <c r="F16" s="782">
        <f t="shared" si="24"/>
        <v>513</v>
      </c>
      <c r="G16" s="782">
        <v>813</v>
      </c>
      <c r="H16" s="782">
        <f t="shared" si="25"/>
        <v>6113.1</v>
      </c>
      <c r="I16" s="782">
        <f t="shared" si="26"/>
        <v>6213.2</v>
      </c>
      <c r="J16" s="782">
        <f t="shared" si="27"/>
        <v>6313.3</v>
      </c>
      <c r="K16" s="782">
        <f t="shared" si="28"/>
        <v>6413.4</v>
      </c>
      <c r="L16" s="782">
        <f>L14+1</f>
        <v>7104.1</v>
      </c>
      <c r="M16" s="782">
        <f>M14+1</f>
        <v>7204.2</v>
      </c>
      <c r="N16" s="782">
        <f>N14+1</f>
        <v>7304.3</v>
      </c>
      <c r="O16" s="782">
        <f>O14+1</f>
        <v>7404.4</v>
      </c>
      <c r="P16" s="485">
        <v>113</v>
      </c>
      <c r="Q16" s="200" t="s">
        <v>561</v>
      </c>
      <c r="R16" s="231" t="s">
        <v>613</v>
      </c>
      <c r="S16" s="707" t="s">
        <v>563</v>
      </c>
      <c r="T16" s="676" t="s">
        <v>530</v>
      </c>
      <c r="U16" s="485">
        <f t="shared" si="6"/>
        <v>113</v>
      </c>
      <c r="V16" s="200" t="str">
        <f t="shared" si="7"/>
        <v>….</v>
      </c>
      <c r="W16" s="533" t="str">
        <f t="shared" si="8"/>
        <v>BR2 Closet,</v>
      </c>
      <c r="X16" s="533" t="str">
        <f t="shared" si="9"/>
        <v xml:space="preserve"> = … JOB/ROOMS OVERVIEW PICS ..</v>
      </c>
      <c r="Y16" s="643" t="str">
        <f>$T$16</f>
        <v>LOS / TRAVEL</v>
      </c>
      <c r="Z16" s="581">
        <f t="shared" si="1"/>
        <v>213</v>
      </c>
      <c r="AA16" s="200" t="str">
        <f t="shared" si="10"/>
        <v>….</v>
      </c>
      <c r="AB16" s="533" t="str">
        <f t="shared" si="11"/>
        <v>BR2 Closet,</v>
      </c>
      <c r="AC16" s="533" t="str">
        <f t="shared" si="12"/>
        <v>….. SOURCE of  LOSS PICS …..</v>
      </c>
      <c r="AD16" s="643" t="str">
        <f>$T$16</f>
        <v>LOS / TRAVEL</v>
      </c>
      <c r="AE16" s="533">
        <f t="shared" si="2"/>
        <v>313</v>
      </c>
      <c r="AF16" s="200" t="str">
        <f t="shared" si="13"/>
        <v>….</v>
      </c>
      <c r="AG16" s="533" t="str">
        <f t="shared" si="29"/>
        <v>BR2 Closet,</v>
      </c>
      <c r="AH16" s="533" t="str">
        <f t="shared" si="14"/>
        <v>…..  C.P.S.  …...</v>
      </c>
      <c r="AI16" s="643" t="str">
        <f>$T$16</f>
        <v>LOS / TRAVEL</v>
      </c>
      <c r="AJ16" s="432"/>
      <c r="AK16" s="533">
        <f t="shared" si="3"/>
        <v>413</v>
      </c>
      <c r="AL16" s="200" t="str">
        <f t="shared" si="15"/>
        <v>….</v>
      </c>
      <c r="AM16" s="533" t="str">
        <f t="shared" si="39"/>
        <v>BR2 Closet,</v>
      </c>
      <c r="AN16" s="533" t="str">
        <f t="shared" si="16"/>
        <v>NON SALVAGEABLE ITEMS</v>
      </c>
      <c r="AO16" s="643" t="str">
        <f>$T$16</f>
        <v>LOS / TRAVEL</v>
      </c>
      <c r="AP16" s="432">
        <f t="shared" si="30"/>
        <v>513</v>
      </c>
      <c r="AQ16" s="200" t="s">
        <v>561</v>
      </c>
      <c r="AR16" s="533" t="str">
        <f t="shared" si="17"/>
        <v>BR2 Closet,</v>
      </c>
      <c r="AS16" s="643" t="str">
        <f t="shared" si="40"/>
        <v>,,,,,, DMO = DEMOLITION …....</v>
      </c>
      <c r="AT16" s="643" t="str">
        <f t="shared" si="31"/>
        <v>LOS / TRAVEL</v>
      </c>
      <c r="AU16" s="533">
        <f t="shared" si="4"/>
        <v>813</v>
      </c>
      <c r="AV16" s="200" t="s">
        <v>569</v>
      </c>
      <c r="AW16" s="533" t="str">
        <f t="shared" si="32"/>
        <v>BR2 Closet,</v>
      </c>
      <c r="AX16" s="581" t="str">
        <f t="shared" si="33"/>
        <v>… MITIGATION  EQUIPMENT &amp; W.I.P . ...</v>
      </c>
      <c r="AY16" s="643" t="str">
        <f>$T$16</f>
        <v>LOS / TRAVEL</v>
      </c>
      <c r="AZ16" s="244">
        <f t="shared" si="18"/>
        <v>6113.1</v>
      </c>
      <c r="BA16" s="200" t="s">
        <v>569</v>
      </c>
      <c r="BB16" s="533" t="str">
        <f t="shared" si="34"/>
        <v>BR2 Closet,</v>
      </c>
      <c r="BC16" s="533" t="str">
        <f t="shared" si="41"/>
        <v xml:space="preserve">  ...  DAY1    MC READINGS ..</v>
      </c>
      <c r="BE16" s="643" t="str">
        <f>$T$16</f>
        <v>LOS / TRAVEL</v>
      </c>
      <c r="BF16" s="244">
        <f t="shared" si="19"/>
        <v>6213.2</v>
      </c>
      <c r="BG16" s="200" t="s">
        <v>569</v>
      </c>
      <c r="BH16" s="533" t="str">
        <f t="shared" si="35"/>
        <v>BR2 Closet,</v>
      </c>
      <c r="BI16" t="str">
        <f t="shared" si="42"/>
        <v xml:space="preserve">  ...  DAY2    MC READINGS ..</v>
      </c>
      <c r="BJ16" s="643" t="str">
        <f>$T$16</f>
        <v>LOS / TRAVEL</v>
      </c>
      <c r="BK16" s="244">
        <f t="shared" si="20"/>
        <v>6313.3</v>
      </c>
      <c r="BL16" s="200" t="s">
        <v>569</v>
      </c>
      <c r="BM16" s="533" t="str">
        <f t="shared" si="36"/>
        <v>BR2 Closet,</v>
      </c>
      <c r="BN16" t="str">
        <f t="shared" si="43"/>
        <v xml:space="preserve">  ...  DAY3    MC READINGS ..</v>
      </c>
      <c r="BO16" s="643" t="str">
        <f>$T$16</f>
        <v>LOS / TRAVEL</v>
      </c>
      <c r="BP16" s="244">
        <f>K16</f>
        <v>6413.4</v>
      </c>
      <c r="BQ16" s="200" t="s">
        <v>569</v>
      </c>
      <c r="BR16" s="533" t="str">
        <f t="shared" si="37"/>
        <v>BR2 Closet,</v>
      </c>
      <c r="BS16" t="str">
        <f t="shared" si="44"/>
        <v xml:space="preserve">  ...  DAY4    MC READINGS </v>
      </c>
      <c r="BT16" s="643" t="str">
        <f>$T$16</f>
        <v>LOS / TRAVEL</v>
      </c>
      <c r="BU16" s="659">
        <f>BU15+1</f>
        <v>7205.2</v>
      </c>
      <c r="BV16" s="615" t="s">
        <v>614</v>
      </c>
      <c r="BW16" s="32" t="str">
        <f t="shared" si="46"/>
        <v xml:space="preserve">….. DAY 2 ….. </v>
      </c>
      <c r="BX16" s="610" t="s">
        <v>588</v>
      </c>
      <c r="CB16" s="790">
        <v>4333.3</v>
      </c>
      <c r="CC16" s="200" t="s">
        <v>569</v>
      </c>
      <c r="CD16" s="673" t="s">
        <v>615</v>
      </c>
      <c r="CF16" t="s">
        <v>563</v>
      </c>
      <c r="CH16" s="597">
        <f t="shared" ref="CH16:CH28" si="47">CH15+1</f>
        <v>70113</v>
      </c>
      <c r="CI16" s="200" t="s">
        <v>569</v>
      </c>
      <c r="CJ16" s="703" t="str">
        <f>R16</f>
        <v>BR2 Closet,</v>
      </c>
      <c r="CK16" s="709" t="s">
        <v>563</v>
      </c>
      <c r="CL16" s="138" t="str">
        <f>T16</f>
        <v>LOS / TRAVEL</v>
      </c>
      <c r="CM16" s="709" t="s">
        <v>563</v>
      </c>
      <c r="CN16" s="689" t="str">
        <f t="shared" si="38"/>
        <v>… DAY # 0  … MC READINGS STABILIZATION</v>
      </c>
      <c r="CO16" s="614"/>
      <c r="CP16">
        <f>R17</f>
        <v>0</v>
      </c>
      <c r="CQ16" t="str">
        <f>T17</f>
        <v>….........</v>
      </c>
      <c r="CZ16" s="570"/>
    </row>
    <row r="17" spans="1:104" ht="26.65" customHeight="1" thickTop="1" thickBot="1">
      <c r="A17" s="432">
        <f t="shared" si="21"/>
        <v>0</v>
      </c>
      <c r="B17" s="485">
        <f t="shared" si="5"/>
        <v>114</v>
      </c>
      <c r="C17" s="573">
        <f t="shared" si="22"/>
        <v>214</v>
      </c>
      <c r="D17" s="573">
        <f t="shared" si="23"/>
        <v>314</v>
      </c>
      <c r="E17" s="573">
        <f t="shared" si="24"/>
        <v>414</v>
      </c>
      <c r="F17" s="573">
        <f t="shared" si="24"/>
        <v>514</v>
      </c>
      <c r="G17" s="573">
        <v>814</v>
      </c>
      <c r="H17" s="573">
        <f t="shared" si="25"/>
        <v>6114.1</v>
      </c>
      <c r="I17" s="573">
        <f t="shared" si="26"/>
        <v>6214.2</v>
      </c>
      <c r="J17" s="573">
        <f t="shared" si="27"/>
        <v>6314.3</v>
      </c>
      <c r="K17" s="573">
        <f t="shared" si="28"/>
        <v>6414.4</v>
      </c>
      <c r="L17" s="842" t="s">
        <v>616</v>
      </c>
      <c r="M17" s="842"/>
      <c r="N17" s="842"/>
      <c r="O17" s="842"/>
      <c r="P17" s="485">
        <v>114</v>
      </c>
      <c r="Q17" s="200" t="s">
        <v>561</v>
      </c>
      <c r="R17" s="138"/>
      <c r="S17" s="707" t="s">
        <v>563</v>
      </c>
      <c r="T17" s="676" t="s">
        <v>580</v>
      </c>
      <c r="U17" s="485">
        <f t="shared" si="6"/>
        <v>114</v>
      </c>
      <c r="V17" s="200" t="str">
        <f t="shared" si="7"/>
        <v>….</v>
      </c>
      <c r="W17" s="533">
        <f t="shared" si="8"/>
        <v>0</v>
      </c>
      <c r="X17" s="533" t="str">
        <f t="shared" si="9"/>
        <v xml:space="preserve"> = … JOB/ROOMS OVERVIEW PICS ..</v>
      </c>
      <c r="Y17" s="643" t="str">
        <f>$T$17</f>
        <v>….........</v>
      </c>
      <c r="Z17" s="581">
        <f t="shared" si="1"/>
        <v>214</v>
      </c>
      <c r="AA17" s="200" t="str">
        <f t="shared" si="10"/>
        <v>….</v>
      </c>
      <c r="AB17" s="533">
        <f t="shared" si="11"/>
        <v>0</v>
      </c>
      <c r="AC17" s="533" t="str">
        <f t="shared" si="12"/>
        <v>….. SOURCE of  LOSS PICS …..</v>
      </c>
      <c r="AD17" s="643" t="str">
        <f>$T$17</f>
        <v>….........</v>
      </c>
      <c r="AE17" s="533">
        <f t="shared" si="2"/>
        <v>314</v>
      </c>
      <c r="AF17" s="200" t="str">
        <f t="shared" si="13"/>
        <v>….</v>
      </c>
      <c r="AG17" s="533">
        <f t="shared" si="29"/>
        <v>0</v>
      </c>
      <c r="AH17" s="533" t="str">
        <f t="shared" si="14"/>
        <v>…..  C.P.S.  …...</v>
      </c>
      <c r="AI17" s="643" t="str">
        <f>$T$17</f>
        <v>….........</v>
      </c>
      <c r="AJ17" s="432"/>
      <c r="AK17" s="533">
        <f t="shared" si="3"/>
        <v>414</v>
      </c>
      <c r="AL17" s="200" t="str">
        <f t="shared" si="15"/>
        <v>….</v>
      </c>
      <c r="AM17" s="533">
        <f t="shared" si="39"/>
        <v>0</v>
      </c>
      <c r="AN17" s="533" t="str">
        <f t="shared" si="16"/>
        <v>NON SALVAGEABLE ITEMS</v>
      </c>
      <c r="AO17" s="643" t="str">
        <f>$T$17</f>
        <v>….........</v>
      </c>
      <c r="AP17" s="432">
        <f t="shared" si="30"/>
        <v>514</v>
      </c>
      <c r="AQ17" s="200" t="s">
        <v>561</v>
      </c>
      <c r="AR17" s="533">
        <f t="shared" si="17"/>
        <v>0</v>
      </c>
      <c r="AS17" s="643" t="str">
        <f t="shared" si="40"/>
        <v>,,,,,, DMO = DEMOLITION …....</v>
      </c>
      <c r="AT17" s="643" t="str">
        <f t="shared" si="31"/>
        <v>….........</v>
      </c>
      <c r="AU17" s="533">
        <f t="shared" si="4"/>
        <v>814</v>
      </c>
      <c r="AV17" s="200" t="s">
        <v>569</v>
      </c>
      <c r="AW17" s="533">
        <f t="shared" si="32"/>
        <v>0</v>
      </c>
      <c r="AX17" s="581" t="str">
        <f t="shared" si="33"/>
        <v>… MITIGATION  EQUIPMENT &amp; W.I.P . ...</v>
      </c>
      <c r="AY17" s="643" t="str">
        <f>$T$17</f>
        <v>….........</v>
      </c>
      <c r="AZ17" s="244">
        <f t="shared" si="18"/>
        <v>6114.1</v>
      </c>
      <c r="BA17" s="200" t="s">
        <v>569</v>
      </c>
      <c r="BB17" s="533">
        <f t="shared" si="34"/>
        <v>0</v>
      </c>
      <c r="BC17" s="533" t="str">
        <f t="shared" si="41"/>
        <v xml:space="preserve">  ...  DAY1    MC READINGS ..</v>
      </c>
      <c r="BE17" s="643" t="str">
        <f>$T$17</f>
        <v>….........</v>
      </c>
      <c r="BF17" s="244">
        <f t="shared" si="19"/>
        <v>6214.2</v>
      </c>
      <c r="BG17" s="200" t="s">
        <v>569</v>
      </c>
      <c r="BH17" s="533">
        <f t="shared" si="35"/>
        <v>0</v>
      </c>
      <c r="BI17" t="str">
        <f t="shared" si="42"/>
        <v xml:space="preserve">  ...  DAY2    MC READINGS ..</v>
      </c>
      <c r="BJ17" s="643" t="str">
        <f>$T$17</f>
        <v>….........</v>
      </c>
      <c r="BK17" s="244">
        <f t="shared" si="20"/>
        <v>6314.3</v>
      </c>
      <c r="BL17" s="200" t="s">
        <v>569</v>
      </c>
      <c r="BM17" s="533">
        <f t="shared" si="36"/>
        <v>0</v>
      </c>
      <c r="BN17" t="str">
        <f t="shared" si="43"/>
        <v xml:space="preserve">  ...  DAY3    MC READINGS ..</v>
      </c>
      <c r="BO17" s="643" t="str">
        <f>$T$17</f>
        <v>….........</v>
      </c>
      <c r="BP17" s="244">
        <f>K17</f>
        <v>6414.4</v>
      </c>
      <c r="BQ17" s="200" t="s">
        <v>569</v>
      </c>
      <c r="BR17" s="533">
        <f t="shared" si="37"/>
        <v>0</v>
      </c>
      <c r="BS17" t="str">
        <f t="shared" si="44"/>
        <v xml:space="preserve">  ...  DAY4    MC READINGS </v>
      </c>
      <c r="BT17" s="643" t="str">
        <f>$T$17</f>
        <v>….........</v>
      </c>
      <c r="BU17" s="657">
        <v>7300</v>
      </c>
      <c r="BV17" s="610" t="str">
        <f>BV4</f>
        <v>RH &amp;T &amp; GPP  DRY CHAMBERS [DC] .READ INGS  ===========</v>
      </c>
      <c r="BW17" s="611" t="s">
        <v>556</v>
      </c>
      <c r="BX17" s="614"/>
      <c r="CB17" s="790">
        <v>4444.3999999999996</v>
      </c>
      <c r="CC17" s="200" t="s">
        <v>569</v>
      </c>
      <c r="CD17" s="673" t="s">
        <v>617</v>
      </c>
      <c r="CF17" t="s">
        <v>563</v>
      </c>
      <c r="CG17" s="614"/>
      <c r="CH17" s="597">
        <f t="shared" si="47"/>
        <v>70114</v>
      </c>
      <c r="CI17" s="200" t="s">
        <v>569</v>
      </c>
      <c r="CJ17" s="703">
        <f>R17</f>
        <v>0</v>
      </c>
      <c r="CK17" s="709" t="s">
        <v>563</v>
      </c>
      <c r="CL17" s="138" t="str">
        <f>T17</f>
        <v>….........</v>
      </c>
      <c r="CM17" s="709" t="s">
        <v>563</v>
      </c>
      <c r="CN17" s="689" t="str">
        <f t="shared" si="38"/>
        <v>… DAY # 0  … MC READINGS STABILIZATION</v>
      </c>
      <c r="CO17" s="614"/>
      <c r="CP17">
        <f>R18</f>
        <v>0</v>
      </c>
      <c r="CQ17" t="str">
        <f>T18</f>
        <v>….........</v>
      </c>
      <c r="CZ17" s="572"/>
    </row>
    <row r="18" spans="1:104" ht="26.65" customHeight="1" thickTop="1" thickBot="1">
      <c r="A18">
        <f t="shared" si="21"/>
        <v>0</v>
      </c>
      <c r="B18" s="485">
        <f t="shared" si="5"/>
        <v>115</v>
      </c>
      <c r="C18" s="782">
        <f t="shared" si="22"/>
        <v>215</v>
      </c>
      <c r="D18" s="782">
        <f t="shared" si="23"/>
        <v>315</v>
      </c>
      <c r="E18" s="782">
        <f t="shared" si="24"/>
        <v>415</v>
      </c>
      <c r="F18" s="782">
        <f t="shared" si="24"/>
        <v>515</v>
      </c>
      <c r="G18" s="782">
        <v>815</v>
      </c>
      <c r="H18" s="782">
        <f t="shared" si="25"/>
        <v>6115.1</v>
      </c>
      <c r="I18" s="782">
        <f t="shared" si="26"/>
        <v>6215.2</v>
      </c>
      <c r="J18" s="782">
        <f t="shared" si="27"/>
        <v>6315.3</v>
      </c>
      <c r="K18" s="782">
        <f t="shared" si="28"/>
        <v>6415.4</v>
      </c>
      <c r="L18" s="573">
        <f>L16+1</f>
        <v>7105.1</v>
      </c>
      <c r="M18" s="573">
        <f>M16+1</f>
        <v>7205.2</v>
      </c>
      <c r="N18" s="573">
        <f>N16+1</f>
        <v>7305.3</v>
      </c>
      <c r="O18" s="573">
        <f>O16+1</f>
        <v>7405.4</v>
      </c>
      <c r="P18" s="485">
        <v>115</v>
      </c>
      <c r="Q18" s="200" t="s">
        <v>561</v>
      </c>
      <c r="R18" s="138"/>
      <c r="S18" s="707" t="s">
        <v>563</v>
      </c>
      <c r="T18" s="676" t="s">
        <v>580</v>
      </c>
      <c r="U18" s="485">
        <f t="shared" si="6"/>
        <v>115</v>
      </c>
      <c r="V18" s="200" t="str">
        <f t="shared" si="7"/>
        <v>….</v>
      </c>
      <c r="W18" s="533">
        <f t="shared" si="8"/>
        <v>0</v>
      </c>
      <c r="X18" s="533" t="str">
        <f t="shared" si="9"/>
        <v xml:space="preserve"> = … JOB/ROOMS OVERVIEW PICS ..</v>
      </c>
      <c r="Y18" s="643" t="str">
        <f>$T$18</f>
        <v>….........</v>
      </c>
      <c r="Z18" s="581">
        <f t="shared" si="1"/>
        <v>215</v>
      </c>
      <c r="AA18" s="200" t="str">
        <f t="shared" si="10"/>
        <v>….</v>
      </c>
      <c r="AB18" s="533">
        <f t="shared" si="11"/>
        <v>0</v>
      </c>
      <c r="AC18" s="533" t="str">
        <f t="shared" si="12"/>
        <v>….. SOURCE of  LOSS PICS …..</v>
      </c>
      <c r="AD18" s="643" t="str">
        <f>$T$18</f>
        <v>….........</v>
      </c>
      <c r="AE18" s="533">
        <f t="shared" si="2"/>
        <v>315</v>
      </c>
      <c r="AF18" s="200" t="str">
        <f t="shared" si="13"/>
        <v>….</v>
      </c>
      <c r="AG18" s="533">
        <f t="shared" si="29"/>
        <v>0</v>
      </c>
      <c r="AH18" s="533" t="str">
        <f t="shared" si="14"/>
        <v>…..  C.P.S.  …...</v>
      </c>
      <c r="AI18" s="643" t="str">
        <f>$T$18</f>
        <v>….........</v>
      </c>
      <c r="AJ18" s="432"/>
      <c r="AK18" s="533">
        <f t="shared" si="3"/>
        <v>415</v>
      </c>
      <c r="AL18" s="200" t="str">
        <f t="shared" si="15"/>
        <v>….</v>
      </c>
      <c r="AM18" s="533">
        <f t="shared" si="39"/>
        <v>0</v>
      </c>
      <c r="AN18" s="533" t="str">
        <f t="shared" si="16"/>
        <v>NON SALVAGEABLE ITEMS</v>
      </c>
      <c r="AO18" s="643" t="str">
        <f>$T$18</f>
        <v>….........</v>
      </c>
      <c r="AP18" s="432">
        <f t="shared" si="30"/>
        <v>515</v>
      </c>
      <c r="AQ18" s="200" t="s">
        <v>561</v>
      </c>
      <c r="AR18" s="533">
        <f t="shared" si="17"/>
        <v>0</v>
      </c>
      <c r="AS18" s="643" t="str">
        <f t="shared" si="40"/>
        <v>,,,,,, DMO = DEMOLITION …....</v>
      </c>
      <c r="AT18" s="643" t="str">
        <f t="shared" si="31"/>
        <v>….........</v>
      </c>
      <c r="AU18" s="533">
        <f t="shared" si="4"/>
        <v>815</v>
      </c>
      <c r="AV18" s="200" t="s">
        <v>569</v>
      </c>
      <c r="AW18" s="533">
        <f t="shared" si="32"/>
        <v>0</v>
      </c>
      <c r="AX18" s="581" t="str">
        <f t="shared" si="33"/>
        <v>… MITIGATION  EQUIPMENT &amp; W.I.P . ...</v>
      </c>
      <c r="AY18" s="643" t="str">
        <f>$T$18</f>
        <v>….........</v>
      </c>
      <c r="AZ18" s="244">
        <f t="shared" si="18"/>
        <v>6115.1</v>
      </c>
      <c r="BA18" s="200" t="s">
        <v>569</v>
      </c>
      <c r="BB18" s="533">
        <f t="shared" si="34"/>
        <v>0</v>
      </c>
      <c r="BC18" s="533" t="str">
        <f t="shared" si="41"/>
        <v xml:space="preserve">  ...  DAY1    MC READINGS ..</v>
      </c>
      <c r="BE18" s="643" t="str">
        <f>$T$18</f>
        <v>….........</v>
      </c>
      <c r="BF18" s="244">
        <f t="shared" si="19"/>
        <v>6215.2</v>
      </c>
      <c r="BG18" s="200" t="s">
        <v>569</v>
      </c>
      <c r="BH18" s="533">
        <f t="shared" si="35"/>
        <v>0</v>
      </c>
      <c r="BI18" t="str">
        <f t="shared" si="42"/>
        <v xml:space="preserve">  ...  DAY2    MC READINGS ..</v>
      </c>
      <c r="BJ18" s="643" t="str">
        <f>$T$18</f>
        <v>….........</v>
      </c>
      <c r="BK18" s="244">
        <f t="shared" si="20"/>
        <v>6315.3</v>
      </c>
      <c r="BL18" s="200" t="s">
        <v>569</v>
      </c>
      <c r="BM18" s="533">
        <f t="shared" si="36"/>
        <v>0</v>
      </c>
      <c r="BN18" t="str">
        <f t="shared" si="43"/>
        <v xml:space="preserve">  ...  DAY3    MC READINGS ..</v>
      </c>
      <c r="BO18" s="643" t="str">
        <f>$T$18</f>
        <v>….........</v>
      </c>
      <c r="BP18" s="244">
        <f>K18</f>
        <v>6415.4</v>
      </c>
      <c r="BQ18" s="200" t="s">
        <v>569</v>
      </c>
      <c r="BR18" s="533">
        <f t="shared" si="37"/>
        <v>0</v>
      </c>
      <c r="BS18" t="str">
        <f t="shared" si="44"/>
        <v xml:space="preserve">  ...  DAY4    MC READINGS </v>
      </c>
      <c r="BT18" s="643" t="str">
        <f>$T$18</f>
        <v>….........</v>
      </c>
      <c r="BU18" s="648">
        <f>BU17</f>
        <v>7300</v>
      </c>
      <c r="BV18" s="614" t="s">
        <v>584</v>
      </c>
      <c r="BW18" s="613" t="str">
        <f>BW17</f>
        <v xml:space="preserve">….. DAY 3 ….. </v>
      </c>
      <c r="CB18" s="672">
        <v>9998</v>
      </c>
      <c r="CC18" s="200" t="s">
        <v>569</v>
      </c>
      <c r="CD18" s="673" t="s">
        <v>618</v>
      </c>
      <c r="CF18" t="s">
        <v>563</v>
      </c>
      <c r="CG18" s="569" t="s">
        <v>565</v>
      </c>
      <c r="CH18" s="597">
        <f t="shared" si="47"/>
        <v>70115</v>
      </c>
      <c r="CI18" s="200" t="s">
        <v>569</v>
      </c>
      <c r="CJ18" s="704">
        <f>R19</f>
        <v>0</v>
      </c>
      <c r="CK18" s="709" t="s">
        <v>563</v>
      </c>
      <c r="CL18" s="138" t="str">
        <f>T18</f>
        <v>….........</v>
      </c>
      <c r="CM18" s="709" t="s">
        <v>563</v>
      </c>
      <c r="CN18" s="689" t="str">
        <f t="shared" si="38"/>
        <v>… DAY # 0  … MC READINGS STABILIZATION</v>
      </c>
      <c r="CO18" s="614"/>
      <c r="CP18">
        <f>R19</f>
        <v>0</v>
      </c>
      <c r="CQ18" t="str">
        <f>T19</f>
        <v>….........</v>
      </c>
      <c r="CZ18" s="570"/>
    </row>
    <row r="19" spans="1:104" ht="26.65" customHeight="1" thickTop="1" thickBot="1">
      <c r="A19" s="432">
        <f t="shared" si="21"/>
        <v>0</v>
      </c>
      <c r="B19" s="485">
        <f t="shared" si="5"/>
        <v>116</v>
      </c>
      <c r="C19" s="573">
        <f t="shared" si="22"/>
        <v>216</v>
      </c>
      <c r="D19" s="573">
        <f t="shared" si="23"/>
        <v>316</v>
      </c>
      <c r="E19" s="573">
        <f t="shared" si="24"/>
        <v>416</v>
      </c>
      <c r="F19" s="573">
        <f t="shared" si="24"/>
        <v>516</v>
      </c>
      <c r="G19" s="573">
        <v>816</v>
      </c>
      <c r="H19" s="573">
        <f t="shared" si="25"/>
        <v>6116.1</v>
      </c>
      <c r="I19" s="573">
        <f t="shared" si="26"/>
        <v>6216.2</v>
      </c>
      <c r="J19" s="573">
        <f t="shared" si="27"/>
        <v>6316.3</v>
      </c>
      <c r="K19" s="573">
        <f t="shared" si="28"/>
        <v>6416.4</v>
      </c>
      <c r="L19" s="843"/>
      <c r="M19" s="844"/>
      <c r="N19" s="844"/>
      <c r="O19" s="845"/>
      <c r="P19" s="485">
        <v>116</v>
      </c>
      <c r="Q19" s="200" t="s">
        <v>561</v>
      </c>
      <c r="R19" s="138"/>
      <c r="S19" s="707" t="s">
        <v>563</v>
      </c>
      <c r="T19" s="676" t="s">
        <v>580</v>
      </c>
      <c r="U19" s="485">
        <f t="shared" si="6"/>
        <v>116</v>
      </c>
      <c r="V19" s="200" t="str">
        <f t="shared" si="7"/>
        <v>….</v>
      </c>
      <c r="W19" s="533">
        <f t="shared" si="8"/>
        <v>0</v>
      </c>
      <c r="X19" s="533" t="str">
        <f t="shared" si="9"/>
        <v xml:space="preserve"> = … JOB/ROOMS OVERVIEW PICS ..</v>
      </c>
      <c r="Y19" s="643" t="str">
        <f>$T$19</f>
        <v>….........</v>
      </c>
      <c r="Z19" s="581">
        <f t="shared" si="1"/>
        <v>216</v>
      </c>
      <c r="AA19" s="200" t="str">
        <f t="shared" si="10"/>
        <v>….</v>
      </c>
      <c r="AB19" s="533">
        <f t="shared" si="11"/>
        <v>0</v>
      </c>
      <c r="AC19" s="533" t="str">
        <f t="shared" si="12"/>
        <v>….. SOURCE of  LOSS PICS …..</v>
      </c>
      <c r="AD19" s="643" t="str">
        <f>$T$19</f>
        <v>….........</v>
      </c>
      <c r="AE19" s="533">
        <f t="shared" si="2"/>
        <v>316</v>
      </c>
      <c r="AF19" s="200" t="str">
        <f t="shared" si="13"/>
        <v>….</v>
      </c>
      <c r="AG19" s="533">
        <f t="shared" si="29"/>
        <v>0</v>
      </c>
      <c r="AH19" s="533" t="str">
        <f t="shared" si="14"/>
        <v>…..  C.P.S.  …...</v>
      </c>
      <c r="AI19" s="643" t="str">
        <f>$T$19</f>
        <v>….........</v>
      </c>
      <c r="AJ19" s="432"/>
      <c r="AK19" s="533">
        <f t="shared" si="3"/>
        <v>416</v>
      </c>
      <c r="AL19" s="200" t="str">
        <f t="shared" si="15"/>
        <v>….</v>
      </c>
      <c r="AM19" s="533">
        <f t="shared" si="39"/>
        <v>0</v>
      </c>
      <c r="AN19" s="533" t="str">
        <f t="shared" si="16"/>
        <v>NON SALVAGEABLE ITEMS</v>
      </c>
      <c r="AO19" s="643" t="str">
        <f>$T$19</f>
        <v>….........</v>
      </c>
      <c r="AP19" s="432">
        <f t="shared" si="30"/>
        <v>516</v>
      </c>
      <c r="AQ19" s="200" t="s">
        <v>561</v>
      </c>
      <c r="AR19" s="533">
        <f t="shared" si="17"/>
        <v>0</v>
      </c>
      <c r="AS19" s="643" t="str">
        <f t="shared" si="40"/>
        <v>,,,,,, DMO = DEMOLITION …....</v>
      </c>
      <c r="AT19" s="643" t="str">
        <f t="shared" si="31"/>
        <v>….........</v>
      </c>
      <c r="AU19" s="533">
        <f t="shared" si="4"/>
        <v>816</v>
      </c>
      <c r="AV19" s="200" t="s">
        <v>569</v>
      </c>
      <c r="AW19" s="533">
        <f t="shared" si="32"/>
        <v>0</v>
      </c>
      <c r="AX19" s="581" t="str">
        <f t="shared" si="33"/>
        <v>… MITIGATION  EQUIPMENT &amp; W.I.P . ...</v>
      </c>
      <c r="AY19" s="643" t="str">
        <f>$T$19</f>
        <v>….........</v>
      </c>
      <c r="AZ19" s="244">
        <f t="shared" si="18"/>
        <v>6116.1</v>
      </c>
      <c r="BA19" s="200" t="s">
        <v>569</v>
      </c>
      <c r="BB19" s="533">
        <f t="shared" si="34"/>
        <v>0</v>
      </c>
      <c r="BC19" s="533" t="str">
        <f t="shared" si="41"/>
        <v xml:space="preserve">  ...  DAY1    MC READINGS ..</v>
      </c>
      <c r="BE19" s="643" t="str">
        <f>$T$19</f>
        <v>….........</v>
      </c>
      <c r="BF19" s="244">
        <f t="shared" si="19"/>
        <v>6216.2</v>
      </c>
      <c r="BG19" s="200" t="s">
        <v>569</v>
      </c>
      <c r="BH19" s="533">
        <f t="shared" si="35"/>
        <v>0</v>
      </c>
      <c r="BI19" t="str">
        <f t="shared" si="42"/>
        <v xml:space="preserve">  ...  DAY2    MC READINGS ..</v>
      </c>
      <c r="BJ19" s="643" t="str">
        <f>$T$19</f>
        <v>….........</v>
      </c>
      <c r="BK19" s="244">
        <f t="shared" si="20"/>
        <v>6316.3</v>
      </c>
      <c r="BL19" s="200" t="s">
        <v>569</v>
      </c>
      <c r="BM19" s="533">
        <f t="shared" si="36"/>
        <v>0</v>
      </c>
      <c r="BN19" t="str">
        <f t="shared" si="43"/>
        <v xml:space="preserve">  ...  DAY3    MC READINGS ..</v>
      </c>
      <c r="BO19" s="643" t="str">
        <f>$T$19</f>
        <v>….........</v>
      </c>
      <c r="BP19" s="244">
        <f>K19</f>
        <v>6416.4</v>
      </c>
      <c r="BQ19" s="200" t="s">
        <v>569</v>
      </c>
      <c r="BR19" s="533">
        <f t="shared" si="37"/>
        <v>0</v>
      </c>
      <c r="BS19" t="str">
        <f t="shared" si="44"/>
        <v xml:space="preserve">  ...  DAY4    MC READINGS </v>
      </c>
      <c r="BT19" s="643" t="str">
        <f>$T$19</f>
        <v>….........</v>
      </c>
      <c r="BU19" s="649">
        <f>BU18+1</f>
        <v>7301</v>
      </c>
      <c r="BV19" s="615" t="s">
        <v>587</v>
      </c>
      <c r="BW19" s="646" t="str">
        <f>BW18</f>
        <v xml:space="preserve">….. DAY 3 ….. </v>
      </c>
      <c r="BX19" s="610" t="s">
        <v>588</v>
      </c>
      <c r="CB19" s="672">
        <v>9999</v>
      </c>
      <c r="CC19" s="200" t="s">
        <v>569</v>
      </c>
      <c r="CD19" s="673" t="s">
        <v>619</v>
      </c>
      <c r="CF19" t="s">
        <v>563</v>
      </c>
      <c r="CH19" s="597">
        <f t="shared" si="47"/>
        <v>70116</v>
      </c>
      <c r="CI19" s="611"/>
      <c r="CJ19" s="704">
        <f>R20</f>
        <v>0</v>
      </c>
      <c r="CK19" s="709" t="s">
        <v>563</v>
      </c>
      <c r="CL19" s="138" t="str">
        <f>T19</f>
        <v>….........</v>
      </c>
      <c r="CM19" s="709" t="s">
        <v>563</v>
      </c>
      <c r="CN19" s="689" t="str">
        <f t="shared" si="38"/>
        <v>… DAY # 0  … MC READINGS STABILIZATION</v>
      </c>
      <c r="CO19" s="614"/>
      <c r="CP19">
        <f>R20</f>
        <v>0</v>
      </c>
      <c r="CQ19" t="str">
        <f>T20</f>
        <v>….........</v>
      </c>
      <c r="CZ19" s="572"/>
    </row>
    <row r="20" spans="1:104" ht="26.65" customHeight="1" thickTop="1" thickBot="1">
      <c r="A20">
        <f t="shared" si="21"/>
        <v>0</v>
      </c>
      <c r="B20" s="485">
        <f t="shared" si="5"/>
        <v>117</v>
      </c>
      <c r="C20" s="782">
        <f t="shared" si="22"/>
        <v>217</v>
      </c>
      <c r="D20" s="782">
        <f t="shared" si="23"/>
        <v>317</v>
      </c>
      <c r="E20" s="782">
        <f t="shared" si="24"/>
        <v>417</v>
      </c>
      <c r="F20" s="782">
        <f t="shared" si="24"/>
        <v>517</v>
      </c>
      <c r="G20" s="782">
        <v>817</v>
      </c>
      <c r="H20" s="782">
        <f t="shared" si="25"/>
        <v>6117.1</v>
      </c>
      <c r="I20" s="782">
        <f t="shared" si="26"/>
        <v>6217.2</v>
      </c>
      <c r="J20" s="782">
        <f t="shared" si="27"/>
        <v>6317.3</v>
      </c>
      <c r="K20" s="782">
        <f t="shared" si="28"/>
        <v>6417.4</v>
      </c>
      <c r="L20" s="846"/>
      <c r="M20" s="847"/>
      <c r="N20" s="847"/>
      <c r="O20" s="848"/>
      <c r="P20" s="485">
        <v>117</v>
      </c>
      <c r="Q20" s="200" t="s">
        <v>561</v>
      </c>
      <c r="R20" s="138"/>
      <c r="S20" s="707" t="s">
        <v>563</v>
      </c>
      <c r="T20" s="676" t="s">
        <v>580</v>
      </c>
      <c r="U20" s="485">
        <f t="shared" si="6"/>
        <v>117</v>
      </c>
      <c r="V20" s="200" t="str">
        <f t="shared" si="7"/>
        <v>….</v>
      </c>
      <c r="W20" s="533">
        <f t="shared" si="8"/>
        <v>0</v>
      </c>
      <c r="X20" s="533" t="str">
        <f t="shared" si="9"/>
        <v xml:space="preserve"> = … JOB/ROOMS OVERVIEW PICS ..</v>
      </c>
      <c r="Y20" s="643" t="str">
        <f>$T$20</f>
        <v>….........</v>
      </c>
      <c r="Z20" s="581">
        <f t="shared" si="1"/>
        <v>217</v>
      </c>
      <c r="AA20" s="200" t="str">
        <f t="shared" si="10"/>
        <v>….</v>
      </c>
      <c r="AB20" s="533">
        <f t="shared" si="11"/>
        <v>0</v>
      </c>
      <c r="AC20" s="533" t="str">
        <f t="shared" si="12"/>
        <v>….. SOURCE of  LOSS PICS …..</v>
      </c>
      <c r="AD20" s="643" t="str">
        <f>$T$20</f>
        <v>….........</v>
      </c>
      <c r="AE20" s="533">
        <f t="shared" si="2"/>
        <v>317</v>
      </c>
      <c r="AF20" s="200" t="str">
        <f t="shared" si="13"/>
        <v>….</v>
      </c>
      <c r="AG20" s="533">
        <f t="shared" si="29"/>
        <v>0</v>
      </c>
      <c r="AH20" s="533" t="str">
        <f t="shared" si="14"/>
        <v>…..  C.P.S.  …...</v>
      </c>
      <c r="AI20" s="643" t="str">
        <f>$T$20</f>
        <v>….........</v>
      </c>
      <c r="AJ20" s="432"/>
      <c r="AK20" s="533">
        <f t="shared" si="3"/>
        <v>417</v>
      </c>
      <c r="AL20" s="200" t="str">
        <f t="shared" si="15"/>
        <v>….</v>
      </c>
      <c r="AM20" s="533">
        <f t="shared" si="39"/>
        <v>0</v>
      </c>
      <c r="AN20" s="533" t="str">
        <f t="shared" si="16"/>
        <v>NON SALVAGEABLE ITEMS</v>
      </c>
      <c r="AO20" s="643" t="str">
        <f>$T$20</f>
        <v>….........</v>
      </c>
      <c r="AP20" s="432">
        <f t="shared" si="30"/>
        <v>517</v>
      </c>
      <c r="AQ20" s="200" t="s">
        <v>561</v>
      </c>
      <c r="AR20" s="533">
        <f t="shared" si="17"/>
        <v>0</v>
      </c>
      <c r="AS20" s="643" t="str">
        <f t="shared" si="40"/>
        <v>,,,,,, DMO = DEMOLITION …....</v>
      </c>
      <c r="AT20" s="643" t="str">
        <f t="shared" si="31"/>
        <v>….........</v>
      </c>
      <c r="AU20" s="533">
        <f t="shared" si="4"/>
        <v>817</v>
      </c>
      <c r="AV20" s="200" t="s">
        <v>569</v>
      </c>
      <c r="AW20" s="533">
        <f t="shared" si="32"/>
        <v>0</v>
      </c>
      <c r="AX20" s="581" t="str">
        <f t="shared" si="33"/>
        <v>… MITIGATION  EQUIPMENT &amp; W.I.P . ...</v>
      </c>
      <c r="AY20" s="643" t="str">
        <f>$T$20</f>
        <v>….........</v>
      </c>
      <c r="AZ20" s="244">
        <f t="shared" si="18"/>
        <v>6117.1</v>
      </c>
      <c r="BA20" s="200" t="s">
        <v>569</v>
      </c>
      <c r="BB20" s="533">
        <f t="shared" si="34"/>
        <v>0</v>
      </c>
      <c r="BC20" s="533" t="str">
        <f t="shared" si="41"/>
        <v xml:space="preserve">  ...  DAY1    MC READINGS ..</v>
      </c>
      <c r="BE20" s="643" t="str">
        <f>$T$20</f>
        <v>….........</v>
      </c>
      <c r="BF20" s="244">
        <f t="shared" si="19"/>
        <v>6217.2</v>
      </c>
      <c r="BG20" s="200" t="s">
        <v>569</v>
      </c>
      <c r="BH20" s="533">
        <f t="shared" si="35"/>
        <v>0</v>
      </c>
      <c r="BI20" t="str">
        <f t="shared" si="42"/>
        <v xml:space="preserve">  ...  DAY2    MC READINGS ..</v>
      </c>
      <c r="BJ20" s="643" t="str">
        <f>$T$20</f>
        <v>….........</v>
      </c>
      <c r="BK20" s="244">
        <f t="shared" si="20"/>
        <v>6317.3</v>
      </c>
      <c r="BL20" s="200" t="s">
        <v>569</v>
      </c>
      <c r="BM20" s="533">
        <f t="shared" si="36"/>
        <v>0</v>
      </c>
      <c r="BN20" t="str">
        <f t="shared" si="43"/>
        <v xml:space="preserve">  ...  DAY3    MC READINGS ..</v>
      </c>
      <c r="BO20" s="643" t="str">
        <f>$T$20</f>
        <v>….........</v>
      </c>
      <c r="BP20" s="244">
        <f>K20</f>
        <v>6417.4</v>
      </c>
      <c r="BQ20" s="200" t="s">
        <v>569</v>
      </c>
      <c r="BR20" s="533">
        <f t="shared" si="37"/>
        <v>0</v>
      </c>
      <c r="BS20" t="str">
        <f t="shared" si="44"/>
        <v xml:space="preserve">  ...  DAY4    MC READINGS </v>
      </c>
      <c r="BT20" s="643" t="str">
        <f>$T$20</f>
        <v>….........</v>
      </c>
      <c r="BU20" s="649">
        <f t="shared" ref="BU20:BU22" si="48">BU19+1</f>
        <v>7302</v>
      </c>
      <c r="BV20" s="615" t="s">
        <v>590</v>
      </c>
      <c r="BW20" s="32" t="str">
        <f>BW19</f>
        <v xml:space="preserve">….. DAY 3 ….. </v>
      </c>
      <c r="BX20" s="610" t="s">
        <v>588</v>
      </c>
      <c r="CB20" s="657"/>
      <c r="CC20" s="578"/>
      <c r="CD20" s="14"/>
      <c r="CE20" s="652"/>
      <c r="CF20" t="s">
        <v>563</v>
      </c>
      <c r="CG20" s="138"/>
      <c r="CH20" s="597">
        <f t="shared" si="47"/>
        <v>70117</v>
      </c>
      <c r="CI20" s="578" t="s">
        <v>576</v>
      </c>
      <c r="CJ20" s="704">
        <f>R21</f>
        <v>0</v>
      </c>
      <c r="CK20" s="709" t="s">
        <v>563</v>
      </c>
      <c r="CL20" s="138" t="str">
        <f>T20</f>
        <v>….........</v>
      </c>
      <c r="CM20" s="709" t="s">
        <v>563</v>
      </c>
      <c r="CN20" s="689" t="str">
        <f t="shared" si="38"/>
        <v>… DAY # 0  … MC READINGS STABILIZATION</v>
      </c>
      <c r="CO20" s="614"/>
      <c r="CP20">
        <f>R21</f>
        <v>0</v>
      </c>
      <c r="CQ20" t="str">
        <f>T21</f>
        <v>….........</v>
      </c>
      <c r="CZ20" s="570"/>
    </row>
    <row r="21" spans="1:104" ht="26.65" customHeight="1" thickTop="1" thickBot="1">
      <c r="A21" s="432">
        <f t="shared" si="21"/>
        <v>0</v>
      </c>
      <c r="B21" s="485">
        <f t="shared" si="5"/>
        <v>118</v>
      </c>
      <c r="C21" s="573">
        <f t="shared" si="22"/>
        <v>218</v>
      </c>
      <c r="D21" s="573">
        <f t="shared" si="23"/>
        <v>318</v>
      </c>
      <c r="E21" s="573">
        <f t="shared" si="24"/>
        <v>418</v>
      </c>
      <c r="F21" s="573">
        <f t="shared" si="24"/>
        <v>518</v>
      </c>
      <c r="G21" s="573">
        <v>818</v>
      </c>
      <c r="H21" s="573">
        <f t="shared" si="25"/>
        <v>6118.1</v>
      </c>
      <c r="I21" s="573">
        <f t="shared" si="26"/>
        <v>6218.2</v>
      </c>
      <c r="J21" s="573">
        <f t="shared" si="27"/>
        <v>6318.3</v>
      </c>
      <c r="K21" s="573">
        <f t="shared" si="28"/>
        <v>6418.4</v>
      </c>
      <c r="L21" s="846"/>
      <c r="M21" s="847"/>
      <c r="N21" s="847"/>
      <c r="O21" s="848"/>
      <c r="P21" s="485">
        <v>118</v>
      </c>
      <c r="Q21" s="200" t="s">
        <v>561</v>
      </c>
      <c r="R21" s="138"/>
      <c r="S21" s="707" t="s">
        <v>563</v>
      </c>
      <c r="T21" s="676" t="s">
        <v>580</v>
      </c>
      <c r="U21" s="485">
        <f t="shared" si="6"/>
        <v>118</v>
      </c>
      <c r="V21" s="200" t="str">
        <f t="shared" si="7"/>
        <v>….</v>
      </c>
      <c r="W21" s="533">
        <f t="shared" si="8"/>
        <v>0</v>
      </c>
      <c r="X21" s="533" t="str">
        <f t="shared" si="9"/>
        <v xml:space="preserve"> = … JOB/ROOMS OVERVIEW PICS ..</v>
      </c>
      <c r="Y21" s="643" t="str">
        <f>$T$21</f>
        <v>….........</v>
      </c>
      <c r="Z21" s="581">
        <f t="shared" si="1"/>
        <v>218</v>
      </c>
      <c r="AA21" s="200" t="str">
        <f t="shared" si="10"/>
        <v>….</v>
      </c>
      <c r="AB21" s="533">
        <f t="shared" si="11"/>
        <v>0</v>
      </c>
      <c r="AC21" s="533" t="str">
        <f t="shared" si="12"/>
        <v>….. SOURCE of  LOSS PICS …..</v>
      </c>
      <c r="AD21" s="643" t="str">
        <f>$T$21</f>
        <v>….........</v>
      </c>
      <c r="AE21" s="533">
        <f t="shared" si="2"/>
        <v>318</v>
      </c>
      <c r="AF21" s="200" t="str">
        <f t="shared" si="13"/>
        <v>….</v>
      </c>
      <c r="AG21" s="533">
        <f t="shared" si="29"/>
        <v>0</v>
      </c>
      <c r="AH21" s="533" t="str">
        <f t="shared" si="14"/>
        <v>…..  C.P.S.  …...</v>
      </c>
      <c r="AI21" s="643" t="str">
        <f>$T$21</f>
        <v>….........</v>
      </c>
      <c r="AJ21" s="432"/>
      <c r="AK21" s="533">
        <f t="shared" si="3"/>
        <v>418</v>
      </c>
      <c r="AL21" s="200" t="str">
        <f t="shared" si="15"/>
        <v>….</v>
      </c>
      <c r="AM21" s="533">
        <f t="shared" si="39"/>
        <v>0</v>
      </c>
      <c r="AN21" s="533" t="str">
        <f t="shared" si="16"/>
        <v>NON SALVAGEABLE ITEMS</v>
      </c>
      <c r="AO21" s="643" t="str">
        <f>$T$21</f>
        <v>….........</v>
      </c>
      <c r="AP21" s="432">
        <f t="shared" si="30"/>
        <v>518</v>
      </c>
      <c r="AQ21" s="200" t="s">
        <v>561</v>
      </c>
      <c r="AR21" s="533">
        <f t="shared" si="17"/>
        <v>0</v>
      </c>
      <c r="AS21" s="643" t="str">
        <f t="shared" si="40"/>
        <v>,,,,,, DMO = DEMOLITION …....</v>
      </c>
      <c r="AT21" s="643" t="str">
        <f t="shared" si="31"/>
        <v>….........</v>
      </c>
      <c r="AU21" s="533">
        <f t="shared" si="4"/>
        <v>818</v>
      </c>
      <c r="AV21" s="200" t="s">
        <v>569</v>
      </c>
      <c r="AW21" s="533">
        <f t="shared" si="32"/>
        <v>0</v>
      </c>
      <c r="AX21" s="581" t="str">
        <f t="shared" si="33"/>
        <v>… MITIGATION  EQUIPMENT &amp; W.I.P . ...</v>
      </c>
      <c r="AY21" s="643" t="str">
        <f>$T$21</f>
        <v>….........</v>
      </c>
      <c r="AZ21" s="244">
        <f t="shared" si="18"/>
        <v>6118.1</v>
      </c>
      <c r="BA21" s="200" t="s">
        <v>569</v>
      </c>
      <c r="BB21" s="533">
        <f t="shared" si="34"/>
        <v>0</v>
      </c>
      <c r="BC21" s="533" t="str">
        <f t="shared" si="41"/>
        <v xml:space="preserve">  ...  DAY1    MC READINGS ..</v>
      </c>
      <c r="BE21" s="643" t="str">
        <f>$T$21</f>
        <v>….........</v>
      </c>
      <c r="BF21" s="244">
        <f t="shared" si="19"/>
        <v>6218.2</v>
      </c>
      <c r="BG21" s="200" t="s">
        <v>569</v>
      </c>
      <c r="BH21" s="533">
        <f t="shared" si="35"/>
        <v>0</v>
      </c>
      <c r="BI21" t="str">
        <f t="shared" si="42"/>
        <v xml:space="preserve">  ...  DAY2    MC READINGS ..</v>
      </c>
      <c r="BJ21" s="643" t="str">
        <f>$T$21</f>
        <v>….........</v>
      </c>
      <c r="BK21" s="244">
        <f t="shared" si="20"/>
        <v>6318.3</v>
      </c>
      <c r="BL21" s="200" t="s">
        <v>569</v>
      </c>
      <c r="BM21" s="533">
        <f t="shared" si="36"/>
        <v>0</v>
      </c>
      <c r="BN21" t="str">
        <f t="shared" si="43"/>
        <v xml:space="preserve">  ...  DAY3    MC READINGS ..</v>
      </c>
      <c r="BO21" s="643" t="str">
        <f>$T$21</f>
        <v>….........</v>
      </c>
      <c r="BP21" s="244">
        <f>K21</f>
        <v>6418.4</v>
      </c>
      <c r="BQ21" s="200" t="s">
        <v>569</v>
      </c>
      <c r="BR21" s="533">
        <f t="shared" si="37"/>
        <v>0</v>
      </c>
      <c r="BS21" t="str">
        <f t="shared" si="44"/>
        <v xml:space="preserve">  ...  DAY4    MC READINGS </v>
      </c>
      <c r="BT21" s="643" t="str">
        <f>$T$21</f>
        <v>….........</v>
      </c>
      <c r="BU21" s="649">
        <f t="shared" si="48"/>
        <v>7303</v>
      </c>
      <c r="BV21" s="615" t="s">
        <v>593</v>
      </c>
      <c r="BW21" s="32" t="str">
        <f t="shared" ref="BW21:BW22" si="49">BW19</f>
        <v xml:space="preserve">….. DAY 3 ….. </v>
      </c>
      <c r="BX21" s="610" t="s">
        <v>588</v>
      </c>
      <c r="CB21" s="657"/>
      <c r="CC21" s="578"/>
      <c r="CD21" s="14"/>
      <c r="CE21" s="610"/>
      <c r="CF21" t="s">
        <v>563</v>
      </c>
      <c r="CG21" s="610"/>
      <c r="CH21" s="597">
        <f t="shared" si="47"/>
        <v>70118</v>
      </c>
      <c r="CI21" s="613" t="s">
        <v>558</v>
      </c>
      <c r="CJ21" s="704">
        <f>R22</f>
        <v>0</v>
      </c>
      <c r="CK21" s="709" t="s">
        <v>563</v>
      </c>
      <c r="CL21" s="138" t="str">
        <f>T21</f>
        <v>….........</v>
      </c>
      <c r="CM21" s="709" t="s">
        <v>563</v>
      </c>
      <c r="CN21" s="689" t="str">
        <f t="shared" si="38"/>
        <v>… DAY # 0  … MC READINGS STABILIZATION</v>
      </c>
      <c r="CO21" s="614"/>
      <c r="CP21">
        <f>R22</f>
        <v>0</v>
      </c>
      <c r="CQ21" t="str">
        <f>T22</f>
        <v>….........</v>
      </c>
      <c r="CZ21" s="572"/>
    </row>
    <row r="22" spans="1:104" ht="26.65" customHeight="1" thickTop="1" thickBot="1">
      <c r="A22">
        <f t="shared" si="21"/>
        <v>0</v>
      </c>
      <c r="B22" s="485">
        <f t="shared" si="5"/>
        <v>119</v>
      </c>
      <c r="C22" s="782">
        <f t="shared" si="22"/>
        <v>219</v>
      </c>
      <c r="D22" s="782">
        <f t="shared" si="23"/>
        <v>319</v>
      </c>
      <c r="E22" s="782">
        <f t="shared" si="24"/>
        <v>419</v>
      </c>
      <c r="F22" s="782">
        <f t="shared" si="24"/>
        <v>519</v>
      </c>
      <c r="G22" s="782">
        <v>819</v>
      </c>
      <c r="H22" s="782">
        <f t="shared" si="25"/>
        <v>6119.1</v>
      </c>
      <c r="I22" s="782">
        <f t="shared" si="26"/>
        <v>6219.2</v>
      </c>
      <c r="J22" s="782">
        <f t="shared" si="27"/>
        <v>6319.3</v>
      </c>
      <c r="K22" s="782">
        <f t="shared" si="28"/>
        <v>6419.4</v>
      </c>
      <c r="L22" s="846"/>
      <c r="M22" s="847"/>
      <c r="N22" s="847"/>
      <c r="O22" s="848"/>
      <c r="P22" s="485">
        <v>119</v>
      </c>
      <c r="Q22" s="200" t="s">
        <v>561</v>
      </c>
      <c r="R22" s="138"/>
      <c r="S22" s="707" t="s">
        <v>563</v>
      </c>
      <c r="T22" s="676" t="s">
        <v>580</v>
      </c>
      <c r="U22" s="485">
        <f t="shared" si="6"/>
        <v>119</v>
      </c>
      <c r="V22" s="200" t="str">
        <f t="shared" si="7"/>
        <v>….</v>
      </c>
      <c r="W22" s="533">
        <f t="shared" si="8"/>
        <v>0</v>
      </c>
      <c r="X22" s="533" t="str">
        <f t="shared" si="9"/>
        <v xml:space="preserve"> = … JOB/ROOMS OVERVIEW PICS ..</v>
      </c>
      <c r="Y22" s="643" t="str">
        <f>$T$22</f>
        <v>….........</v>
      </c>
      <c r="Z22" s="581">
        <f t="shared" si="1"/>
        <v>219</v>
      </c>
      <c r="AA22" s="200" t="str">
        <f t="shared" si="10"/>
        <v>….</v>
      </c>
      <c r="AB22" s="533">
        <f t="shared" si="11"/>
        <v>0</v>
      </c>
      <c r="AC22" s="533" t="str">
        <f t="shared" si="12"/>
        <v>….. SOURCE of  LOSS PICS …..</v>
      </c>
      <c r="AD22" s="643" t="str">
        <f>$T$22</f>
        <v>….........</v>
      </c>
      <c r="AE22" s="533">
        <f t="shared" si="2"/>
        <v>319</v>
      </c>
      <c r="AF22" s="200" t="str">
        <f t="shared" si="13"/>
        <v>….</v>
      </c>
      <c r="AG22" s="533">
        <f t="shared" si="29"/>
        <v>0</v>
      </c>
      <c r="AH22" s="533" t="str">
        <f t="shared" si="14"/>
        <v>…..  C.P.S.  …...</v>
      </c>
      <c r="AI22" s="643" t="str">
        <f>$T$22</f>
        <v>….........</v>
      </c>
      <c r="AJ22" s="432"/>
      <c r="AK22" s="533">
        <f t="shared" si="3"/>
        <v>419</v>
      </c>
      <c r="AL22" s="200" t="str">
        <f t="shared" si="15"/>
        <v>….</v>
      </c>
      <c r="AM22" s="533">
        <f t="shared" si="39"/>
        <v>0</v>
      </c>
      <c r="AN22" s="533" t="str">
        <f t="shared" si="16"/>
        <v>NON SALVAGEABLE ITEMS</v>
      </c>
      <c r="AO22" s="643" t="str">
        <f>$T$22</f>
        <v>….........</v>
      </c>
      <c r="AP22" s="432">
        <f t="shared" si="30"/>
        <v>519</v>
      </c>
      <c r="AQ22" s="200" t="s">
        <v>561</v>
      </c>
      <c r="AR22" s="533">
        <f t="shared" si="17"/>
        <v>0</v>
      </c>
      <c r="AS22" s="643" t="str">
        <f t="shared" si="40"/>
        <v>,,,,,, DMO = DEMOLITION …....</v>
      </c>
      <c r="AT22" s="643" t="str">
        <f t="shared" si="31"/>
        <v>….........</v>
      </c>
      <c r="AU22" s="533">
        <f t="shared" si="4"/>
        <v>819</v>
      </c>
      <c r="AV22" s="200" t="s">
        <v>569</v>
      </c>
      <c r="AW22" s="533">
        <f t="shared" si="32"/>
        <v>0</v>
      </c>
      <c r="AX22" s="581" t="str">
        <f t="shared" si="33"/>
        <v>… MITIGATION  EQUIPMENT &amp; W.I.P . ...</v>
      </c>
      <c r="AY22" s="643" t="str">
        <f>$T$22</f>
        <v>….........</v>
      </c>
      <c r="AZ22" s="244">
        <f t="shared" si="18"/>
        <v>6119.1</v>
      </c>
      <c r="BA22" s="200" t="s">
        <v>569</v>
      </c>
      <c r="BB22" s="533">
        <f t="shared" si="34"/>
        <v>0</v>
      </c>
      <c r="BC22" s="533" t="str">
        <f t="shared" si="41"/>
        <v xml:space="preserve">  ...  DAY1    MC READINGS ..</v>
      </c>
      <c r="BE22" s="643" t="str">
        <f>$T$22</f>
        <v>….........</v>
      </c>
      <c r="BF22" s="244">
        <f t="shared" si="19"/>
        <v>6219.2</v>
      </c>
      <c r="BG22" s="200" t="s">
        <v>569</v>
      </c>
      <c r="BH22" s="533">
        <f t="shared" si="35"/>
        <v>0</v>
      </c>
      <c r="BI22" t="str">
        <f t="shared" si="42"/>
        <v xml:space="preserve">  ...  DAY2    MC READINGS ..</v>
      </c>
      <c r="BJ22" s="643" t="str">
        <f>$T$22</f>
        <v>….........</v>
      </c>
      <c r="BK22" s="244">
        <f t="shared" si="20"/>
        <v>6319.3</v>
      </c>
      <c r="BL22" s="200" t="s">
        <v>569</v>
      </c>
      <c r="BM22" s="533">
        <f t="shared" si="36"/>
        <v>0</v>
      </c>
      <c r="BN22" t="str">
        <f t="shared" si="43"/>
        <v xml:space="preserve">  ...  DAY3    MC READINGS ..</v>
      </c>
      <c r="BO22" s="643" t="str">
        <f>$T$22</f>
        <v>….........</v>
      </c>
      <c r="BP22" s="244">
        <f>K22</f>
        <v>6419.4</v>
      </c>
      <c r="BQ22" s="200" t="s">
        <v>569</v>
      </c>
      <c r="BR22" s="533">
        <f t="shared" si="37"/>
        <v>0</v>
      </c>
      <c r="BS22" t="str">
        <f t="shared" si="44"/>
        <v xml:space="preserve">  ...  DAY4    MC READINGS </v>
      </c>
      <c r="BT22" s="643" t="str">
        <f>$T$22</f>
        <v>….........</v>
      </c>
      <c r="BU22" s="649">
        <f t="shared" si="48"/>
        <v>7304</v>
      </c>
      <c r="BV22" s="615" t="s">
        <v>597</v>
      </c>
      <c r="BW22" s="32" t="str">
        <f t="shared" si="49"/>
        <v xml:space="preserve">….. DAY 3 ….. </v>
      </c>
      <c r="BX22" s="610" t="s">
        <v>588</v>
      </c>
      <c r="CB22" s="657"/>
      <c r="CC22" s="578"/>
      <c r="CD22" s="14"/>
      <c r="CE22" s="688"/>
      <c r="CF22" t="s">
        <v>563</v>
      </c>
      <c r="CG22" s="138"/>
      <c r="CH22" s="597">
        <f t="shared" si="47"/>
        <v>70119</v>
      </c>
      <c r="CI22" s="782" t="s">
        <v>558</v>
      </c>
      <c r="CJ22" s="704">
        <f>R23</f>
        <v>0</v>
      </c>
      <c r="CK22" s="709" t="s">
        <v>563</v>
      </c>
      <c r="CL22" s="138" t="str">
        <f>T22</f>
        <v>….........</v>
      </c>
      <c r="CM22" s="709" t="s">
        <v>563</v>
      </c>
      <c r="CN22" s="689" t="str">
        <f t="shared" si="38"/>
        <v>… DAY # 0  … MC READINGS STABILIZATION</v>
      </c>
      <c r="CO22" s="614"/>
      <c r="CP22">
        <f>R23</f>
        <v>0</v>
      </c>
      <c r="CQ22" t="str">
        <f>T23</f>
        <v>….........</v>
      </c>
      <c r="CZ22" s="570"/>
    </row>
    <row r="23" spans="1:104" ht="26.65" customHeight="1" thickTop="1" thickBot="1">
      <c r="A23" s="432">
        <f t="shared" si="21"/>
        <v>0</v>
      </c>
      <c r="B23" s="485">
        <f t="shared" si="5"/>
        <v>120</v>
      </c>
      <c r="C23" s="573">
        <f t="shared" si="22"/>
        <v>220</v>
      </c>
      <c r="D23" s="573">
        <f t="shared" si="23"/>
        <v>320</v>
      </c>
      <c r="E23" s="573">
        <f t="shared" si="24"/>
        <v>420</v>
      </c>
      <c r="F23" s="573">
        <f t="shared" si="24"/>
        <v>520</v>
      </c>
      <c r="G23" s="573">
        <v>820</v>
      </c>
      <c r="H23" s="573">
        <f t="shared" si="25"/>
        <v>6120.1</v>
      </c>
      <c r="I23" s="573">
        <f t="shared" si="26"/>
        <v>6220.2</v>
      </c>
      <c r="J23" s="573">
        <f t="shared" si="27"/>
        <v>6320.3</v>
      </c>
      <c r="K23" s="573">
        <f t="shared" si="28"/>
        <v>6420.4</v>
      </c>
      <c r="L23" s="846"/>
      <c r="M23" s="847"/>
      <c r="N23" s="847"/>
      <c r="O23" s="848"/>
      <c r="P23" s="485">
        <v>120</v>
      </c>
      <c r="Q23" s="200" t="s">
        <v>561</v>
      </c>
      <c r="R23" s="138"/>
      <c r="S23" s="707" t="s">
        <v>563</v>
      </c>
      <c r="T23" s="676" t="s">
        <v>580</v>
      </c>
      <c r="U23" s="485">
        <f t="shared" si="6"/>
        <v>120</v>
      </c>
      <c r="V23" s="200" t="str">
        <f t="shared" si="7"/>
        <v>….</v>
      </c>
      <c r="W23" s="533">
        <f t="shared" si="8"/>
        <v>0</v>
      </c>
      <c r="X23" s="533" t="str">
        <f t="shared" si="9"/>
        <v xml:space="preserve"> = … JOB/ROOMS OVERVIEW PICS ..</v>
      </c>
      <c r="Y23" s="643" t="str">
        <f>$T$23</f>
        <v>….........</v>
      </c>
      <c r="Z23" s="581">
        <f t="shared" si="1"/>
        <v>220</v>
      </c>
      <c r="AA23" s="200" t="str">
        <f t="shared" si="10"/>
        <v>….</v>
      </c>
      <c r="AB23" s="533">
        <f t="shared" si="11"/>
        <v>0</v>
      </c>
      <c r="AC23" s="533" t="str">
        <f t="shared" si="12"/>
        <v>….. SOURCE of  LOSS PICS …..</v>
      </c>
      <c r="AD23" s="643" t="str">
        <f>$T$23</f>
        <v>….........</v>
      </c>
      <c r="AE23" s="533">
        <f t="shared" si="2"/>
        <v>320</v>
      </c>
      <c r="AF23" s="200" t="str">
        <f t="shared" si="13"/>
        <v>….</v>
      </c>
      <c r="AG23" s="533">
        <f t="shared" si="29"/>
        <v>0</v>
      </c>
      <c r="AH23" s="533" t="str">
        <f t="shared" si="14"/>
        <v>…..  C.P.S.  …...</v>
      </c>
      <c r="AI23" s="643" t="str">
        <f>$T$23</f>
        <v>….........</v>
      </c>
      <c r="AJ23" s="432"/>
      <c r="AK23" s="533">
        <f t="shared" si="3"/>
        <v>420</v>
      </c>
      <c r="AL23" s="200" t="str">
        <f t="shared" si="15"/>
        <v>….</v>
      </c>
      <c r="AM23" s="533">
        <f t="shared" si="39"/>
        <v>0</v>
      </c>
      <c r="AN23" s="533" t="str">
        <f t="shared" si="16"/>
        <v>NON SALVAGEABLE ITEMS</v>
      </c>
      <c r="AO23" s="643" t="str">
        <f>$T$23</f>
        <v>….........</v>
      </c>
      <c r="AP23" s="432">
        <f t="shared" si="30"/>
        <v>520</v>
      </c>
      <c r="AQ23" s="200" t="s">
        <v>561</v>
      </c>
      <c r="AR23" s="533">
        <f t="shared" si="17"/>
        <v>0</v>
      </c>
      <c r="AS23" s="643" t="str">
        <f t="shared" si="40"/>
        <v>,,,,,, DMO = DEMOLITION …....</v>
      </c>
      <c r="AT23" s="643" t="str">
        <f t="shared" si="31"/>
        <v>….........</v>
      </c>
      <c r="AU23" s="533">
        <f t="shared" si="4"/>
        <v>820</v>
      </c>
      <c r="AV23" s="200" t="s">
        <v>569</v>
      </c>
      <c r="AW23" s="533">
        <f t="shared" si="32"/>
        <v>0</v>
      </c>
      <c r="AX23" s="581" t="str">
        <f t="shared" si="33"/>
        <v>… MITIGATION  EQUIPMENT &amp; W.I.P . ...</v>
      </c>
      <c r="AY23" s="643" t="str">
        <f>$T$23</f>
        <v>….........</v>
      </c>
      <c r="AZ23" s="244">
        <f t="shared" si="18"/>
        <v>6120.1</v>
      </c>
      <c r="BA23" s="200" t="s">
        <v>569</v>
      </c>
      <c r="BB23" s="533">
        <f t="shared" si="34"/>
        <v>0</v>
      </c>
      <c r="BC23" s="533" t="str">
        <f t="shared" si="41"/>
        <v xml:space="preserve">  ...  DAY1    MC READINGS ..</v>
      </c>
      <c r="BE23" s="643" t="str">
        <f>$T$23</f>
        <v>….........</v>
      </c>
      <c r="BF23" s="244">
        <f t="shared" si="19"/>
        <v>6220.2</v>
      </c>
      <c r="BG23" s="200" t="s">
        <v>569</v>
      </c>
      <c r="BH23" s="533">
        <f t="shared" si="35"/>
        <v>0</v>
      </c>
      <c r="BI23" t="str">
        <f t="shared" si="42"/>
        <v xml:space="preserve">  ...  DAY2    MC READINGS ..</v>
      </c>
      <c r="BJ23" s="643" t="str">
        <f>$T$23</f>
        <v>….........</v>
      </c>
      <c r="BK23" s="244">
        <f t="shared" si="20"/>
        <v>6320.3</v>
      </c>
      <c r="BL23" s="200" t="s">
        <v>569</v>
      </c>
      <c r="BM23" s="533">
        <f t="shared" si="36"/>
        <v>0</v>
      </c>
      <c r="BN23" t="str">
        <f t="shared" si="43"/>
        <v xml:space="preserve">  ...  DAY3    MC READINGS ..</v>
      </c>
      <c r="BO23" s="643" t="str">
        <f>$T$23</f>
        <v>….........</v>
      </c>
      <c r="BP23" s="244">
        <f>K23</f>
        <v>6420.4</v>
      </c>
      <c r="BQ23" s="200" t="s">
        <v>569</v>
      </c>
      <c r="BR23" s="533">
        <f t="shared" si="37"/>
        <v>0</v>
      </c>
      <c r="BS23" t="str">
        <f t="shared" si="44"/>
        <v xml:space="preserve">  ...  DAY4    MC READINGS </v>
      </c>
      <c r="BT23" s="643" t="str">
        <f>$T$23</f>
        <v>….........</v>
      </c>
      <c r="BU23" s="657">
        <v>7400</v>
      </c>
      <c r="BV23" s="610" t="str">
        <f>BV17</f>
        <v>RH &amp;T &amp; GPP  DRY CHAMBERS [DC] .READ INGS  ===========</v>
      </c>
      <c r="BW23" s="645" t="s">
        <v>557</v>
      </c>
      <c r="CB23" s="657"/>
      <c r="CC23" s="578"/>
      <c r="CD23" s="14"/>
      <c r="CE23" s="610"/>
      <c r="CF23" t="s">
        <v>563</v>
      </c>
      <c r="CG23" s="138"/>
      <c r="CH23" s="597">
        <f t="shared" si="47"/>
        <v>70120</v>
      </c>
      <c r="CI23" s="8" t="s">
        <v>558</v>
      </c>
      <c r="CJ23" s="704">
        <f>R24</f>
        <v>0</v>
      </c>
      <c r="CK23" s="709" t="s">
        <v>563</v>
      </c>
      <c r="CL23" s="138" t="str">
        <f>T23</f>
        <v>….........</v>
      </c>
      <c r="CM23" s="709" t="s">
        <v>563</v>
      </c>
      <c r="CN23" s="689" t="str">
        <f t="shared" si="38"/>
        <v>… DAY # 0  … MC READINGS STABILIZATION</v>
      </c>
      <c r="CO23" s="614"/>
      <c r="CP23">
        <f>R24</f>
        <v>0</v>
      </c>
      <c r="CQ23" t="str">
        <f>T24</f>
        <v>….........</v>
      </c>
      <c r="CZ23" s="572"/>
    </row>
    <row r="24" spans="1:104" ht="26.65" customHeight="1" thickTop="1" thickBot="1">
      <c r="A24">
        <f t="shared" si="21"/>
        <v>0</v>
      </c>
      <c r="B24" s="485">
        <f t="shared" si="5"/>
        <v>121</v>
      </c>
      <c r="C24" s="782">
        <f t="shared" si="22"/>
        <v>221</v>
      </c>
      <c r="D24" s="782">
        <f t="shared" si="23"/>
        <v>321</v>
      </c>
      <c r="E24" s="782">
        <f t="shared" si="24"/>
        <v>421</v>
      </c>
      <c r="F24" s="782">
        <f t="shared" si="24"/>
        <v>521</v>
      </c>
      <c r="G24" s="782">
        <v>821</v>
      </c>
      <c r="H24" s="782">
        <f t="shared" si="25"/>
        <v>6121.1</v>
      </c>
      <c r="I24" s="782">
        <f t="shared" si="26"/>
        <v>6221.2</v>
      </c>
      <c r="J24" s="782">
        <f t="shared" si="27"/>
        <v>6321.3</v>
      </c>
      <c r="K24" s="782">
        <f t="shared" si="28"/>
        <v>6421.4</v>
      </c>
      <c r="L24" s="846"/>
      <c r="M24" s="847"/>
      <c r="N24" s="847"/>
      <c r="O24" s="848"/>
      <c r="P24" s="485">
        <v>121</v>
      </c>
      <c r="Q24" s="200" t="s">
        <v>561</v>
      </c>
      <c r="R24" s="138"/>
      <c r="S24" s="707" t="s">
        <v>563</v>
      </c>
      <c r="T24" s="676" t="s">
        <v>580</v>
      </c>
      <c r="U24" s="485">
        <f t="shared" si="6"/>
        <v>121</v>
      </c>
      <c r="V24" s="200" t="str">
        <f t="shared" si="7"/>
        <v>….</v>
      </c>
      <c r="W24" s="533">
        <f t="shared" si="8"/>
        <v>0</v>
      </c>
      <c r="X24" s="533" t="str">
        <f t="shared" si="9"/>
        <v xml:space="preserve"> = … JOB/ROOMS OVERVIEW PICS ..</v>
      </c>
      <c r="Y24" s="643" t="str">
        <f>$T$24</f>
        <v>….........</v>
      </c>
      <c r="Z24" s="581">
        <f t="shared" si="1"/>
        <v>221</v>
      </c>
      <c r="AA24" s="200" t="str">
        <f t="shared" si="10"/>
        <v>….</v>
      </c>
      <c r="AB24" s="533">
        <f t="shared" si="11"/>
        <v>0</v>
      </c>
      <c r="AC24" s="533" t="str">
        <f t="shared" si="12"/>
        <v>….. SOURCE of  LOSS PICS …..</v>
      </c>
      <c r="AD24" s="643" t="str">
        <f>$T$24</f>
        <v>….........</v>
      </c>
      <c r="AE24" s="533">
        <f t="shared" si="2"/>
        <v>321</v>
      </c>
      <c r="AF24" s="200" t="str">
        <f t="shared" si="13"/>
        <v>….</v>
      </c>
      <c r="AG24" s="533">
        <f t="shared" si="29"/>
        <v>0</v>
      </c>
      <c r="AH24" s="533" t="str">
        <f t="shared" si="14"/>
        <v>…..  C.P.S.  …...</v>
      </c>
      <c r="AI24" s="643" t="str">
        <f>$T$24</f>
        <v>….........</v>
      </c>
      <c r="AJ24" s="432"/>
      <c r="AK24" s="533">
        <f t="shared" si="3"/>
        <v>421</v>
      </c>
      <c r="AL24" s="200" t="str">
        <f t="shared" si="15"/>
        <v>….</v>
      </c>
      <c r="AM24" s="533">
        <f t="shared" si="39"/>
        <v>0</v>
      </c>
      <c r="AN24" s="533" t="str">
        <f t="shared" si="16"/>
        <v>NON SALVAGEABLE ITEMS</v>
      </c>
      <c r="AO24" s="643" t="str">
        <f>$T$24</f>
        <v>….........</v>
      </c>
      <c r="AP24" s="432">
        <f t="shared" si="30"/>
        <v>521</v>
      </c>
      <c r="AQ24" s="200" t="s">
        <v>561</v>
      </c>
      <c r="AR24" s="533">
        <f t="shared" si="17"/>
        <v>0</v>
      </c>
      <c r="AS24" s="643" t="str">
        <f t="shared" si="40"/>
        <v>,,,,,, DMO = DEMOLITION …....</v>
      </c>
      <c r="AT24" s="643" t="str">
        <f t="shared" si="31"/>
        <v>….........</v>
      </c>
      <c r="AU24" s="533">
        <f t="shared" si="4"/>
        <v>821</v>
      </c>
      <c r="AV24" s="200" t="s">
        <v>569</v>
      </c>
      <c r="AW24" s="533">
        <f t="shared" si="32"/>
        <v>0</v>
      </c>
      <c r="AX24" s="581" t="str">
        <f t="shared" si="33"/>
        <v>… MITIGATION  EQUIPMENT &amp; W.I.P . ...</v>
      </c>
      <c r="AY24" s="643" t="str">
        <f>$T$24</f>
        <v>….........</v>
      </c>
      <c r="AZ24" s="244">
        <f t="shared" si="18"/>
        <v>6121.1</v>
      </c>
      <c r="BA24" s="200" t="s">
        <v>569</v>
      </c>
      <c r="BB24" s="533">
        <f t="shared" si="34"/>
        <v>0</v>
      </c>
      <c r="BC24" s="533" t="str">
        <f t="shared" si="41"/>
        <v xml:space="preserve">  ...  DAY1    MC READINGS ..</v>
      </c>
      <c r="BE24" s="643" t="str">
        <f>$T$24</f>
        <v>….........</v>
      </c>
      <c r="BF24" s="244">
        <f t="shared" si="19"/>
        <v>6221.2</v>
      </c>
      <c r="BG24" s="200" t="s">
        <v>569</v>
      </c>
      <c r="BH24" s="533">
        <f t="shared" si="35"/>
        <v>0</v>
      </c>
      <c r="BI24" t="str">
        <f t="shared" si="42"/>
        <v xml:space="preserve">  ...  DAY2    MC READINGS ..</v>
      </c>
      <c r="BJ24" s="643" t="str">
        <f>$T$24</f>
        <v>….........</v>
      </c>
      <c r="BK24" s="244">
        <f t="shared" si="20"/>
        <v>6321.3</v>
      </c>
      <c r="BL24" s="200" t="s">
        <v>569</v>
      </c>
      <c r="BM24" s="533">
        <f t="shared" si="36"/>
        <v>0</v>
      </c>
      <c r="BN24" t="str">
        <f t="shared" si="43"/>
        <v xml:space="preserve">  ...  DAY3    MC READINGS ..</v>
      </c>
      <c r="BO24" s="643" t="str">
        <f>$T$24</f>
        <v>….........</v>
      </c>
      <c r="BP24" s="244">
        <f>K24</f>
        <v>6421.4</v>
      </c>
      <c r="BQ24" s="200" t="s">
        <v>569</v>
      </c>
      <c r="BR24" s="533">
        <f t="shared" si="37"/>
        <v>0</v>
      </c>
      <c r="BS24" t="str">
        <f t="shared" si="44"/>
        <v xml:space="preserve">  ...  DAY4    MC READINGS </v>
      </c>
      <c r="BT24" s="643" t="str">
        <f>$T$24</f>
        <v>….........</v>
      </c>
      <c r="BU24" s="657">
        <v>7400</v>
      </c>
      <c r="BV24" s="614" t="s">
        <v>584</v>
      </c>
      <c r="BW24" s="646" t="s">
        <v>557</v>
      </c>
      <c r="CB24" s="657"/>
      <c r="CC24" s="578"/>
      <c r="CD24" s="14"/>
      <c r="CE24" s="610"/>
      <c r="CF24" t="s">
        <v>563</v>
      </c>
      <c r="CG24" s="138"/>
      <c r="CH24" s="597">
        <f t="shared" si="47"/>
        <v>70121</v>
      </c>
      <c r="CI24" s="32" t="s">
        <v>558</v>
      </c>
      <c r="CJ24" s="704">
        <f>R25</f>
        <v>0</v>
      </c>
      <c r="CK24" s="709" t="s">
        <v>563</v>
      </c>
      <c r="CL24" s="138" t="str">
        <f>T24</f>
        <v>….........</v>
      </c>
      <c r="CM24" s="709" t="s">
        <v>563</v>
      </c>
      <c r="CN24" s="689" t="str">
        <f t="shared" si="38"/>
        <v>… DAY # 0  … MC READINGS STABILIZATION</v>
      </c>
      <c r="CO24" s="614"/>
      <c r="CP24">
        <f>R25</f>
        <v>0</v>
      </c>
      <c r="CQ24" t="str">
        <f>T25</f>
        <v>….........</v>
      </c>
      <c r="CZ24" s="570"/>
    </row>
    <row r="25" spans="1:104" ht="26.65" customHeight="1" thickTop="1" thickBot="1">
      <c r="A25" s="432">
        <f t="shared" si="21"/>
        <v>0</v>
      </c>
      <c r="B25" s="485">
        <f t="shared" si="5"/>
        <v>122</v>
      </c>
      <c r="C25" s="573">
        <f t="shared" si="22"/>
        <v>222</v>
      </c>
      <c r="D25" s="573">
        <f t="shared" si="23"/>
        <v>322</v>
      </c>
      <c r="E25" s="573">
        <f t="shared" si="24"/>
        <v>422</v>
      </c>
      <c r="F25" s="573">
        <f t="shared" si="24"/>
        <v>522</v>
      </c>
      <c r="G25" s="573">
        <v>822</v>
      </c>
      <c r="H25" s="573">
        <f t="shared" si="25"/>
        <v>6122.1</v>
      </c>
      <c r="I25" s="573">
        <f t="shared" si="26"/>
        <v>6222.2</v>
      </c>
      <c r="J25" s="573">
        <f t="shared" si="27"/>
        <v>6322.3</v>
      </c>
      <c r="K25" s="573">
        <f t="shared" si="28"/>
        <v>6422.4</v>
      </c>
      <c r="L25" s="846"/>
      <c r="M25" s="847"/>
      <c r="N25" s="847"/>
      <c r="O25" s="848"/>
      <c r="P25" s="485">
        <v>122</v>
      </c>
      <c r="Q25" s="200" t="s">
        <v>561</v>
      </c>
      <c r="R25" s="138"/>
      <c r="S25" s="707" t="s">
        <v>563</v>
      </c>
      <c r="T25" s="676" t="s">
        <v>580</v>
      </c>
      <c r="U25" s="485">
        <f t="shared" si="6"/>
        <v>122</v>
      </c>
      <c r="V25" s="200" t="str">
        <f t="shared" si="7"/>
        <v>….</v>
      </c>
      <c r="W25" s="533">
        <f t="shared" si="8"/>
        <v>0</v>
      </c>
      <c r="X25" s="533" t="str">
        <f t="shared" si="9"/>
        <v xml:space="preserve"> = … JOB/ROOMS OVERVIEW PICS ..</v>
      </c>
      <c r="Y25" s="643" t="str">
        <f>$T$25</f>
        <v>….........</v>
      </c>
      <c r="Z25" s="581">
        <f t="shared" si="1"/>
        <v>222</v>
      </c>
      <c r="AA25" s="200" t="str">
        <f t="shared" si="10"/>
        <v>….</v>
      </c>
      <c r="AB25" s="533">
        <f t="shared" si="11"/>
        <v>0</v>
      </c>
      <c r="AC25" s="533" t="str">
        <f t="shared" si="12"/>
        <v>….. SOURCE of  LOSS PICS …..</v>
      </c>
      <c r="AD25" s="643" t="str">
        <f>$T$25</f>
        <v>….........</v>
      </c>
      <c r="AE25" s="533">
        <f t="shared" si="2"/>
        <v>322</v>
      </c>
      <c r="AF25" s="200" t="str">
        <f t="shared" si="13"/>
        <v>….</v>
      </c>
      <c r="AG25" s="533">
        <f t="shared" si="29"/>
        <v>0</v>
      </c>
      <c r="AH25" s="533" t="str">
        <f t="shared" si="14"/>
        <v>…..  C.P.S.  …...</v>
      </c>
      <c r="AI25" s="643" t="str">
        <f>$T$25</f>
        <v>….........</v>
      </c>
      <c r="AJ25" s="432"/>
      <c r="AK25" s="533">
        <f t="shared" si="3"/>
        <v>422</v>
      </c>
      <c r="AL25" s="200" t="str">
        <f t="shared" si="15"/>
        <v>….</v>
      </c>
      <c r="AM25" s="533">
        <f t="shared" si="39"/>
        <v>0</v>
      </c>
      <c r="AN25" s="533" t="str">
        <f t="shared" si="16"/>
        <v>NON SALVAGEABLE ITEMS</v>
      </c>
      <c r="AO25" s="643" t="str">
        <f>$T$25</f>
        <v>….........</v>
      </c>
      <c r="AP25" s="432">
        <f t="shared" si="30"/>
        <v>522</v>
      </c>
      <c r="AQ25" s="200" t="s">
        <v>561</v>
      </c>
      <c r="AR25" s="533">
        <f t="shared" si="17"/>
        <v>0</v>
      </c>
      <c r="AS25" s="643" t="str">
        <f t="shared" si="40"/>
        <v>,,,,,, DMO = DEMOLITION …....</v>
      </c>
      <c r="AT25" s="643" t="str">
        <f t="shared" si="31"/>
        <v>….........</v>
      </c>
      <c r="AU25" s="533">
        <f t="shared" si="4"/>
        <v>822</v>
      </c>
      <c r="AV25" s="200" t="s">
        <v>569</v>
      </c>
      <c r="AW25" s="533">
        <f t="shared" si="32"/>
        <v>0</v>
      </c>
      <c r="AX25" s="581" t="str">
        <f t="shared" si="33"/>
        <v>… MITIGATION  EQUIPMENT &amp; W.I.P . ...</v>
      </c>
      <c r="AY25" s="643" t="str">
        <f>$T$25</f>
        <v>….........</v>
      </c>
      <c r="AZ25" s="244">
        <f t="shared" si="18"/>
        <v>6122.1</v>
      </c>
      <c r="BA25" s="200" t="s">
        <v>569</v>
      </c>
      <c r="BB25" s="533">
        <f t="shared" si="34"/>
        <v>0</v>
      </c>
      <c r="BC25" s="533" t="str">
        <f t="shared" si="41"/>
        <v xml:space="preserve">  ...  DAY1    MC READINGS ..</v>
      </c>
      <c r="BE25" s="643" t="str">
        <f>$T$25</f>
        <v>….........</v>
      </c>
      <c r="BF25" s="244">
        <f t="shared" si="19"/>
        <v>6222.2</v>
      </c>
      <c r="BG25" s="200" t="s">
        <v>569</v>
      </c>
      <c r="BH25" s="533">
        <f t="shared" si="35"/>
        <v>0</v>
      </c>
      <c r="BI25" t="str">
        <f t="shared" ref="BI25:BI28" si="50">BI24</f>
        <v xml:space="preserve">  ...  DAY2    MC READINGS ..</v>
      </c>
      <c r="BJ25" s="643" t="str">
        <f>$T$25</f>
        <v>….........</v>
      </c>
      <c r="BK25" s="244">
        <f t="shared" si="20"/>
        <v>6322.3</v>
      </c>
      <c r="BL25" s="200" t="s">
        <v>569</v>
      </c>
      <c r="BM25" s="533">
        <f t="shared" si="36"/>
        <v>0</v>
      </c>
      <c r="BN25" t="str">
        <f t="shared" si="43"/>
        <v xml:space="preserve">  ...  DAY3    MC READINGS ..</v>
      </c>
      <c r="BO25" s="643" t="str">
        <f>$T$25</f>
        <v>….........</v>
      </c>
      <c r="BP25" s="244">
        <f>K25</f>
        <v>6422.4</v>
      </c>
      <c r="BQ25" s="200" t="s">
        <v>569</v>
      </c>
      <c r="BR25" s="533">
        <f t="shared" si="37"/>
        <v>0</v>
      </c>
      <c r="BS25" t="str">
        <f t="shared" si="44"/>
        <v xml:space="preserve">  ...  DAY4    MC READINGS </v>
      </c>
      <c r="BT25" s="643" t="str">
        <f>$T$25</f>
        <v>….........</v>
      </c>
      <c r="BU25" s="649">
        <f>BU24+1</f>
        <v>7401</v>
      </c>
      <c r="BV25" s="615" t="s">
        <v>587</v>
      </c>
      <c r="BW25" s="8" t="str">
        <f>BW24</f>
        <v xml:space="preserve">….. DAY 4 ….. </v>
      </c>
      <c r="BX25" s="610" t="s">
        <v>588</v>
      </c>
      <c r="CB25" s="657"/>
      <c r="CC25" s="578"/>
      <c r="CD25" s="14"/>
      <c r="CE25" s="610"/>
      <c r="CF25" t="s">
        <v>563</v>
      </c>
      <c r="CG25" s="138"/>
      <c r="CH25" s="597">
        <f t="shared" si="47"/>
        <v>70122</v>
      </c>
      <c r="CI25" s="32" t="s">
        <v>558</v>
      </c>
      <c r="CJ25" s="704">
        <f>R26</f>
        <v>0</v>
      </c>
      <c r="CK25" s="709" t="s">
        <v>563</v>
      </c>
      <c r="CL25" s="138" t="str">
        <f>T25</f>
        <v>….........</v>
      </c>
      <c r="CM25" s="709" t="s">
        <v>563</v>
      </c>
      <c r="CN25" s="689" t="str">
        <f t="shared" si="38"/>
        <v>… DAY # 0  … MC READINGS STABILIZATION</v>
      </c>
      <c r="CO25" s="614"/>
      <c r="CP25">
        <f>R26</f>
        <v>0</v>
      </c>
      <c r="CQ25" t="str">
        <f>T26</f>
        <v>….........</v>
      </c>
      <c r="CZ25" s="572"/>
    </row>
    <row r="26" spans="1:104" ht="26.65" customHeight="1" thickTop="1" thickBot="1">
      <c r="A26">
        <f t="shared" si="21"/>
        <v>0</v>
      </c>
      <c r="B26" s="485">
        <f t="shared" si="5"/>
        <v>123</v>
      </c>
      <c r="C26" s="782">
        <f t="shared" si="22"/>
        <v>223</v>
      </c>
      <c r="D26" s="782">
        <f t="shared" si="23"/>
        <v>323</v>
      </c>
      <c r="E26" s="782">
        <f t="shared" si="24"/>
        <v>423</v>
      </c>
      <c r="F26" s="782">
        <f t="shared" si="24"/>
        <v>523</v>
      </c>
      <c r="G26" s="782">
        <v>823</v>
      </c>
      <c r="H26" s="782">
        <f t="shared" si="25"/>
        <v>6123.1</v>
      </c>
      <c r="I26" s="782">
        <f t="shared" si="26"/>
        <v>6223.2</v>
      </c>
      <c r="J26" s="782">
        <f t="shared" si="27"/>
        <v>6323.3</v>
      </c>
      <c r="K26" s="782">
        <f t="shared" si="28"/>
        <v>6423.4</v>
      </c>
      <c r="L26" s="846"/>
      <c r="M26" s="847"/>
      <c r="N26" s="847"/>
      <c r="O26" s="848"/>
      <c r="P26" s="485">
        <v>123</v>
      </c>
      <c r="Q26" s="200" t="s">
        <v>561</v>
      </c>
      <c r="S26" s="707" t="s">
        <v>563</v>
      </c>
      <c r="T26" s="676" t="s">
        <v>580</v>
      </c>
      <c r="U26" s="485">
        <f t="shared" si="6"/>
        <v>123</v>
      </c>
      <c r="V26" s="200" t="str">
        <f t="shared" si="7"/>
        <v>….</v>
      </c>
      <c r="W26" s="533">
        <f t="shared" si="8"/>
        <v>0</v>
      </c>
      <c r="X26" s="533" t="str">
        <f t="shared" si="9"/>
        <v xml:space="preserve"> = … JOB/ROOMS OVERVIEW PICS ..</v>
      </c>
      <c r="Y26" s="643" t="str">
        <f>$T$26</f>
        <v>….........</v>
      </c>
      <c r="Z26" s="581">
        <f t="shared" si="1"/>
        <v>223</v>
      </c>
      <c r="AA26" s="200" t="str">
        <f t="shared" si="10"/>
        <v>….</v>
      </c>
      <c r="AB26" s="533">
        <f t="shared" si="11"/>
        <v>0</v>
      </c>
      <c r="AC26" s="533" t="str">
        <f t="shared" si="12"/>
        <v>….. SOURCE of  LOSS PICS …..</v>
      </c>
      <c r="AD26" s="643" t="str">
        <f>$T$26</f>
        <v>….........</v>
      </c>
      <c r="AE26" s="533">
        <f t="shared" si="2"/>
        <v>323</v>
      </c>
      <c r="AF26" s="200" t="str">
        <f t="shared" si="13"/>
        <v>….</v>
      </c>
      <c r="AG26" s="533">
        <f t="shared" si="29"/>
        <v>0</v>
      </c>
      <c r="AH26" s="533" t="str">
        <f t="shared" si="14"/>
        <v>…..  C.P.S.  …...</v>
      </c>
      <c r="AI26" s="643" t="str">
        <f>$T$26</f>
        <v>….........</v>
      </c>
      <c r="AJ26" s="432"/>
      <c r="AK26" s="533">
        <f t="shared" si="3"/>
        <v>423</v>
      </c>
      <c r="AL26" s="200" t="str">
        <f t="shared" si="15"/>
        <v>….</v>
      </c>
      <c r="AM26" s="533">
        <f t="shared" si="39"/>
        <v>0</v>
      </c>
      <c r="AN26" s="533" t="str">
        <f t="shared" si="16"/>
        <v>NON SALVAGEABLE ITEMS</v>
      </c>
      <c r="AO26" s="643" t="str">
        <f>$T$26</f>
        <v>….........</v>
      </c>
      <c r="AP26" s="432">
        <f t="shared" si="30"/>
        <v>523</v>
      </c>
      <c r="AQ26" s="200" t="s">
        <v>561</v>
      </c>
      <c r="AR26" s="533">
        <f t="shared" si="17"/>
        <v>0</v>
      </c>
      <c r="AS26" s="643" t="str">
        <f t="shared" si="40"/>
        <v>,,,,,, DMO = DEMOLITION …....</v>
      </c>
      <c r="AT26" s="643" t="str">
        <f t="shared" si="31"/>
        <v>….........</v>
      </c>
      <c r="AU26" s="533">
        <f t="shared" si="4"/>
        <v>823</v>
      </c>
      <c r="AV26" s="200" t="s">
        <v>569</v>
      </c>
      <c r="AW26" s="533">
        <f t="shared" si="32"/>
        <v>0</v>
      </c>
      <c r="AX26" s="581" t="str">
        <f t="shared" si="33"/>
        <v>… MITIGATION  EQUIPMENT &amp; W.I.P . ...</v>
      </c>
      <c r="AY26" s="643" t="str">
        <f>$T$26</f>
        <v>….........</v>
      </c>
      <c r="AZ26" s="244">
        <f t="shared" si="18"/>
        <v>6123.1</v>
      </c>
      <c r="BA26" s="200" t="s">
        <v>569</v>
      </c>
      <c r="BB26" s="533">
        <f t="shared" si="34"/>
        <v>0</v>
      </c>
      <c r="BC26" s="533" t="str">
        <f t="shared" si="41"/>
        <v xml:space="preserve">  ...  DAY1    MC READINGS ..</v>
      </c>
      <c r="BE26" s="643" t="str">
        <f>$T$26</f>
        <v>….........</v>
      </c>
      <c r="BF26" s="244">
        <f t="shared" si="19"/>
        <v>6223.2</v>
      </c>
      <c r="BG26" s="200" t="s">
        <v>569</v>
      </c>
      <c r="BH26" s="533">
        <f t="shared" si="35"/>
        <v>0</v>
      </c>
      <c r="BI26" t="str">
        <f t="shared" si="50"/>
        <v xml:space="preserve">  ...  DAY2    MC READINGS ..</v>
      </c>
      <c r="BJ26" s="643" t="str">
        <f>$T$26</f>
        <v>….........</v>
      </c>
      <c r="BK26" s="244">
        <f t="shared" si="20"/>
        <v>6323.3</v>
      </c>
      <c r="BL26" s="200" t="s">
        <v>569</v>
      </c>
      <c r="BM26" s="533">
        <f t="shared" si="36"/>
        <v>0</v>
      </c>
      <c r="BN26" t="str">
        <f t="shared" si="43"/>
        <v xml:space="preserve">  ...  DAY3    MC READINGS ..</v>
      </c>
      <c r="BO26" s="643" t="str">
        <f>$T$26</f>
        <v>….........</v>
      </c>
      <c r="BP26" s="244">
        <f>K26</f>
        <v>6423.4</v>
      </c>
      <c r="BQ26" s="200" t="s">
        <v>569</v>
      </c>
      <c r="BR26" s="533">
        <f t="shared" si="37"/>
        <v>0</v>
      </c>
      <c r="BS26" t="str">
        <f t="shared" si="44"/>
        <v xml:space="preserve">  ...  DAY4    MC READINGS </v>
      </c>
      <c r="BT26" s="643" t="str">
        <f>$T$26</f>
        <v>….........</v>
      </c>
      <c r="BU26" s="648">
        <f>BU25+1</f>
        <v>7402</v>
      </c>
      <c r="BV26" s="615" t="s">
        <v>590</v>
      </c>
      <c r="BW26" s="32" t="str">
        <f>BW25</f>
        <v xml:space="preserve">….. DAY 4 ….. </v>
      </c>
      <c r="BX26" s="610" t="s">
        <v>588</v>
      </c>
      <c r="CB26" s="657"/>
      <c r="CC26" s="578"/>
      <c r="CD26" s="14"/>
      <c r="CE26" s="610"/>
      <c r="CF26" t="s">
        <v>563</v>
      </c>
      <c r="CG26" s="138"/>
      <c r="CH26" s="597">
        <f t="shared" si="47"/>
        <v>70123</v>
      </c>
      <c r="CI26" s="32" t="s">
        <v>558</v>
      </c>
      <c r="CJ26" s="704">
        <f>R27</f>
        <v>0</v>
      </c>
      <c r="CK26" s="709" t="s">
        <v>563</v>
      </c>
      <c r="CL26" s="138" t="str">
        <f>T26</f>
        <v>….........</v>
      </c>
      <c r="CM26" s="709" t="s">
        <v>563</v>
      </c>
      <c r="CN26" s="689" t="str">
        <f t="shared" si="38"/>
        <v>… DAY # 0  … MC READINGS STABILIZATION</v>
      </c>
      <c r="CO26" s="614"/>
      <c r="CP26">
        <f>R27</f>
        <v>0</v>
      </c>
      <c r="CQ26" t="str">
        <f>T27</f>
        <v>….........</v>
      </c>
      <c r="CZ26" s="570"/>
    </row>
    <row r="27" spans="1:104" ht="26.65" customHeight="1" thickTop="1" thickBot="1">
      <c r="A27" s="432">
        <f t="shared" si="21"/>
        <v>0</v>
      </c>
      <c r="B27" s="485">
        <f t="shared" si="5"/>
        <v>124</v>
      </c>
      <c r="C27" s="573">
        <f t="shared" si="22"/>
        <v>224</v>
      </c>
      <c r="D27" s="573">
        <f t="shared" si="23"/>
        <v>324</v>
      </c>
      <c r="E27" s="573">
        <f t="shared" si="24"/>
        <v>424</v>
      </c>
      <c r="F27" s="573">
        <f t="shared" si="24"/>
        <v>524</v>
      </c>
      <c r="G27" s="573">
        <v>824</v>
      </c>
      <c r="H27" s="573">
        <f t="shared" si="25"/>
        <v>6124.1</v>
      </c>
      <c r="I27" s="573">
        <f t="shared" si="26"/>
        <v>6224.2</v>
      </c>
      <c r="J27" s="573">
        <f t="shared" si="27"/>
        <v>6324.3</v>
      </c>
      <c r="K27" s="573">
        <f t="shared" si="28"/>
        <v>6424.4</v>
      </c>
      <c r="L27" s="846"/>
      <c r="M27" s="847"/>
      <c r="N27" s="847"/>
      <c r="O27" s="848"/>
      <c r="P27" s="485">
        <v>124</v>
      </c>
      <c r="Q27" s="200" t="s">
        <v>561</v>
      </c>
      <c r="S27" s="707" t="s">
        <v>563</v>
      </c>
      <c r="T27" s="676" t="s">
        <v>580</v>
      </c>
      <c r="U27" s="485">
        <f t="shared" si="6"/>
        <v>124</v>
      </c>
      <c r="V27" s="200" t="str">
        <f t="shared" si="7"/>
        <v>….</v>
      </c>
      <c r="W27" s="533">
        <f t="shared" ref="W27:W28" si="51">R27</f>
        <v>0</v>
      </c>
      <c r="X27" s="533" t="str">
        <f t="shared" si="9"/>
        <v xml:space="preserve"> = … JOB/ROOMS OVERVIEW PICS ..</v>
      </c>
      <c r="Y27" s="643" t="str">
        <f>$T$27</f>
        <v>….........</v>
      </c>
      <c r="Z27" s="581">
        <f t="shared" si="1"/>
        <v>224</v>
      </c>
      <c r="AA27" s="200" t="str">
        <f t="shared" si="10"/>
        <v>….</v>
      </c>
      <c r="AB27" s="533">
        <f t="shared" si="11"/>
        <v>0</v>
      </c>
      <c r="AC27" s="533" t="str">
        <f t="shared" si="12"/>
        <v>….. SOURCE of  LOSS PICS …..</v>
      </c>
      <c r="AD27" s="643" t="str">
        <f>$T$27</f>
        <v>….........</v>
      </c>
      <c r="AE27" s="533">
        <f t="shared" si="2"/>
        <v>324</v>
      </c>
      <c r="AF27" s="200" t="str">
        <f t="shared" si="13"/>
        <v>….</v>
      </c>
      <c r="AG27" s="533">
        <f t="shared" si="29"/>
        <v>0</v>
      </c>
      <c r="AH27" s="533" t="str">
        <f t="shared" si="14"/>
        <v>…..  C.P.S.  …...</v>
      </c>
      <c r="AI27" s="643" t="str">
        <f>$T$27</f>
        <v>….........</v>
      </c>
      <c r="AJ27" s="432"/>
      <c r="AK27" s="533">
        <f t="shared" si="3"/>
        <v>424</v>
      </c>
      <c r="AL27" s="200" t="str">
        <f t="shared" si="15"/>
        <v>….</v>
      </c>
      <c r="AM27" s="533">
        <f t="shared" si="39"/>
        <v>0</v>
      </c>
      <c r="AN27" s="533" t="str">
        <f t="shared" si="16"/>
        <v>NON SALVAGEABLE ITEMS</v>
      </c>
      <c r="AO27" s="643" t="str">
        <f>$T$27</f>
        <v>….........</v>
      </c>
      <c r="AP27" s="432">
        <f t="shared" si="30"/>
        <v>524</v>
      </c>
      <c r="AQ27" s="200" t="s">
        <v>561</v>
      </c>
      <c r="AR27" s="533">
        <f t="shared" si="17"/>
        <v>0</v>
      </c>
      <c r="AS27" s="643" t="str">
        <f t="shared" si="40"/>
        <v>,,,,,, DMO = DEMOLITION …....</v>
      </c>
      <c r="AT27" s="643" t="str">
        <f t="shared" si="31"/>
        <v>….........</v>
      </c>
      <c r="AU27" s="533">
        <f t="shared" si="4"/>
        <v>824</v>
      </c>
      <c r="AV27" s="200" t="s">
        <v>569</v>
      </c>
      <c r="AW27" s="533">
        <f t="shared" si="32"/>
        <v>0</v>
      </c>
      <c r="AX27" s="581" t="str">
        <f t="shared" si="33"/>
        <v>… MITIGATION  EQUIPMENT &amp; W.I.P . ...</v>
      </c>
      <c r="AY27" s="643" t="str">
        <f>$T$27</f>
        <v>….........</v>
      </c>
      <c r="AZ27" s="244">
        <f t="shared" si="18"/>
        <v>6124.1</v>
      </c>
      <c r="BA27" s="200" t="s">
        <v>569</v>
      </c>
      <c r="BB27" s="533">
        <f t="shared" si="34"/>
        <v>0</v>
      </c>
      <c r="BC27" s="533" t="str">
        <f t="shared" si="41"/>
        <v xml:space="preserve">  ...  DAY1    MC READINGS ..</v>
      </c>
      <c r="BE27" s="643" t="str">
        <f>$T$27</f>
        <v>….........</v>
      </c>
      <c r="BF27" s="244">
        <f t="shared" si="19"/>
        <v>6224.2</v>
      </c>
      <c r="BG27" s="200" t="s">
        <v>569</v>
      </c>
      <c r="BH27" s="533">
        <f t="shared" si="35"/>
        <v>0</v>
      </c>
      <c r="BI27" t="str">
        <f t="shared" si="50"/>
        <v xml:space="preserve">  ...  DAY2    MC READINGS ..</v>
      </c>
      <c r="BJ27" s="643" t="str">
        <f>$T$27</f>
        <v>….........</v>
      </c>
      <c r="BK27" s="244">
        <f t="shared" si="20"/>
        <v>6324.3</v>
      </c>
      <c r="BL27" s="200" t="s">
        <v>569</v>
      </c>
      <c r="BM27" s="533">
        <f t="shared" si="36"/>
        <v>0</v>
      </c>
      <c r="BN27" t="str">
        <f t="shared" si="43"/>
        <v xml:space="preserve">  ...  DAY3    MC READINGS ..</v>
      </c>
      <c r="BO27" s="643" t="str">
        <f>$T$27</f>
        <v>….........</v>
      </c>
      <c r="BP27" s="244">
        <f>K27</f>
        <v>6424.4</v>
      </c>
      <c r="BQ27" s="200" t="s">
        <v>569</v>
      </c>
      <c r="BR27" s="533">
        <f t="shared" si="37"/>
        <v>0</v>
      </c>
      <c r="BS27" t="str">
        <f t="shared" si="44"/>
        <v xml:space="preserve">  ...  DAY4    MC READINGS </v>
      </c>
      <c r="BT27" s="643" t="str">
        <f>$T$27</f>
        <v>….........</v>
      </c>
      <c r="BU27" s="649">
        <f>BU26+1</f>
        <v>7403</v>
      </c>
      <c r="BV27" s="615" t="s">
        <v>593</v>
      </c>
      <c r="BW27" s="32" t="str">
        <f>BW25</f>
        <v xml:space="preserve">….. DAY 4 ….. </v>
      </c>
      <c r="BX27" s="610" t="s">
        <v>588</v>
      </c>
      <c r="CB27" s="657"/>
      <c r="CC27" s="578"/>
      <c r="CD27" s="14"/>
      <c r="CF27" t="s">
        <v>563</v>
      </c>
      <c r="CH27" s="597">
        <f t="shared" si="47"/>
        <v>70124</v>
      </c>
      <c r="CI27"/>
      <c r="CJ27" s="704">
        <f>R28</f>
        <v>0</v>
      </c>
      <c r="CK27" s="709" t="s">
        <v>563</v>
      </c>
      <c r="CL27" s="138" t="str">
        <f>T27</f>
        <v>….........</v>
      </c>
      <c r="CM27" s="709" t="s">
        <v>563</v>
      </c>
      <c r="CN27" s="689" t="str">
        <f t="shared" si="38"/>
        <v>… DAY # 0  … MC READINGS STABILIZATION</v>
      </c>
      <c r="CO27" s="614"/>
      <c r="CP27">
        <f>R28</f>
        <v>0</v>
      </c>
      <c r="CQ27" t="str">
        <f>T28</f>
        <v>….........</v>
      </c>
      <c r="CZ27" s="572"/>
    </row>
    <row r="28" spans="1:104" ht="26.65" customHeight="1" thickTop="1" thickBot="1">
      <c r="A28">
        <f t="shared" si="21"/>
        <v>0</v>
      </c>
      <c r="B28" s="485">
        <f t="shared" si="5"/>
        <v>125</v>
      </c>
      <c r="C28" s="782">
        <f t="shared" si="22"/>
        <v>225</v>
      </c>
      <c r="D28" s="782">
        <f t="shared" si="23"/>
        <v>325</v>
      </c>
      <c r="E28" s="782">
        <f t="shared" si="24"/>
        <v>425</v>
      </c>
      <c r="F28" s="782">
        <f t="shared" si="24"/>
        <v>525</v>
      </c>
      <c r="G28" s="782">
        <v>825</v>
      </c>
      <c r="H28" s="782">
        <f t="shared" si="25"/>
        <v>6125.1</v>
      </c>
      <c r="I28" s="782">
        <f t="shared" si="26"/>
        <v>6225.2</v>
      </c>
      <c r="J28" s="782">
        <f t="shared" si="27"/>
        <v>6325.3</v>
      </c>
      <c r="K28" s="782">
        <f t="shared" si="28"/>
        <v>6425.4</v>
      </c>
      <c r="L28" s="849"/>
      <c r="M28" s="850"/>
      <c r="N28" s="850"/>
      <c r="O28" s="851"/>
      <c r="P28" s="485">
        <v>125</v>
      </c>
      <c r="Q28" s="200" t="s">
        <v>561</v>
      </c>
      <c r="S28" s="707" t="s">
        <v>563</v>
      </c>
      <c r="T28" s="676" t="s">
        <v>580</v>
      </c>
      <c r="U28" s="485">
        <f t="shared" si="6"/>
        <v>125</v>
      </c>
      <c r="V28" s="200" t="str">
        <f t="shared" si="7"/>
        <v>….</v>
      </c>
      <c r="W28" s="533">
        <f t="shared" si="51"/>
        <v>0</v>
      </c>
      <c r="X28" s="533" t="str">
        <f t="shared" si="9"/>
        <v xml:space="preserve"> = … JOB/ROOMS OVERVIEW PICS ..</v>
      </c>
      <c r="Y28" s="643" t="str">
        <f>$T$28</f>
        <v>….........</v>
      </c>
      <c r="Z28" s="581">
        <f t="shared" si="1"/>
        <v>225</v>
      </c>
      <c r="AA28" s="200" t="str">
        <f t="shared" si="10"/>
        <v>….</v>
      </c>
      <c r="AB28" s="533">
        <f t="shared" si="11"/>
        <v>0</v>
      </c>
      <c r="AC28" s="533" t="str">
        <f t="shared" si="12"/>
        <v>….. SOURCE of  LOSS PICS …..</v>
      </c>
      <c r="AD28" s="643" t="str">
        <f>$T$28</f>
        <v>….........</v>
      </c>
      <c r="AE28" s="533">
        <f t="shared" si="2"/>
        <v>325</v>
      </c>
      <c r="AF28" s="200" t="str">
        <f t="shared" si="13"/>
        <v>….</v>
      </c>
      <c r="AG28" s="533">
        <f t="shared" si="29"/>
        <v>0</v>
      </c>
      <c r="AH28" s="533" t="str">
        <f t="shared" si="14"/>
        <v>…..  C.P.S.  …...</v>
      </c>
      <c r="AI28" s="643" t="str">
        <f>$T$28</f>
        <v>….........</v>
      </c>
      <c r="AJ28" s="432"/>
      <c r="AK28" s="533">
        <f t="shared" si="3"/>
        <v>425</v>
      </c>
      <c r="AL28" s="200" t="str">
        <f t="shared" si="15"/>
        <v>….</v>
      </c>
      <c r="AM28" s="533">
        <f t="shared" si="39"/>
        <v>0</v>
      </c>
      <c r="AN28" s="533" t="str">
        <f t="shared" si="16"/>
        <v>NON SALVAGEABLE ITEMS</v>
      </c>
      <c r="AO28" s="643" t="str">
        <f>$T$28</f>
        <v>….........</v>
      </c>
      <c r="AP28" s="432">
        <f t="shared" si="30"/>
        <v>525</v>
      </c>
      <c r="AQ28" s="200" t="s">
        <v>561</v>
      </c>
      <c r="AR28" s="533">
        <f t="shared" si="17"/>
        <v>0</v>
      </c>
      <c r="AS28" s="643" t="str">
        <f t="shared" si="40"/>
        <v>,,,,,, DMO = DEMOLITION …....</v>
      </c>
      <c r="AT28" s="643" t="str">
        <f t="shared" si="31"/>
        <v>….........</v>
      </c>
      <c r="AU28" s="533">
        <f t="shared" si="4"/>
        <v>825</v>
      </c>
      <c r="AV28" s="200" t="s">
        <v>569</v>
      </c>
      <c r="AW28" s="533">
        <f t="shared" si="32"/>
        <v>0</v>
      </c>
      <c r="AX28" s="581" t="str">
        <f t="shared" si="33"/>
        <v>… MITIGATION  EQUIPMENT &amp; W.I.P . ...</v>
      </c>
      <c r="AY28" s="643" t="str">
        <f>$T$28</f>
        <v>….........</v>
      </c>
      <c r="AZ28" s="244">
        <f t="shared" si="18"/>
        <v>6125.1</v>
      </c>
      <c r="BA28" s="200" t="s">
        <v>569</v>
      </c>
      <c r="BB28" s="533">
        <f t="shared" si="34"/>
        <v>0</v>
      </c>
      <c r="BC28" s="533" t="str">
        <f t="shared" si="41"/>
        <v xml:space="preserve">  ...  DAY1    MC READINGS ..</v>
      </c>
      <c r="BE28" s="643" t="str">
        <f>$T$28</f>
        <v>….........</v>
      </c>
      <c r="BF28" s="244">
        <f t="shared" si="19"/>
        <v>6225.2</v>
      </c>
      <c r="BG28" s="200" t="s">
        <v>569</v>
      </c>
      <c r="BH28" s="533">
        <f t="shared" si="35"/>
        <v>0</v>
      </c>
      <c r="BI28" t="str">
        <f t="shared" si="50"/>
        <v xml:space="preserve">  ...  DAY2    MC READINGS ..</v>
      </c>
      <c r="BJ28" s="643" t="str">
        <f>$T$28</f>
        <v>….........</v>
      </c>
      <c r="BK28" s="244">
        <f t="shared" si="20"/>
        <v>6325.3</v>
      </c>
      <c r="BL28" s="200" t="s">
        <v>569</v>
      </c>
      <c r="BM28" s="533">
        <f t="shared" si="36"/>
        <v>0</v>
      </c>
      <c r="BN28" t="str">
        <f t="shared" si="43"/>
        <v xml:space="preserve">  ...  DAY3    MC READINGS ..</v>
      </c>
      <c r="BO28" s="643" t="str">
        <f>$T$28</f>
        <v>….........</v>
      </c>
      <c r="BP28" s="244">
        <f>K28</f>
        <v>6425.4</v>
      </c>
      <c r="BQ28" s="200" t="s">
        <v>569</v>
      </c>
      <c r="BR28" s="533">
        <f t="shared" si="37"/>
        <v>0</v>
      </c>
      <c r="BS28" t="str">
        <f t="shared" si="44"/>
        <v xml:space="preserve">  ...  DAY4    MC READINGS </v>
      </c>
      <c r="BT28" s="643" t="str">
        <f>$T$28</f>
        <v>….........</v>
      </c>
      <c r="BU28" s="649">
        <f>BU27+1</f>
        <v>7404</v>
      </c>
      <c r="BV28" s="615" t="s">
        <v>597</v>
      </c>
      <c r="BW28" s="32" t="str">
        <f>BW26</f>
        <v xml:space="preserve">….. DAY 4 ….. </v>
      </c>
      <c r="BX28" s="610" t="s">
        <v>588</v>
      </c>
      <c r="CB28" s="657"/>
      <c r="CC28" s="578"/>
      <c r="CD28" s="14"/>
      <c r="CF28" t="s">
        <v>563</v>
      </c>
      <c r="CH28" s="597">
        <f t="shared" si="47"/>
        <v>70125</v>
      </c>
      <c r="CI28" s="200" t="s">
        <v>569</v>
      </c>
      <c r="CJ28" s="704">
        <f>R29</f>
        <v>0</v>
      </c>
      <c r="CK28" s="709" t="s">
        <v>563</v>
      </c>
      <c r="CL28" s="138" t="str">
        <f>T28</f>
        <v>….........</v>
      </c>
      <c r="CM28" s="709" t="s">
        <v>563</v>
      </c>
      <c r="CN28" s="689" t="str">
        <f t="shared" si="38"/>
        <v>… DAY # 0  … MC READINGS STABILIZATION</v>
      </c>
      <c r="CO28" s="614"/>
      <c r="CP28">
        <f>R29</f>
        <v>0</v>
      </c>
      <c r="CQ28">
        <f>T29</f>
        <v>0</v>
      </c>
      <c r="CZ28" s="570"/>
    </row>
    <row r="29" spans="1:104" ht="26.65" customHeight="1" thickTop="1">
      <c r="A29" s="588" t="s">
        <v>620</v>
      </c>
      <c r="BF29" s="244"/>
      <c r="BK29" s="244"/>
      <c r="BL29" s="244"/>
      <c r="BM29"/>
      <c r="BP29" s="244"/>
      <c r="BU29" s="244"/>
      <c r="CL29" s="209" t="s">
        <v>580</v>
      </c>
      <c r="CM29" s="209"/>
      <c r="CO29" s="614"/>
      <c r="CP29" s="697"/>
      <c r="CQ29" s="689" t="s">
        <v>621</v>
      </c>
      <c r="CR29" s="69">
        <v>20</v>
      </c>
      <c r="CU29" s="654"/>
    </row>
    <row r="30" spans="1:104" ht="26.65" customHeight="1">
      <c r="A30" s="335" t="s">
        <v>622</v>
      </c>
      <c r="U30" s="209" t="s">
        <v>623</v>
      </c>
      <c r="BF30" s="244"/>
      <c r="BK30" s="244"/>
      <c r="BL30" s="244"/>
      <c r="BM30"/>
      <c r="BP30" s="244"/>
      <c r="BU30" s="244"/>
      <c r="BV30" s="615"/>
      <c r="BX30" s="610"/>
      <c r="CJ30" s="705" t="s">
        <v>624</v>
      </c>
      <c r="CK30" s="705"/>
      <c r="CL30" s="8"/>
      <c r="CM30" s="8"/>
      <c r="CN30" s="692"/>
      <c r="CO30" s="701"/>
      <c r="CT30" s="244"/>
      <c r="CU30" s="244"/>
    </row>
    <row r="31" spans="1:104" ht="26.65" customHeight="1">
      <c r="BF31" s="244"/>
      <c r="BK31" s="244"/>
      <c r="BL31" s="244"/>
      <c r="BM31"/>
      <c r="BP31" s="244"/>
      <c r="BU31" s="244"/>
      <c r="CJ31" s="693" t="s">
        <v>625</v>
      </c>
      <c r="CK31" s="710"/>
      <c r="CL31" s="8"/>
      <c r="CM31" s="8"/>
      <c r="CN31" s="690" t="s">
        <v>33</v>
      </c>
      <c r="CO31" s="430"/>
      <c r="CT31" s="244"/>
      <c r="CU31" s="244"/>
    </row>
    <row r="32" spans="1:104" ht="26.65" customHeight="1">
      <c r="BF32" s="244"/>
      <c r="BK32" s="244"/>
      <c r="BL32" s="244"/>
      <c r="BM32"/>
      <c r="BP32" s="244"/>
      <c r="BU32" s="244"/>
      <c r="CJ32" s="698"/>
      <c r="CK32" s="710"/>
      <c r="CL32" s="8"/>
      <c r="CM32" s="8"/>
      <c r="CN32" s="694" t="s">
        <v>626</v>
      </c>
      <c r="CO32" s="69"/>
    </row>
    <row r="33" spans="1:93" ht="26.65" customHeight="1">
      <c r="BF33" s="244"/>
      <c r="BK33" s="244"/>
      <c r="BL33" s="244"/>
      <c r="BM33"/>
      <c r="BP33" s="244"/>
      <c r="BU33" s="244"/>
      <c r="CJ33" s="691"/>
      <c r="CK33" s="701"/>
      <c r="CL33" s="8"/>
      <c r="CM33" s="8"/>
      <c r="CN33" s="689" t="s">
        <v>627</v>
      </c>
      <c r="CO33" s="430"/>
    </row>
    <row r="34" spans="1:93" ht="26.65" customHeight="1">
      <c r="A34" s="838"/>
      <c r="B34" s="838"/>
      <c r="C34" s="838"/>
      <c r="E34" s="14"/>
      <c r="F34" s="14"/>
      <c r="H34" s="14"/>
      <c r="K34" s="14"/>
      <c r="M34" s="14"/>
      <c r="BF34" s="244"/>
      <c r="BK34" s="244"/>
      <c r="BL34" s="244"/>
      <c r="BM34"/>
      <c r="BP34" s="244"/>
      <c r="BU34" s="244"/>
      <c r="CJ34" s="705" t="s">
        <v>628</v>
      </c>
      <c r="CK34" s="705"/>
      <c r="CL34" s="8"/>
      <c r="CM34" s="8"/>
      <c r="CN34" s="692"/>
      <c r="CO34" s="701"/>
    </row>
    <row r="35" spans="1:93" ht="26.65" customHeight="1">
      <c r="BF35" s="244"/>
      <c r="BK35" s="244"/>
      <c r="BL35" s="244"/>
      <c r="BM35"/>
      <c r="BP35" s="244"/>
      <c r="BU35" s="244"/>
      <c r="CJ35" s="693" t="s">
        <v>629</v>
      </c>
      <c r="CK35" s="710"/>
      <c r="CL35" s="8"/>
      <c r="CM35" s="8"/>
      <c r="CN35" s="690" t="s">
        <v>33</v>
      </c>
      <c r="CO35" s="69"/>
    </row>
    <row r="36" spans="1:93" ht="26.65" customHeight="1" thickBot="1">
      <c r="BF36" s="244"/>
      <c r="BK36" s="244"/>
      <c r="BL36" s="244"/>
      <c r="BM36"/>
      <c r="BP36" s="244"/>
      <c r="BU36" s="659"/>
      <c r="CJ36" s="698"/>
      <c r="CK36" s="710"/>
      <c r="CL36" s="8"/>
      <c r="CM36" s="8"/>
      <c r="CN36" s="694" t="s">
        <v>621</v>
      </c>
      <c r="CO36" s="69"/>
    </row>
    <row r="37" spans="1:93" ht="26.65" customHeight="1" thickTop="1">
      <c r="BF37" s="244"/>
      <c r="BK37" s="244"/>
      <c r="BL37" s="244"/>
      <c r="BM37"/>
      <c r="BP37" s="244"/>
      <c r="CJ37" s="691"/>
      <c r="CK37" s="701"/>
      <c r="CL37" s="8"/>
      <c r="CM37" s="8"/>
      <c r="CN37" s="689" t="s">
        <v>627</v>
      </c>
      <c r="CO37" s="689"/>
    </row>
    <row r="38" spans="1:93" ht="26.65" customHeight="1">
      <c r="BF38" s="244"/>
      <c r="BK38" s="244"/>
      <c r="BL38" s="244"/>
      <c r="BM38"/>
      <c r="BP38" s="244"/>
      <c r="CJ38" s="705" t="s">
        <v>630</v>
      </c>
      <c r="CK38" s="705"/>
      <c r="CL38" s="8"/>
      <c r="CM38" s="8"/>
      <c r="CN38" s="692"/>
      <c r="CO38" s="701"/>
    </row>
    <row r="39" spans="1:93" ht="26.65" customHeight="1">
      <c r="BF39" s="244"/>
      <c r="BK39" s="244"/>
      <c r="BL39" s="244"/>
      <c r="BM39"/>
      <c r="BP39" s="244"/>
      <c r="CJ39" s="693" t="s">
        <v>631</v>
      </c>
      <c r="CK39" s="710"/>
      <c r="CL39" s="8"/>
      <c r="CM39" s="8"/>
      <c r="CN39" s="632" t="s">
        <v>33</v>
      </c>
      <c r="CO39" s="695"/>
    </row>
    <row r="40" spans="1:93" ht="26.65" customHeight="1">
      <c r="CL40" s="8"/>
      <c r="CM40" s="8"/>
      <c r="CN40" s="694" t="s">
        <v>621</v>
      </c>
      <c r="CO40" s="69"/>
    </row>
    <row r="41" spans="1:93" ht="26.65" customHeight="1">
      <c r="CL41" s="8"/>
      <c r="CM41" s="8"/>
      <c r="CN41" s="696" t="s">
        <v>627</v>
      </c>
      <c r="CO41" s="69"/>
    </row>
    <row r="42" spans="1:93" ht="26.65" customHeight="1">
      <c r="CL42" s="8"/>
      <c r="CM42" s="8"/>
      <c r="CN42" s="696" t="s">
        <v>627</v>
      </c>
      <c r="CO42" s="69"/>
    </row>
    <row r="43" spans="1:93" ht="26.65" customHeight="1">
      <c r="CL43" s="8"/>
      <c r="CM43" s="8"/>
    </row>
    <row r="44" spans="1:93" ht="26.65" customHeight="1">
      <c r="CL44" s="8"/>
      <c r="CM44" s="8"/>
    </row>
  </sheetData>
  <mergeCells count="32">
    <mergeCell ref="A34:C34"/>
    <mergeCell ref="L1:O1"/>
    <mergeCell ref="C1:C2"/>
    <mergeCell ref="D1:D2"/>
    <mergeCell ref="E1:E2"/>
    <mergeCell ref="G1:G2"/>
    <mergeCell ref="H1:K1"/>
    <mergeCell ref="L11:O11"/>
    <mergeCell ref="L13:O13"/>
    <mergeCell ref="L15:O15"/>
    <mergeCell ref="L17:O17"/>
    <mergeCell ref="L19:O28"/>
    <mergeCell ref="B1:B2"/>
    <mergeCell ref="L7:O7"/>
    <mergeCell ref="L9:O9"/>
    <mergeCell ref="F1:F2"/>
    <mergeCell ref="AE2:AH2"/>
    <mergeCell ref="AU1:AX1"/>
    <mergeCell ref="T1:T2"/>
    <mergeCell ref="Y1:Y2"/>
    <mergeCell ref="AD1:AD2"/>
    <mergeCell ref="AI1:AI2"/>
    <mergeCell ref="AO1:AO2"/>
    <mergeCell ref="AE1:AH1"/>
    <mergeCell ref="Z1:AC1"/>
    <mergeCell ref="AK1:AN1"/>
    <mergeCell ref="AP1:AS1"/>
    <mergeCell ref="AY1:AY2"/>
    <mergeCell ref="BE1:BE2"/>
    <mergeCell ref="BJ1:BJ2"/>
    <mergeCell ref="BO1:BO2"/>
    <mergeCell ref="BT1:BT2"/>
  </mergeCells>
  <printOptions gridLines="1"/>
  <pageMargins left="0.25" right="0.19" top="0.27" bottom="0.31" header="0.24" footer="0.05"/>
  <pageSetup orientation="portrait" r:id="rId1"/>
  <headerFooter>
    <oddFooter>&amp;L.....  &amp;P&amp;C&amp;F&amp;R&amp;A      ...</oddFooter>
  </headerFooter>
  <colBreaks count="15" manualBreakCount="15">
    <brk id="11" max="27" man="1"/>
    <brk id="15" max="27" man="1"/>
    <brk id="20" max="27" man="1"/>
    <brk id="25" max="27" man="1"/>
    <brk id="30" max="27" man="1"/>
    <brk id="36" max="27" man="1"/>
    <brk id="46" max="27" man="1"/>
    <brk id="51" max="27" man="1"/>
    <brk id="57" max="27" man="1"/>
    <brk id="62" max="27" man="1"/>
    <brk id="67" max="27" man="1"/>
    <brk id="72" max="27" man="1"/>
    <brk id="78" max="27" man="1"/>
    <brk id="79" max="27" man="1"/>
    <brk id="85" max="2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82AF-484F-4C6F-9E00-9E816FF8079B}">
  <sheetPr codeName="Sheet4"/>
  <dimension ref="A1:CW39"/>
  <sheetViews>
    <sheetView zoomScaleNormal="100" zoomScaleSheetLayoutView="94" workbookViewId="0"/>
  </sheetViews>
  <sheetFormatPr defaultColWidth="8" defaultRowHeight="26.65" customHeight="1"/>
  <cols>
    <col min="1" max="1" width="25.25" customWidth="1"/>
    <col min="2" max="5" width="7.25" customWidth="1"/>
    <col min="6" max="7" width="5.5" customWidth="1"/>
    <col min="8" max="9" width="7.25" customWidth="1"/>
    <col min="10" max="11" width="7.5" customWidth="1"/>
    <col min="12" max="15" width="8.75" bestFit="1" customWidth="1"/>
    <col min="16" max="16" width="17.25" customWidth="1"/>
    <col min="17" max="17" width="17.375" customWidth="1"/>
    <col min="18" max="18" width="17.125" customWidth="1"/>
    <col min="19" max="19" width="18.125" customWidth="1"/>
    <col min="20" max="20" width="8.75" style="240" customWidth="1"/>
    <col min="21" max="21" width="3.875" style="2" bestFit="1" customWidth="1"/>
    <col min="22" max="22" width="27.875" customWidth="1"/>
    <col min="23" max="23" width="8.125" style="283" customWidth="1"/>
    <col min="24" max="24" width="7.5" customWidth="1"/>
    <col min="25" max="25" width="3.875" bestFit="1" customWidth="1"/>
    <col min="26" max="26" width="14.75" customWidth="1"/>
    <col min="27" max="27" width="36.375" customWidth="1"/>
    <col min="28" max="28" width="7.875" style="642" customWidth="1"/>
    <col min="29" max="29" width="5.25" style="244" customWidth="1"/>
    <col min="30" max="30" width="3.875" bestFit="1" customWidth="1"/>
    <col min="31" max="31" width="25" bestFit="1" customWidth="1"/>
    <col min="32" max="32" width="24.5" bestFit="1" customWidth="1"/>
    <col min="33" max="33" width="7.75" customWidth="1"/>
    <col min="34" max="34" width="5.75" customWidth="1"/>
    <col min="35" max="35" width="3.875" bestFit="1" customWidth="1"/>
    <col min="36" max="36" width="23.5" customWidth="1"/>
    <col min="37" max="37" width="15.625" customWidth="1"/>
    <col min="38" max="38" width="7.75" customWidth="1"/>
    <col min="39" max="39" width="0.25" customWidth="1"/>
    <col min="40" max="40" width="5.75" customWidth="1"/>
    <col min="41" max="41" width="3.875" bestFit="1" customWidth="1"/>
    <col min="42" max="42" width="21.75" customWidth="1"/>
    <col min="43" max="43" width="26.75" customWidth="1"/>
    <col min="44" max="44" width="7.75" style="432" customWidth="1"/>
    <col min="45" max="45" width="5.25" customWidth="1"/>
    <col min="46" max="46" width="0.875" customWidth="1"/>
    <col min="47" max="47" width="29.625" customWidth="1"/>
    <col min="48" max="48" width="36.5" bestFit="1" customWidth="1"/>
    <col min="49" max="49" width="7.75" customWidth="1"/>
    <col min="50" max="50" width="7.75" style="244" customWidth="1"/>
    <col min="51" max="51" width="0.875" style="244" customWidth="1"/>
    <col min="52" max="52" width="11.125" customWidth="1"/>
    <col min="53" max="53" width="25" customWidth="1"/>
    <col min="54" max="54" width="18.625" bestFit="1" customWidth="1"/>
    <col min="55" max="55" width="9.875" customWidth="1"/>
    <col min="56" max="56" width="12" customWidth="1"/>
    <col min="57" max="57" width="0.875" style="244" customWidth="1"/>
    <col min="58" max="58" width="25" bestFit="1" customWidth="1"/>
    <col min="59" max="59" width="18.625" customWidth="1"/>
    <col min="60" max="60" width="8" customWidth="1"/>
    <col min="61" max="61" width="6.875" customWidth="1"/>
    <col min="62" max="62" width="0.875" customWidth="1"/>
    <col min="63" max="63" width="13.5" style="244" bestFit="1" customWidth="1"/>
    <col min="64" max="64" width="0.875" style="244" customWidth="1"/>
    <col min="65" max="65" width="18.625" bestFit="1" customWidth="1"/>
    <col min="66" max="66" width="7.75" customWidth="1"/>
    <col min="67" max="67" width="8.625" customWidth="1"/>
    <col min="68" max="68" width="0.875" customWidth="1"/>
    <col min="69" max="69" width="12" customWidth="1"/>
    <col min="70" max="70" width="25" bestFit="1" customWidth="1"/>
    <col min="71" max="71" width="0.875" customWidth="1"/>
    <col min="72" max="72" width="7.75" customWidth="1"/>
    <col min="73" max="73" width="9.125" customWidth="1"/>
    <col min="74" max="74" width="18.375" customWidth="1"/>
    <col min="75" max="75" width="9.875" customWidth="1"/>
    <col min="76" max="76" width="12" customWidth="1"/>
    <col min="77" max="77" width="7.375" customWidth="1"/>
    <col min="78" max="78" width="12.25" customWidth="1"/>
    <col min="79" max="79" width="20.5" customWidth="1"/>
    <col min="80" max="80" width="23.75" bestFit="1" customWidth="1"/>
    <col min="81" max="81" width="16.75" customWidth="1"/>
    <col min="82" max="82" width="12" customWidth="1"/>
    <col min="83" max="83" width="23.75" bestFit="1" customWidth="1"/>
    <col min="84" max="84" width="12.25" customWidth="1"/>
    <col min="85" max="85" width="5.625" customWidth="1"/>
    <col min="86" max="86" width="0.875" customWidth="1"/>
    <col min="87" max="87" width="24.875" customWidth="1"/>
    <col min="88" max="88" width="34" customWidth="1"/>
    <col min="89" max="89" width="9.25" customWidth="1"/>
    <col min="90" max="90" width="7.75" customWidth="1"/>
    <col min="91" max="91" width="16.75" customWidth="1"/>
    <col min="92" max="92" width="12" customWidth="1"/>
    <col min="95" max="95" width="24.125" bestFit="1" customWidth="1"/>
    <col min="96" max="96" width="35.125" bestFit="1" customWidth="1"/>
  </cols>
  <sheetData>
    <row r="1" spans="1:101" ht="26.65" customHeight="1">
      <c r="A1" s="664" t="str">
        <f>'jobinfo(2)'!C51</f>
        <v>OH25THOMAS@GERTRUDE</v>
      </c>
      <c r="B1" s="857" t="str">
        <f>'jobinfo(2)'!C3</f>
        <v>Cleveland, OH 44105</v>
      </c>
      <c r="C1" s="857"/>
      <c r="D1" s="858" t="s">
        <v>522</v>
      </c>
      <c r="E1" s="858"/>
      <c r="F1" s="841" t="s">
        <v>197</v>
      </c>
      <c r="G1" s="841"/>
      <c r="H1" s="834" t="s">
        <v>523</v>
      </c>
      <c r="I1" s="834"/>
      <c r="J1" s="841" t="s">
        <v>632</v>
      </c>
      <c r="K1" s="841"/>
      <c r="L1" s="835" t="s">
        <v>526</v>
      </c>
      <c r="M1" s="835"/>
      <c r="N1" s="835"/>
      <c r="O1" s="835"/>
      <c r="P1" s="839" t="s">
        <v>527</v>
      </c>
      <c r="Q1" s="839"/>
      <c r="R1" s="839"/>
      <c r="S1" s="839"/>
      <c r="T1" s="650" t="s">
        <v>528</v>
      </c>
      <c r="V1" s="644" t="s">
        <v>529</v>
      </c>
      <c r="W1" s="833" t="s">
        <v>530</v>
      </c>
      <c r="X1" s="30" t="s">
        <v>633</v>
      </c>
      <c r="Y1" s="30"/>
      <c r="Z1" s="30"/>
      <c r="AA1" s="30"/>
      <c r="AB1" s="833" t="s">
        <v>530</v>
      </c>
      <c r="AC1" s="856" t="s">
        <v>533</v>
      </c>
      <c r="AD1" s="856"/>
      <c r="AE1" s="856"/>
      <c r="AF1" s="856"/>
      <c r="AG1" s="833" t="s">
        <v>530</v>
      </c>
      <c r="AH1" s="856" t="s">
        <v>533</v>
      </c>
      <c r="AI1" s="856"/>
      <c r="AJ1" s="856"/>
      <c r="AK1" s="856"/>
      <c r="AL1" s="833" t="s">
        <v>530</v>
      </c>
      <c r="AM1" s="30" t="s">
        <v>533</v>
      </c>
      <c r="AN1" s="856" t="s">
        <v>533</v>
      </c>
      <c r="AO1" s="856"/>
      <c r="AP1" s="856"/>
      <c r="AQ1" s="856"/>
      <c r="AR1" s="833" t="s">
        <v>530</v>
      </c>
      <c r="AS1" s="835" t="s">
        <v>535</v>
      </c>
      <c r="AT1" s="835"/>
      <c r="AU1" s="835"/>
      <c r="AV1" s="835"/>
      <c r="AW1" s="833" t="s">
        <v>530</v>
      </c>
      <c r="AX1" s="610" t="s">
        <v>634</v>
      </c>
      <c r="AY1" s="610"/>
      <c r="AZ1" s="610"/>
      <c r="BA1" s="610"/>
      <c r="BB1" s="610"/>
      <c r="BC1" s="833" t="s">
        <v>530</v>
      </c>
      <c r="BD1" s="565" t="str">
        <f>AX1</f>
        <v xml:space="preserve">  ...  MC READINGS ..</v>
      </c>
      <c r="BE1" s="565"/>
      <c r="BF1" s="609"/>
      <c r="BG1" s="609"/>
      <c r="BH1" s="833" t="s">
        <v>530</v>
      </c>
      <c r="BI1" s="565" t="str">
        <f>AX1</f>
        <v xml:space="preserve">  ...  MC READINGS ..</v>
      </c>
      <c r="BJ1" s="565"/>
      <c r="BK1" s="609"/>
      <c r="BL1" s="609"/>
      <c r="BM1" s="609"/>
      <c r="BN1" s="833" t="s">
        <v>530</v>
      </c>
      <c r="BO1" s="565" t="str">
        <f>BD1</f>
        <v xml:space="preserve">  ...  MC READINGS ..</v>
      </c>
      <c r="BP1" s="565"/>
      <c r="BQ1" s="609"/>
      <c r="BR1" s="609"/>
      <c r="BS1" s="609"/>
      <c r="BT1" s="833" t="s">
        <v>530</v>
      </c>
      <c r="BU1" s="610" t="s">
        <v>527</v>
      </c>
      <c r="BV1" s="610"/>
      <c r="BW1" s="610"/>
      <c r="BX1" s="610"/>
      <c r="CB1" s="610"/>
      <c r="CC1" s="610"/>
      <c r="CD1" t="s">
        <v>542</v>
      </c>
      <c r="CF1" s="652"/>
      <c r="CH1" s="652"/>
      <c r="CI1" s="652"/>
      <c r="CW1" s="565"/>
    </row>
    <row r="2" spans="1:101" ht="26.65" customHeight="1">
      <c r="A2" s="665" t="str">
        <f>'jobinfo(2)'!C2</f>
        <v>6600 GERTRUDE</v>
      </c>
      <c r="B2" s="857"/>
      <c r="C2" s="857"/>
      <c r="D2" s="858"/>
      <c r="E2" s="858"/>
      <c r="F2" s="841"/>
      <c r="G2" s="841"/>
      <c r="H2" s="834"/>
      <c r="I2" s="834"/>
      <c r="J2" s="841"/>
      <c r="K2" s="841"/>
      <c r="L2" s="783" t="s">
        <v>545</v>
      </c>
      <c r="M2" s="575" t="s">
        <v>546</v>
      </c>
      <c r="N2" s="783" t="s">
        <v>547</v>
      </c>
      <c r="O2" s="575" t="s">
        <v>548</v>
      </c>
      <c r="P2" s="783" t="s">
        <v>545</v>
      </c>
      <c r="Q2" s="575" t="s">
        <v>546</v>
      </c>
      <c r="R2" s="783" t="s">
        <v>547</v>
      </c>
      <c r="S2" s="575" t="s">
        <v>548</v>
      </c>
      <c r="T2" s="565" t="s">
        <v>635</v>
      </c>
      <c r="U2" s="780"/>
      <c r="W2" s="833"/>
      <c r="X2" s="660" t="str">
        <f>T2</f>
        <v xml:space="preserve"> = … ROOM OVERVIEW PICS ... DAY 1 …</v>
      </c>
      <c r="Y2" s="660"/>
      <c r="Z2" s="565"/>
      <c r="AA2" s="565"/>
      <c r="AB2" s="833"/>
      <c r="AC2" s="661" t="s">
        <v>636</v>
      </c>
      <c r="AD2" s="576"/>
      <c r="AE2" s="577"/>
      <c r="AF2" s="565"/>
      <c r="AG2" s="833"/>
      <c r="AH2" s="834" t="s">
        <v>551</v>
      </c>
      <c r="AI2" s="834"/>
      <c r="AJ2" s="834"/>
      <c r="AK2" s="834"/>
      <c r="AL2" s="833"/>
      <c r="AM2" s="566"/>
      <c r="AN2" s="579" t="s">
        <v>552</v>
      </c>
      <c r="AO2" s="579"/>
      <c r="AP2" s="579"/>
      <c r="AQ2" s="580" t="str">
        <f>H1</f>
        <v>PPR</v>
      </c>
      <c r="AR2" s="833"/>
      <c r="AS2" s="576" t="str">
        <f>J1</f>
        <v>MIT</v>
      </c>
      <c r="AT2" s="576"/>
      <c r="AU2" s="228"/>
      <c r="AV2" s="228"/>
      <c r="AW2" s="833"/>
      <c r="AX2" s="611" t="s">
        <v>554</v>
      </c>
      <c r="AY2" s="611"/>
      <c r="AZ2" s="783"/>
      <c r="BA2" s="783"/>
      <c r="BB2" s="783"/>
      <c r="BC2" s="833"/>
      <c r="BD2" s="611" t="s">
        <v>555</v>
      </c>
      <c r="BE2" s="611"/>
      <c r="BF2" s="783"/>
      <c r="BG2" s="783"/>
      <c r="BH2" s="833"/>
      <c r="BI2" s="611" t="s">
        <v>556</v>
      </c>
      <c r="BJ2" s="611"/>
      <c r="BK2" s="783"/>
      <c r="BL2" s="783"/>
      <c r="BM2" s="783"/>
      <c r="BN2" s="833"/>
      <c r="BO2" s="611" t="s">
        <v>557</v>
      </c>
      <c r="BP2" s="611"/>
      <c r="BQ2" s="783"/>
      <c r="BR2" s="783"/>
      <c r="BS2" s="783"/>
      <c r="BT2" s="833"/>
      <c r="BU2" s="611" t="s">
        <v>558</v>
      </c>
      <c r="BV2" s="611"/>
      <c r="BW2" s="783"/>
      <c r="BX2" s="783"/>
      <c r="CB2" t="s">
        <v>544</v>
      </c>
      <c r="CC2" s="783"/>
      <c r="CD2" s="138" t="s">
        <v>559</v>
      </c>
      <c r="CE2" s="138"/>
      <c r="CG2" s="653" t="s">
        <v>560</v>
      </c>
      <c r="CH2" s="652"/>
      <c r="CI2" s="652"/>
      <c r="CW2" s="565"/>
    </row>
    <row r="3" spans="1:101" ht="26.65" customHeight="1" thickBot="1">
      <c r="A3" s="432" t="str">
        <f>V3</f>
        <v xml:space="preserve">Living Room, </v>
      </c>
      <c r="B3" s="485">
        <f t="shared" ref="B3:O3" si="0">B4-1</f>
        <v>100</v>
      </c>
      <c r="C3" s="485"/>
      <c r="D3" s="671">
        <f t="shared" si="0"/>
        <v>200</v>
      </c>
      <c r="E3" s="782"/>
      <c r="F3" s="671">
        <f t="shared" si="0"/>
        <v>300</v>
      </c>
      <c r="G3" s="782"/>
      <c r="H3" s="671">
        <f t="shared" si="0"/>
        <v>400</v>
      </c>
      <c r="I3" s="782"/>
      <c r="J3" s="671">
        <f t="shared" si="0"/>
        <v>800</v>
      </c>
      <c r="K3" s="782"/>
      <c r="L3" s="782">
        <f t="shared" si="0"/>
        <v>6100.1</v>
      </c>
      <c r="M3" s="782">
        <f t="shared" si="0"/>
        <v>6200.2</v>
      </c>
      <c r="N3" s="782">
        <f t="shared" si="0"/>
        <v>6300.3</v>
      </c>
      <c r="O3" s="782">
        <f t="shared" si="0"/>
        <v>6400.4</v>
      </c>
      <c r="T3" s="485">
        <f>T4-1</f>
        <v>100</v>
      </c>
      <c r="U3" s="200" t="s">
        <v>561</v>
      </c>
      <c r="V3" s="656" t="s">
        <v>263</v>
      </c>
      <c r="W3" s="569" t="s">
        <v>564</v>
      </c>
      <c r="X3" s="485">
        <f>T3</f>
        <v>100</v>
      </c>
      <c r="Y3" s="200" t="str">
        <f>U3</f>
        <v>….</v>
      </c>
      <c r="Z3" s="662" t="str">
        <f>X2</f>
        <v xml:space="preserve"> = … ROOM OVERVIEW PICS ... DAY 1 …</v>
      </c>
      <c r="AA3" s="569"/>
      <c r="AB3" s="569" t="s">
        <v>565</v>
      </c>
      <c r="AC3" s="533">
        <f t="shared" ref="AC3:AC28" si="1">D3</f>
        <v>200</v>
      </c>
      <c r="AD3" s="200" t="str">
        <f>Y3</f>
        <v>….</v>
      </c>
      <c r="AE3" s="662" t="str">
        <f>AC2</f>
        <v>….. SOURCE of  LOSS …..</v>
      </c>
      <c r="AF3" s="569" t="s">
        <v>566</v>
      </c>
      <c r="AG3" s="569" t="s">
        <v>565</v>
      </c>
      <c r="AH3" s="533">
        <f t="shared" ref="AH3:AH28" si="2">F3</f>
        <v>300</v>
      </c>
      <c r="AI3" s="200" t="str">
        <f>AD3</f>
        <v>….</v>
      </c>
      <c r="AJ3" s="663" t="str">
        <f>AH2</f>
        <v>…..  C.P.S.  …...</v>
      </c>
      <c r="AK3" s="569" t="s">
        <v>567</v>
      </c>
      <c r="AL3" s="569" t="s">
        <v>565</v>
      </c>
      <c r="AN3" s="533">
        <f t="shared" ref="AN3:AN28" si="3">H3</f>
        <v>400</v>
      </c>
      <c r="AO3" s="200" t="str">
        <f>AI3</f>
        <v>….</v>
      </c>
      <c r="AP3" t="str">
        <f>AN2</f>
        <v>NON SALVAGEABLE ITEMS</v>
      </c>
      <c r="AQ3" s="569" t="s">
        <v>568</v>
      </c>
      <c r="AS3" s="533">
        <f t="shared" ref="AS3:AS28" si="4">J3</f>
        <v>800</v>
      </c>
      <c r="AT3" s="200" t="s">
        <v>569</v>
      </c>
      <c r="AU3" s="582" t="s">
        <v>570</v>
      </c>
      <c r="AW3" s="138" t="s">
        <v>568</v>
      </c>
      <c r="AX3" s="612">
        <f>AX4-0.1</f>
        <v>6101</v>
      </c>
      <c r="AY3" s="200" t="s">
        <v>569</v>
      </c>
      <c r="AZ3" t="str">
        <f>AX2</f>
        <v>.. DAY 1 …</v>
      </c>
      <c r="BA3" t="s">
        <v>637</v>
      </c>
      <c r="BB3" s="569" t="s">
        <v>572</v>
      </c>
      <c r="BC3" s="790" t="str">
        <f>AX2</f>
        <v>.. DAY 1 …</v>
      </c>
      <c r="BD3" s="612">
        <f>BD4-0.2</f>
        <v>6201</v>
      </c>
      <c r="BE3" s="200" t="s">
        <v>569</v>
      </c>
      <c r="BF3" t="s">
        <v>637</v>
      </c>
      <c r="BG3" s="569" t="s">
        <v>572</v>
      </c>
      <c r="BH3" s="790" t="str">
        <f>BD2</f>
        <v xml:space="preserve">….. DAY 2 ….. </v>
      </c>
      <c r="BI3" s="612">
        <f>BI4-0.3</f>
        <v>6301</v>
      </c>
      <c r="BJ3" s="200" t="s">
        <v>569</v>
      </c>
      <c r="BK3" t="str">
        <f>BI2</f>
        <v xml:space="preserve">….. DAY 3 ….. </v>
      </c>
      <c r="BL3" t="s">
        <v>637</v>
      </c>
      <c r="BM3" s="569" t="s">
        <v>572</v>
      </c>
      <c r="BN3" s="790" t="str">
        <f>BI2</f>
        <v xml:space="preserve">….. DAY 3 ….. </v>
      </c>
      <c r="BO3" s="612">
        <f>BO4-0.4</f>
        <v>6401</v>
      </c>
      <c r="BP3" s="200" t="s">
        <v>569</v>
      </c>
      <c r="BQ3" t="str">
        <f>BO2</f>
        <v xml:space="preserve">….. DAY 4 ….. </v>
      </c>
      <c r="BR3" t="s">
        <v>637</v>
      </c>
      <c r="BS3" s="569" t="s">
        <v>572</v>
      </c>
      <c r="BT3" s="790" t="str">
        <f>BO2</f>
        <v xml:space="preserve">….. DAY 4 ….. </v>
      </c>
      <c r="BU3" s="657">
        <f>BU5-0.1</f>
        <v>7099.9</v>
      </c>
      <c r="BV3" s="616" t="s">
        <v>576</v>
      </c>
      <c r="BW3" s="2" t="s">
        <v>575</v>
      </c>
      <c r="BX3" s="578"/>
      <c r="CB3" t="str">
        <f t="shared" ref="CB3:CB28" si="5">V4</f>
        <v>Living Room</v>
      </c>
      <c r="CC3" t="str">
        <f t="shared" ref="CC3:CC28" si="6">W4</f>
        <v>LOS</v>
      </c>
      <c r="CD3" s="790">
        <v>552</v>
      </c>
      <c r="CE3" s="200" t="s">
        <v>569</v>
      </c>
      <c r="CF3" s="381" t="s">
        <v>602</v>
      </c>
      <c r="CG3" s="138" t="s">
        <v>603</v>
      </c>
      <c r="CH3" s="569" t="s">
        <v>565</v>
      </c>
      <c r="CI3" s="569" t="s">
        <v>565</v>
      </c>
      <c r="CW3" s="568"/>
    </row>
    <row r="4" spans="1:101" ht="26.65" customHeight="1" thickTop="1" thickBot="1">
      <c r="A4" t="str">
        <f>V4</f>
        <v>Living Room</v>
      </c>
      <c r="B4" s="485">
        <f t="shared" ref="B4:B28" si="7">T4</f>
        <v>101</v>
      </c>
      <c r="C4" s="655"/>
      <c r="D4" s="782">
        <v>201</v>
      </c>
      <c r="E4" s="782"/>
      <c r="F4" s="782">
        <v>301</v>
      </c>
      <c r="G4" s="782"/>
      <c r="H4" s="782">
        <v>401</v>
      </c>
      <c r="I4" s="782"/>
      <c r="J4" s="782">
        <v>801</v>
      </c>
      <c r="K4" s="782"/>
      <c r="L4" s="782">
        <v>6101.1</v>
      </c>
      <c r="M4" s="782">
        <v>6201.2</v>
      </c>
      <c r="N4" s="782">
        <v>6301.3</v>
      </c>
      <c r="O4" s="782">
        <v>6401.4</v>
      </c>
      <c r="T4" s="485">
        <v>101</v>
      </c>
      <c r="U4" s="200" t="s">
        <v>561</v>
      </c>
      <c r="V4" s="656" t="str">
        <f>'ROOMS#'!R4</f>
        <v>Living Room</v>
      </c>
      <c r="W4" s="1" t="s">
        <v>638</v>
      </c>
      <c r="X4" s="485">
        <f t="shared" ref="X4:Z28" si="8">T4</f>
        <v>101</v>
      </c>
      <c r="Y4" s="200" t="str">
        <f t="shared" si="8"/>
        <v>….</v>
      </c>
      <c r="Z4" s="581" t="str">
        <f t="shared" si="8"/>
        <v>Living Room</v>
      </c>
      <c r="AA4" s="662" t="str">
        <f t="shared" ref="AA4:AA28" si="9">$X$2</f>
        <v xml:space="preserve"> = … ROOM OVERVIEW PICS ... DAY 1 …</v>
      </c>
      <c r="AB4" s="643" t="str">
        <f>$W$4</f>
        <v>LOS</v>
      </c>
      <c r="AC4" s="533">
        <f t="shared" si="1"/>
        <v>201</v>
      </c>
      <c r="AD4" s="200" t="str">
        <f t="shared" ref="AD4:AE28" si="10">Y4</f>
        <v>….</v>
      </c>
      <c r="AE4" s="533" t="str">
        <f t="shared" si="10"/>
        <v>Living Room</v>
      </c>
      <c r="AF4" s="662" t="str">
        <f t="shared" ref="AF4:AF28" si="11">$AC$2</f>
        <v>….. SOURCE of  LOSS …..</v>
      </c>
      <c r="AG4" s="643" t="str">
        <f>$W$4</f>
        <v>LOS</v>
      </c>
      <c r="AH4" s="533">
        <f t="shared" si="2"/>
        <v>301</v>
      </c>
      <c r="AI4" s="200" t="str">
        <f t="shared" ref="AI4:AJ28" si="12">AD4</f>
        <v>….</v>
      </c>
      <c r="AJ4" s="533" t="str">
        <f>AE4</f>
        <v>Living Room</v>
      </c>
      <c r="AK4" s="533" t="str">
        <f t="shared" ref="AK4:AK28" si="13">$AH$2</f>
        <v>…..  C.P.S.  …...</v>
      </c>
      <c r="AL4" s="643" t="str">
        <f>$W$4</f>
        <v>LOS</v>
      </c>
      <c r="AM4" s="571"/>
      <c r="AN4" s="533">
        <f t="shared" si="3"/>
        <v>401</v>
      </c>
      <c r="AO4" s="200" t="str">
        <f t="shared" ref="AO4:AP28" si="14">AI4</f>
        <v>….</v>
      </c>
      <c r="AP4" s="533" t="str">
        <f>AJ4</f>
        <v>Living Room</v>
      </c>
      <c r="AQ4" s="533" t="str">
        <f t="shared" ref="AQ4:AQ28" si="15">$AN$2</f>
        <v>NON SALVAGEABLE ITEMS</v>
      </c>
      <c r="AR4" s="643" t="str">
        <f>$W$4</f>
        <v>LOS</v>
      </c>
      <c r="AS4" s="533">
        <f t="shared" si="4"/>
        <v>801</v>
      </c>
      <c r="AT4" s="200" t="s">
        <v>569</v>
      </c>
      <c r="AU4" s="533" t="str">
        <f>AP4</f>
        <v>Living Room</v>
      </c>
      <c r="AV4" s="581" t="str">
        <f>AS1</f>
        <v>… MITIGATION  EQUIPMENT &amp; W.I.P . ...</v>
      </c>
      <c r="AW4" s="643" t="str">
        <f>$W$4</f>
        <v>LOS</v>
      </c>
      <c r="AX4" s="244">
        <f t="shared" ref="AX4:AX28" si="16">L4</f>
        <v>6101.1</v>
      </c>
      <c r="AY4" s="200" t="s">
        <v>569</v>
      </c>
      <c r="AZ4" t="str">
        <f>AX2</f>
        <v>.. DAY 1 …</v>
      </c>
      <c r="BA4" s="533" t="str">
        <f t="shared" ref="BA4:BA28" si="17">AU4</f>
        <v>Living Room</v>
      </c>
      <c r="BB4" t="str">
        <f>AX1</f>
        <v xml:space="preserve">  ...  MC READINGS ..</v>
      </c>
      <c r="BC4" s="643" t="str">
        <f>$W$4</f>
        <v>LOS</v>
      </c>
      <c r="BD4" s="244">
        <f t="shared" ref="BD4:BD28" si="18">M4</f>
        <v>6201.2</v>
      </c>
      <c r="BE4" s="200" t="s">
        <v>569</v>
      </c>
      <c r="BF4" s="533" t="str">
        <f t="shared" ref="BF4:BF28" si="19">BA4</f>
        <v>Living Room</v>
      </c>
      <c r="BG4" t="str">
        <f>BD1</f>
        <v xml:space="preserve">  ...  MC READINGS ..</v>
      </c>
      <c r="BH4" s="643" t="str">
        <f>$W$4</f>
        <v>LOS</v>
      </c>
      <c r="BI4" s="244">
        <f t="shared" ref="BI4:BI28" si="20">N4</f>
        <v>6301.3</v>
      </c>
      <c r="BJ4" s="200" t="s">
        <v>569</v>
      </c>
      <c r="BK4" t="str">
        <f>BK3</f>
        <v xml:space="preserve">….. DAY 3 ….. </v>
      </c>
      <c r="BL4" s="533" t="str">
        <f t="shared" ref="BL4:BL28" si="21">BF4</f>
        <v>Living Room</v>
      </c>
      <c r="BM4" t="str">
        <f>BI1</f>
        <v xml:space="preserve">  ...  MC READINGS ..</v>
      </c>
      <c r="BN4" s="643" t="str">
        <f>$W$4</f>
        <v>LOS</v>
      </c>
      <c r="BO4" s="244">
        <f t="shared" ref="BO4:BO28" si="22">O4</f>
        <v>6401.4</v>
      </c>
      <c r="BP4" s="200" t="s">
        <v>569</v>
      </c>
      <c r="BQ4" t="str">
        <f>BQ3</f>
        <v xml:space="preserve">….. DAY 4 ….. </v>
      </c>
      <c r="BR4" s="533" t="str">
        <f t="shared" ref="BR4:BR28" si="23">BL4</f>
        <v>Living Room</v>
      </c>
      <c r="BS4" t="str">
        <f>BO1</f>
        <v xml:space="preserve">  ...  MC READINGS ..</v>
      </c>
      <c r="BT4" s="643" t="str">
        <f>$W$4</f>
        <v>LOS</v>
      </c>
      <c r="BU4" s="613">
        <v>7100</v>
      </c>
      <c r="BV4" s="613" t="str">
        <f>BU2</f>
        <v xml:space="preserve">….. DAY 1 ….. </v>
      </c>
      <c r="BW4" s="610" t="s">
        <v>581</v>
      </c>
      <c r="BX4" s="614"/>
      <c r="CB4" t="str">
        <f t="shared" si="5"/>
        <v>GUEST CLOSET</v>
      </c>
      <c r="CC4" t="str">
        <f t="shared" si="6"/>
        <v>LOS</v>
      </c>
      <c r="CD4" s="790">
        <v>553</v>
      </c>
      <c r="CE4" s="200" t="s">
        <v>569</v>
      </c>
      <c r="CF4" s="381" t="s">
        <v>604</v>
      </c>
      <c r="CG4" s="138" t="s">
        <v>605</v>
      </c>
      <c r="CW4" s="570"/>
    </row>
    <row r="5" spans="1:101" ht="26.65" customHeight="1" thickTop="1" thickBot="1">
      <c r="A5" s="666" t="str">
        <f t="shared" ref="A5:A28" si="24">V5</f>
        <v>GUEST CLOSET</v>
      </c>
      <c r="B5" s="485">
        <f t="shared" si="7"/>
        <v>102</v>
      </c>
      <c r="C5" s="485"/>
      <c r="D5" s="573">
        <f t="shared" ref="D5:H20" si="25">D4+1</f>
        <v>202</v>
      </c>
      <c r="E5" s="782"/>
      <c r="F5" s="573">
        <f t="shared" si="25"/>
        <v>302</v>
      </c>
      <c r="G5" s="573"/>
      <c r="H5" s="573">
        <f t="shared" si="25"/>
        <v>402</v>
      </c>
      <c r="I5" s="782"/>
      <c r="J5" s="573">
        <v>802</v>
      </c>
      <c r="K5" s="782"/>
      <c r="L5" s="573">
        <f t="shared" ref="L5:O20" si="26">L4+1</f>
        <v>6102.1</v>
      </c>
      <c r="M5" s="573">
        <f t="shared" si="26"/>
        <v>6202.2</v>
      </c>
      <c r="N5" s="573">
        <f t="shared" si="26"/>
        <v>6302.3</v>
      </c>
      <c r="O5" s="573">
        <f t="shared" si="26"/>
        <v>6402.4</v>
      </c>
      <c r="P5" t="s">
        <v>575</v>
      </c>
      <c r="T5" s="485">
        <v>102</v>
      </c>
      <c r="U5" s="200" t="s">
        <v>561</v>
      </c>
      <c r="V5" s="656" t="str">
        <f>'ROOMS#'!R5</f>
        <v>GUEST CLOSET</v>
      </c>
      <c r="W5" s="1" t="s">
        <v>638</v>
      </c>
      <c r="X5" s="485">
        <f t="shared" si="8"/>
        <v>102</v>
      </c>
      <c r="Y5" s="200" t="str">
        <f t="shared" si="8"/>
        <v>….</v>
      </c>
      <c r="Z5" s="533" t="str">
        <f t="shared" si="8"/>
        <v>GUEST CLOSET</v>
      </c>
      <c r="AA5" s="533" t="str">
        <f t="shared" si="9"/>
        <v xml:space="preserve"> = … ROOM OVERVIEW PICS ... DAY 1 …</v>
      </c>
      <c r="AB5" s="643" t="str">
        <f>$W$5</f>
        <v>LOS</v>
      </c>
      <c r="AC5" s="581">
        <f t="shared" si="1"/>
        <v>202</v>
      </c>
      <c r="AD5" s="200" t="str">
        <f t="shared" si="10"/>
        <v>….</v>
      </c>
      <c r="AE5" s="533" t="str">
        <f t="shared" si="10"/>
        <v>GUEST CLOSET</v>
      </c>
      <c r="AF5" s="533" t="str">
        <f t="shared" si="11"/>
        <v>….. SOURCE of  LOSS …..</v>
      </c>
      <c r="AG5" s="643" t="str">
        <f>$W$5</f>
        <v>LOS</v>
      </c>
      <c r="AH5" s="533">
        <f t="shared" si="2"/>
        <v>302</v>
      </c>
      <c r="AI5" s="200" t="str">
        <f t="shared" si="12"/>
        <v>….</v>
      </c>
      <c r="AJ5" s="533" t="str">
        <f t="shared" si="12"/>
        <v>GUEST CLOSET</v>
      </c>
      <c r="AK5" s="533" t="str">
        <f t="shared" si="13"/>
        <v>…..  C.P.S.  …...</v>
      </c>
      <c r="AL5" s="643" t="str">
        <f>$W$5</f>
        <v>LOS</v>
      </c>
      <c r="AM5" s="432"/>
      <c r="AN5" s="533">
        <f t="shared" si="3"/>
        <v>402</v>
      </c>
      <c r="AO5" s="200" t="str">
        <f t="shared" si="14"/>
        <v>….</v>
      </c>
      <c r="AP5" s="533" t="str">
        <f>AJ5</f>
        <v>GUEST CLOSET</v>
      </c>
      <c r="AQ5" s="533" t="str">
        <f t="shared" si="15"/>
        <v>NON SALVAGEABLE ITEMS</v>
      </c>
      <c r="AR5" s="643" t="str">
        <f>$W$5</f>
        <v>LOS</v>
      </c>
      <c r="AS5" s="533">
        <f t="shared" si="4"/>
        <v>802</v>
      </c>
      <c r="AT5" s="200" t="s">
        <v>569</v>
      </c>
      <c r="AU5" s="533" t="str">
        <f t="shared" ref="AU5:AU28" si="27">AP5</f>
        <v>GUEST CLOSET</v>
      </c>
      <c r="AV5" s="581" t="str">
        <f t="shared" ref="AV5:AV28" si="28">AV4</f>
        <v>… MITIGATION  EQUIPMENT &amp; W.I.P . ...</v>
      </c>
      <c r="AW5" s="643" t="str">
        <f>$W$5</f>
        <v>LOS</v>
      </c>
      <c r="AX5" s="244">
        <f t="shared" si="16"/>
        <v>6102.1</v>
      </c>
      <c r="AY5" s="200" t="s">
        <v>569</v>
      </c>
      <c r="AZ5" t="str">
        <f>AZ4</f>
        <v>.. DAY 1 …</v>
      </c>
      <c r="BA5" s="533" t="str">
        <f t="shared" si="17"/>
        <v>GUEST CLOSET</v>
      </c>
      <c r="BB5" t="str">
        <f>BB4</f>
        <v xml:space="preserve">  ...  MC READINGS ..</v>
      </c>
      <c r="BC5" s="643" t="str">
        <f>$W$5</f>
        <v>LOS</v>
      </c>
      <c r="BD5" s="244">
        <f t="shared" si="18"/>
        <v>6202.2</v>
      </c>
      <c r="BE5" s="200" t="s">
        <v>569</v>
      </c>
      <c r="BF5" s="533" t="str">
        <f t="shared" si="19"/>
        <v>GUEST CLOSET</v>
      </c>
      <c r="BG5" t="str">
        <f>BG4</f>
        <v xml:space="preserve">  ...  MC READINGS ..</v>
      </c>
      <c r="BH5" s="643" t="str">
        <f>$W$5</f>
        <v>LOS</v>
      </c>
      <c r="BI5" s="244">
        <f t="shared" si="20"/>
        <v>6302.3</v>
      </c>
      <c r="BJ5" s="200" t="s">
        <v>569</v>
      </c>
      <c r="BK5" t="str">
        <f t="shared" ref="BK5:BK28" si="29">BK4</f>
        <v xml:space="preserve">….. DAY 3 ….. </v>
      </c>
      <c r="BL5" s="533" t="str">
        <f t="shared" si="21"/>
        <v>GUEST CLOSET</v>
      </c>
      <c r="BM5" t="str">
        <f>BM4</f>
        <v xml:space="preserve">  ...  MC READINGS ..</v>
      </c>
      <c r="BN5" s="643" t="str">
        <f>$W$5</f>
        <v>LOS</v>
      </c>
      <c r="BO5" s="244">
        <f t="shared" si="22"/>
        <v>6402.4</v>
      </c>
      <c r="BP5" s="200" t="s">
        <v>569</v>
      </c>
      <c r="BQ5" t="str">
        <f>BQ4</f>
        <v xml:space="preserve">….. DAY 4 ….. </v>
      </c>
      <c r="BR5" s="533" t="str">
        <f t="shared" si="23"/>
        <v>GUEST CLOSET</v>
      </c>
      <c r="BS5" t="str">
        <f>BS4</f>
        <v xml:space="preserve">  ...  MC READINGS ..</v>
      </c>
      <c r="BT5" s="643" t="str">
        <f>$W$5</f>
        <v>LOS</v>
      </c>
      <c r="BU5" s="613">
        <v>7100</v>
      </c>
      <c r="BV5" s="782" t="str">
        <f>BU2</f>
        <v xml:space="preserve">….. DAY 1 ….. </v>
      </c>
      <c r="BW5" s="614" t="s">
        <v>584</v>
      </c>
      <c r="BX5" s="614"/>
      <c r="CB5" t="str">
        <f t="shared" si="5"/>
        <v>Dining Room</v>
      </c>
      <c r="CC5" t="str">
        <f t="shared" si="6"/>
        <v>LOS</v>
      </c>
      <c r="CD5" s="790">
        <v>554</v>
      </c>
      <c r="CE5" s="200" t="s">
        <v>569</v>
      </c>
      <c r="CF5" s="381" t="s">
        <v>608</v>
      </c>
      <c r="CG5" s="138" t="s">
        <v>609</v>
      </c>
      <c r="CW5" s="572"/>
    </row>
    <row r="6" spans="1:101" ht="26.65" customHeight="1" thickTop="1" thickBot="1">
      <c r="A6" t="str">
        <f t="shared" si="24"/>
        <v>Dining Room</v>
      </c>
      <c r="B6" s="485">
        <f t="shared" si="7"/>
        <v>103</v>
      </c>
      <c r="C6" s="655"/>
      <c r="D6" s="782">
        <f t="shared" si="25"/>
        <v>203</v>
      </c>
      <c r="E6" s="782"/>
      <c r="F6" s="782">
        <f t="shared" si="25"/>
        <v>303</v>
      </c>
      <c r="G6" s="782"/>
      <c r="H6" s="782">
        <f t="shared" si="25"/>
        <v>403</v>
      </c>
      <c r="I6" s="782"/>
      <c r="J6" s="782">
        <v>803</v>
      </c>
      <c r="K6" s="782"/>
      <c r="L6" s="782">
        <f t="shared" si="26"/>
        <v>6103.1</v>
      </c>
      <c r="M6" s="782">
        <f t="shared" si="26"/>
        <v>6203.2</v>
      </c>
      <c r="N6" s="782">
        <f t="shared" si="26"/>
        <v>6303.3</v>
      </c>
      <c r="O6" s="782">
        <f t="shared" si="26"/>
        <v>6403.4</v>
      </c>
      <c r="P6" s="578">
        <f>P8-0.1</f>
        <v>7100</v>
      </c>
      <c r="Q6" s="578">
        <f>Q8-0.1</f>
        <v>7200.0999999999995</v>
      </c>
      <c r="T6" s="485">
        <v>103</v>
      </c>
      <c r="U6" s="200" t="s">
        <v>561</v>
      </c>
      <c r="V6" s="656" t="str">
        <f>'ROOMS#'!R6</f>
        <v>Dining Room</v>
      </c>
      <c r="W6" s="1" t="s">
        <v>638</v>
      </c>
      <c r="X6" s="485">
        <f t="shared" si="8"/>
        <v>103</v>
      </c>
      <c r="Y6" s="200" t="str">
        <f t="shared" si="8"/>
        <v>….</v>
      </c>
      <c r="Z6" s="533" t="str">
        <f t="shared" si="8"/>
        <v>Dining Room</v>
      </c>
      <c r="AA6" s="533" t="str">
        <f t="shared" si="9"/>
        <v xml:space="preserve"> = … ROOM OVERVIEW PICS ... DAY 1 …</v>
      </c>
      <c r="AB6" s="643" t="str">
        <f>$W$6</f>
        <v>LOS</v>
      </c>
      <c r="AC6" s="581">
        <f t="shared" si="1"/>
        <v>203</v>
      </c>
      <c r="AD6" s="200" t="str">
        <f t="shared" si="10"/>
        <v>….</v>
      </c>
      <c r="AE6" s="533" t="str">
        <f t="shared" si="10"/>
        <v>Dining Room</v>
      </c>
      <c r="AF6" s="533" t="str">
        <f t="shared" si="11"/>
        <v>….. SOURCE of  LOSS …..</v>
      </c>
      <c r="AG6" s="643" t="str">
        <f>$W$6</f>
        <v>LOS</v>
      </c>
      <c r="AH6" s="533">
        <f t="shared" si="2"/>
        <v>303</v>
      </c>
      <c r="AI6" s="200" t="str">
        <f t="shared" si="12"/>
        <v>….</v>
      </c>
      <c r="AJ6" s="533" t="str">
        <f t="shared" si="12"/>
        <v>Dining Room</v>
      </c>
      <c r="AK6" s="533" t="str">
        <f t="shared" si="13"/>
        <v>…..  C.P.S.  …...</v>
      </c>
      <c r="AL6" s="643" t="str">
        <f>$W$6</f>
        <v>LOS</v>
      </c>
      <c r="AM6" s="432"/>
      <c r="AN6" s="533">
        <f t="shared" si="3"/>
        <v>403</v>
      </c>
      <c r="AO6" s="200" t="str">
        <f t="shared" si="14"/>
        <v>….</v>
      </c>
      <c r="AP6" s="533" t="str">
        <f t="shared" si="14"/>
        <v>Dining Room</v>
      </c>
      <c r="AQ6" s="533" t="str">
        <f t="shared" si="15"/>
        <v>NON SALVAGEABLE ITEMS</v>
      </c>
      <c r="AR6" s="643" t="str">
        <f>$W$6</f>
        <v>LOS</v>
      </c>
      <c r="AS6" s="533">
        <f t="shared" si="4"/>
        <v>803</v>
      </c>
      <c r="AT6" s="200" t="s">
        <v>569</v>
      </c>
      <c r="AU6" s="533" t="str">
        <f t="shared" si="27"/>
        <v>Dining Room</v>
      </c>
      <c r="AV6" s="581" t="str">
        <f t="shared" si="28"/>
        <v>… MITIGATION  EQUIPMENT &amp; W.I.P . ...</v>
      </c>
      <c r="AW6" s="643" t="str">
        <f>$W$6</f>
        <v>LOS</v>
      </c>
      <c r="AX6" s="244">
        <f t="shared" si="16"/>
        <v>6103.1</v>
      </c>
      <c r="AY6" s="200" t="s">
        <v>569</v>
      </c>
      <c r="AZ6" t="str">
        <f t="shared" ref="AZ6:AZ28" si="30">AZ5</f>
        <v>.. DAY 1 …</v>
      </c>
      <c r="BA6" s="533" t="str">
        <f t="shared" si="17"/>
        <v>Dining Room</v>
      </c>
      <c r="BB6" t="str">
        <f t="shared" ref="BB6:BB28" si="31">BB5</f>
        <v xml:space="preserve">  ...  MC READINGS ..</v>
      </c>
      <c r="BC6" s="643" t="str">
        <f>$W$6</f>
        <v>LOS</v>
      </c>
      <c r="BD6" s="244">
        <f t="shared" si="18"/>
        <v>6203.2</v>
      </c>
      <c r="BE6" s="200" t="s">
        <v>569</v>
      </c>
      <c r="BF6" s="533" t="str">
        <f t="shared" si="19"/>
        <v>Dining Room</v>
      </c>
      <c r="BG6" t="str">
        <f t="shared" ref="BG6:BG28" si="32">BG5</f>
        <v xml:space="preserve">  ...  MC READINGS ..</v>
      </c>
      <c r="BH6" s="643" t="str">
        <f>$W$6</f>
        <v>LOS</v>
      </c>
      <c r="BI6" s="244">
        <f t="shared" si="20"/>
        <v>6303.3</v>
      </c>
      <c r="BJ6" s="200" t="s">
        <v>569</v>
      </c>
      <c r="BK6" t="str">
        <f t="shared" si="29"/>
        <v xml:space="preserve">….. DAY 3 ….. </v>
      </c>
      <c r="BL6" s="533" t="str">
        <f t="shared" si="21"/>
        <v>Dining Room</v>
      </c>
      <c r="BM6" t="str">
        <f t="shared" ref="BM6:BM28" si="33">BM5</f>
        <v xml:space="preserve">  ...  MC READINGS ..</v>
      </c>
      <c r="BN6" s="643" t="str">
        <f>$W$6</f>
        <v>LOS</v>
      </c>
      <c r="BO6" s="244">
        <f t="shared" si="22"/>
        <v>6403.4</v>
      </c>
      <c r="BP6" s="200" t="s">
        <v>569</v>
      </c>
      <c r="BQ6" t="str">
        <f t="shared" ref="BQ6:BQ28" si="34">BQ5</f>
        <v xml:space="preserve">….. DAY 4 ….. </v>
      </c>
      <c r="BR6" s="533" t="str">
        <f t="shared" si="23"/>
        <v>Dining Room</v>
      </c>
      <c r="BS6" t="str">
        <f t="shared" ref="BS6:BS28" si="35">BS5</f>
        <v xml:space="preserve">  ...  MC READINGS ..</v>
      </c>
      <c r="BT6" s="643" t="str">
        <f>$W$6</f>
        <v>LOS</v>
      </c>
      <c r="BU6" s="648">
        <f>BU5+1</f>
        <v>7101</v>
      </c>
      <c r="BV6" s="8" t="str">
        <f>BV5</f>
        <v xml:space="preserve">….. DAY 1 ….. </v>
      </c>
      <c r="BW6" s="615" t="s">
        <v>587</v>
      </c>
      <c r="BX6" s="610" t="s">
        <v>588</v>
      </c>
      <c r="CB6" t="str">
        <f t="shared" si="5"/>
        <v>DEN</v>
      </c>
      <c r="CC6" t="str">
        <f t="shared" si="6"/>
        <v>…..........</v>
      </c>
      <c r="CD6" s="790">
        <v>198</v>
      </c>
      <c r="CE6" s="200" t="s">
        <v>569</v>
      </c>
      <c r="CF6" s="138" t="s">
        <v>559</v>
      </c>
      <c r="CG6" s="138" t="s">
        <v>598</v>
      </c>
      <c r="CH6" s="569" t="s">
        <v>565</v>
      </c>
      <c r="CI6" s="569" t="s">
        <v>565</v>
      </c>
      <c r="CW6" s="570"/>
    </row>
    <row r="7" spans="1:101" ht="26.65" customHeight="1" thickTop="1" thickBot="1">
      <c r="A7" s="432" t="str">
        <f t="shared" si="24"/>
        <v>DEN</v>
      </c>
      <c r="B7" s="485">
        <f t="shared" si="7"/>
        <v>104</v>
      </c>
      <c r="C7" s="485"/>
      <c r="D7" s="573">
        <f t="shared" si="25"/>
        <v>204</v>
      </c>
      <c r="E7" s="573"/>
      <c r="F7" s="573">
        <f t="shared" si="25"/>
        <v>304</v>
      </c>
      <c r="G7" s="573"/>
      <c r="H7" s="573">
        <f t="shared" si="25"/>
        <v>404</v>
      </c>
      <c r="I7" s="782"/>
      <c r="J7" s="573">
        <v>804</v>
      </c>
      <c r="K7" s="573"/>
      <c r="L7" s="573">
        <f t="shared" si="26"/>
        <v>6104.1</v>
      </c>
      <c r="M7" s="573">
        <f t="shared" si="26"/>
        <v>6204.2</v>
      </c>
      <c r="N7" s="573">
        <f t="shared" si="26"/>
        <v>6304.3</v>
      </c>
      <c r="O7" s="573">
        <f t="shared" si="26"/>
        <v>6404.4</v>
      </c>
      <c r="P7" s="853" t="s">
        <v>584</v>
      </c>
      <c r="Q7" s="853"/>
      <c r="R7" s="853"/>
      <c r="S7" s="853"/>
      <c r="T7" s="485">
        <v>104</v>
      </c>
      <c r="U7" s="200" t="s">
        <v>561</v>
      </c>
      <c r="V7" s="656" t="str">
        <f>'ROOMS#'!R7</f>
        <v>DEN</v>
      </c>
      <c r="W7" s="1" t="s">
        <v>583</v>
      </c>
      <c r="X7" s="485">
        <f t="shared" si="8"/>
        <v>104</v>
      </c>
      <c r="Y7" s="200" t="str">
        <f t="shared" si="8"/>
        <v>….</v>
      </c>
      <c r="Z7" s="533" t="str">
        <f t="shared" si="8"/>
        <v>DEN</v>
      </c>
      <c r="AA7" s="533" t="str">
        <f t="shared" si="9"/>
        <v xml:space="preserve"> = … ROOM OVERVIEW PICS ... DAY 1 …</v>
      </c>
      <c r="AB7" s="643" t="str">
        <f>$W$7</f>
        <v>…..........</v>
      </c>
      <c r="AC7" s="581">
        <f t="shared" si="1"/>
        <v>204</v>
      </c>
      <c r="AD7" s="200" t="str">
        <f t="shared" si="10"/>
        <v>….</v>
      </c>
      <c r="AE7" s="533" t="str">
        <f t="shared" si="10"/>
        <v>DEN</v>
      </c>
      <c r="AF7" s="533" t="str">
        <f t="shared" si="11"/>
        <v>….. SOURCE of  LOSS …..</v>
      </c>
      <c r="AG7" s="643" t="str">
        <f>$W$7</f>
        <v>…..........</v>
      </c>
      <c r="AH7" s="533">
        <f t="shared" si="2"/>
        <v>304</v>
      </c>
      <c r="AI7" s="200" t="str">
        <f t="shared" si="12"/>
        <v>….</v>
      </c>
      <c r="AJ7" s="533" t="str">
        <f t="shared" si="12"/>
        <v>DEN</v>
      </c>
      <c r="AK7" s="533" t="str">
        <f t="shared" si="13"/>
        <v>…..  C.P.S.  …...</v>
      </c>
      <c r="AL7" s="643" t="str">
        <f>$W$7</f>
        <v>…..........</v>
      </c>
      <c r="AM7" s="432"/>
      <c r="AN7" s="533">
        <f t="shared" si="3"/>
        <v>404</v>
      </c>
      <c r="AO7" s="200" t="str">
        <f t="shared" si="14"/>
        <v>….</v>
      </c>
      <c r="AP7" s="533" t="str">
        <f t="shared" si="14"/>
        <v>DEN</v>
      </c>
      <c r="AQ7" s="533" t="str">
        <f t="shared" si="15"/>
        <v>NON SALVAGEABLE ITEMS</v>
      </c>
      <c r="AR7" s="643" t="str">
        <f>$W$7</f>
        <v>…..........</v>
      </c>
      <c r="AS7" s="533">
        <f t="shared" si="4"/>
        <v>804</v>
      </c>
      <c r="AT7" s="200" t="s">
        <v>569</v>
      </c>
      <c r="AU7" s="533" t="str">
        <f t="shared" si="27"/>
        <v>DEN</v>
      </c>
      <c r="AV7" s="581" t="str">
        <f t="shared" si="28"/>
        <v>… MITIGATION  EQUIPMENT &amp; W.I.P . ...</v>
      </c>
      <c r="AW7" s="643" t="str">
        <f>$W$7</f>
        <v>…..........</v>
      </c>
      <c r="AX7" s="244">
        <f t="shared" si="16"/>
        <v>6104.1</v>
      </c>
      <c r="AY7" s="200" t="s">
        <v>569</v>
      </c>
      <c r="AZ7" t="str">
        <f t="shared" si="30"/>
        <v>.. DAY 1 …</v>
      </c>
      <c r="BA7" s="533" t="str">
        <f t="shared" si="17"/>
        <v>DEN</v>
      </c>
      <c r="BB7" t="str">
        <f t="shared" si="31"/>
        <v xml:space="preserve">  ...  MC READINGS ..</v>
      </c>
      <c r="BC7" s="643" t="str">
        <f>$W$7</f>
        <v>…..........</v>
      </c>
      <c r="BD7" s="244">
        <f t="shared" si="18"/>
        <v>6204.2</v>
      </c>
      <c r="BE7" s="200" t="s">
        <v>569</v>
      </c>
      <c r="BF7" s="533" t="str">
        <f t="shared" si="19"/>
        <v>DEN</v>
      </c>
      <c r="BG7" t="str">
        <f t="shared" si="32"/>
        <v xml:space="preserve">  ...  MC READINGS ..</v>
      </c>
      <c r="BH7" s="643" t="str">
        <f>$W$7</f>
        <v>…..........</v>
      </c>
      <c r="BI7" s="244">
        <f t="shared" si="20"/>
        <v>6304.3</v>
      </c>
      <c r="BJ7" s="200" t="s">
        <v>569</v>
      </c>
      <c r="BK7" t="str">
        <f t="shared" si="29"/>
        <v xml:space="preserve">….. DAY 3 ….. </v>
      </c>
      <c r="BL7" s="533" t="str">
        <f t="shared" si="21"/>
        <v>DEN</v>
      </c>
      <c r="BM7" t="str">
        <f t="shared" si="33"/>
        <v xml:space="preserve">  ...  MC READINGS ..</v>
      </c>
      <c r="BN7" s="643" t="str">
        <f>$W$7</f>
        <v>…..........</v>
      </c>
      <c r="BO7" s="244">
        <f t="shared" si="22"/>
        <v>6404.4</v>
      </c>
      <c r="BP7" s="200" t="s">
        <v>569</v>
      </c>
      <c r="BQ7" t="str">
        <f t="shared" si="34"/>
        <v xml:space="preserve">….. DAY 4 ….. </v>
      </c>
      <c r="BR7" s="533" t="str">
        <f t="shared" si="23"/>
        <v>DEN</v>
      </c>
      <c r="BS7" t="str">
        <f t="shared" si="35"/>
        <v xml:space="preserve">  ...  MC READINGS ..</v>
      </c>
      <c r="BT7" s="643" t="str">
        <f>$W$7</f>
        <v>…..........</v>
      </c>
      <c r="BU7" s="649">
        <f>BU6+1</f>
        <v>7102</v>
      </c>
      <c r="BV7" s="32" t="str">
        <f>BV6</f>
        <v xml:space="preserve">….. DAY 1 ….. </v>
      </c>
      <c r="BW7" s="615" t="s">
        <v>590</v>
      </c>
      <c r="BX7" s="610" t="s">
        <v>588</v>
      </c>
      <c r="CB7" t="str">
        <f t="shared" si="5"/>
        <v>Kitchen</v>
      </c>
      <c r="CC7" t="str">
        <f t="shared" si="6"/>
        <v>…..........</v>
      </c>
      <c r="CD7" s="790">
        <v>199</v>
      </c>
      <c r="CE7" s="200" t="s">
        <v>569</v>
      </c>
      <c r="CF7" s="138" t="s">
        <v>599</v>
      </c>
      <c r="CG7" s="138" t="s">
        <v>600</v>
      </c>
      <c r="CH7" s="569" t="s">
        <v>565</v>
      </c>
      <c r="CI7" s="569" t="s">
        <v>565</v>
      </c>
      <c r="CW7" s="572"/>
    </row>
    <row r="8" spans="1:101" ht="26.65" customHeight="1" thickTop="1" thickBot="1">
      <c r="A8" t="str">
        <f t="shared" si="24"/>
        <v>Kitchen</v>
      </c>
      <c r="B8" s="485">
        <f t="shared" si="7"/>
        <v>105</v>
      </c>
      <c r="C8" s="655"/>
      <c r="D8" s="782">
        <f t="shared" si="25"/>
        <v>205</v>
      </c>
      <c r="E8" s="782"/>
      <c r="F8" s="782">
        <f t="shared" si="25"/>
        <v>305</v>
      </c>
      <c r="G8" s="782"/>
      <c r="H8" s="782">
        <f t="shared" si="25"/>
        <v>405</v>
      </c>
      <c r="I8" s="782"/>
      <c r="J8" s="782">
        <v>805</v>
      </c>
      <c r="K8" s="782"/>
      <c r="L8" s="782">
        <f t="shared" si="26"/>
        <v>6105.1</v>
      </c>
      <c r="M8" s="782">
        <f t="shared" si="26"/>
        <v>6205.2</v>
      </c>
      <c r="N8" s="782">
        <f t="shared" si="26"/>
        <v>6305.3</v>
      </c>
      <c r="O8" s="782">
        <f t="shared" si="26"/>
        <v>6405.4</v>
      </c>
      <c r="P8" s="782">
        <v>7100.1</v>
      </c>
      <c r="Q8" s="782">
        <v>7200.2</v>
      </c>
      <c r="R8" s="782">
        <v>7300.3</v>
      </c>
      <c r="S8" s="782">
        <v>7400.4</v>
      </c>
      <c r="T8" s="485">
        <v>105</v>
      </c>
      <c r="U8" s="200" t="s">
        <v>561</v>
      </c>
      <c r="V8" s="656" t="str">
        <f>'ROOMS#'!R8</f>
        <v>Kitchen</v>
      </c>
      <c r="W8" s="1" t="s">
        <v>583</v>
      </c>
      <c r="X8" s="485">
        <f t="shared" si="8"/>
        <v>105</v>
      </c>
      <c r="Y8" s="200" t="str">
        <f t="shared" si="8"/>
        <v>….</v>
      </c>
      <c r="Z8" s="533" t="str">
        <f t="shared" si="8"/>
        <v>Kitchen</v>
      </c>
      <c r="AA8" s="533" t="str">
        <f t="shared" si="9"/>
        <v xml:space="preserve"> = … ROOM OVERVIEW PICS ... DAY 1 …</v>
      </c>
      <c r="AB8" s="643" t="str">
        <f>$W$8</f>
        <v>…..........</v>
      </c>
      <c r="AC8" s="581">
        <f t="shared" si="1"/>
        <v>205</v>
      </c>
      <c r="AD8" s="200" t="str">
        <f t="shared" si="10"/>
        <v>….</v>
      </c>
      <c r="AE8" s="533" t="str">
        <f t="shared" si="10"/>
        <v>Kitchen</v>
      </c>
      <c r="AF8" s="533" t="str">
        <f t="shared" si="11"/>
        <v>….. SOURCE of  LOSS …..</v>
      </c>
      <c r="AG8" s="643" t="str">
        <f>$W$8</f>
        <v>…..........</v>
      </c>
      <c r="AH8" s="533">
        <f t="shared" si="2"/>
        <v>305</v>
      </c>
      <c r="AI8" s="200" t="str">
        <f t="shared" si="12"/>
        <v>….</v>
      </c>
      <c r="AJ8" s="533" t="str">
        <f t="shared" si="12"/>
        <v>Kitchen</v>
      </c>
      <c r="AK8" s="533" t="str">
        <f t="shared" si="13"/>
        <v>…..  C.P.S.  …...</v>
      </c>
      <c r="AL8" s="643" t="str">
        <f>$W$8</f>
        <v>…..........</v>
      </c>
      <c r="AM8" s="432"/>
      <c r="AN8" s="533">
        <f t="shared" si="3"/>
        <v>405</v>
      </c>
      <c r="AO8" s="200" t="str">
        <f t="shared" si="14"/>
        <v>….</v>
      </c>
      <c r="AP8" s="533" t="str">
        <f t="shared" si="14"/>
        <v>Kitchen</v>
      </c>
      <c r="AQ8" s="533" t="str">
        <f t="shared" si="15"/>
        <v>NON SALVAGEABLE ITEMS</v>
      </c>
      <c r="AR8" s="643" t="str">
        <f>$W$8</f>
        <v>…..........</v>
      </c>
      <c r="AS8" s="533">
        <f t="shared" si="4"/>
        <v>805</v>
      </c>
      <c r="AT8" s="200" t="s">
        <v>569</v>
      </c>
      <c r="AU8" s="533" t="str">
        <f t="shared" si="27"/>
        <v>Kitchen</v>
      </c>
      <c r="AV8" s="581" t="str">
        <f t="shared" si="28"/>
        <v>… MITIGATION  EQUIPMENT &amp; W.I.P . ...</v>
      </c>
      <c r="AW8" s="643" t="str">
        <f>$W$8</f>
        <v>…..........</v>
      </c>
      <c r="AX8" s="244">
        <f t="shared" si="16"/>
        <v>6105.1</v>
      </c>
      <c r="AY8" s="200" t="s">
        <v>569</v>
      </c>
      <c r="AZ8" t="str">
        <f t="shared" si="30"/>
        <v>.. DAY 1 …</v>
      </c>
      <c r="BA8" s="533" t="str">
        <f t="shared" si="17"/>
        <v>Kitchen</v>
      </c>
      <c r="BB8" t="str">
        <f t="shared" si="31"/>
        <v xml:space="preserve">  ...  MC READINGS ..</v>
      </c>
      <c r="BC8" s="643" t="str">
        <f>$W$8</f>
        <v>…..........</v>
      </c>
      <c r="BD8" s="244">
        <f t="shared" si="18"/>
        <v>6205.2</v>
      </c>
      <c r="BE8" s="200" t="s">
        <v>569</v>
      </c>
      <c r="BF8" s="533" t="str">
        <f t="shared" si="19"/>
        <v>Kitchen</v>
      </c>
      <c r="BG8" t="str">
        <f t="shared" si="32"/>
        <v xml:space="preserve">  ...  MC READINGS ..</v>
      </c>
      <c r="BH8" s="643" t="str">
        <f>$W$8</f>
        <v>…..........</v>
      </c>
      <c r="BI8" s="244">
        <f t="shared" si="20"/>
        <v>6305.3</v>
      </c>
      <c r="BJ8" s="200" t="s">
        <v>569</v>
      </c>
      <c r="BK8" t="str">
        <f t="shared" si="29"/>
        <v xml:space="preserve">….. DAY 3 ….. </v>
      </c>
      <c r="BL8" s="533" t="str">
        <f t="shared" si="21"/>
        <v>Kitchen</v>
      </c>
      <c r="BM8" t="str">
        <f t="shared" si="33"/>
        <v xml:space="preserve">  ...  MC READINGS ..</v>
      </c>
      <c r="BN8" s="643" t="str">
        <f>$W$8</f>
        <v>…..........</v>
      </c>
      <c r="BO8" s="244">
        <f t="shared" si="22"/>
        <v>6405.4</v>
      </c>
      <c r="BP8" s="200" t="s">
        <v>569</v>
      </c>
      <c r="BQ8" t="str">
        <f t="shared" si="34"/>
        <v xml:space="preserve">….. DAY 4 ….. </v>
      </c>
      <c r="BR8" s="533" t="str">
        <f t="shared" si="23"/>
        <v>Kitchen</v>
      </c>
      <c r="BS8" t="str">
        <f t="shared" si="35"/>
        <v xml:space="preserve">  ...  MC READINGS ..</v>
      </c>
      <c r="BT8" s="643" t="str">
        <f>$W$8</f>
        <v>…..........</v>
      </c>
      <c r="BU8" s="648">
        <f>BU7+1</f>
        <v>7103</v>
      </c>
      <c r="BV8" s="32" t="str">
        <f>BV7</f>
        <v xml:space="preserve">….. DAY 1 ….. </v>
      </c>
      <c r="BW8" s="615" t="s">
        <v>593</v>
      </c>
      <c r="BX8" s="610" t="s">
        <v>588</v>
      </c>
      <c r="CB8" t="str">
        <f t="shared" si="5"/>
        <v>STAIRS UP</v>
      </c>
      <c r="CC8" t="str">
        <f t="shared" si="6"/>
        <v>…..........</v>
      </c>
      <c r="CE8" s="200" t="s">
        <v>569</v>
      </c>
      <c r="CF8" s="209"/>
      <c r="CG8" s="209"/>
      <c r="CW8" s="570"/>
    </row>
    <row r="9" spans="1:101" ht="26.65" customHeight="1" thickTop="1" thickBot="1">
      <c r="A9" s="432" t="str">
        <f t="shared" si="24"/>
        <v>STAIRS UP</v>
      </c>
      <c r="B9" s="485">
        <f t="shared" si="7"/>
        <v>106</v>
      </c>
      <c r="C9" s="485"/>
      <c r="D9" s="573">
        <f t="shared" si="25"/>
        <v>206</v>
      </c>
      <c r="E9" s="573"/>
      <c r="F9" s="573">
        <f t="shared" si="25"/>
        <v>306</v>
      </c>
      <c r="G9" s="573"/>
      <c r="H9" s="573">
        <f t="shared" si="25"/>
        <v>406</v>
      </c>
      <c r="I9" s="782"/>
      <c r="J9" s="573">
        <v>806</v>
      </c>
      <c r="K9" s="573"/>
      <c r="L9" s="573">
        <f t="shared" si="26"/>
        <v>6106.1</v>
      </c>
      <c r="M9" s="573">
        <f t="shared" si="26"/>
        <v>6206.2</v>
      </c>
      <c r="N9" s="573">
        <f t="shared" si="26"/>
        <v>6306.3</v>
      </c>
      <c r="O9" s="573">
        <f t="shared" si="26"/>
        <v>6406.4</v>
      </c>
      <c r="P9" s="854" t="s">
        <v>596</v>
      </c>
      <c r="Q9" s="854"/>
      <c r="R9" s="854"/>
      <c r="S9" s="854"/>
      <c r="T9" s="485">
        <v>106</v>
      </c>
      <c r="U9" s="200" t="s">
        <v>561</v>
      </c>
      <c r="V9" s="656" t="str">
        <f>'ROOMS#'!R9</f>
        <v>STAIRS UP</v>
      </c>
      <c r="W9" s="1" t="s">
        <v>583</v>
      </c>
      <c r="X9" s="485">
        <f t="shared" si="8"/>
        <v>106</v>
      </c>
      <c r="Y9" s="200" t="str">
        <f t="shared" si="8"/>
        <v>….</v>
      </c>
      <c r="Z9" s="533" t="str">
        <f t="shared" si="8"/>
        <v>STAIRS UP</v>
      </c>
      <c r="AA9" s="533" t="str">
        <f t="shared" si="9"/>
        <v xml:space="preserve"> = … ROOM OVERVIEW PICS ... DAY 1 …</v>
      </c>
      <c r="AB9" s="643" t="str">
        <f>$W$9</f>
        <v>…..........</v>
      </c>
      <c r="AC9" s="581">
        <f t="shared" si="1"/>
        <v>206</v>
      </c>
      <c r="AD9" s="200" t="str">
        <f t="shared" si="10"/>
        <v>….</v>
      </c>
      <c r="AE9" s="533" t="str">
        <f t="shared" si="10"/>
        <v>STAIRS UP</v>
      </c>
      <c r="AF9" s="533" t="str">
        <f t="shared" si="11"/>
        <v>….. SOURCE of  LOSS …..</v>
      </c>
      <c r="AG9" s="643" t="str">
        <f>$W$9</f>
        <v>…..........</v>
      </c>
      <c r="AH9" s="533">
        <f t="shared" si="2"/>
        <v>306</v>
      </c>
      <c r="AI9" s="200" t="str">
        <f t="shared" si="12"/>
        <v>….</v>
      </c>
      <c r="AJ9" s="533" t="str">
        <f t="shared" si="12"/>
        <v>STAIRS UP</v>
      </c>
      <c r="AK9" s="533" t="str">
        <f t="shared" si="13"/>
        <v>…..  C.P.S.  …...</v>
      </c>
      <c r="AL9" s="643" t="str">
        <f>$W$9</f>
        <v>…..........</v>
      </c>
      <c r="AM9" s="432"/>
      <c r="AN9" s="533">
        <f t="shared" si="3"/>
        <v>406</v>
      </c>
      <c r="AO9" s="200" t="str">
        <f t="shared" si="14"/>
        <v>….</v>
      </c>
      <c r="AP9" s="533" t="str">
        <f t="shared" si="14"/>
        <v>STAIRS UP</v>
      </c>
      <c r="AQ9" s="533" t="str">
        <f t="shared" si="15"/>
        <v>NON SALVAGEABLE ITEMS</v>
      </c>
      <c r="AR9" s="643" t="str">
        <f>$W$9</f>
        <v>…..........</v>
      </c>
      <c r="AS9" s="533">
        <f t="shared" si="4"/>
        <v>806</v>
      </c>
      <c r="AT9" s="200" t="s">
        <v>569</v>
      </c>
      <c r="AU9" s="533" t="str">
        <f t="shared" si="27"/>
        <v>STAIRS UP</v>
      </c>
      <c r="AV9" s="581" t="str">
        <f t="shared" si="28"/>
        <v>… MITIGATION  EQUIPMENT &amp; W.I.P . ...</v>
      </c>
      <c r="AW9" s="643" t="str">
        <f>$W$9</f>
        <v>…..........</v>
      </c>
      <c r="AX9" s="244">
        <f t="shared" si="16"/>
        <v>6106.1</v>
      </c>
      <c r="AY9" s="200" t="s">
        <v>569</v>
      </c>
      <c r="AZ9" t="str">
        <f t="shared" si="30"/>
        <v>.. DAY 1 …</v>
      </c>
      <c r="BA9" s="533" t="str">
        <f t="shared" si="17"/>
        <v>STAIRS UP</v>
      </c>
      <c r="BB9" t="str">
        <f t="shared" si="31"/>
        <v xml:space="preserve">  ...  MC READINGS ..</v>
      </c>
      <c r="BC9" s="643" t="str">
        <f>$W$9</f>
        <v>…..........</v>
      </c>
      <c r="BD9" s="244">
        <f t="shared" si="18"/>
        <v>6206.2</v>
      </c>
      <c r="BE9" s="200" t="s">
        <v>569</v>
      </c>
      <c r="BF9" s="533" t="str">
        <f t="shared" si="19"/>
        <v>STAIRS UP</v>
      </c>
      <c r="BG9" t="str">
        <f t="shared" si="32"/>
        <v xml:space="preserve">  ...  MC READINGS ..</v>
      </c>
      <c r="BH9" s="643" t="str">
        <f>$W$9</f>
        <v>…..........</v>
      </c>
      <c r="BI9" s="244">
        <f t="shared" si="20"/>
        <v>6306.3</v>
      </c>
      <c r="BJ9" s="200" t="s">
        <v>569</v>
      </c>
      <c r="BK9" t="str">
        <f t="shared" si="29"/>
        <v xml:space="preserve">….. DAY 3 ….. </v>
      </c>
      <c r="BL9" s="533" t="str">
        <f t="shared" si="21"/>
        <v>STAIRS UP</v>
      </c>
      <c r="BM9" t="str">
        <f t="shared" si="33"/>
        <v xml:space="preserve">  ...  MC READINGS ..</v>
      </c>
      <c r="BN9" s="643" t="str">
        <f>$W$9</f>
        <v>…..........</v>
      </c>
      <c r="BO9" s="244">
        <f t="shared" si="22"/>
        <v>6406.4</v>
      </c>
      <c r="BP9" s="200" t="s">
        <v>569</v>
      </c>
      <c r="BQ9" t="str">
        <f t="shared" si="34"/>
        <v xml:space="preserve">….. DAY 4 ….. </v>
      </c>
      <c r="BR9" s="533" t="str">
        <f t="shared" si="23"/>
        <v>STAIRS UP</v>
      </c>
      <c r="BS9" t="str">
        <f t="shared" si="35"/>
        <v xml:space="preserve">  ...  MC READINGS ..</v>
      </c>
      <c r="BT9" s="643" t="str">
        <f>$W$9</f>
        <v>…..........</v>
      </c>
      <c r="BU9" s="649">
        <f>BU8+1</f>
        <v>7104</v>
      </c>
      <c r="BV9" s="32" t="str">
        <f>BV8</f>
        <v xml:space="preserve">….. DAY 1 ….. </v>
      </c>
      <c r="BW9" s="615" t="s">
        <v>597</v>
      </c>
      <c r="BX9" s="610" t="s">
        <v>588</v>
      </c>
      <c r="CB9" t="str">
        <f t="shared" si="5"/>
        <v>HALL UP</v>
      </c>
      <c r="CC9" t="str">
        <f t="shared" si="6"/>
        <v>…..........</v>
      </c>
      <c r="CE9" s="200" t="s">
        <v>569</v>
      </c>
      <c r="CW9" s="572"/>
    </row>
    <row r="10" spans="1:101" ht="26.65" customHeight="1" thickTop="1" thickBot="1">
      <c r="A10" t="str">
        <f t="shared" si="24"/>
        <v>HALL UP</v>
      </c>
      <c r="B10" s="485">
        <f t="shared" si="7"/>
        <v>107</v>
      </c>
      <c r="C10" s="655"/>
      <c r="D10" s="782">
        <f t="shared" si="25"/>
        <v>207</v>
      </c>
      <c r="E10" s="782"/>
      <c r="F10" s="782">
        <f t="shared" si="25"/>
        <v>307</v>
      </c>
      <c r="G10" s="782"/>
      <c r="H10" s="782">
        <f t="shared" si="25"/>
        <v>407</v>
      </c>
      <c r="I10" s="782"/>
      <c r="J10" s="782">
        <v>807</v>
      </c>
      <c r="K10" s="782"/>
      <c r="L10" s="782">
        <f t="shared" si="26"/>
        <v>6107.1</v>
      </c>
      <c r="M10" s="782">
        <f t="shared" si="26"/>
        <v>6207.2</v>
      </c>
      <c r="N10" s="782">
        <f t="shared" si="26"/>
        <v>6307.3</v>
      </c>
      <c r="O10" s="782">
        <f t="shared" si="26"/>
        <v>6407.4</v>
      </c>
      <c r="P10" s="573">
        <f>P8+1</f>
        <v>7101.1</v>
      </c>
      <c r="Q10" s="573">
        <f>Q8+1</f>
        <v>7201.2</v>
      </c>
      <c r="R10" s="573">
        <f>R8+1</f>
        <v>7301.3</v>
      </c>
      <c r="S10" s="573">
        <f>S8+1</f>
        <v>7401.4</v>
      </c>
      <c r="T10" s="485">
        <v>107</v>
      </c>
      <c r="U10" s="200" t="s">
        <v>561</v>
      </c>
      <c r="V10" s="656" t="str">
        <f>'ROOMS#'!R10</f>
        <v>HALL UP</v>
      </c>
      <c r="W10" s="1" t="s">
        <v>583</v>
      </c>
      <c r="X10" s="485">
        <f t="shared" si="8"/>
        <v>107</v>
      </c>
      <c r="Y10" s="200" t="str">
        <f t="shared" si="8"/>
        <v>….</v>
      </c>
      <c r="Z10" s="581" t="str">
        <f t="shared" si="8"/>
        <v>HALL UP</v>
      </c>
      <c r="AA10" s="533" t="str">
        <f t="shared" si="9"/>
        <v xml:space="preserve"> = … ROOM OVERVIEW PICS ... DAY 1 …</v>
      </c>
      <c r="AB10" s="643" t="str">
        <f>$W$10</f>
        <v>…..........</v>
      </c>
      <c r="AC10" s="581">
        <f t="shared" si="1"/>
        <v>207</v>
      </c>
      <c r="AD10" s="200" t="str">
        <f t="shared" si="10"/>
        <v>….</v>
      </c>
      <c r="AE10" s="533" t="str">
        <f t="shared" si="10"/>
        <v>HALL UP</v>
      </c>
      <c r="AF10" s="533" t="str">
        <f t="shared" si="11"/>
        <v>….. SOURCE of  LOSS …..</v>
      </c>
      <c r="AG10" s="643" t="str">
        <f>$W$10</f>
        <v>…..........</v>
      </c>
      <c r="AH10" s="533">
        <f t="shared" si="2"/>
        <v>307</v>
      </c>
      <c r="AI10" s="200" t="str">
        <f t="shared" si="12"/>
        <v>….</v>
      </c>
      <c r="AJ10" s="533" t="str">
        <f t="shared" si="12"/>
        <v>HALL UP</v>
      </c>
      <c r="AK10" s="533" t="str">
        <f t="shared" si="13"/>
        <v>…..  C.P.S.  …...</v>
      </c>
      <c r="AL10" s="643" t="str">
        <f>$W$10</f>
        <v>…..........</v>
      </c>
      <c r="AM10" s="432"/>
      <c r="AN10" s="533">
        <f t="shared" si="3"/>
        <v>407</v>
      </c>
      <c r="AO10" s="200" t="str">
        <f t="shared" si="14"/>
        <v>….</v>
      </c>
      <c r="AP10" s="533" t="str">
        <f t="shared" si="14"/>
        <v>HALL UP</v>
      </c>
      <c r="AQ10" s="533" t="str">
        <f t="shared" si="15"/>
        <v>NON SALVAGEABLE ITEMS</v>
      </c>
      <c r="AR10" s="643" t="str">
        <f>$W$10</f>
        <v>…..........</v>
      </c>
      <c r="AS10" s="533">
        <f t="shared" si="4"/>
        <v>807</v>
      </c>
      <c r="AT10" s="200" t="s">
        <v>569</v>
      </c>
      <c r="AU10" s="533" t="str">
        <f t="shared" si="27"/>
        <v>HALL UP</v>
      </c>
      <c r="AV10" s="581" t="str">
        <f t="shared" si="28"/>
        <v>… MITIGATION  EQUIPMENT &amp; W.I.P . ...</v>
      </c>
      <c r="AW10" s="643" t="str">
        <f>$W$10</f>
        <v>…..........</v>
      </c>
      <c r="AX10" s="244">
        <f t="shared" si="16"/>
        <v>6107.1</v>
      </c>
      <c r="AY10" s="200" t="s">
        <v>569</v>
      </c>
      <c r="AZ10" t="str">
        <f t="shared" si="30"/>
        <v>.. DAY 1 …</v>
      </c>
      <c r="BA10" s="533" t="str">
        <f t="shared" si="17"/>
        <v>HALL UP</v>
      </c>
      <c r="BB10" t="str">
        <f t="shared" si="31"/>
        <v xml:space="preserve">  ...  MC READINGS ..</v>
      </c>
      <c r="BC10" s="643" t="str">
        <f>$W$10</f>
        <v>…..........</v>
      </c>
      <c r="BD10" s="244">
        <f t="shared" si="18"/>
        <v>6207.2</v>
      </c>
      <c r="BE10" s="200" t="s">
        <v>569</v>
      </c>
      <c r="BF10" s="533" t="str">
        <f t="shared" si="19"/>
        <v>HALL UP</v>
      </c>
      <c r="BG10" t="str">
        <f t="shared" si="32"/>
        <v xml:space="preserve">  ...  MC READINGS ..</v>
      </c>
      <c r="BH10" s="643" t="str">
        <f>$W$10</f>
        <v>…..........</v>
      </c>
      <c r="BI10" s="244">
        <f t="shared" si="20"/>
        <v>6307.3</v>
      </c>
      <c r="BJ10" s="200" t="s">
        <v>569</v>
      </c>
      <c r="BK10" t="str">
        <f t="shared" si="29"/>
        <v xml:space="preserve">….. DAY 3 ….. </v>
      </c>
      <c r="BL10" s="533" t="str">
        <f t="shared" si="21"/>
        <v>HALL UP</v>
      </c>
      <c r="BM10" t="str">
        <f t="shared" si="33"/>
        <v xml:space="preserve">  ...  MC READINGS ..</v>
      </c>
      <c r="BN10" s="643" t="str">
        <f>$W$10</f>
        <v>…..........</v>
      </c>
      <c r="BO10" s="244">
        <f t="shared" si="22"/>
        <v>6407.4</v>
      </c>
      <c r="BP10" s="200" t="s">
        <v>569</v>
      </c>
      <c r="BQ10" t="str">
        <f t="shared" si="34"/>
        <v xml:space="preserve">….. DAY 4 ….. </v>
      </c>
      <c r="BR10" s="533" t="str">
        <f t="shared" si="23"/>
        <v>HALL UP</v>
      </c>
      <c r="BS10" t="str">
        <f t="shared" si="35"/>
        <v xml:space="preserve">  ...  MC READINGS ..</v>
      </c>
      <c r="BT10" s="643" t="str">
        <f>$W$10</f>
        <v>…..........</v>
      </c>
      <c r="BU10" s="648">
        <f>BU11-0.2</f>
        <v>7200</v>
      </c>
      <c r="BV10" s="647" t="s">
        <v>555</v>
      </c>
      <c r="BW10" s="610" t="str">
        <f>BW4</f>
        <v>RH &amp;T &amp; GPP  DRY CHAMBERS [DC] .READ INGS  ===========</v>
      </c>
      <c r="BX10" s="614"/>
      <c r="CB10" t="str">
        <f t="shared" si="5"/>
        <v>LINEN CLOSET</v>
      </c>
      <c r="CC10" t="str">
        <f t="shared" si="6"/>
        <v>…..........</v>
      </c>
      <c r="CE10" s="200" t="s">
        <v>569</v>
      </c>
      <c r="CW10" s="570"/>
    </row>
    <row r="11" spans="1:101" ht="26.65" customHeight="1" thickTop="1" thickBot="1">
      <c r="A11" s="432" t="str">
        <f t="shared" si="24"/>
        <v>LINEN CLOSET</v>
      </c>
      <c r="B11" s="485">
        <f t="shared" si="7"/>
        <v>108</v>
      </c>
      <c r="C11" s="485"/>
      <c r="D11" s="573">
        <f t="shared" si="25"/>
        <v>208</v>
      </c>
      <c r="E11" s="573"/>
      <c r="F11" s="573">
        <f t="shared" si="25"/>
        <v>308</v>
      </c>
      <c r="G11" s="573"/>
      <c r="H11" s="573">
        <f t="shared" si="25"/>
        <v>408</v>
      </c>
      <c r="I11" s="782"/>
      <c r="J11" s="573">
        <v>808</v>
      </c>
      <c r="K11" s="573"/>
      <c r="L11" s="573">
        <f t="shared" si="26"/>
        <v>6108.1</v>
      </c>
      <c r="M11" s="573">
        <f t="shared" si="26"/>
        <v>6208.2</v>
      </c>
      <c r="N11" s="573">
        <f t="shared" si="26"/>
        <v>6308.3</v>
      </c>
      <c r="O11" s="573">
        <f t="shared" si="26"/>
        <v>6408.4</v>
      </c>
      <c r="P11" s="842" t="s">
        <v>601</v>
      </c>
      <c r="Q11" s="842"/>
      <c r="R11" s="842"/>
      <c r="S11" s="842"/>
      <c r="T11" s="485">
        <v>108</v>
      </c>
      <c r="U11" s="200" t="s">
        <v>561</v>
      </c>
      <c r="V11" s="656" t="str">
        <f>'ROOMS#'!R11</f>
        <v>LINEN CLOSET</v>
      </c>
      <c r="W11" s="1" t="s">
        <v>583</v>
      </c>
      <c r="X11" s="485">
        <f t="shared" si="8"/>
        <v>108</v>
      </c>
      <c r="Y11" s="200" t="str">
        <f t="shared" si="8"/>
        <v>….</v>
      </c>
      <c r="Z11" s="533" t="str">
        <f t="shared" si="8"/>
        <v>LINEN CLOSET</v>
      </c>
      <c r="AA11" s="533" t="str">
        <f t="shared" si="9"/>
        <v xml:space="preserve"> = … ROOM OVERVIEW PICS ... DAY 1 …</v>
      </c>
      <c r="AB11" s="643" t="str">
        <f>$W$11</f>
        <v>…..........</v>
      </c>
      <c r="AC11" s="581">
        <f t="shared" si="1"/>
        <v>208</v>
      </c>
      <c r="AD11" s="200" t="str">
        <f t="shared" si="10"/>
        <v>….</v>
      </c>
      <c r="AE11" s="533" t="str">
        <f t="shared" si="10"/>
        <v>LINEN CLOSET</v>
      </c>
      <c r="AF11" s="533" t="str">
        <f t="shared" si="11"/>
        <v>….. SOURCE of  LOSS …..</v>
      </c>
      <c r="AG11" s="643" t="str">
        <f>$W$11</f>
        <v>…..........</v>
      </c>
      <c r="AH11" s="533">
        <f t="shared" si="2"/>
        <v>308</v>
      </c>
      <c r="AI11" s="200" t="str">
        <f t="shared" si="12"/>
        <v>….</v>
      </c>
      <c r="AJ11" s="533" t="str">
        <f t="shared" si="12"/>
        <v>LINEN CLOSET</v>
      </c>
      <c r="AK11" s="533" t="str">
        <f t="shared" si="13"/>
        <v>…..  C.P.S.  …...</v>
      </c>
      <c r="AL11" s="643" t="str">
        <f>$W$11</f>
        <v>…..........</v>
      </c>
      <c r="AM11" s="432"/>
      <c r="AN11" s="533">
        <f t="shared" si="3"/>
        <v>408</v>
      </c>
      <c r="AO11" s="200" t="str">
        <f t="shared" si="14"/>
        <v>….</v>
      </c>
      <c r="AP11" s="533" t="str">
        <f t="shared" si="14"/>
        <v>LINEN CLOSET</v>
      </c>
      <c r="AQ11" s="533" t="str">
        <f t="shared" si="15"/>
        <v>NON SALVAGEABLE ITEMS</v>
      </c>
      <c r="AR11" s="643" t="str">
        <f>$W$11</f>
        <v>…..........</v>
      </c>
      <c r="AS11" s="533">
        <f t="shared" si="4"/>
        <v>808</v>
      </c>
      <c r="AT11" s="200" t="s">
        <v>569</v>
      </c>
      <c r="AU11" s="533" t="str">
        <f t="shared" si="27"/>
        <v>LINEN CLOSET</v>
      </c>
      <c r="AV11" s="581" t="str">
        <f t="shared" si="28"/>
        <v>… MITIGATION  EQUIPMENT &amp; W.I.P . ...</v>
      </c>
      <c r="AW11" s="643" t="str">
        <f>$W$11</f>
        <v>…..........</v>
      </c>
      <c r="AX11" s="244">
        <f t="shared" si="16"/>
        <v>6108.1</v>
      </c>
      <c r="AY11" s="200" t="s">
        <v>569</v>
      </c>
      <c r="AZ11" t="str">
        <f t="shared" si="30"/>
        <v>.. DAY 1 …</v>
      </c>
      <c r="BA11" s="533" t="str">
        <f t="shared" si="17"/>
        <v>LINEN CLOSET</v>
      </c>
      <c r="BB11" t="str">
        <f t="shared" si="31"/>
        <v xml:space="preserve">  ...  MC READINGS ..</v>
      </c>
      <c r="BC11" s="643" t="str">
        <f>$W$11</f>
        <v>…..........</v>
      </c>
      <c r="BD11" s="244">
        <f t="shared" si="18"/>
        <v>6208.2</v>
      </c>
      <c r="BE11" s="200" t="s">
        <v>569</v>
      </c>
      <c r="BF11" s="533" t="str">
        <f t="shared" si="19"/>
        <v>LINEN CLOSET</v>
      </c>
      <c r="BG11" t="str">
        <f t="shared" si="32"/>
        <v xml:space="preserve">  ...  MC READINGS ..</v>
      </c>
      <c r="BH11" s="643" t="str">
        <f>$W$11</f>
        <v>…..........</v>
      </c>
      <c r="BI11" s="244">
        <f t="shared" si="20"/>
        <v>6308.3</v>
      </c>
      <c r="BJ11" s="200" t="s">
        <v>569</v>
      </c>
      <c r="BK11" t="str">
        <f t="shared" si="29"/>
        <v xml:space="preserve">….. DAY 3 ….. </v>
      </c>
      <c r="BL11" s="533" t="str">
        <f t="shared" si="21"/>
        <v>LINEN CLOSET</v>
      </c>
      <c r="BM11" t="str">
        <f t="shared" si="33"/>
        <v xml:space="preserve">  ...  MC READINGS ..</v>
      </c>
      <c r="BN11" s="643" t="str">
        <f>$W$11</f>
        <v>…..........</v>
      </c>
      <c r="BO11" s="244">
        <f t="shared" si="22"/>
        <v>6408.4</v>
      </c>
      <c r="BP11" s="200" t="s">
        <v>569</v>
      </c>
      <c r="BQ11" t="str">
        <f t="shared" si="34"/>
        <v xml:space="preserve">….. DAY 4 ….. </v>
      </c>
      <c r="BR11" s="533" t="str">
        <f t="shared" si="23"/>
        <v>LINEN CLOSET</v>
      </c>
      <c r="BS11" t="str">
        <f t="shared" si="35"/>
        <v xml:space="preserve">  ...  MC READINGS ..</v>
      </c>
      <c r="BT11" s="643" t="str">
        <f>$W$11</f>
        <v>…..........</v>
      </c>
      <c r="BU11" s="658">
        <v>7200.2</v>
      </c>
      <c r="BV11" s="646" t="str">
        <f>BV10</f>
        <v xml:space="preserve">….. DAY 2 ….. </v>
      </c>
      <c r="BW11" s="614" t="s">
        <v>584</v>
      </c>
      <c r="CB11" t="str">
        <f t="shared" si="5"/>
        <v>BATH UP</v>
      </c>
      <c r="CC11" t="str">
        <f t="shared" si="6"/>
        <v>…..........</v>
      </c>
      <c r="CE11" s="200" t="s">
        <v>569</v>
      </c>
      <c r="CI11" s="614"/>
      <c r="CW11" s="572"/>
    </row>
    <row r="12" spans="1:101" ht="26.65" customHeight="1" thickTop="1" thickBot="1">
      <c r="A12" t="str">
        <f t="shared" si="24"/>
        <v>BATH UP</v>
      </c>
      <c r="B12" s="485">
        <f t="shared" si="7"/>
        <v>109</v>
      </c>
      <c r="C12" s="655"/>
      <c r="D12" s="782">
        <f t="shared" si="25"/>
        <v>209</v>
      </c>
      <c r="E12" s="782"/>
      <c r="F12" s="782">
        <f t="shared" si="25"/>
        <v>309</v>
      </c>
      <c r="G12" s="782"/>
      <c r="H12" s="782">
        <f t="shared" si="25"/>
        <v>409</v>
      </c>
      <c r="I12" s="782"/>
      <c r="J12" s="782">
        <v>809</v>
      </c>
      <c r="K12" s="782"/>
      <c r="L12" s="782">
        <f t="shared" si="26"/>
        <v>6109.1</v>
      </c>
      <c r="M12" s="782">
        <f t="shared" si="26"/>
        <v>6209.2</v>
      </c>
      <c r="N12" s="782">
        <f t="shared" si="26"/>
        <v>6309.3</v>
      </c>
      <c r="O12" s="782">
        <f t="shared" si="26"/>
        <v>6409.4</v>
      </c>
      <c r="P12" s="782">
        <f>P10+1</f>
        <v>7102.1</v>
      </c>
      <c r="Q12" s="782">
        <f>Q10+1</f>
        <v>7202.2</v>
      </c>
      <c r="R12" s="782">
        <f>R10+1</f>
        <v>7302.3</v>
      </c>
      <c r="S12" s="782">
        <f>S10+1</f>
        <v>7402.4</v>
      </c>
      <c r="T12" s="485">
        <v>109</v>
      </c>
      <c r="U12" s="200" t="s">
        <v>561</v>
      </c>
      <c r="V12" s="656" t="str">
        <f>'ROOMS#'!R12</f>
        <v>BATH UP</v>
      </c>
      <c r="W12" s="1" t="s">
        <v>583</v>
      </c>
      <c r="X12" s="485">
        <f t="shared" si="8"/>
        <v>109</v>
      </c>
      <c r="Y12" s="200" t="str">
        <f t="shared" si="8"/>
        <v>….</v>
      </c>
      <c r="Z12" s="533" t="str">
        <f t="shared" si="8"/>
        <v>BATH UP</v>
      </c>
      <c r="AA12" s="533" t="str">
        <f t="shared" si="9"/>
        <v xml:space="preserve"> = … ROOM OVERVIEW PICS ... DAY 1 …</v>
      </c>
      <c r="AB12" s="643" t="str">
        <f>$W$12</f>
        <v>…..........</v>
      </c>
      <c r="AC12" s="581">
        <f t="shared" si="1"/>
        <v>209</v>
      </c>
      <c r="AD12" s="200" t="str">
        <f t="shared" si="10"/>
        <v>….</v>
      </c>
      <c r="AE12" s="533" t="str">
        <f t="shared" si="10"/>
        <v>BATH UP</v>
      </c>
      <c r="AF12" s="533" t="str">
        <f t="shared" si="11"/>
        <v>….. SOURCE of  LOSS …..</v>
      </c>
      <c r="AG12" s="643" t="str">
        <f>$W$12</f>
        <v>…..........</v>
      </c>
      <c r="AH12" s="533">
        <f t="shared" si="2"/>
        <v>309</v>
      </c>
      <c r="AI12" s="200" t="str">
        <f t="shared" si="12"/>
        <v>….</v>
      </c>
      <c r="AJ12" s="533" t="str">
        <f t="shared" si="12"/>
        <v>BATH UP</v>
      </c>
      <c r="AK12" s="533" t="str">
        <f t="shared" si="13"/>
        <v>…..  C.P.S.  …...</v>
      </c>
      <c r="AL12" s="643" t="str">
        <f>$W$12</f>
        <v>…..........</v>
      </c>
      <c r="AM12" s="432"/>
      <c r="AN12" s="533">
        <f t="shared" si="3"/>
        <v>409</v>
      </c>
      <c r="AO12" s="200" t="str">
        <f t="shared" si="14"/>
        <v>….</v>
      </c>
      <c r="AP12" s="533" t="str">
        <f t="shared" si="14"/>
        <v>BATH UP</v>
      </c>
      <c r="AQ12" s="533" t="str">
        <f t="shared" si="15"/>
        <v>NON SALVAGEABLE ITEMS</v>
      </c>
      <c r="AR12" s="643" t="str">
        <f>$W$12</f>
        <v>…..........</v>
      </c>
      <c r="AS12" s="533">
        <f t="shared" si="4"/>
        <v>809</v>
      </c>
      <c r="AT12" s="200" t="s">
        <v>569</v>
      </c>
      <c r="AU12" s="533" t="str">
        <f t="shared" si="27"/>
        <v>BATH UP</v>
      </c>
      <c r="AV12" s="581" t="str">
        <f t="shared" si="28"/>
        <v>… MITIGATION  EQUIPMENT &amp; W.I.P . ...</v>
      </c>
      <c r="AW12" s="643" t="str">
        <f>$W$12</f>
        <v>…..........</v>
      </c>
      <c r="AX12" s="244">
        <f t="shared" si="16"/>
        <v>6109.1</v>
      </c>
      <c r="AY12" s="200" t="s">
        <v>569</v>
      </c>
      <c r="AZ12" t="str">
        <f t="shared" si="30"/>
        <v>.. DAY 1 …</v>
      </c>
      <c r="BA12" s="533" t="str">
        <f t="shared" si="17"/>
        <v>BATH UP</v>
      </c>
      <c r="BB12" t="str">
        <f t="shared" si="31"/>
        <v xml:space="preserve">  ...  MC READINGS ..</v>
      </c>
      <c r="BC12" s="643" t="str">
        <f>$W$12</f>
        <v>…..........</v>
      </c>
      <c r="BD12" s="244">
        <f t="shared" si="18"/>
        <v>6209.2</v>
      </c>
      <c r="BE12" s="200" t="s">
        <v>569</v>
      </c>
      <c r="BF12" s="533" t="str">
        <f t="shared" si="19"/>
        <v>BATH UP</v>
      </c>
      <c r="BG12" t="str">
        <f t="shared" si="32"/>
        <v xml:space="preserve">  ...  MC READINGS ..</v>
      </c>
      <c r="BH12" s="643" t="str">
        <f>$W$12</f>
        <v>…..........</v>
      </c>
      <c r="BI12" s="244">
        <f t="shared" si="20"/>
        <v>6309.3</v>
      </c>
      <c r="BJ12" s="200" t="s">
        <v>569</v>
      </c>
      <c r="BK12" t="str">
        <f t="shared" si="29"/>
        <v xml:space="preserve">….. DAY 3 ….. </v>
      </c>
      <c r="BL12" s="533" t="str">
        <f t="shared" si="21"/>
        <v>BATH UP</v>
      </c>
      <c r="BM12" t="str">
        <f t="shared" si="33"/>
        <v xml:space="preserve">  ...  MC READINGS ..</v>
      </c>
      <c r="BN12" s="643" t="str">
        <f>$W$12</f>
        <v>…..........</v>
      </c>
      <c r="BO12" s="244">
        <f t="shared" si="22"/>
        <v>6409.4</v>
      </c>
      <c r="BP12" s="200" t="s">
        <v>569</v>
      </c>
      <c r="BQ12" t="str">
        <f t="shared" si="34"/>
        <v xml:space="preserve">….. DAY 4 ….. </v>
      </c>
      <c r="BR12" s="533" t="str">
        <f t="shared" si="23"/>
        <v>BATH UP</v>
      </c>
      <c r="BS12" t="str">
        <f t="shared" si="35"/>
        <v xml:space="preserve">  ...  MC READINGS ..</v>
      </c>
      <c r="BT12" s="643" t="str">
        <f>$W$12</f>
        <v>…..........</v>
      </c>
      <c r="BU12" s="659">
        <f>BU11+1</f>
        <v>7201.2</v>
      </c>
      <c r="BV12" s="8" t="str">
        <f>BV11</f>
        <v xml:space="preserve">….. DAY 2 ….. </v>
      </c>
      <c r="BW12" s="615" t="s">
        <v>587</v>
      </c>
      <c r="BX12" s="610" t="s">
        <v>588</v>
      </c>
      <c r="CB12" t="str">
        <f t="shared" si="5"/>
        <v>Bedroom 1</v>
      </c>
      <c r="CC12" t="str">
        <f t="shared" si="6"/>
        <v>LOS</v>
      </c>
      <c r="CE12" s="200" t="s">
        <v>569</v>
      </c>
      <c r="CH12" s="610"/>
      <c r="CW12" s="570"/>
    </row>
    <row r="13" spans="1:101" ht="26.65" customHeight="1" thickTop="1" thickBot="1">
      <c r="A13" s="432" t="str">
        <f t="shared" si="24"/>
        <v>Bedroom 1</v>
      </c>
      <c r="B13" s="485">
        <f t="shared" si="7"/>
        <v>110</v>
      </c>
      <c r="C13" s="485"/>
      <c r="D13" s="573">
        <f t="shared" si="25"/>
        <v>210</v>
      </c>
      <c r="E13" s="782"/>
      <c r="F13" s="573">
        <f t="shared" si="25"/>
        <v>310</v>
      </c>
      <c r="G13" s="573"/>
      <c r="H13" s="573">
        <f t="shared" si="25"/>
        <v>410</v>
      </c>
      <c r="I13" s="782"/>
      <c r="J13" s="573">
        <v>810</v>
      </c>
      <c r="K13" s="573"/>
      <c r="L13" s="573">
        <f t="shared" si="26"/>
        <v>6110.1</v>
      </c>
      <c r="M13" s="573">
        <f t="shared" si="26"/>
        <v>6210.2</v>
      </c>
      <c r="N13" s="573">
        <f t="shared" si="26"/>
        <v>6310.3</v>
      </c>
      <c r="O13" s="573">
        <f t="shared" si="26"/>
        <v>6410.4</v>
      </c>
      <c r="P13" s="842" t="s">
        <v>606</v>
      </c>
      <c r="Q13" s="842"/>
      <c r="R13" s="842"/>
      <c r="S13" s="842"/>
      <c r="T13" s="485">
        <v>110</v>
      </c>
      <c r="U13" s="200" t="s">
        <v>561</v>
      </c>
      <c r="V13" s="656" t="str">
        <f>'ROOMS#'!R13</f>
        <v>Bedroom 1</v>
      </c>
      <c r="W13" s="1" t="s">
        <v>638</v>
      </c>
      <c r="X13" s="485">
        <f t="shared" si="8"/>
        <v>110</v>
      </c>
      <c r="Y13" s="200" t="str">
        <f t="shared" si="8"/>
        <v>….</v>
      </c>
      <c r="Z13" s="533" t="str">
        <f t="shared" si="8"/>
        <v>Bedroom 1</v>
      </c>
      <c r="AA13" s="533" t="str">
        <f t="shared" si="9"/>
        <v xml:space="preserve"> = … ROOM OVERVIEW PICS ... DAY 1 …</v>
      </c>
      <c r="AB13" s="643" t="str">
        <f>$W$13</f>
        <v>LOS</v>
      </c>
      <c r="AC13" s="581">
        <f t="shared" si="1"/>
        <v>210</v>
      </c>
      <c r="AD13" s="200" t="str">
        <f t="shared" si="10"/>
        <v>….</v>
      </c>
      <c r="AE13" s="533" t="str">
        <f t="shared" si="10"/>
        <v>Bedroom 1</v>
      </c>
      <c r="AF13" s="533" t="str">
        <f t="shared" si="11"/>
        <v>….. SOURCE of  LOSS …..</v>
      </c>
      <c r="AG13" s="643" t="str">
        <f>$W$13</f>
        <v>LOS</v>
      </c>
      <c r="AH13" s="533">
        <f t="shared" si="2"/>
        <v>310</v>
      </c>
      <c r="AI13" s="200" t="str">
        <f t="shared" si="12"/>
        <v>….</v>
      </c>
      <c r="AJ13" s="533" t="str">
        <f t="shared" si="12"/>
        <v>Bedroom 1</v>
      </c>
      <c r="AK13" s="533" t="str">
        <f t="shared" si="13"/>
        <v>…..  C.P.S.  …...</v>
      </c>
      <c r="AL13" s="643" t="str">
        <f>$W$13</f>
        <v>LOS</v>
      </c>
      <c r="AM13" s="432"/>
      <c r="AN13" s="533">
        <f t="shared" si="3"/>
        <v>410</v>
      </c>
      <c r="AO13" s="200" t="str">
        <f t="shared" si="14"/>
        <v>….</v>
      </c>
      <c r="AP13" s="533" t="str">
        <f t="shared" si="14"/>
        <v>Bedroom 1</v>
      </c>
      <c r="AQ13" s="533" t="str">
        <f t="shared" si="15"/>
        <v>NON SALVAGEABLE ITEMS</v>
      </c>
      <c r="AR13" s="643" t="str">
        <f>$W$13</f>
        <v>LOS</v>
      </c>
      <c r="AS13" s="533">
        <f t="shared" si="4"/>
        <v>810</v>
      </c>
      <c r="AT13" s="200" t="s">
        <v>569</v>
      </c>
      <c r="AU13" s="533" t="str">
        <f t="shared" si="27"/>
        <v>Bedroom 1</v>
      </c>
      <c r="AV13" s="581" t="str">
        <f t="shared" si="28"/>
        <v>… MITIGATION  EQUIPMENT &amp; W.I.P . ...</v>
      </c>
      <c r="AW13" s="643" t="str">
        <f>$W$13</f>
        <v>LOS</v>
      </c>
      <c r="AX13" s="244">
        <f t="shared" si="16"/>
        <v>6110.1</v>
      </c>
      <c r="AY13" s="200" t="s">
        <v>569</v>
      </c>
      <c r="AZ13" t="str">
        <f t="shared" si="30"/>
        <v>.. DAY 1 …</v>
      </c>
      <c r="BA13" s="533" t="str">
        <f t="shared" si="17"/>
        <v>Bedroom 1</v>
      </c>
      <c r="BB13" t="str">
        <f t="shared" si="31"/>
        <v xml:space="preserve">  ...  MC READINGS ..</v>
      </c>
      <c r="BC13" s="643" t="str">
        <f>$W$13</f>
        <v>LOS</v>
      </c>
      <c r="BD13" s="244">
        <f t="shared" si="18"/>
        <v>6210.2</v>
      </c>
      <c r="BE13" s="200" t="s">
        <v>569</v>
      </c>
      <c r="BF13" s="533" t="str">
        <f t="shared" si="19"/>
        <v>Bedroom 1</v>
      </c>
      <c r="BG13" t="str">
        <f t="shared" si="32"/>
        <v xml:space="preserve">  ...  MC READINGS ..</v>
      </c>
      <c r="BH13" s="643" t="str">
        <f>$W$13</f>
        <v>LOS</v>
      </c>
      <c r="BI13" s="244">
        <f t="shared" si="20"/>
        <v>6310.3</v>
      </c>
      <c r="BJ13" s="200" t="s">
        <v>569</v>
      </c>
      <c r="BK13" t="str">
        <f t="shared" si="29"/>
        <v xml:space="preserve">….. DAY 3 ….. </v>
      </c>
      <c r="BL13" s="533" t="str">
        <f t="shared" si="21"/>
        <v>Bedroom 1</v>
      </c>
      <c r="BM13" t="str">
        <f t="shared" si="33"/>
        <v xml:space="preserve">  ...  MC READINGS ..</v>
      </c>
      <c r="BN13" s="643" t="str">
        <f>$W$13</f>
        <v>LOS</v>
      </c>
      <c r="BO13" s="244">
        <f t="shared" si="22"/>
        <v>6410.4</v>
      </c>
      <c r="BP13" s="200" t="s">
        <v>569</v>
      </c>
      <c r="BQ13" t="str">
        <f t="shared" si="34"/>
        <v xml:space="preserve">….. DAY 4 ….. </v>
      </c>
      <c r="BR13" s="533" t="str">
        <f t="shared" si="23"/>
        <v>Bedroom 1</v>
      </c>
      <c r="BS13" t="str">
        <f t="shared" si="35"/>
        <v xml:space="preserve">  ...  MC READINGS ..</v>
      </c>
      <c r="BT13" s="643" t="str">
        <f>$W$13</f>
        <v>LOS</v>
      </c>
      <c r="BU13" s="658">
        <f>BU12+1</f>
        <v>7202.2</v>
      </c>
      <c r="BV13" s="32" t="str">
        <f>BV12</f>
        <v xml:space="preserve">….. DAY 2 ….. </v>
      </c>
      <c r="BW13" s="615" t="s">
        <v>590</v>
      </c>
      <c r="BX13" s="610" t="s">
        <v>588</v>
      </c>
      <c r="CB13" t="str">
        <f t="shared" si="5"/>
        <v>BR1 Closet</v>
      </c>
      <c r="CC13" t="str">
        <f t="shared" si="6"/>
        <v>…..........</v>
      </c>
      <c r="CE13" s="200" t="s">
        <v>569</v>
      </c>
      <c r="CH13" s="651"/>
      <c r="CW13" s="572"/>
    </row>
    <row r="14" spans="1:101" ht="26.65" customHeight="1" thickTop="1" thickBot="1">
      <c r="A14" t="str">
        <f t="shared" si="24"/>
        <v>BR1 Closet</v>
      </c>
      <c r="B14" s="485">
        <f t="shared" si="7"/>
        <v>111</v>
      </c>
      <c r="C14" s="655"/>
      <c r="D14" s="782">
        <f t="shared" si="25"/>
        <v>211</v>
      </c>
      <c r="E14" s="782"/>
      <c r="F14" s="782">
        <f t="shared" si="25"/>
        <v>311</v>
      </c>
      <c r="G14" s="782"/>
      <c r="H14" s="782">
        <f t="shared" si="25"/>
        <v>411</v>
      </c>
      <c r="I14" s="782"/>
      <c r="J14" s="782">
        <v>811</v>
      </c>
      <c r="K14" s="782"/>
      <c r="L14" s="782">
        <f t="shared" si="26"/>
        <v>6111.1</v>
      </c>
      <c r="M14" s="782">
        <f t="shared" si="26"/>
        <v>6211.2</v>
      </c>
      <c r="N14" s="782">
        <f t="shared" si="26"/>
        <v>6311.3</v>
      </c>
      <c r="O14" s="782">
        <f t="shared" si="26"/>
        <v>6411.4</v>
      </c>
      <c r="P14" s="573">
        <f>P12+1</f>
        <v>7103.1</v>
      </c>
      <c r="Q14" s="573">
        <f>Q12+1</f>
        <v>7203.2</v>
      </c>
      <c r="R14" s="573">
        <f>R12+1</f>
        <v>7303.3</v>
      </c>
      <c r="S14" s="573">
        <f>S12+1</f>
        <v>7403.4</v>
      </c>
      <c r="T14" s="485">
        <v>111</v>
      </c>
      <c r="U14" s="200" t="s">
        <v>561</v>
      </c>
      <c r="V14" s="656" t="str">
        <f>'ROOMS#'!R14</f>
        <v>BR1 Closet</v>
      </c>
      <c r="W14" s="1" t="s">
        <v>583</v>
      </c>
      <c r="X14" s="485">
        <f t="shared" si="8"/>
        <v>111</v>
      </c>
      <c r="Y14" s="200" t="str">
        <f t="shared" si="8"/>
        <v>….</v>
      </c>
      <c r="Z14" s="533" t="str">
        <f t="shared" si="8"/>
        <v>BR1 Closet</v>
      </c>
      <c r="AA14" s="533" t="str">
        <f t="shared" si="9"/>
        <v xml:space="preserve"> = … ROOM OVERVIEW PICS ... DAY 1 …</v>
      </c>
      <c r="AB14" s="643" t="str">
        <f>$W$14</f>
        <v>…..........</v>
      </c>
      <c r="AC14" s="581">
        <f t="shared" si="1"/>
        <v>211</v>
      </c>
      <c r="AD14" s="200" t="str">
        <f t="shared" si="10"/>
        <v>….</v>
      </c>
      <c r="AE14" s="533" t="str">
        <f t="shared" si="10"/>
        <v>BR1 Closet</v>
      </c>
      <c r="AF14" s="533" t="str">
        <f t="shared" si="11"/>
        <v>….. SOURCE of  LOSS …..</v>
      </c>
      <c r="AG14" s="643" t="str">
        <f>$W$14</f>
        <v>…..........</v>
      </c>
      <c r="AH14" s="533">
        <f t="shared" si="2"/>
        <v>311</v>
      </c>
      <c r="AI14" s="200" t="str">
        <f t="shared" si="12"/>
        <v>….</v>
      </c>
      <c r="AJ14" s="533" t="str">
        <f t="shared" si="12"/>
        <v>BR1 Closet</v>
      </c>
      <c r="AK14" s="533" t="str">
        <f t="shared" si="13"/>
        <v>…..  C.P.S.  …...</v>
      </c>
      <c r="AL14" s="643" t="str">
        <f>$W$14</f>
        <v>…..........</v>
      </c>
      <c r="AM14" s="432"/>
      <c r="AN14" s="533">
        <f t="shared" si="3"/>
        <v>411</v>
      </c>
      <c r="AO14" s="200" t="str">
        <f t="shared" si="14"/>
        <v>….</v>
      </c>
      <c r="AP14" s="533" t="str">
        <f t="shared" si="14"/>
        <v>BR1 Closet</v>
      </c>
      <c r="AQ14" s="533" t="str">
        <f t="shared" si="15"/>
        <v>NON SALVAGEABLE ITEMS</v>
      </c>
      <c r="AR14" s="643" t="str">
        <f>$W$14</f>
        <v>…..........</v>
      </c>
      <c r="AS14" s="533">
        <f t="shared" si="4"/>
        <v>811</v>
      </c>
      <c r="AT14" s="200" t="s">
        <v>569</v>
      </c>
      <c r="AU14" s="533" t="str">
        <f t="shared" si="27"/>
        <v>BR1 Closet</v>
      </c>
      <c r="AV14" s="581" t="str">
        <f t="shared" si="28"/>
        <v>… MITIGATION  EQUIPMENT &amp; W.I.P . ...</v>
      </c>
      <c r="AW14" s="643" t="str">
        <f>$W$14</f>
        <v>…..........</v>
      </c>
      <c r="AX14" s="244">
        <f t="shared" si="16"/>
        <v>6111.1</v>
      </c>
      <c r="AY14" s="200" t="s">
        <v>569</v>
      </c>
      <c r="AZ14" t="str">
        <f t="shared" si="30"/>
        <v>.. DAY 1 …</v>
      </c>
      <c r="BA14" s="533" t="str">
        <f t="shared" si="17"/>
        <v>BR1 Closet</v>
      </c>
      <c r="BB14" t="str">
        <f t="shared" si="31"/>
        <v xml:space="preserve">  ...  MC READINGS ..</v>
      </c>
      <c r="BC14" s="643" t="str">
        <f>$W$14</f>
        <v>…..........</v>
      </c>
      <c r="BD14" s="244">
        <f t="shared" si="18"/>
        <v>6211.2</v>
      </c>
      <c r="BE14" s="200" t="s">
        <v>569</v>
      </c>
      <c r="BF14" s="533" t="str">
        <f t="shared" si="19"/>
        <v>BR1 Closet</v>
      </c>
      <c r="BG14" t="str">
        <f t="shared" si="32"/>
        <v xml:space="preserve">  ...  MC READINGS ..</v>
      </c>
      <c r="BH14" s="643" t="str">
        <f>$W$14</f>
        <v>…..........</v>
      </c>
      <c r="BI14" s="244">
        <f t="shared" si="20"/>
        <v>6311.3</v>
      </c>
      <c r="BJ14" s="200" t="s">
        <v>569</v>
      </c>
      <c r="BK14" t="str">
        <f t="shared" si="29"/>
        <v xml:space="preserve">….. DAY 3 ….. </v>
      </c>
      <c r="BL14" s="533" t="str">
        <f t="shared" si="21"/>
        <v>BR1 Closet</v>
      </c>
      <c r="BM14" t="str">
        <f t="shared" si="33"/>
        <v xml:space="preserve">  ...  MC READINGS ..</v>
      </c>
      <c r="BN14" s="643" t="str">
        <f>$W$14</f>
        <v>…..........</v>
      </c>
      <c r="BO14" s="244">
        <f t="shared" si="22"/>
        <v>6411.4</v>
      </c>
      <c r="BP14" s="200" t="s">
        <v>569</v>
      </c>
      <c r="BQ14" t="str">
        <f t="shared" si="34"/>
        <v xml:space="preserve">….. DAY 4 ….. </v>
      </c>
      <c r="BR14" s="533" t="str">
        <f t="shared" si="23"/>
        <v>BR1 Closet</v>
      </c>
      <c r="BS14" t="str">
        <f t="shared" si="35"/>
        <v xml:space="preserve">  ...  MC READINGS ..</v>
      </c>
      <c r="BT14" s="643" t="str">
        <f>$W$14</f>
        <v>…..........</v>
      </c>
      <c r="BU14" s="659">
        <f>BU13+1</f>
        <v>7203.2</v>
      </c>
      <c r="BV14" s="32" t="str">
        <f t="shared" ref="BV14:BV16" si="36">BV12</f>
        <v xml:space="preserve">….. DAY 2 ….. </v>
      </c>
      <c r="BW14" s="615" t="s">
        <v>593</v>
      </c>
      <c r="BX14" s="610" t="s">
        <v>588</v>
      </c>
      <c r="CB14" t="str">
        <f t="shared" si="5"/>
        <v>Bedroom 2</v>
      </c>
      <c r="CC14" t="str">
        <f t="shared" si="6"/>
        <v>LOS</v>
      </c>
      <c r="CE14" s="200" t="s">
        <v>569</v>
      </c>
      <c r="CI14" s="610"/>
      <c r="CW14" s="570"/>
    </row>
    <row r="15" spans="1:101" ht="26.65" customHeight="1" thickTop="1" thickBot="1">
      <c r="A15" s="432" t="str">
        <f t="shared" si="24"/>
        <v>Bedroom 2</v>
      </c>
      <c r="B15" s="485">
        <f t="shared" si="7"/>
        <v>112</v>
      </c>
      <c r="C15" s="485"/>
      <c r="D15" s="573">
        <f t="shared" si="25"/>
        <v>212</v>
      </c>
      <c r="E15" s="782"/>
      <c r="F15" s="573">
        <f t="shared" si="25"/>
        <v>312</v>
      </c>
      <c r="G15" s="573"/>
      <c r="H15" s="573">
        <f t="shared" si="25"/>
        <v>412</v>
      </c>
      <c r="I15" s="782"/>
      <c r="J15" s="573">
        <v>812</v>
      </c>
      <c r="K15" s="573"/>
      <c r="L15" s="573">
        <f t="shared" si="26"/>
        <v>6112.1</v>
      </c>
      <c r="M15" s="573">
        <f t="shared" si="26"/>
        <v>6212.2</v>
      </c>
      <c r="N15" s="573">
        <f t="shared" si="26"/>
        <v>6312.3</v>
      </c>
      <c r="O15" s="573">
        <f t="shared" si="26"/>
        <v>6412.4</v>
      </c>
      <c r="P15" s="842" t="s">
        <v>611</v>
      </c>
      <c r="Q15" s="842"/>
      <c r="R15" s="842"/>
      <c r="S15" s="842"/>
      <c r="T15" s="485">
        <v>112</v>
      </c>
      <c r="U15" s="200" t="s">
        <v>561</v>
      </c>
      <c r="V15" s="656" t="str">
        <f>'ROOMS#'!R15</f>
        <v>Bedroom 2</v>
      </c>
      <c r="W15" s="1" t="s">
        <v>638</v>
      </c>
      <c r="X15" s="485">
        <f t="shared" si="8"/>
        <v>112</v>
      </c>
      <c r="Y15" s="200" t="str">
        <f t="shared" si="8"/>
        <v>….</v>
      </c>
      <c r="Z15" s="533" t="str">
        <f t="shared" si="8"/>
        <v>Bedroom 2</v>
      </c>
      <c r="AA15" s="533" t="str">
        <f t="shared" si="9"/>
        <v xml:space="preserve"> = … ROOM OVERVIEW PICS ... DAY 1 …</v>
      </c>
      <c r="AB15" s="643" t="str">
        <f>$W$15</f>
        <v>LOS</v>
      </c>
      <c r="AC15" s="581">
        <f t="shared" si="1"/>
        <v>212</v>
      </c>
      <c r="AD15" s="200" t="str">
        <f t="shared" si="10"/>
        <v>….</v>
      </c>
      <c r="AE15" s="533" t="str">
        <f t="shared" si="10"/>
        <v>Bedroom 2</v>
      </c>
      <c r="AF15" s="533" t="str">
        <f t="shared" si="11"/>
        <v>….. SOURCE of  LOSS …..</v>
      </c>
      <c r="AG15" s="643" t="str">
        <f>$W$15</f>
        <v>LOS</v>
      </c>
      <c r="AH15" s="533">
        <f t="shared" si="2"/>
        <v>312</v>
      </c>
      <c r="AI15" s="200" t="str">
        <f t="shared" si="12"/>
        <v>….</v>
      </c>
      <c r="AJ15" s="533" t="str">
        <f t="shared" si="12"/>
        <v>Bedroom 2</v>
      </c>
      <c r="AK15" s="533" t="str">
        <f t="shared" si="13"/>
        <v>…..  C.P.S.  …...</v>
      </c>
      <c r="AL15" s="643" t="str">
        <f>$W$15</f>
        <v>LOS</v>
      </c>
      <c r="AM15" s="432"/>
      <c r="AN15" s="533">
        <f t="shared" si="3"/>
        <v>412</v>
      </c>
      <c r="AO15" s="200" t="str">
        <f t="shared" si="14"/>
        <v>….</v>
      </c>
      <c r="AP15" s="533" t="str">
        <f t="shared" si="14"/>
        <v>Bedroom 2</v>
      </c>
      <c r="AQ15" s="533" t="str">
        <f t="shared" si="15"/>
        <v>NON SALVAGEABLE ITEMS</v>
      </c>
      <c r="AR15" s="643" t="str">
        <f>$W$15</f>
        <v>LOS</v>
      </c>
      <c r="AS15" s="533">
        <f t="shared" si="4"/>
        <v>812</v>
      </c>
      <c r="AT15" s="200" t="s">
        <v>569</v>
      </c>
      <c r="AU15" s="533" t="str">
        <f t="shared" si="27"/>
        <v>Bedroom 2</v>
      </c>
      <c r="AV15" s="581" t="str">
        <f t="shared" si="28"/>
        <v>… MITIGATION  EQUIPMENT &amp; W.I.P . ...</v>
      </c>
      <c r="AW15" s="643" t="str">
        <f>$W$15</f>
        <v>LOS</v>
      </c>
      <c r="AX15" s="244">
        <f t="shared" si="16"/>
        <v>6112.1</v>
      </c>
      <c r="AY15" s="200" t="s">
        <v>569</v>
      </c>
      <c r="AZ15" t="str">
        <f t="shared" si="30"/>
        <v>.. DAY 1 …</v>
      </c>
      <c r="BA15" s="533" t="str">
        <f t="shared" si="17"/>
        <v>Bedroom 2</v>
      </c>
      <c r="BB15" t="str">
        <f t="shared" si="31"/>
        <v xml:space="preserve">  ...  MC READINGS ..</v>
      </c>
      <c r="BC15" s="643" t="str">
        <f>$W$15</f>
        <v>LOS</v>
      </c>
      <c r="BD15" s="244">
        <f t="shared" si="18"/>
        <v>6212.2</v>
      </c>
      <c r="BE15" s="200" t="s">
        <v>569</v>
      </c>
      <c r="BF15" s="533" t="str">
        <f t="shared" si="19"/>
        <v>Bedroom 2</v>
      </c>
      <c r="BG15" t="str">
        <f t="shared" si="32"/>
        <v xml:space="preserve">  ...  MC READINGS ..</v>
      </c>
      <c r="BH15" s="643" t="str">
        <f>$W$15</f>
        <v>LOS</v>
      </c>
      <c r="BI15" s="244">
        <f t="shared" si="20"/>
        <v>6312.3</v>
      </c>
      <c r="BJ15" s="200" t="s">
        <v>569</v>
      </c>
      <c r="BK15" t="str">
        <f t="shared" si="29"/>
        <v xml:space="preserve">….. DAY 3 ….. </v>
      </c>
      <c r="BL15" s="533" t="str">
        <f t="shared" si="21"/>
        <v>Bedroom 2</v>
      </c>
      <c r="BM15" t="str">
        <f t="shared" si="33"/>
        <v xml:space="preserve">  ...  MC READINGS ..</v>
      </c>
      <c r="BN15" s="643" t="str">
        <f>$W$15</f>
        <v>LOS</v>
      </c>
      <c r="BO15" s="244">
        <f t="shared" si="22"/>
        <v>6412.4</v>
      </c>
      <c r="BP15" s="200" t="s">
        <v>569</v>
      </c>
      <c r="BQ15" t="str">
        <f t="shared" si="34"/>
        <v xml:space="preserve">….. DAY 4 ….. </v>
      </c>
      <c r="BR15" s="533" t="str">
        <f t="shared" si="23"/>
        <v>Bedroom 2</v>
      </c>
      <c r="BS15" t="str">
        <f t="shared" si="35"/>
        <v xml:space="preserve">  ...  MC READINGS ..</v>
      </c>
      <c r="BT15" s="643" t="str">
        <f>$W$15</f>
        <v>LOS</v>
      </c>
      <c r="BU15" s="658">
        <f>BU14+1</f>
        <v>7204.2</v>
      </c>
      <c r="BV15" s="32" t="str">
        <f t="shared" si="36"/>
        <v xml:space="preserve">….. DAY 2 ….. </v>
      </c>
      <c r="BW15" s="615" t="s">
        <v>597</v>
      </c>
      <c r="BX15" s="610" t="s">
        <v>588</v>
      </c>
      <c r="CB15" t="str">
        <f t="shared" si="5"/>
        <v>BR2 Closet,</v>
      </c>
      <c r="CC15" t="str">
        <f t="shared" si="6"/>
        <v>LOS</v>
      </c>
      <c r="CE15" s="200" t="s">
        <v>569</v>
      </c>
      <c r="CW15" s="572"/>
    </row>
    <row r="16" spans="1:101" ht="26.65" customHeight="1" thickTop="1" thickBot="1">
      <c r="A16" t="str">
        <f t="shared" si="24"/>
        <v>BR2 Closet,</v>
      </c>
      <c r="B16" s="485">
        <f t="shared" si="7"/>
        <v>113</v>
      </c>
      <c r="C16" s="655"/>
      <c r="D16" s="782">
        <f t="shared" si="25"/>
        <v>213</v>
      </c>
      <c r="E16" s="782"/>
      <c r="F16" s="782">
        <f t="shared" si="25"/>
        <v>313</v>
      </c>
      <c r="G16" s="782"/>
      <c r="H16" s="782">
        <f t="shared" si="25"/>
        <v>413</v>
      </c>
      <c r="I16" s="782"/>
      <c r="J16" s="782">
        <v>813</v>
      </c>
      <c r="K16" s="782"/>
      <c r="L16" s="782">
        <f t="shared" si="26"/>
        <v>6113.1</v>
      </c>
      <c r="M16" s="782">
        <f t="shared" si="26"/>
        <v>6213.2</v>
      </c>
      <c r="N16" s="782">
        <f t="shared" si="26"/>
        <v>6313.3</v>
      </c>
      <c r="O16" s="782">
        <f t="shared" si="26"/>
        <v>6413.4</v>
      </c>
      <c r="P16" s="782">
        <f>P14+1</f>
        <v>7104.1</v>
      </c>
      <c r="Q16" s="782">
        <f>Q14+1</f>
        <v>7204.2</v>
      </c>
      <c r="R16" s="782">
        <f>R14+1</f>
        <v>7304.3</v>
      </c>
      <c r="S16" s="782">
        <f>S14+1</f>
        <v>7404.4</v>
      </c>
      <c r="T16" s="485">
        <v>113</v>
      </c>
      <c r="U16" s="200" t="s">
        <v>561</v>
      </c>
      <c r="V16" s="656" t="str">
        <f>'ROOMS#'!R16</f>
        <v>BR2 Closet,</v>
      </c>
      <c r="W16" s="1" t="s">
        <v>638</v>
      </c>
      <c r="X16" s="485">
        <f t="shared" si="8"/>
        <v>113</v>
      </c>
      <c r="Y16" s="200" t="str">
        <f t="shared" si="8"/>
        <v>….</v>
      </c>
      <c r="Z16" s="533" t="str">
        <f t="shared" si="8"/>
        <v>BR2 Closet,</v>
      </c>
      <c r="AA16" s="533" t="str">
        <f t="shared" si="9"/>
        <v xml:space="preserve"> = … ROOM OVERVIEW PICS ... DAY 1 …</v>
      </c>
      <c r="AB16" s="643" t="str">
        <f>$W$16</f>
        <v>LOS</v>
      </c>
      <c r="AC16" s="581">
        <f t="shared" si="1"/>
        <v>213</v>
      </c>
      <c r="AD16" s="200" t="str">
        <f t="shared" si="10"/>
        <v>….</v>
      </c>
      <c r="AE16" s="533" t="str">
        <f t="shared" si="10"/>
        <v>BR2 Closet,</v>
      </c>
      <c r="AF16" s="533" t="str">
        <f t="shared" si="11"/>
        <v>….. SOURCE of  LOSS …..</v>
      </c>
      <c r="AG16" s="643" t="str">
        <f>$W$16</f>
        <v>LOS</v>
      </c>
      <c r="AH16" s="533">
        <f t="shared" si="2"/>
        <v>313</v>
      </c>
      <c r="AI16" s="200" t="str">
        <f t="shared" si="12"/>
        <v>….</v>
      </c>
      <c r="AJ16" s="533" t="str">
        <f t="shared" si="12"/>
        <v>BR2 Closet,</v>
      </c>
      <c r="AK16" s="533" t="str">
        <f t="shared" si="13"/>
        <v>…..  C.P.S.  …...</v>
      </c>
      <c r="AL16" s="643" t="str">
        <f>$W$16</f>
        <v>LOS</v>
      </c>
      <c r="AM16" s="432"/>
      <c r="AN16" s="533">
        <f t="shared" si="3"/>
        <v>413</v>
      </c>
      <c r="AO16" s="200" t="str">
        <f t="shared" si="14"/>
        <v>….</v>
      </c>
      <c r="AP16" s="533" t="str">
        <f t="shared" si="14"/>
        <v>BR2 Closet,</v>
      </c>
      <c r="AQ16" s="533" t="str">
        <f t="shared" si="15"/>
        <v>NON SALVAGEABLE ITEMS</v>
      </c>
      <c r="AR16" s="643" t="str">
        <f>$W$16</f>
        <v>LOS</v>
      </c>
      <c r="AS16" s="533">
        <f t="shared" si="4"/>
        <v>813</v>
      </c>
      <c r="AT16" s="200" t="s">
        <v>569</v>
      </c>
      <c r="AU16" s="533" t="str">
        <f t="shared" si="27"/>
        <v>BR2 Closet,</v>
      </c>
      <c r="AV16" s="581" t="str">
        <f t="shared" si="28"/>
        <v>… MITIGATION  EQUIPMENT &amp; W.I.P . ...</v>
      </c>
      <c r="AW16" s="643" t="str">
        <f>$W$16</f>
        <v>LOS</v>
      </c>
      <c r="AX16" s="244">
        <f t="shared" si="16"/>
        <v>6113.1</v>
      </c>
      <c r="AY16" s="200" t="s">
        <v>569</v>
      </c>
      <c r="AZ16" t="str">
        <f t="shared" si="30"/>
        <v>.. DAY 1 …</v>
      </c>
      <c r="BA16" s="533" t="str">
        <f t="shared" si="17"/>
        <v>BR2 Closet,</v>
      </c>
      <c r="BB16" t="str">
        <f t="shared" si="31"/>
        <v xml:space="preserve">  ...  MC READINGS ..</v>
      </c>
      <c r="BC16" s="643" t="str">
        <f>$W$16</f>
        <v>LOS</v>
      </c>
      <c r="BD16" s="244">
        <f t="shared" si="18"/>
        <v>6213.2</v>
      </c>
      <c r="BE16" s="200" t="s">
        <v>569</v>
      </c>
      <c r="BF16" s="533" t="str">
        <f t="shared" si="19"/>
        <v>BR2 Closet,</v>
      </c>
      <c r="BG16" t="str">
        <f t="shared" si="32"/>
        <v xml:space="preserve">  ...  MC READINGS ..</v>
      </c>
      <c r="BH16" s="643" t="str">
        <f>$W$16</f>
        <v>LOS</v>
      </c>
      <c r="BI16" s="244">
        <f t="shared" si="20"/>
        <v>6313.3</v>
      </c>
      <c r="BJ16" s="200" t="s">
        <v>569</v>
      </c>
      <c r="BK16" t="str">
        <f t="shared" si="29"/>
        <v xml:space="preserve">….. DAY 3 ….. </v>
      </c>
      <c r="BL16" s="533" t="str">
        <f t="shared" si="21"/>
        <v>BR2 Closet,</v>
      </c>
      <c r="BM16" t="str">
        <f t="shared" si="33"/>
        <v xml:space="preserve">  ...  MC READINGS ..</v>
      </c>
      <c r="BN16" s="643" t="str">
        <f>$W$16</f>
        <v>LOS</v>
      </c>
      <c r="BO16" s="244">
        <f t="shared" si="22"/>
        <v>6413.4</v>
      </c>
      <c r="BP16" s="200" t="s">
        <v>569</v>
      </c>
      <c r="BQ16" t="str">
        <f t="shared" si="34"/>
        <v xml:space="preserve">….. DAY 4 ….. </v>
      </c>
      <c r="BR16" s="533" t="str">
        <f t="shared" si="23"/>
        <v>BR2 Closet,</v>
      </c>
      <c r="BS16" t="str">
        <f t="shared" si="35"/>
        <v xml:space="preserve">  ...  MC READINGS ..</v>
      </c>
      <c r="BT16" s="643" t="str">
        <f>$W$16</f>
        <v>LOS</v>
      </c>
      <c r="BU16" s="659">
        <f>BU15+1</f>
        <v>7205.2</v>
      </c>
      <c r="BV16" s="32" t="str">
        <f t="shared" si="36"/>
        <v xml:space="preserve">….. DAY 2 ….. </v>
      </c>
      <c r="BW16" s="615" t="s">
        <v>614</v>
      </c>
      <c r="BX16" s="610" t="s">
        <v>588</v>
      </c>
      <c r="CB16">
        <f t="shared" si="5"/>
        <v>0</v>
      </c>
      <c r="CC16" t="str">
        <f t="shared" si="6"/>
        <v>LOS</v>
      </c>
      <c r="CE16" s="200" t="s">
        <v>569</v>
      </c>
      <c r="CW16" s="570"/>
    </row>
    <row r="17" spans="1:101" ht="26.65" customHeight="1" thickTop="1" thickBot="1">
      <c r="A17" s="432">
        <f t="shared" si="24"/>
        <v>0</v>
      </c>
      <c r="B17" s="485">
        <f t="shared" si="7"/>
        <v>114</v>
      </c>
      <c r="C17" s="485"/>
      <c r="D17" s="573">
        <f t="shared" si="25"/>
        <v>214</v>
      </c>
      <c r="E17" s="782"/>
      <c r="F17" s="573">
        <f t="shared" si="25"/>
        <v>314</v>
      </c>
      <c r="G17" s="573"/>
      <c r="H17" s="573">
        <f t="shared" si="25"/>
        <v>414</v>
      </c>
      <c r="I17" s="782"/>
      <c r="J17" s="573">
        <v>814</v>
      </c>
      <c r="K17" s="573"/>
      <c r="L17" s="573">
        <f t="shared" si="26"/>
        <v>6114.1</v>
      </c>
      <c r="M17" s="573">
        <f t="shared" si="26"/>
        <v>6214.2</v>
      </c>
      <c r="N17" s="573">
        <f t="shared" si="26"/>
        <v>6314.3</v>
      </c>
      <c r="O17" s="573">
        <f t="shared" si="26"/>
        <v>6414.4</v>
      </c>
      <c r="P17" s="842" t="s">
        <v>616</v>
      </c>
      <c r="Q17" s="842"/>
      <c r="R17" s="842"/>
      <c r="S17" s="842"/>
      <c r="T17" s="485">
        <v>114</v>
      </c>
      <c r="U17" s="200" t="s">
        <v>561</v>
      </c>
      <c r="V17" s="656">
        <f>'ROOMS#'!R17</f>
        <v>0</v>
      </c>
      <c r="W17" s="1" t="s">
        <v>638</v>
      </c>
      <c r="X17" s="485">
        <f t="shared" si="8"/>
        <v>114</v>
      </c>
      <c r="Y17" s="200" t="str">
        <f t="shared" si="8"/>
        <v>….</v>
      </c>
      <c r="Z17" s="533">
        <f t="shared" si="8"/>
        <v>0</v>
      </c>
      <c r="AA17" s="533" t="str">
        <f t="shared" si="9"/>
        <v xml:space="preserve"> = … ROOM OVERVIEW PICS ... DAY 1 …</v>
      </c>
      <c r="AB17" s="643" t="str">
        <f>$W$17</f>
        <v>LOS</v>
      </c>
      <c r="AC17" s="581">
        <f t="shared" si="1"/>
        <v>214</v>
      </c>
      <c r="AD17" s="200" t="str">
        <f t="shared" si="10"/>
        <v>….</v>
      </c>
      <c r="AE17" s="533">
        <f t="shared" si="10"/>
        <v>0</v>
      </c>
      <c r="AF17" s="533" t="str">
        <f t="shared" si="11"/>
        <v>….. SOURCE of  LOSS …..</v>
      </c>
      <c r="AG17" s="643" t="str">
        <f>$W$17</f>
        <v>LOS</v>
      </c>
      <c r="AH17" s="533">
        <f t="shared" si="2"/>
        <v>314</v>
      </c>
      <c r="AI17" s="200" t="str">
        <f t="shared" si="12"/>
        <v>….</v>
      </c>
      <c r="AJ17" s="533">
        <f t="shared" si="12"/>
        <v>0</v>
      </c>
      <c r="AK17" s="533" t="str">
        <f t="shared" si="13"/>
        <v>…..  C.P.S.  …...</v>
      </c>
      <c r="AL17" s="643" t="str">
        <f>$W$17</f>
        <v>LOS</v>
      </c>
      <c r="AM17" s="432"/>
      <c r="AN17" s="533">
        <f t="shared" si="3"/>
        <v>414</v>
      </c>
      <c r="AO17" s="200" t="str">
        <f t="shared" si="14"/>
        <v>….</v>
      </c>
      <c r="AP17" s="533">
        <f t="shared" si="14"/>
        <v>0</v>
      </c>
      <c r="AQ17" s="533" t="str">
        <f t="shared" si="15"/>
        <v>NON SALVAGEABLE ITEMS</v>
      </c>
      <c r="AR17" s="643" t="str">
        <f>$W$17</f>
        <v>LOS</v>
      </c>
      <c r="AS17" s="533">
        <f t="shared" si="4"/>
        <v>814</v>
      </c>
      <c r="AT17" s="200" t="s">
        <v>569</v>
      </c>
      <c r="AU17" s="533">
        <f t="shared" si="27"/>
        <v>0</v>
      </c>
      <c r="AV17" s="581" t="str">
        <f t="shared" si="28"/>
        <v>… MITIGATION  EQUIPMENT &amp; W.I.P . ...</v>
      </c>
      <c r="AW17" s="643" t="str">
        <f>$W$17</f>
        <v>LOS</v>
      </c>
      <c r="AX17" s="244">
        <f t="shared" si="16"/>
        <v>6114.1</v>
      </c>
      <c r="AY17" s="200" t="s">
        <v>569</v>
      </c>
      <c r="AZ17" t="str">
        <f t="shared" si="30"/>
        <v>.. DAY 1 …</v>
      </c>
      <c r="BA17" s="533">
        <f t="shared" si="17"/>
        <v>0</v>
      </c>
      <c r="BB17" t="str">
        <f t="shared" si="31"/>
        <v xml:space="preserve">  ...  MC READINGS ..</v>
      </c>
      <c r="BC17" s="643" t="str">
        <f>$W$17</f>
        <v>LOS</v>
      </c>
      <c r="BD17" s="244">
        <f t="shared" si="18"/>
        <v>6214.2</v>
      </c>
      <c r="BE17" s="200" t="s">
        <v>569</v>
      </c>
      <c r="BF17" s="533">
        <f t="shared" si="19"/>
        <v>0</v>
      </c>
      <c r="BG17" t="str">
        <f t="shared" si="32"/>
        <v xml:space="preserve">  ...  MC READINGS ..</v>
      </c>
      <c r="BH17" s="643" t="str">
        <f>$W$17</f>
        <v>LOS</v>
      </c>
      <c r="BI17" s="244">
        <f t="shared" si="20"/>
        <v>6314.3</v>
      </c>
      <c r="BJ17" s="200" t="s">
        <v>569</v>
      </c>
      <c r="BK17" t="str">
        <f t="shared" si="29"/>
        <v xml:space="preserve">….. DAY 3 ….. </v>
      </c>
      <c r="BL17" s="533">
        <f t="shared" si="21"/>
        <v>0</v>
      </c>
      <c r="BM17" t="str">
        <f t="shared" si="33"/>
        <v xml:space="preserve">  ...  MC READINGS ..</v>
      </c>
      <c r="BN17" s="643" t="str">
        <f>$W$17</f>
        <v>LOS</v>
      </c>
      <c r="BO17" s="244">
        <f t="shared" si="22"/>
        <v>6414.4</v>
      </c>
      <c r="BP17" s="200" t="s">
        <v>569</v>
      </c>
      <c r="BQ17" t="str">
        <f t="shared" si="34"/>
        <v xml:space="preserve">….. DAY 4 ….. </v>
      </c>
      <c r="BR17" s="533">
        <f t="shared" si="23"/>
        <v>0</v>
      </c>
      <c r="BS17" t="str">
        <f t="shared" si="35"/>
        <v xml:space="preserve">  ...  MC READINGS ..</v>
      </c>
      <c r="BT17" s="643" t="str">
        <f>$W$17</f>
        <v>LOS</v>
      </c>
      <c r="BU17" s="657">
        <v>7300</v>
      </c>
      <c r="BV17" s="611" t="s">
        <v>556</v>
      </c>
      <c r="BW17" s="610" t="str">
        <f>BW4</f>
        <v>RH &amp;T &amp; GPP  DRY CHAMBERS [DC] .READ INGS  ===========</v>
      </c>
      <c r="BX17" s="614"/>
      <c r="CB17">
        <f t="shared" si="5"/>
        <v>0</v>
      </c>
      <c r="CC17" t="str">
        <f t="shared" si="6"/>
        <v>LOS</v>
      </c>
      <c r="CE17" s="200" t="s">
        <v>569</v>
      </c>
      <c r="CW17" s="572"/>
    </row>
    <row r="18" spans="1:101" ht="26.65" customHeight="1" thickTop="1" thickBot="1">
      <c r="A18">
        <f t="shared" si="24"/>
        <v>0</v>
      </c>
      <c r="B18" s="485">
        <f t="shared" si="7"/>
        <v>115</v>
      </c>
      <c r="C18" s="655"/>
      <c r="D18" s="782">
        <f t="shared" si="25"/>
        <v>215</v>
      </c>
      <c r="E18" s="782"/>
      <c r="F18" s="782">
        <f t="shared" si="25"/>
        <v>315</v>
      </c>
      <c r="G18" s="782"/>
      <c r="H18" s="782">
        <f t="shared" si="25"/>
        <v>415</v>
      </c>
      <c r="I18" s="782"/>
      <c r="J18" s="782">
        <v>815</v>
      </c>
      <c r="K18" s="782"/>
      <c r="L18" s="782">
        <f t="shared" si="26"/>
        <v>6115.1</v>
      </c>
      <c r="M18" s="782">
        <f t="shared" si="26"/>
        <v>6215.2</v>
      </c>
      <c r="N18" s="782">
        <f t="shared" si="26"/>
        <v>6315.3</v>
      </c>
      <c r="O18" s="782">
        <f t="shared" si="26"/>
        <v>6415.4</v>
      </c>
      <c r="P18" s="573">
        <f>P16+1</f>
        <v>7105.1</v>
      </c>
      <c r="Q18" s="573">
        <f>Q16+1</f>
        <v>7205.2</v>
      </c>
      <c r="R18" s="573">
        <f>R16+1</f>
        <v>7305.3</v>
      </c>
      <c r="S18" s="573">
        <f>S16+1</f>
        <v>7405.4</v>
      </c>
      <c r="T18" s="485">
        <v>115</v>
      </c>
      <c r="U18" s="200" t="s">
        <v>561</v>
      </c>
      <c r="V18" s="656">
        <f>'ROOMS#'!R18</f>
        <v>0</v>
      </c>
      <c r="W18" s="1" t="s">
        <v>638</v>
      </c>
      <c r="X18" s="485">
        <f t="shared" si="8"/>
        <v>115</v>
      </c>
      <c r="Y18" s="200" t="str">
        <f t="shared" si="8"/>
        <v>….</v>
      </c>
      <c r="Z18" s="533">
        <f t="shared" si="8"/>
        <v>0</v>
      </c>
      <c r="AA18" s="533" t="str">
        <f t="shared" si="9"/>
        <v xml:space="preserve"> = … ROOM OVERVIEW PICS ... DAY 1 …</v>
      </c>
      <c r="AB18" s="643" t="str">
        <f>$W$18</f>
        <v>LOS</v>
      </c>
      <c r="AC18" s="581">
        <f t="shared" si="1"/>
        <v>215</v>
      </c>
      <c r="AD18" s="200" t="str">
        <f t="shared" si="10"/>
        <v>….</v>
      </c>
      <c r="AE18" s="533">
        <f t="shared" si="10"/>
        <v>0</v>
      </c>
      <c r="AF18" s="533" t="str">
        <f t="shared" si="11"/>
        <v>….. SOURCE of  LOSS …..</v>
      </c>
      <c r="AG18" s="643" t="str">
        <f>$W$18</f>
        <v>LOS</v>
      </c>
      <c r="AH18" s="533">
        <f t="shared" si="2"/>
        <v>315</v>
      </c>
      <c r="AI18" s="200" t="str">
        <f t="shared" si="12"/>
        <v>….</v>
      </c>
      <c r="AJ18" s="533">
        <f t="shared" si="12"/>
        <v>0</v>
      </c>
      <c r="AK18" s="533" t="str">
        <f t="shared" si="13"/>
        <v>…..  C.P.S.  …...</v>
      </c>
      <c r="AL18" s="643" t="str">
        <f>$W$18</f>
        <v>LOS</v>
      </c>
      <c r="AM18" s="432"/>
      <c r="AN18" s="533">
        <f t="shared" si="3"/>
        <v>415</v>
      </c>
      <c r="AO18" s="200" t="str">
        <f t="shared" si="14"/>
        <v>….</v>
      </c>
      <c r="AP18" s="533">
        <f t="shared" si="14"/>
        <v>0</v>
      </c>
      <c r="AQ18" s="533" t="str">
        <f t="shared" si="15"/>
        <v>NON SALVAGEABLE ITEMS</v>
      </c>
      <c r="AR18" s="643" t="str">
        <f>$W$18</f>
        <v>LOS</v>
      </c>
      <c r="AS18" s="533">
        <f t="shared" si="4"/>
        <v>815</v>
      </c>
      <c r="AT18" s="200" t="s">
        <v>569</v>
      </c>
      <c r="AU18" s="533">
        <f t="shared" si="27"/>
        <v>0</v>
      </c>
      <c r="AV18" s="581" t="str">
        <f t="shared" si="28"/>
        <v>… MITIGATION  EQUIPMENT &amp; W.I.P . ...</v>
      </c>
      <c r="AW18" s="643" t="str">
        <f>$W$18</f>
        <v>LOS</v>
      </c>
      <c r="AX18" s="244">
        <f t="shared" si="16"/>
        <v>6115.1</v>
      </c>
      <c r="AY18" s="200" t="s">
        <v>569</v>
      </c>
      <c r="AZ18" t="str">
        <f t="shared" si="30"/>
        <v>.. DAY 1 …</v>
      </c>
      <c r="BA18" s="533">
        <f t="shared" si="17"/>
        <v>0</v>
      </c>
      <c r="BB18" t="str">
        <f t="shared" si="31"/>
        <v xml:space="preserve">  ...  MC READINGS ..</v>
      </c>
      <c r="BC18" s="643" t="str">
        <f>$W$18</f>
        <v>LOS</v>
      </c>
      <c r="BD18" s="244">
        <f t="shared" si="18"/>
        <v>6215.2</v>
      </c>
      <c r="BE18" s="200" t="s">
        <v>569</v>
      </c>
      <c r="BF18" s="533">
        <f t="shared" si="19"/>
        <v>0</v>
      </c>
      <c r="BG18" t="str">
        <f t="shared" si="32"/>
        <v xml:space="preserve">  ...  MC READINGS ..</v>
      </c>
      <c r="BH18" s="643" t="str">
        <f>$W$18</f>
        <v>LOS</v>
      </c>
      <c r="BI18" s="244">
        <f t="shared" si="20"/>
        <v>6315.3</v>
      </c>
      <c r="BJ18" s="200" t="s">
        <v>569</v>
      </c>
      <c r="BK18" t="str">
        <f t="shared" si="29"/>
        <v xml:space="preserve">….. DAY 3 ….. </v>
      </c>
      <c r="BL18" s="533">
        <f t="shared" si="21"/>
        <v>0</v>
      </c>
      <c r="BM18" t="str">
        <f t="shared" si="33"/>
        <v xml:space="preserve">  ...  MC READINGS ..</v>
      </c>
      <c r="BN18" s="643" t="str">
        <f>$W$18</f>
        <v>LOS</v>
      </c>
      <c r="BO18" s="244">
        <f t="shared" si="22"/>
        <v>6415.4</v>
      </c>
      <c r="BP18" s="200" t="s">
        <v>569</v>
      </c>
      <c r="BQ18" t="str">
        <f t="shared" si="34"/>
        <v xml:space="preserve">….. DAY 4 ….. </v>
      </c>
      <c r="BR18" s="533">
        <f t="shared" si="23"/>
        <v>0</v>
      </c>
      <c r="BS18" t="str">
        <f t="shared" si="35"/>
        <v xml:space="preserve">  ...  MC READINGS ..</v>
      </c>
      <c r="BT18" s="643" t="str">
        <f>$W$18</f>
        <v>LOS</v>
      </c>
      <c r="BU18" s="648">
        <f>BU17</f>
        <v>7300</v>
      </c>
      <c r="BV18" s="613" t="str">
        <f>BV17</f>
        <v xml:space="preserve">….. DAY 3 ….. </v>
      </c>
      <c r="BW18" s="614" t="s">
        <v>584</v>
      </c>
      <c r="CB18">
        <f t="shared" si="5"/>
        <v>0</v>
      </c>
      <c r="CC18" t="str">
        <f t="shared" si="6"/>
        <v>LOS</v>
      </c>
      <c r="CE18" s="200" t="s">
        <v>569</v>
      </c>
      <c r="CW18" s="570"/>
    </row>
    <row r="19" spans="1:101" ht="26.65" customHeight="1" thickTop="1" thickBot="1">
      <c r="A19" s="432">
        <f t="shared" si="24"/>
        <v>0</v>
      </c>
      <c r="B19" s="485">
        <f t="shared" si="7"/>
        <v>116</v>
      </c>
      <c r="C19" s="485"/>
      <c r="D19" s="573">
        <f t="shared" si="25"/>
        <v>216</v>
      </c>
      <c r="E19" s="782"/>
      <c r="F19" s="573">
        <f t="shared" si="25"/>
        <v>316</v>
      </c>
      <c r="G19" s="573"/>
      <c r="H19" s="573">
        <f t="shared" si="25"/>
        <v>416</v>
      </c>
      <c r="I19" s="782"/>
      <c r="J19" s="573">
        <v>816</v>
      </c>
      <c r="K19" s="573"/>
      <c r="L19" s="573">
        <f t="shared" si="26"/>
        <v>6116.1</v>
      </c>
      <c r="M19" s="573">
        <f t="shared" si="26"/>
        <v>6216.2</v>
      </c>
      <c r="N19" s="573">
        <f t="shared" si="26"/>
        <v>6316.3</v>
      </c>
      <c r="O19" s="573">
        <f t="shared" si="26"/>
        <v>6416.4</v>
      </c>
      <c r="P19" s="843"/>
      <c r="Q19" s="844"/>
      <c r="R19" s="844"/>
      <c r="S19" s="845"/>
      <c r="T19" s="485">
        <v>116</v>
      </c>
      <c r="U19" s="200" t="s">
        <v>561</v>
      </c>
      <c r="V19" s="656">
        <f>'ROOMS#'!R19</f>
        <v>0</v>
      </c>
      <c r="W19" s="1" t="s">
        <v>638</v>
      </c>
      <c r="X19" s="485">
        <f t="shared" si="8"/>
        <v>116</v>
      </c>
      <c r="Y19" s="200" t="str">
        <f t="shared" si="8"/>
        <v>….</v>
      </c>
      <c r="Z19" s="533">
        <f t="shared" si="8"/>
        <v>0</v>
      </c>
      <c r="AA19" s="533" t="str">
        <f t="shared" si="9"/>
        <v xml:space="preserve"> = … ROOM OVERVIEW PICS ... DAY 1 …</v>
      </c>
      <c r="AB19" s="643" t="str">
        <f>$W$19</f>
        <v>LOS</v>
      </c>
      <c r="AC19" s="581">
        <f t="shared" si="1"/>
        <v>216</v>
      </c>
      <c r="AD19" s="200" t="str">
        <f t="shared" si="10"/>
        <v>….</v>
      </c>
      <c r="AE19" s="533">
        <f t="shared" si="10"/>
        <v>0</v>
      </c>
      <c r="AF19" s="533" t="str">
        <f t="shared" si="11"/>
        <v>….. SOURCE of  LOSS …..</v>
      </c>
      <c r="AG19" s="643" t="str">
        <f>$W$19</f>
        <v>LOS</v>
      </c>
      <c r="AH19" s="533">
        <f t="shared" si="2"/>
        <v>316</v>
      </c>
      <c r="AI19" s="200" t="str">
        <f t="shared" si="12"/>
        <v>….</v>
      </c>
      <c r="AJ19" s="533">
        <f t="shared" si="12"/>
        <v>0</v>
      </c>
      <c r="AK19" s="533" t="str">
        <f t="shared" si="13"/>
        <v>…..  C.P.S.  …...</v>
      </c>
      <c r="AL19" s="643" t="str">
        <f>$W$19</f>
        <v>LOS</v>
      </c>
      <c r="AM19" s="432"/>
      <c r="AN19" s="533">
        <f t="shared" si="3"/>
        <v>416</v>
      </c>
      <c r="AO19" s="200" t="str">
        <f t="shared" si="14"/>
        <v>….</v>
      </c>
      <c r="AP19" s="533">
        <f t="shared" si="14"/>
        <v>0</v>
      </c>
      <c r="AQ19" s="533" t="str">
        <f t="shared" si="15"/>
        <v>NON SALVAGEABLE ITEMS</v>
      </c>
      <c r="AR19" s="643" t="str">
        <f>$W$19</f>
        <v>LOS</v>
      </c>
      <c r="AS19" s="533">
        <f t="shared" si="4"/>
        <v>816</v>
      </c>
      <c r="AT19" s="200" t="s">
        <v>569</v>
      </c>
      <c r="AU19" s="533">
        <f t="shared" si="27"/>
        <v>0</v>
      </c>
      <c r="AV19" s="581" t="str">
        <f t="shared" si="28"/>
        <v>… MITIGATION  EQUIPMENT &amp; W.I.P . ...</v>
      </c>
      <c r="AW19" s="643" t="str">
        <f>$W$19</f>
        <v>LOS</v>
      </c>
      <c r="AX19" s="244">
        <f t="shared" si="16"/>
        <v>6116.1</v>
      </c>
      <c r="AY19" s="200" t="s">
        <v>569</v>
      </c>
      <c r="AZ19" t="str">
        <f t="shared" si="30"/>
        <v>.. DAY 1 …</v>
      </c>
      <c r="BA19" s="533">
        <f t="shared" si="17"/>
        <v>0</v>
      </c>
      <c r="BB19" t="str">
        <f t="shared" si="31"/>
        <v xml:space="preserve">  ...  MC READINGS ..</v>
      </c>
      <c r="BC19" s="643" t="str">
        <f>$W$19</f>
        <v>LOS</v>
      </c>
      <c r="BD19" s="244">
        <f t="shared" si="18"/>
        <v>6216.2</v>
      </c>
      <c r="BE19" s="200" t="s">
        <v>569</v>
      </c>
      <c r="BF19" s="533">
        <f t="shared" si="19"/>
        <v>0</v>
      </c>
      <c r="BG19" t="str">
        <f t="shared" si="32"/>
        <v xml:space="preserve">  ...  MC READINGS ..</v>
      </c>
      <c r="BH19" s="643" t="str">
        <f>$W$19</f>
        <v>LOS</v>
      </c>
      <c r="BI19" s="244">
        <f t="shared" si="20"/>
        <v>6316.3</v>
      </c>
      <c r="BJ19" s="200" t="s">
        <v>569</v>
      </c>
      <c r="BK19" t="str">
        <f t="shared" si="29"/>
        <v xml:space="preserve">….. DAY 3 ….. </v>
      </c>
      <c r="BL19" s="533">
        <f t="shared" si="21"/>
        <v>0</v>
      </c>
      <c r="BM19" t="str">
        <f t="shared" si="33"/>
        <v xml:space="preserve">  ...  MC READINGS ..</v>
      </c>
      <c r="BN19" s="643" t="str">
        <f>$W$19</f>
        <v>LOS</v>
      </c>
      <c r="BO19" s="244">
        <f t="shared" si="22"/>
        <v>6416.4</v>
      </c>
      <c r="BP19" s="200" t="s">
        <v>569</v>
      </c>
      <c r="BQ19" t="str">
        <f t="shared" si="34"/>
        <v xml:space="preserve">….. DAY 4 ….. </v>
      </c>
      <c r="BR19" s="533">
        <f t="shared" si="23"/>
        <v>0</v>
      </c>
      <c r="BS19" t="str">
        <f t="shared" si="35"/>
        <v xml:space="preserve">  ...  MC READINGS ..</v>
      </c>
      <c r="BT19" s="643" t="str">
        <f>$W$19</f>
        <v>LOS</v>
      </c>
      <c r="BU19" s="649">
        <f>BU18+1</f>
        <v>7301</v>
      </c>
      <c r="BV19" s="646" t="str">
        <f>BV18</f>
        <v xml:space="preserve">….. DAY 3 ….. </v>
      </c>
      <c r="BW19" s="615" t="s">
        <v>587</v>
      </c>
      <c r="BX19" s="610" t="s">
        <v>588</v>
      </c>
      <c r="CB19">
        <f t="shared" si="5"/>
        <v>0</v>
      </c>
      <c r="CC19" t="str">
        <f t="shared" si="6"/>
        <v>LOS</v>
      </c>
      <c r="CE19" s="200" t="s">
        <v>569</v>
      </c>
      <c r="CW19" s="572"/>
    </row>
    <row r="20" spans="1:101" ht="26.65" customHeight="1" thickTop="1" thickBot="1">
      <c r="A20">
        <f t="shared" si="24"/>
        <v>0</v>
      </c>
      <c r="B20" s="485">
        <f t="shared" si="7"/>
        <v>117</v>
      </c>
      <c r="C20" s="655"/>
      <c r="D20" s="782">
        <f t="shared" si="25"/>
        <v>217</v>
      </c>
      <c r="E20" s="782"/>
      <c r="F20" s="782">
        <f t="shared" si="25"/>
        <v>317</v>
      </c>
      <c r="G20" s="782"/>
      <c r="H20" s="782">
        <f t="shared" si="25"/>
        <v>417</v>
      </c>
      <c r="I20" s="782"/>
      <c r="J20" s="782">
        <v>817</v>
      </c>
      <c r="K20" s="782"/>
      <c r="L20" s="782">
        <f t="shared" si="26"/>
        <v>6117.1</v>
      </c>
      <c r="M20" s="782">
        <f t="shared" si="26"/>
        <v>6217.2</v>
      </c>
      <c r="N20" s="782">
        <f t="shared" si="26"/>
        <v>6317.3</v>
      </c>
      <c r="O20" s="782">
        <f t="shared" si="26"/>
        <v>6417.4</v>
      </c>
      <c r="P20" s="846"/>
      <c r="Q20" s="847"/>
      <c r="R20" s="847"/>
      <c r="S20" s="848"/>
      <c r="T20" s="485">
        <v>117</v>
      </c>
      <c r="U20" s="200" t="s">
        <v>561</v>
      </c>
      <c r="V20" s="656">
        <f>'ROOMS#'!R20</f>
        <v>0</v>
      </c>
      <c r="W20" s="1" t="s">
        <v>638</v>
      </c>
      <c r="X20" s="485">
        <f t="shared" si="8"/>
        <v>117</v>
      </c>
      <c r="Y20" s="200" t="str">
        <f t="shared" si="8"/>
        <v>….</v>
      </c>
      <c r="Z20" s="533">
        <f t="shared" si="8"/>
        <v>0</v>
      </c>
      <c r="AA20" s="533" t="str">
        <f t="shared" si="9"/>
        <v xml:space="preserve"> = … ROOM OVERVIEW PICS ... DAY 1 …</v>
      </c>
      <c r="AB20" s="643" t="str">
        <f>$W$20</f>
        <v>LOS</v>
      </c>
      <c r="AC20" s="581">
        <f t="shared" si="1"/>
        <v>217</v>
      </c>
      <c r="AD20" s="200" t="str">
        <f t="shared" si="10"/>
        <v>….</v>
      </c>
      <c r="AE20" s="533">
        <f t="shared" si="10"/>
        <v>0</v>
      </c>
      <c r="AF20" s="533" t="str">
        <f t="shared" si="11"/>
        <v>….. SOURCE of  LOSS …..</v>
      </c>
      <c r="AG20" s="643" t="str">
        <f>$W$20</f>
        <v>LOS</v>
      </c>
      <c r="AH20" s="533">
        <f t="shared" si="2"/>
        <v>317</v>
      </c>
      <c r="AI20" s="200" t="str">
        <f t="shared" si="12"/>
        <v>….</v>
      </c>
      <c r="AJ20" s="533">
        <f t="shared" si="12"/>
        <v>0</v>
      </c>
      <c r="AK20" s="533" t="str">
        <f t="shared" si="13"/>
        <v>…..  C.P.S.  …...</v>
      </c>
      <c r="AL20" s="643" t="str">
        <f>$W$20</f>
        <v>LOS</v>
      </c>
      <c r="AM20" s="432"/>
      <c r="AN20" s="533">
        <f t="shared" si="3"/>
        <v>417</v>
      </c>
      <c r="AO20" s="200" t="str">
        <f t="shared" si="14"/>
        <v>….</v>
      </c>
      <c r="AP20" s="533">
        <f t="shared" si="14"/>
        <v>0</v>
      </c>
      <c r="AQ20" s="533" t="str">
        <f t="shared" si="15"/>
        <v>NON SALVAGEABLE ITEMS</v>
      </c>
      <c r="AR20" s="643" t="str">
        <f>$W$20</f>
        <v>LOS</v>
      </c>
      <c r="AS20" s="533">
        <f t="shared" si="4"/>
        <v>817</v>
      </c>
      <c r="AT20" s="200" t="s">
        <v>569</v>
      </c>
      <c r="AU20" s="533">
        <f t="shared" si="27"/>
        <v>0</v>
      </c>
      <c r="AV20" s="581" t="str">
        <f t="shared" si="28"/>
        <v>… MITIGATION  EQUIPMENT &amp; W.I.P . ...</v>
      </c>
      <c r="AW20" s="643" t="str">
        <f>$W$20</f>
        <v>LOS</v>
      </c>
      <c r="AX20" s="244">
        <f t="shared" si="16"/>
        <v>6117.1</v>
      </c>
      <c r="AY20" s="200" t="s">
        <v>569</v>
      </c>
      <c r="AZ20" t="str">
        <f t="shared" si="30"/>
        <v>.. DAY 1 …</v>
      </c>
      <c r="BA20" s="533">
        <f t="shared" si="17"/>
        <v>0</v>
      </c>
      <c r="BB20" t="str">
        <f t="shared" si="31"/>
        <v xml:space="preserve">  ...  MC READINGS ..</v>
      </c>
      <c r="BC20" s="643" t="str">
        <f>$W$20</f>
        <v>LOS</v>
      </c>
      <c r="BD20" s="244">
        <f t="shared" si="18"/>
        <v>6217.2</v>
      </c>
      <c r="BE20" s="200" t="s">
        <v>569</v>
      </c>
      <c r="BF20" s="533">
        <f t="shared" si="19"/>
        <v>0</v>
      </c>
      <c r="BG20" t="str">
        <f t="shared" si="32"/>
        <v xml:space="preserve">  ...  MC READINGS ..</v>
      </c>
      <c r="BH20" s="643" t="str">
        <f>$W$20</f>
        <v>LOS</v>
      </c>
      <c r="BI20" s="244">
        <f t="shared" si="20"/>
        <v>6317.3</v>
      </c>
      <c r="BJ20" s="200" t="s">
        <v>569</v>
      </c>
      <c r="BK20" t="str">
        <f t="shared" si="29"/>
        <v xml:space="preserve">….. DAY 3 ….. </v>
      </c>
      <c r="BL20" s="533">
        <f t="shared" si="21"/>
        <v>0</v>
      </c>
      <c r="BM20" t="str">
        <f t="shared" si="33"/>
        <v xml:space="preserve">  ...  MC READINGS ..</v>
      </c>
      <c r="BN20" s="643" t="str">
        <f>$W$20</f>
        <v>LOS</v>
      </c>
      <c r="BO20" s="244">
        <f t="shared" si="22"/>
        <v>6417.4</v>
      </c>
      <c r="BP20" s="200" t="s">
        <v>569</v>
      </c>
      <c r="BQ20" t="str">
        <f t="shared" si="34"/>
        <v xml:space="preserve">….. DAY 4 ….. </v>
      </c>
      <c r="BR20" s="533">
        <f t="shared" si="23"/>
        <v>0</v>
      </c>
      <c r="BS20" t="str">
        <f t="shared" si="35"/>
        <v xml:space="preserve">  ...  MC READINGS ..</v>
      </c>
      <c r="BT20" s="643" t="str">
        <f>$W$20</f>
        <v>LOS</v>
      </c>
      <c r="BU20" s="649">
        <f t="shared" ref="BU20:BU22" si="37">BU19+1</f>
        <v>7302</v>
      </c>
      <c r="BV20" s="32" t="str">
        <f>BV19</f>
        <v xml:space="preserve">….. DAY 3 ….. </v>
      </c>
      <c r="BW20" s="615" t="s">
        <v>590</v>
      </c>
      <c r="BX20" s="610" t="s">
        <v>588</v>
      </c>
      <c r="CB20">
        <f t="shared" si="5"/>
        <v>0</v>
      </c>
      <c r="CC20" t="str">
        <f t="shared" si="6"/>
        <v>LOS</v>
      </c>
      <c r="CE20" s="200" t="s">
        <v>569</v>
      </c>
      <c r="CW20" s="570"/>
    </row>
    <row r="21" spans="1:101" ht="26.65" customHeight="1" thickTop="1" thickBot="1">
      <c r="A21" s="432">
        <f t="shared" si="24"/>
        <v>0</v>
      </c>
      <c r="B21" s="485">
        <f t="shared" si="7"/>
        <v>118</v>
      </c>
      <c r="C21" s="485"/>
      <c r="D21" s="573">
        <f t="shared" ref="D21:H28" si="38">D20+1</f>
        <v>218</v>
      </c>
      <c r="E21" s="782"/>
      <c r="F21" s="573">
        <f t="shared" si="38"/>
        <v>318</v>
      </c>
      <c r="G21" s="573"/>
      <c r="H21" s="573">
        <f t="shared" si="38"/>
        <v>418</v>
      </c>
      <c r="I21" s="782"/>
      <c r="J21" s="573">
        <v>818</v>
      </c>
      <c r="K21" s="573"/>
      <c r="L21" s="573">
        <f t="shared" ref="L21:O28" si="39">L20+1</f>
        <v>6118.1</v>
      </c>
      <c r="M21" s="573">
        <f t="shared" si="39"/>
        <v>6218.2</v>
      </c>
      <c r="N21" s="573">
        <f t="shared" si="39"/>
        <v>6318.3</v>
      </c>
      <c r="O21" s="573">
        <f t="shared" si="39"/>
        <v>6418.4</v>
      </c>
      <c r="P21" s="846"/>
      <c r="Q21" s="847"/>
      <c r="R21" s="847"/>
      <c r="S21" s="848"/>
      <c r="T21" s="485">
        <v>118</v>
      </c>
      <c r="U21" s="200" t="s">
        <v>561</v>
      </c>
      <c r="V21" s="656">
        <f>'ROOMS#'!R21</f>
        <v>0</v>
      </c>
      <c r="W21" s="1" t="s">
        <v>638</v>
      </c>
      <c r="X21" s="485">
        <f t="shared" si="8"/>
        <v>118</v>
      </c>
      <c r="Y21" s="200" t="str">
        <f t="shared" si="8"/>
        <v>….</v>
      </c>
      <c r="Z21" s="533">
        <f t="shared" si="8"/>
        <v>0</v>
      </c>
      <c r="AA21" s="533" t="str">
        <f t="shared" si="9"/>
        <v xml:space="preserve"> = … ROOM OVERVIEW PICS ... DAY 1 …</v>
      </c>
      <c r="AB21" s="643" t="str">
        <f>$W$21</f>
        <v>LOS</v>
      </c>
      <c r="AC21" s="581">
        <f t="shared" si="1"/>
        <v>218</v>
      </c>
      <c r="AD21" s="200" t="str">
        <f t="shared" si="10"/>
        <v>….</v>
      </c>
      <c r="AE21" s="533">
        <f t="shared" si="10"/>
        <v>0</v>
      </c>
      <c r="AF21" s="533" t="str">
        <f t="shared" si="11"/>
        <v>….. SOURCE of  LOSS …..</v>
      </c>
      <c r="AG21" s="643" t="str">
        <f>$W$21</f>
        <v>LOS</v>
      </c>
      <c r="AH21" s="533">
        <f t="shared" si="2"/>
        <v>318</v>
      </c>
      <c r="AI21" s="200" t="str">
        <f t="shared" si="12"/>
        <v>….</v>
      </c>
      <c r="AJ21" s="533">
        <f t="shared" si="12"/>
        <v>0</v>
      </c>
      <c r="AK21" s="533" t="str">
        <f t="shared" si="13"/>
        <v>…..  C.P.S.  …...</v>
      </c>
      <c r="AL21" s="643" t="str">
        <f>$W$21</f>
        <v>LOS</v>
      </c>
      <c r="AM21" s="432"/>
      <c r="AN21" s="533">
        <f t="shared" si="3"/>
        <v>418</v>
      </c>
      <c r="AO21" s="200" t="str">
        <f t="shared" si="14"/>
        <v>….</v>
      </c>
      <c r="AP21" s="533">
        <f t="shared" si="14"/>
        <v>0</v>
      </c>
      <c r="AQ21" s="533" t="str">
        <f t="shared" si="15"/>
        <v>NON SALVAGEABLE ITEMS</v>
      </c>
      <c r="AR21" s="643" t="str">
        <f>$W$21</f>
        <v>LOS</v>
      </c>
      <c r="AS21" s="533">
        <f t="shared" si="4"/>
        <v>818</v>
      </c>
      <c r="AT21" s="200" t="s">
        <v>569</v>
      </c>
      <c r="AU21" s="533">
        <f t="shared" si="27"/>
        <v>0</v>
      </c>
      <c r="AV21" s="581" t="str">
        <f t="shared" si="28"/>
        <v>… MITIGATION  EQUIPMENT &amp; W.I.P . ...</v>
      </c>
      <c r="AW21" s="643" t="str">
        <f>$W$21</f>
        <v>LOS</v>
      </c>
      <c r="AX21" s="244">
        <f t="shared" si="16"/>
        <v>6118.1</v>
      </c>
      <c r="AY21" s="200" t="s">
        <v>569</v>
      </c>
      <c r="AZ21" t="str">
        <f t="shared" si="30"/>
        <v>.. DAY 1 …</v>
      </c>
      <c r="BA21" s="533">
        <f t="shared" si="17"/>
        <v>0</v>
      </c>
      <c r="BB21" t="str">
        <f t="shared" si="31"/>
        <v xml:space="preserve">  ...  MC READINGS ..</v>
      </c>
      <c r="BC21" s="643" t="str">
        <f>$W$21</f>
        <v>LOS</v>
      </c>
      <c r="BD21" s="244">
        <f t="shared" si="18"/>
        <v>6218.2</v>
      </c>
      <c r="BE21" s="200" t="s">
        <v>569</v>
      </c>
      <c r="BF21" s="533">
        <f t="shared" si="19"/>
        <v>0</v>
      </c>
      <c r="BG21" t="str">
        <f t="shared" si="32"/>
        <v xml:space="preserve">  ...  MC READINGS ..</v>
      </c>
      <c r="BH21" s="643" t="str">
        <f>$W$21</f>
        <v>LOS</v>
      </c>
      <c r="BI21" s="244">
        <f t="shared" si="20"/>
        <v>6318.3</v>
      </c>
      <c r="BJ21" s="200" t="s">
        <v>569</v>
      </c>
      <c r="BK21" t="str">
        <f t="shared" si="29"/>
        <v xml:space="preserve">….. DAY 3 ….. </v>
      </c>
      <c r="BL21" s="533">
        <f t="shared" si="21"/>
        <v>0</v>
      </c>
      <c r="BM21" t="str">
        <f t="shared" si="33"/>
        <v xml:space="preserve">  ...  MC READINGS ..</v>
      </c>
      <c r="BN21" s="643" t="str">
        <f>$W$21</f>
        <v>LOS</v>
      </c>
      <c r="BO21" s="244">
        <f t="shared" si="22"/>
        <v>6418.4</v>
      </c>
      <c r="BP21" s="200" t="s">
        <v>569</v>
      </c>
      <c r="BQ21" t="str">
        <f t="shared" si="34"/>
        <v xml:space="preserve">….. DAY 4 ….. </v>
      </c>
      <c r="BR21" s="533">
        <f t="shared" si="23"/>
        <v>0</v>
      </c>
      <c r="BS21" t="str">
        <f t="shared" si="35"/>
        <v xml:space="preserve">  ...  MC READINGS ..</v>
      </c>
      <c r="BT21" s="643" t="str">
        <f>$W$21</f>
        <v>LOS</v>
      </c>
      <c r="BU21" s="649">
        <f t="shared" si="37"/>
        <v>7303</v>
      </c>
      <c r="BV21" s="32" t="str">
        <f t="shared" ref="BV21:BV22" si="40">BV19</f>
        <v xml:space="preserve">….. DAY 3 ….. </v>
      </c>
      <c r="BW21" s="615" t="s">
        <v>593</v>
      </c>
      <c r="BX21" s="610" t="s">
        <v>588</v>
      </c>
      <c r="CB21">
        <f t="shared" si="5"/>
        <v>0</v>
      </c>
      <c r="CC21" t="str">
        <f t="shared" si="6"/>
        <v>LOS</v>
      </c>
      <c r="CE21" s="200" t="s">
        <v>569</v>
      </c>
      <c r="CW21" s="572"/>
    </row>
    <row r="22" spans="1:101" ht="26.65" customHeight="1" thickTop="1" thickBot="1">
      <c r="A22">
        <f t="shared" si="24"/>
        <v>0</v>
      </c>
      <c r="B22" s="485">
        <f t="shared" si="7"/>
        <v>119</v>
      </c>
      <c r="C22" s="655"/>
      <c r="D22" s="782">
        <f t="shared" si="38"/>
        <v>219</v>
      </c>
      <c r="E22" s="782"/>
      <c r="F22" s="782">
        <f t="shared" si="38"/>
        <v>319</v>
      </c>
      <c r="G22" s="782"/>
      <c r="H22" s="782">
        <f t="shared" si="38"/>
        <v>419</v>
      </c>
      <c r="I22" s="782"/>
      <c r="J22" s="782">
        <v>819</v>
      </c>
      <c r="K22" s="782"/>
      <c r="L22" s="782">
        <f t="shared" si="39"/>
        <v>6119.1</v>
      </c>
      <c r="M22" s="782">
        <f t="shared" si="39"/>
        <v>6219.2</v>
      </c>
      <c r="N22" s="782">
        <f t="shared" si="39"/>
        <v>6319.3</v>
      </c>
      <c r="O22" s="782">
        <f t="shared" si="39"/>
        <v>6419.4</v>
      </c>
      <c r="P22" s="846"/>
      <c r="Q22" s="847"/>
      <c r="R22" s="847"/>
      <c r="S22" s="848"/>
      <c r="T22" s="485">
        <v>119</v>
      </c>
      <c r="U22" s="200" t="s">
        <v>561</v>
      </c>
      <c r="V22" s="656">
        <f>'ROOMS#'!R22</f>
        <v>0</v>
      </c>
      <c r="W22" s="1" t="s">
        <v>638</v>
      </c>
      <c r="X22" s="485">
        <f t="shared" si="8"/>
        <v>119</v>
      </c>
      <c r="Y22" s="200" t="str">
        <f t="shared" si="8"/>
        <v>….</v>
      </c>
      <c r="Z22" s="533">
        <f t="shared" si="8"/>
        <v>0</v>
      </c>
      <c r="AA22" s="533" t="str">
        <f t="shared" si="9"/>
        <v xml:space="preserve"> = … ROOM OVERVIEW PICS ... DAY 1 …</v>
      </c>
      <c r="AB22" s="643" t="str">
        <f>$W$22</f>
        <v>LOS</v>
      </c>
      <c r="AC22" s="581">
        <f t="shared" si="1"/>
        <v>219</v>
      </c>
      <c r="AD22" s="200" t="str">
        <f t="shared" si="10"/>
        <v>….</v>
      </c>
      <c r="AE22" s="533">
        <f t="shared" si="10"/>
        <v>0</v>
      </c>
      <c r="AF22" s="533" t="str">
        <f t="shared" si="11"/>
        <v>….. SOURCE of  LOSS …..</v>
      </c>
      <c r="AG22" s="643" t="str">
        <f>$W$22</f>
        <v>LOS</v>
      </c>
      <c r="AH22" s="533">
        <f t="shared" si="2"/>
        <v>319</v>
      </c>
      <c r="AI22" s="200" t="str">
        <f t="shared" si="12"/>
        <v>….</v>
      </c>
      <c r="AJ22" s="533">
        <f t="shared" si="12"/>
        <v>0</v>
      </c>
      <c r="AK22" s="533" t="str">
        <f t="shared" si="13"/>
        <v>…..  C.P.S.  …...</v>
      </c>
      <c r="AL22" s="643" t="str">
        <f>$W$22</f>
        <v>LOS</v>
      </c>
      <c r="AM22" s="432"/>
      <c r="AN22" s="533">
        <f t="shared" si="3"/>
        <v>419</v>
      </c>
      <c r="AO22" s="200" t="str">
        <f t="shared" si="14"/>
        <v>….</v>
      </c>
      <c r="AP22" s="533">
        <f t="shared" si="14"/>
        <v>0</v>
      </c>
      <c r="AQ22" s="533" t="str">
        <f t="shared" si="15"/>
        <v>NON SALVAGEABLE ITEMS</v>
      </c>
      <c r="AR22" s="643" t="str">
        <f>$W$22</f>
        <v>LOS</v>
      </c>
      <c r="AS22" s="533">
        <f t="shared" si="4"/>
        <v>819</v>
      </c>
      <c r="AT22" s="200" t="s">
        <v>569</v>
      </c>
      <c r="AU22" s="533">
        <f t="shared" si="27"/>
        <v>0</v>
      </c>
      <c r="AV22" s="581" t="str">
        <f t="shared" si="28"/>
        <v>… MITIGATION  EQUIPMENT &amp; W.I.P . ...</v>
      </c>
      <c r="AW22" s="643" t="str">
        <f>$W$22</f>
        <v>LOS</v>
      </c>
      <c r="AX22" s="244">
        <f t="shared" si="16"/>
        <v>6119.1</v>
      </c>
      <c r="AY22" s="200" t="s">
        <v>569</v>
      </c>
      <c r="AZ22" t="str">
        <f t="shared" si="30"/>
        <v>.. DAY 1 …</v>
      </c>
      <c r="BA22" s="533">
        <f t="shared" si="17"/>
        <v>0</v>
      </c>
      <c r="BB22" t="str">
        <f t="shared" si="31"/>
        <v xml:space="preserve">  ...  MC READINGS ..</v>
      </c>
      <c r="BC22" s="643" t="str">
        <f>$W$22</f>
        <v>LOS</v>
      </c>
      <c r="BD22" s="244">
        <f t="shared" si="18"/>
        <v>6219.2</v>
      </c>
      <c r="BE22" s="200" t="s">
        <v>569</v>
      </c>
      <c r="BF22" s="533">
        <f t="shared" si="19"/>
        <v>0</v>
      </c>
      <c r="BG22" t="str">
        <f t="shared" si="32"/>
        <v xml:space="preserve">  ...  MC READINGS ..</v>
      </c>
      <c r="BH22" s="643" t="str">
        <f>$W$22</f>
        <v>LOS</v>
      </c>
      <c r="BI22" s="244">
        <f t="shared" si="20"/>
        <v>6319.3</v>
      </c>
      <c r="BJ22" s="200" t="s">
        <v>569</v>
      </c>
      <c r="BK22" t="str">
        <f t="shared" si="29"/>
        <v xml:space="preserve">….. DAY 3 ….. </v>
      </c>
      <c r="BL22" s="533">
        <f t="shared" si="21"/>
        <v>0</v>
      </c>
      <c r="BM22" t="str">
        <f t="shared" si="33"/>
        <v xml:space="preserve">  ...  MC READINGS ..</v>
      </c>
      <c r="BN22" s="643" t="str">
        <f>$W$22</f>
        <v>LOS</v>
      </c>
      <c r="BO22" s="244">
        <f t="shared" si="22"/>
        <v>6419.4</v>
      </c>
      <c r="BP22" s="200" t="s">
        <v>569</v>
      </c>
      <c r="BQ22" t="str">
        <f t="shared" si="34"/>
        <v xml:space="preserve">….. DAY 4 ….. </v>
      </c>
      <c r="BR22" s="533">
        <f t="shared" si="23"/>
        <v>0</v>
      </c>
      <c r="BS22" t="str">
        <f t="shared" si="35"/>
        <v xml:space="preserve">  ...  MC READINGS ..</v>
      </c>
      <c r="BT22" s="643" t="str">
        <f>$W$22</f>
        <v>LOS</v>
      </c>
      <c r="BU22" s="649">
        <f t="shared" si="37"/>
        <v>7304</v>
      </c>
      <c r="BV22" s="32" t="str">
        <f t="shared" si="40"/>
        <v xml:space="preserve">….. DAY 3 ….. </v>
      </c>
      <c r="BW22" s="615" t="s">
        <v>597</v>
      </c>
      <c r="BX22" s="610" t="s">
        <v>588</v>
      </c>
      <c r="CB22">
        <f t="shared" si="5"/>
        <v>0</v>
      </c>
      <c r="CC22" t="str">
        <f t="shared" si="6"/>
        <v>…..........</v>
      </c>
      <c r="CE22" s="200" t="s">
        <v>569</v>
      </c>
      <c r="CW22" s="570"/>
    </row>
    <row r="23" spans="1:101" ht="26.65" customHeight="1" thickTop="1" thickBot="1">
      <c r="A23" s="432">
        <f t="shared" si="24"/>
        <v>0</v>
      </c>
      <c r="B23" s="485">
        <f t="shared" si="7"/>
        <v>120</v>
      </c>
      <c r="C23" s="485"/>
      <c r="D23" s="573">
        <f t="shared" si="38"/>
        <v>220</v>
      </c>
      <c r="E23" s="573"/>
      <c r="F23" s="573">
        <f t="shared" si="38"/>
        <v>320</v>
      </c>
      <c r="G23" s="573"/>
      <c r="H23" s="573">
        <f t="shared" si="38"/>
        <v>420</v>
      </c>
      <c r="I23" s="782"/>
      <c r="J23" s="573">
        <v>820</v>
      </c>
      <c r="K23" s="573"/>
      <c r="L23" s="573">
        <f t="shared" si="39"/>
        <v>6120.1</v>
      </c>
      <c r="M23" s="573">
        <f t="shared" si="39"/>
        <v>6220.2</v>
      </c>
      <c r="N23" s="573">
        <f t="shared" si="39"/>
        <v>6320.3</v>
      </c>
      <c r="O23" s="573">
        <f t="shared" si="39"/>
        <v>6420.4</v>
      </c>
      <c r="P23" s="846"/>
      <c r="Q23" s="847"/>
      <c r="R23" s="847"/>
      <c r="S23" s="848"/>
      <c r="T23" s="485">
        <v>120</v>
      </c>
      <c r="U23" s="200" t="s">
        <v>561</v>
      </c>
      <c r="V23" s="656">
        <f>'ROOMS#'!R23</f>
        <v>0</v>
      </c>
      <c r="W23" s="209" t="s">
        <v>583</v>
      </c>
      <c r="X23" s="485">
        <f t="shared" si="8"/>
        <v>120</v>
      </c>
      <c r="Y23" s="200" t="str">
        <f t="shared" si="8"/>
        <v>….</v>
      </c>
      <c r="Z23" s="533">
        <f t="shared" si="8"/>
        <v>0</v>
      </c>
      <c r="AA23" s="533" t="str">
        <f t="shared" si="9"/>
        <v xml:space="preserve"> = … ROOM OVERVIEW PICS ... DAY 1 …</v>
      </c>
      <c r="AB23" s="643" t="str">
        <f>$W$23</f>
        <v>…..........</v>
      </c>
      <c r="AC23" s="581">
        <f t="shared" si="1"/>
        <v>220</v>
      </c>
      <c r="AD23" s="200" t="str">
        <f t="shared" si="10"/>
        <v>….</v>
      </c>
      <c r="AE23" s="533">
        <f t="shared" si="10"/>
        <v>0</v>
      </c>
      <c r="AF23" s="533" t="str">
        <f t="shared" si="11"/>
        <v>….. SOURCE of  LOSS …..</v>
      </c>
      <c r="AG23" s="643" t="str">
        <f>$W$23</f>
        <v>…..........</v>
      </c>
      <c r="AH23" s="533">
        <f t="shared" si="2"/>
        <v>320</v>
      </c>
      <c r="AI23" s="200" t="str">
        <f t="shared" si="12"/>
        <v>….</v>
      </c>
      <c r="AJ23" s="533">
        <f t="shared" si="12"/>
        <v>0</v>
      </c>
      <c r="AK23" s="533" t="str">
        <f t="shared" si="13"/>
        <v>…..  C.P.S.  …...</v>
      </c>
      <c r="AL23" s="643" t="str">
        <f>$W$23</f>
        <v>…..........</v>
      </c>
      <c r="AM23" s="432"/>
      <c r="AN23" s="533">
        <f t="shared" si="3"/>
        <v>420</v>
      </c>
      <c r="AO23" s="200" t="str">
        <f t="shared" si="14"/>
        <v>….</v>
      </c>
      <c r="AP23" s="533">
        <f t="shared" si="14"/>
        <v>0</v>
      </c>
      <c r="AQ23" s="533" t="str">
        <f t="shared" si="15"/>
        <v>NON SALVAGEABLE ITEMS</v>
      </c>
      <c r="AR23" s="643" t="str">
        <f>$W$23</f>
        <v>…..........</v>
      </c>
      <c r="AS23" s="533">
        <f t="shared" si="4"/>
        <v>820</v>
      </c>
      <c r="AT23" s="200" t="s">
        <v>569</v>
      </c>
      <c r="AU23" s="533">
        <f t="shared" si="27"/>
        <v>0</v>
      </c>
      <c r="AV23" s="581" t="str">
        <f t="shared" si="28"/>
        <v>… MITIGATION  EQUIPMENT &amp; W.I.P . ...</v>
      </c>
      <c r="AW23" s="643" t="str">
        <f>$W$23</f>
        <v>…..........</v>
      </c>
      <c r="AX23" s="244">
        <f t="shared" si="16"/>
        <v>6120.1</v>
      </c>
      <c r="AY23" s="200" t="s">
        <v>569</v>
      </c>
      <c r="AZ23" t="str">
        <f t="shared" si="30"/>
        <v>.. DAY 1 …</v>
      </c>
      <c r="BA23" s="533">
        <f t="shared" si="17"/>
        <v>0</v>
      </c>
      <c r="BB23" t="str">
        <f t="shared" si="31"/>
        <v xml:space="preserve">  ...  MC READINGS ..</v>
      </c>
      <c r="BC23" s="643" t="str">
        <f>$W$23</f>
        <v>…..........</v>
      </c>
      <c r="BD23" s="244">
        <f t="shared" si="18"/>
        <v>6220.2</v>
      </c>
      <c r="BE23" s="200" t="s">
        <v>569</v>
      </c>
      <c r="BF23" s="533">
        <f t="shared" si="19"/>
        <v>0</v>
      </c>
      <c r="BG23" t="str">
        <f t="shared" si="32"/>
        <v xml:space="preserve">  ...  MC READINGS ..</v>
      </c>
      <c r="BH23" s="643" t="str">
        <f>$W$23</f>
        <v>…..........</v>
      </c>
      <c r="BI23" s="244">
        <f t="shared" si="20"/>
        <v>6320.3</v>
      </c>
      <c r="BJ23" s="200" t="s">
        <v>569</v>
      </c>
      <c r="BK23" t="str">
        <f t="shared" si="29"/>
        <v xml:space="preserve">….. DAY 3 ….. </v>
      </c>
      <c r="BL23" s="533">
        <f t="shared" si="21"/>
        <v>0</v>
      </c>
      <c r="BM23" t="str">
        <f t="shared" si="33"/>
        <v xml:space="preserve">  ...  MC READINGS ..</v>
      </c>
      <c r="BN23" s="643" t="str">
        <f>$W$23</f>
        <v>…..........</v>
      </c>
      <c r="BO23" s="244">
        <f t="shared" si="22"/>
        <v>6420.4</v>
      </c>
      <c r="BP23" s="200" t="s">
        <v>569</v>
      </c>
      <c r="BQ23" t="str">
        <f t="shared" si="34"/>
        <v xml:space="preserve">….. DAY 4 ….. </v>
      </c>
      <c r="BR23" s="533">
        <f t="shared" si="23"/>
        <v>0</v>
      </c>
      <c r="BS23" t="str">
        <f t="shared" si="35"/>
        <v xml:space="preserve">  ...  MC READINGS ..</v>
      </c>
      <c r="BT23" s="643" t="str">
        <f>$W$23</f>
        <v>…..........</v>
      </c>
      <c r="BU23" s="657">
        <v>7400</v>
      </c>
      <c r="BV23" s="645" t="s">
        <v>557</v>
      </c>
      <c r="BW23" s="610" t="str">
        <f>BW17</f>
        <v>RH &amp;T &amp; GPP  DRY CHAMBERS [DC] .READ INGS  ===========</v>
      </c>
      <c r="CB23">
        <f t="shared" si="5"/>
        <v>0</v>
      </c>
      <c r="CC23" t="str">
        <f t="shared" si="6"/>
        <v>…..........</v>
      </c>
      <c r="CE23" s="200" t="s">
        <v>569</v>
      </c>
      <c r="CW23" s="572"/>
    </row>
    <row r="24" spans="1:101" ht="26.65" customHeight="1" thickTop="1" thickBot="1">
      <c r="A24">
        <f t="shared" si="24"/>
        <v>0</v>
      </c>
      <c r="B24" s="485">
        <f t="shared" si="7"/>
        <v>121</v>
      </c>
      <c r="C24" s="655"/>
      <c r="D24" s="782">
        <f t="shared" si="38"/>
        <v>221</v>
      </c>
      <c r="E24" s="782"/>
      <c r="F24" s="782">
        <f t="shared" si="38"/>
        <v>321</v>
      </c>
      <c r="G24" s="782"/>
      <c r="H24" s="782">
        <f t="shared" si="38"/>
        <v>421</v>
      </c>
      <c r="I24" s="782"/>
      <c r="J24" s="782">
        <v>821</v>
      </c>
      <c r="K24" s="782"/>
      <c r="L24" s="782">
        <f t="shared" si="39"/>
        <v>6121.1</v>
      </c>
      <c r="M24" s="782">
        <f t="shared" si="39"/>
        <v>6221.2</v>
      </c>
      <c r="N24" s="782">
        <f t="shared" si="39"/>
        <v>6321.3</v>
      </c>
      <c r="O24" s="782">
        <f t="shared" si="39"/>
        <v>6421.4</v>
      </c>
      <c r="P24" s="846"/>
      <c r="Q24" s="847"/>
      <c r="R24" s="847"/>
      <c r="S24" s="848"/>
      <c r="T24" s="485">
        <v>121</v>
      </c>
      <c r="U24" s="200" t="s">
        <v>561</v>
      </c>
      <c r="V24" s="656">
        <f>'ROOMS#'!R24</f>
        <v>0</v>
      </c>
      <c r="W24" s="209" t="s">
        <v>583</v>
      </c>
      <c r="X24" s="485">
        <f t="shared" si="8"/>
        <v>121</v>
      </c>
      <c r="Y24" s="200" t="str">
        <f t="shared" si="8"/>
        <v>….</v>
      </c>
      <c r="Z24" s="533">
        <f t="shared" si="8"/>
        <v>0</v>
      </c>
      <c r="AA24" s="533" t="str">
        <f t="shared" si="9"/>
        <v xml:space="preserve"> = … ROOM OVERVIEW PICS ... DAY 1 …</v>
      </c>
      <c r="AB24" s="643" t="str">
        <f>$W$24</f>
        <v>…..........</v>
      </c>
      <c r="AC24" s="581">
        <f t="shared" si="1"/>
        <v>221</v>
      </c>
      <c r="AD24" s="200" t="str">
        <f t="shared" si="10"/>
        <v>….</v>
      </c>
      <c r="AE24" s="533">
        <f t="shared" si="10"/>
        <v>0</v>
      </c>
      <c r="AF24" s="533" t="str">
        <f t="shared" si="11"/>
        <v>….. SOURCE of  LOSS …..</v>
      </c>
      <c r="AG24" s="643" t="str">
        <f>$W$24</f>
        <v>…..........</v>
      </c>
      <c r="AH24" s="533">
        <f t="shared" si="2"/>
        <v>321</v>
      </c>
      <c r="AI24" s="200" t="str">
        <f t="shared" si="12"/>
        <v>….</v>
      </c>
      <c r="AJ24" s="533">
        <f t="shared" si="12"/>
        <v>0</v>
      </c>
      <c r="AK24" s="533" t="str">
        <f t="shared" si="13"/>
        <v>…..  C.P.S.  …...</v>
      </c>
      <c r="AL24" s="643" t="str">
        <f>$W$24</f>
        <v>…..........</v>
      </c>
      <c r="AM24" s="432"/>
      <c r="AN24" s="533">
        <f t="shared" si="3"/>
        <v>421</v>
      </c>
      <c r="AO24" s="200" t="str">
        <f t="shared" si="14"/>
        <v>….</v>
      </c>
      <c r="AP24" s="533">
        <f t="shared" si="14"/>
        <v>0</v>
      </c>
      <c r="AQ24" s="533" t="str">
        <f t="shared" si="15"/>
        <v>NON SALVAGEABLE ITEMS</v>
      </c>
      <c r="AR24" s="643" t="str">
        <f>$W$24</f>
        <v>…..........</v>
      </c>
      <c r="AS24" s="533">
        <f t="shared" si="4"/>
        <v>821</v>
      </c>
      <c r="AT24" s="200" t="s">
        <v>569</v>
      </c>
      <c r="AU24" s="533">
        <f t="shared" si="27"/>
        <v>0</v>
      </c>
      <c r="AV24" s="581" t="str">
        <f t="shared" si="28"/>
        <v>… MITIGATION  EQUIPMENT &amp; W.I.P . ...</v>
      </c>
      <c r="AW24" s="643" t="str">
        <f>$W$24</f>
        <v>…..........</v>
      </c>
      <c r="AX24" s="244">
        <f t="shared" si="16"/>
        <v>6121.1</v>
      </c>
      <c r="AY24" s="200" t="s">
        <v>569</v>
      </c>
      <c r="AZ24" t="str">
        <f t="shared" si="30"/>
        <v>.. DAY 1 …</v>
      </c>
      <c r="BA24" s="533">
        <f t="shared" si="17"/>
        <v>0</v>
      </c>
      <c r="BB24" t="str">
        <f t="shared" si="31"/>
        <v xml:space="preserve">  ...  MC READINGS ..</v>
      </c>
      <c r="BC24" s="643" t="str">
        <f>$W$24</f>
        <v>…..........</v>
      </c>
      <c r="BD24" s="244">
        <f t="shared" si="18"/>
        <v>6221.2</v>
      </c>
      <c r="BE24" s="200" t="s">
        <v>569</v>
      </c>
      <c r="BF24" s="533">
        <f t="shared" si="19"/>
        <v>0</v>
      </c>
      <c r="BG24" t="str">
        <f t="shared" si="32"/>
        <v xml:space="preserve">  ...  MC READINGS ..</v>
      </c>
      <c r="BH24" s="643" t="str">
        <f>$W$24</f>
        <v>…..........</v>
      </c>
      <c r="BI24" s="244">
        <f t="shared" si="20"/>
        <v>6321.3</v>
      </c>
      <c r="BJ24" s="200" t="s">
        <v>569</v>
      </c>
      <c r="BK24" t="str">
        <f t="shared" si="29"/>
        <v xml:space="preserve">….. DAY 3 ….. </v>
      </c>
      <c r="BL24" s="533">
        <f t="shared" si="21"/>
        <v>0</v>
      </c>
      <c r="BM24" t="str">
        <f t="shared" si="33"/>
        <v xml:space="preserve">  ...  MC READINGS ..</v>
      </c>
      <c r="BN24" s="643" t="str">
        <f>$W$24</f>
        <v>…..........</v>
      </c>
      <c r="BO24" s="244">
        <f t="shared" si="22"/>
        <v>6421.4</v>
      </c>
      <c r="BP24" s="200" t="s">
        <v>569</v>
      </c>
      <c r="BQ24" t="str">
        <f t="shared" si="34"/>
        <v xml:space="preserve">….. DAY 4 ….. </v>
      </c>
      <c r="BR24" s="533">
        <f t="shared" si="23"/>
        <v>0</v>
      </c>
      <c r="BS24" t="str">
        <f t="shared" si="35"/>
        <v xml:space="preserve">  ...  MC READINGS ..</v>
      </c>
      <c r="BT24" s="643" t="str">
        <f>$W$24</f>
        <v>…..........</v>
      </c>
      <c r="BU24" s="657">
        <v>7400</v>
      </c>
      <c r="BV24" s="646" t="s">
        <v>557</v>
      </c>
      <c r="BW24" s="614" t="s">
        <v>584</v>
      </c>
      <c r="CB24">
        <f t="shared" si="5"/>
        <v>0</v>
      </c>
      <c r="CC24" t="str">
        <f t="shared" si="6"/>
        <v>…..........</v>
      </c>
      <c r="CE24" s="200" t="s">
        <v>569</v>
      </c>
      <c r="CW24" s="570"/>
    </row>
    <row r="25" spans="1:101" ht="26.65" customHeight="1" thickTop="1" thickBot="1">
      <c r="A25" s="432">
        <f t="shared" si="24"/>
        <v>0</v>
      </c>
      <c r="B25" s="485">
        <f t="shared" si="7"/>
        <v>122</v>
      </c>
      <c r="C25" s="485"/>
      <c r="D25" s="573">
        <f t="shared" si="38"/>
        <v>222</v>
      </c>
      <c r="E25" s="573"/>
      <c r="F25" s="573">
        <f t="shared" si="38"/>
        <v>322</v>
      </c>
      <c r="G25" s="573"/>
      <c r="H25" s="573">
        <f t="shared" si="38"/>
        <v>422</v>
      </c>
      <c r="I25" s="782"/>
      <c r="J25" s="573">
        <v>822</v>
      </c>
      <c r="K25" s="573"/>
      <c r="L25" s="573">
        <f t="shared" si="39"/>
        <v>6122.1</v>
      </c>
      <c r="M25" s="573">
        <f t="shared" si="39"/>
        <v>6222.2</v>
      </c>
      <c r="N25" s="573">
        <f t="shared" si="39"/>
        <v>6322.3</v>
      </c>
      <c r="O25" s="573">
        <f t="shared" si="39"/>
        <v>6422.4</v>
      </c>
      <c r="P25" s="846"/>
      <c r="Q25" s="847"/>
      <c r="R25" s="847"/>
      <c r="S25" s="848"/>
      <c r="T25" s="485">
        <v>122</v>
      </c>
      <c r="U25" s="200" t="s">
        <v>561</v>
      </c>
      <c r="V25" s="656">
        <f>'ROOMS#'!R25</f>
        <v>0</v>
      </c>
      <c r="W25" s="209" t="s">
        <v>583</v>
      </c>
      <c r="X25" s="485">
        <f t="shared" si="8"/>
        <v>122</v>
      </c>
      <c r="Y25" s="200" t="str">
        <f t="shared" si="8"/>
        <v>….</v>
      </c>
      <c r="Z25" s="533">
        <f t="shared" si="8"/>
        <v>0</v>
      </c>
      <c r="AA25" s="533" t="str">
        <f t="shared" si="9"/>
        <v xml:space="preserve"> = … ROOM OVERVIEW PICS ... DAY 1 …</v>
      </c>
      <c r="AB25" s="643" t="str">
        <f>$W$25</f>
        <v>…..........</v>
      </c>
      <c r="AC25" s="581">
        <f t="shared" si="1"/>
        <v>222</v>
      </c>
      <c r="AD25" s="200" t="str">
        <f t="shared" si="10"/>
        <v>….</v>
      </c>
      <c r="AE25" s="533">
        <f t="shared" si="10"/>
        <v>0</v>
      </c>
      <c r="AF25" s="533" t="str">
        <f t="shared" si="11"/>
        <v>….. SOURCE of  LOSS …..</v>
      </c>
      <c r="AG25" s="643" t="str">
        <f>$W$25</f>
        <v>…..........</v>
      </c>
      <c r="AH25" s="533">
        <f t="shared" si="2"/>
        <v>322</v>
      </c>
      <c r="AI25" s="200" t="str">
        <f t="shared" si="12"/>
        <v>….</v>
      </c>
      <c r="AJ25" s="533">
        <f t="shared" si="12"/>
        <v>0</v>
      </c>
      <c r="AK25" s="533" t="str">
        <f t="shared" si="13"/>
        <v>…..  C.P.S.  …...</v>
      </c>
      <c r="AL25" s="643" t="str">
        <f>$W$25</f>
        <v>…..........</v>
      </c>
      <c r="AM25" s="432"/>
      <c r="AN25" s="533">
        <f t="shared" si="3"/>
        <v>422</v>
      </c>
      <c r="AO25" s="200" t="str">
        <f t="shared" si="14"/>
        <v>….</v>
      </c>
      <c r="AP25" s="533">
        <f t="shared" si="14"/>
        <v>0</v>
      </c>
      <c r="AQ25" s="533" t="str">
        <f t="shared" si="15"/>
        <v>NON SALVAGEABLE ITEMS</v>
      </c>
      <c r="AR25" s="643" t="str">
        <f>$W$25</f>
        <v>…..........</v>
      </c>
      <c r="AS25" s="533">
        <f t="shared" si="4"/>
        <v>822</v>
      </c>
      <c r="AT25" s="200" t="s">
        <v>569</v>
      </c>
      <c r="AU25" s="533">
        <f t="shared" si="27"/>
        <v>0</v>
      </c>
      <c r="AV25" s="581" t="str">
        <f t="shared" si="28"/>
        <v>… MITIGATION  EQUIPMENT &amp; W.I.P . ...</v>
      </c>
      <c r="AW25" s="643" t="str">
        <f>$W$25</f>
        <v>…..........</v>
      </c>
      <c r="AX25" s="244">
        <f t="shared" si="16"/>
        <v>6122.1</v>
      </c>
      <c r="AY25" s="200" t="s">
        <v>569</v>
      </c>
      <c r="AZ25" t="str">
        <f t="shared" si="30"/>
        <v>.. DAY 1 …</v>
      </c>
      <c r="BA25" s="533">
        <f t="shared" si="17"/>
        <v>0</v>
      </c>
      <c r="BB25" t="str">
        <f t="shared" si="31"/>
        <v xml:space="preserve">  ...  MC READINGS ..</v>
      </c>
      <c r="BC25" s="643" t="str">
        <f>$W$25</f>
        <v>…..........</v>
      </c>
      <c r="BD25" s="244">
        <f t="shared" si="18"/>
        <v>6222.2</v>
      </c>
      <c r="BE25" s="200" t="s">
        <v>569</v>
      </c>
      <c r="BF25" s="533">
        <f t="shared" si="19"/>
        <v>0</v>
      </c>
      <c r="BG25" t="str">
        <f t="shared" si="32"/>
        <v xml:space="preserve">  ...  MC READINGS ..</v>
      </c>
      <c r="BH25" s="643" t="str">
        <f>$W$25</f>
        <v>…..........</v>
      </c>
      <c r="BI25" s="244">
        <f t="shared" si="20"/>
        <v>6322.3</v>
      </c>
      <c r="BJ25" s="200" t="s">
        <v>569</v>
      </c>
      <c r="BK25" t="str">
        <f t="shared" si="29"/>
        <v xml:space="preserve">….. DAY 3 ….. </v>
      </c>
      <c r="BL25" s="533">
        <f t="shared" si="21"/>
        <v>0</v>
      </c>
      <c r="BM25" t="str">
        <f t="shared" si="33"/>
        <v xml:space="preserve">  ...  MC READINGS ..</v>
      </c>
      <c r="BN25" s="643" t="str">
        <f>$W$25</f>
        <v>…..........</v>
      </c>
      <c r="BO25" s="244">
        <f t="shared" si="22"/>
        <v>6422.4</v>
      </c>
      <c r="BP25" s="200" t="s">
        <v>569</v>
      </c>
      <c r="BQ25" t="str">
        <f t="shared" si="34"/>
        <v xml:space="preserve">….. DAY 4 ….. </v>
      </c>
      <c r="BR25" s="533">
        <f t="shared" si="23"/>
        <v>0</v>
      </c>
      <c r="BS25" t="str">
        <f t="shared" si="35"/>
        <v xml:space="preserve">  ...  MC READINGS ..</v>
      </c>
      <c r="BT25" s="643" t="str">
        <f>$W$25</f>
        <v>…..........</v>
      </c>
      <c r="BU25" s="649">
        <f>BU24+1</f>
        <v>7401</v>
      </c>
      <c r="BV25" s="8" t="str">
        <f>BV24</f>
        <v xml:space="preserve">….. DAY 4 ….. </v>
      </c>
      <c r="BW25" s="615" t="s">
        <v>587</v>
      </c>
      <c r="BX25" s="610" t="s">
        <v>588</v>
      </c>
      <c r="CB25">
        <f t="shared" si="5"/>
        <v>0</v>
      </c>
      <c r="CC25" t="str">
        <f t="shared" si="6"/>
        <v>…..........</v>
      </c>
      <c r="CE25" s="200" t="s">
        <v>569</v>
      </c>
      <c r="CW25" s="572"/>
    </row>
    <row r="26" spans="1:101" ht="26.65" customHeight="1" thickTop="1" thickBot="1">
      <c r="A26">
        <f t="shared" si="24"/>
        <v>0</v>
      </c>
      <c r="B26" s="485">
        <f t="shared" si="7"/>
        <v>123</v>
      </c>
      <c r="C26" s="655"/>
      <c r="D26" s="782">
        <f t="shared" si="38"/>
        <v>223</v>
      </c>
      <c r="E26" s="782"/>
      <c r="F26" s="782">
        <f t="shared" si="38"/>
        <v>323</v>
      </c>
      <c r="G26" s="782"/>
      <c r="H26" s="782">
        <f t="shared" si="38"/>
        <v>423</v>
      </c>
      <c r="I26" s="782"/>
      <c r="J26" s="782">
        <v>823</v>
      </c>
      <c r="K26" s="782"/>
      <c r="L26" s="782">
        <f t="shared" si="39"/>
        <v>6123.1</v>
      </c>
      <c r="M26" s="782">
        <f t="shared" si="39"/>
        <v>6223.2</v>
      </c>
      <c r="N26" s="782">
        <f t="shared" si="39"/>
        <v>6323.3</v>
      </c>
      <c r="O26" s="782">
        <f t="shared" si="39"/>
        <v>6423.4</v>
      </c>
      <c r="P26" s="846"/>
      <c r="Q26" s="847"/>
      <c r="R26" s="847"/>
      <c r="S26" s="848"/>
      <c r="T26" s="485">
        <v>123</v>
      </c>
      <c r="U26" s="200" t="s">
        <v>561</v>
      </c>
      <c r="V26" s="656">
        <f>'ROOMS#'!R26</f>
        <v>0</v>
      </c>
      <c r="W26" s="209" t="s">
        <v>583</v>
      </c>
      <c r="X26" s="485">
        <f t="shared" si="8"/>
        <v>123</v>
      </c>
      <c r="Y26" s="200" t="str">
        <f t="shared" si="8"/>
        <v>….</v>
      </c>
      <c r="Z26" s="533">
        <f t="shared" si="8"/>
        <v>0</v>
      </c>
      <c r="AA26" s="533" t="str">
        <f t="shared" si="9"/>
        <v xml:space="preserve"> = … ROOM OVERVIEW PICS ... DAY 1 …</v>
      </c>
      <c r="AB26" s="643" t="str">
        <f>$W$26</f>
        <v>…..........</v>
      </c>
      <c r="AC26" s="581">
        <f t="shared" si="1"/>
        <v>223</v>
      </c>
      <c r="AD26" s="200" t="str">
        <f t="shared" si="10"/>
        <v>….</v>
      </c>
      <c r="AE26" s="533">
        <f t="shared" si="10"/>
        <v>0</v>
      </c>
      <c r="AF26" s="533" t="str">
        <f t="shared" si="11"/>
        <v>….. SOURCE of  LOSS …..</v>
      </c>
      <c r="AG26" s="643" t="str">
        <f>$W$26</f>
        <v>…..........</v>
      </c>
      <c r="AH26" s="533">
        <f t="shared" si="2"/>
        <v>323</v>
      </c>
      <c r="AI26" s="200" t="str">
        <f t="shared" si="12"/>
        <v>….</v>
      </c>
      <c r="AJ26" s="533">
        <f t="shared" si="12"/>
        <v>0</v>
      </c>
      <c r="AK26" s="533" t="str">
        <f t="shared" si="13"/>
        <v>…..  C.P.S.  …...</v>
      </c>
      <c r="AL26" s="643" t="str">
        <f>$W$26</f>
        <v>…..........</v>
      </c>
      <c r="AM26" s="432"/>
      <c r="AN26" s="533">
        <f t="shared" si="3"/>
        <v>423</v>
      </c>
      <c r="AO26" s="200" t="str">
        <f t="shared" si="14"/>
        <v>….</v>
      </c>
      <c r="AP26" s="533">
        <f t="shared" si="14"/>
        <v>0</v>
      </c>
      <c r="AQ26" s="533" t="str">
        <f t="shared" si="15"/>
        <v>NON SALVAGEABLE ITEMS</v>
      </c>
      <c r="AR26" s="643" t="str">
        <f>$W$26</f>
        <v>…..........</v>
      </c>
      <c r="AS26" s="533">
        <f t="shared" si="4"/>
        <v>823</v>
      </c>
      <c r="AT26" s="200" t="s">
        <v>569</v>
      </c>
      <c r="AU26" s="533">
        <f t="shared" si="27"/>
        <v>0</v>
      </c>
      <c r="AV26" s="581" t="str">
        <f t="shared" si="28"/>
        <v>… MITIGATION  EQUIPMENT &amp; W.I.P . ...</v>
      </c>
      <c r="AW26" s="643" t="str">
        <f>$W$26</f>
        <v>…..........</v>
      </c>
      <c r="AX26" s="244">
        <f t="shared" si="16"/>
        <v>6123.1</v>
      </c>
      <c r="AY26" s="200" t="s">
        <v>569</v>
      </c>
      <c r="AZ26" t="str">
        <f t="shared" si="30"/>
        <v>.. DAY 1 …</v>
      </c>
      <c r="BA26" s="533">
        <f t="shared" si="17"/>
        <v>0</v>
      </c>
      <c r="BB26" t="str">
        <f t="shared" si="31"/>
        <v xml:space="preserve">  ...  MC READINGS ..</v>
      </c>
      <c r="BC26" s="643" t="str">
        <f>$W$26</f>
        <v>…..........</v>
      </c>
      <c r="BD26" s="244">
        <f t="shared" si="18"/>
        <v>6223.2</v>
      </c>
      <c r="BE26" s="200" t="s">
        <v>569</v>
      </c>
      <c r="BF26" s="533">
        <f t="shared" si="19"/>
        <v>0</v>
      </c>
      <c r="BG26" t="str">
        <f t="shared" si="32"/>
        <v xml:space="preserve">  ...  MC READINGS ..</v>
      </c>
      <c r="BH26" s="643" t="str">
        <f>$W$26</f>
        <v>…..........</v>
      </c>
      <c r="BI26" s="244">
        <f t="shared" si="20"/>
        <v>6323.3</v>
      </c>
      <c r="BJ26" s="200" t="s">
        <v>569</v>
      </c>
      <c r="BK26" t="str">
        <f t="shared" si="29"/>
        <v xml:space="preserve">….. DAY 3 ….. </v>
      </c>
      <c r="BL26" s="533">
        <f t="shared" si="21"/>
        <v>0</v>
      </c>
      <c r="BM26" t="str">
        <f t="shared" si="33"/>
        <v xml:space="preserve">  ...  MC READINGS ..</v>
      </c>
      <c r="BN26" s="643" t="str">
        <f>$W$26</f>
        <v>…..........</v>
      </c>
      <c r="BO26" s="244">
        <f t="shared" si="22"/>
        <v>6423.4</v>
      </c>
      <c r="BP26" s="200" t="s">
        <v>569</v>
      </c>
      <c r="BQ26" t="str">
        <f t="shared" si="34"/>
        <v xml:space="preserve">….. DAY 4 ….. </v>
      </c>
      <c r="BR26" s="533">
        <f t="shared" si="23"/>
        <v>0</v>
      </c>
      <c r="BS26" t="str">
        <f t="shared" si="35"/>
        <v xml:space="preserve">  ...  MC READINGS ..</v>
      </c>
      <c r="BT26" s="643" t="str">
        <f>$W$26</f>
        <v>…..........</v>
      </c>
      <c r="BU26" s="648">
        <f>BU25+1</f>
        <v>7402</v>
      </c>
      <c r="BV26" s="32" t="str">
        <f>BV25</f>
        <v xml:space="preserve">….. DAY 4 ….. </v>
      </c>
      <c r="BW26" s="615" t="s">
        <v>590</v>
      </c>
      <c r="BX26" s="610" t="s">
        <v>588</v>
      </c>
      <c r="CB26">
        <f t="shared" si="5"/>
        <v>0</v>
      </c>
      <c r="CC26" t="str">
        <f t="shared" si="6"/>
        <v>…..........</v>
      </c>
      <c r="CE26" s="200" t="s">
        <v>569</v>
      </c>
      <c r="CW26" s="570"/>
    </row>
    <row r="27" spans="1:101" ht="26.65" customHeight="1" thickTop="1" thickBot="1">
      <c r="A27" s="432">
        <f t="shared" si="24"/>
        <v>0</v>
      </c>
      <c r="B27" s="485">
        <f t="shared" si="7"/>
        <v>124</v>
      </c>
      <c r="C27" s="485"/>
      <c r="D27" s="573">
        <f t="shared" si="38"/>
        <v>224</v>
      </c>
      <c r="E27" s="573"/>
      <c r="F27" s="573">
        <f t="shared" si="38"/>
        <v>324</v>
      </c>
      <c r="G27" s="573"/>
      <c r="H27" s="573">
        <f t="shared" si="38"/>
        <v>424</v>
      </c>
      <c r="I27" s="782"/>
      <c r="J27" s="573">
        <v>824</v>
      </c>
      <c r="K27" s="573"/>
      <c r="L27" s="573">
        <f t="shared" si="39"/>
        <v>6124.1</v>
      </c>
      <c r="M27" s="573">
        <f t="shared" si="39"/>
        <v>6224.2</v>
      </c>
      <c r="N27" s="573">
        <f t="shared" si="39"/>
        <v>6324.3</v>
      </c>
      <c r="O27" s="573">
        <f t="shared" si="39"/>
        <v>6424.4</v>
      </c>
      <c r="P27" s="846"/>
      <c r="Q27" s="847"/>
      <c r="R27" s="847"/>
      <c r="S27" s="848"/>
      <c r="T27" s="485">
        <v>124</v>
      </c>
      <c r="U27" s="200" t="s">
        <v>561</v>
      </c>
      <c r="V27" s="656">
        <f>'ROOMS#'!R27</f>
        <v>0</v>
      </c>
      <c r="W27" s="209" t="s">
        <v>583</v>
      </c>
      <c r="X27" s="485">
        <f t="shared" si="8"/>
        <v>124</v>
      </c>
      <c r="Y27" s="200" t="str">
        <f t="shared" si="8"/>
        <v>….</v>
      </c>
      <c r="Z27" s="533">
        <f t="shared" si="8"/>
        <v>0</v>
      </c>
      <c r="AA27" s="533" t="str">
        <f t="shared" si="9"/>
        <v xml:space="preserve"> = … ROOM OVERVIEW PICS ... DAY 1 …</v>
      </c>
      <c r="AB27" s="643" t="str">
        <f>$W$27</f>
        <v>…..........</v>
      </c>
      <c r="AC27" s="581">
        <f t="shared" si="1"/>
        <v>224</v>
      </c>
      <c r="AD27" s="200" t="str">
        <f t="shared" si="10"/>
        <v>….</v>
      </c>
      <c r="AE27" s="533">
        <f t="shared" si="10"/>
        <v>0</v>
      </c>
      <c r="AF27" s="533" t="str">
        <f t="shared" si="11"/>
        <v>….. SOURCE of  LOSS …..</v>
      </c>
      <c r="AG27" s="643" t="str">
        <f>$W$27</f>
        <v>…..........</v>
      </c>
      <c r="AH27" s="533">
        <f t="shared" si="2"/>
        <v>324</v>
      </c>
      <c r="AI27" s="200" t="str">
        <f t="shared" si="12"/>
        <v>….</v>
      </c>
      <c r="AJ27" s="533">
        <f t="shared" si="12"/>
        <v>0</v>
      </c>
      <c r="AK27" s="533" t="str">
        <f t="shared" si="13"/>
        <v>…..  C.P.S.  …...</v>
      </c>
      <c r="AL27" s="643" t="str">
        <f>$W$27</f>
        <v>…..........</v>
      </c>
      <c r="AM27" s="432"/>
      <c r="AN27" s="533">
        <f t="shared" si="3"/>
        <v>424</v>
      </c>
      <c r="AO27" s="200" t="str">
        <f t="shared" si="14"/>
        <v>….</v>
      </c>
      <c r="AP27" s="533">
        <f t="shared" si="14"/>
        <v>0</v>
      </c>
      <c r="AQ27" s="533" t="str">
        <f t="shared" si="15"/>
        <v>NON SALVAGEABLE ITEMS</v>
      </c>
      <c r="AR27" s="643" t="str">
        <f>$W$27</f>
        <v>…..........</v>
      </c>
      <c r="AS27" s="533">
        <f t="shared" si="4"/>
        <v>824</v>
      </c>
      <c r="AT27" s="200" t="s">
        <v>569</v>
      </c>
      <c r="AU27" s="533">
        <f t="shared" si="27"/>
        <v>0</v>
      </c>
      <c r="AV27" s="581" t="str">
        <f t="shared" si="28"/>
        <v>… MITIGATION  EQUIPMENT &amp; W.I.P . ...</v>
      </c>
      <c r="AW27" s="643" t="str">
        <f>$W$27</f>
        <v>…..........</v>
      </c>
      <c r="AX27" s="244">
        <f t="shared" si="16"/>
        <v>6124.1</v>
      </c>
      <c r="AY27" s="200" t="s">
        <v>569</v>
      </c>
      <c r="AZ27" t="str">
        <f t="shared" si="30"/>
        <v>.. DAY 1 …</v>
      </c>
      <c r="BA27" s="533">
        <f t="shared" si="17"/>
        <v>0</v>
      </c>
      <c r="BB27" t="str">
        <f t="shared" si="31"/>
        <v xml:space="preserve">  ...  MC READINGS ..</v>
      </c>
      <c r="BC27" s="643" t="str">
        <f>$W$27</f>
        <v>…..........</v>
      </c>
      <c r="BD27" s="244">
        <f t="shared" si="18"/>
        <v>6224.2</v>
      </c>
      <c r="BE27" s="200" t="s">
        <v>569</v>
      </c>
      <c r="BF27" s="533">
        <f t="shared" si="19"/>
        <v>0</v>
      </c>
      <c r="BG27" t="str">
        <f t="shared" si="32"/>
        <v xml:space="preserve">  ...  MC READINGS ..</v>
      </c>
      <c r="BH27" s="643" t="str">
        <f>$W$27</f>
        <v>…..........</v>
      </c>
      <c r="BI27" s="244">
        <f t="shared" si="20"/>
        <v>6324.3</v>
      </c>
      <c r="BJ27" s="200" t="s">
        <v>569</v>
      </c>
      <c r="BK27" t="str">
        <f t="shared" si="29"/>
        <v xml:space="preserve">….. DAY 3 ….. </v>
      </c>
      <c r="BL27" s="533">
        <f t="shared" si="21"/>
        <v>0</v>
      </c>
      <c r="BM27" t="str">
        <f t="shared" si="33"/>
        <v xml:space="preserve">  ...  MC READINGS ..</v>
      </c>
      <c r="BN27" s="643" t="str">
        <f>$W$27</f>
        <v>…..........</v>
      </c>
      <c r="BO27" s="244">
        <f t="shared" si="22"/>
        <v>6424.4</v>
      </c>
      <c r="BP27" s="200" t="s">
        <v>569</v>
      </c>
      <c r="BQ27" t="str">
        <f t="shared" si="34"/>
        <v xml:space="preserve">….. DAY 4 ….. </v>
      </c>
      <c r="BR27" s="533">
        <f t="shared" si="23"/>
        <v>0</v>
      </c>
      <c r="BS27" t="str">
        <f t="shared" si="35"/>
        <v xml:space="preserve">  ...  MC READINGS ..</v>
      </c>
      <c r="BT27" s="643" t="str">
        <f>$W$27</f>
        <v>…..........</v>
      </c>
      <c r="BU27" s="649">
        <f>BU26+1</f>
        <v>7403</v>
      </c>
      <c r="BV27" s="32" t="str">
        <f>BV25</f>
        <v xml:space="preserve">….. DAY 4 ….. </v>
      </c>
      <c r="BW27" s="615" t="s">
        <v>593</v>
      </c>
      <c r="BX27" s="610" t="s">
        <v>588</v>
      </c>
      <c r="CB27">
        <f t="shared" si="5"/>
        <v>0</v>
      </c>
      <c r="CC27">
        <f t="shared" si="6"/>
        <v>0</v>
      </c>
      <c r="CE27" s="200" t="s">
        <v>569</v>
      </c>
      <c r="CW27" s="572"/>
    </row>
    <row r="28" spans="1:101" ht="26.65" customHeight="1" thickTop="1" thickBot="1">
      <c r="A28">
        <f t="shared" si="24"/>
        <v>0</v>
      </c>
      <c r="B28" s="485">
        <f t="shared" si="7"/>
        <v>125</v>
      </c>
      <c r="C28" s="655"/>
      <c r="D28" s="782">
        <f t="shared" si="38"/>
        <v>225</v>
      </c>
      <c r="E28" s="782"/>
      <c r="F28" s="782">
        <f t="shared" si="38"/>
        <v>325</v>
      </c>
      <c r="G28" s="782"/>
      <c r="H28" s="782">
        <f t="shared" si="38"/>
        <v>425</v>
      </c>
      <c r="I28" s="782"/>
      <c r="J28" s="782">
        <v>825</v>
      </c>
      <c r="K28" s="782"/>
      <c r="L28" s="782">
        <f t="shared" si="39"/>
        <v>6125.1</v>
      </c>
      <c r="M28" s="782">
        <f t="shared" si="39"/>
        <v>6225.2</v>
      </c>
      <c r="N28" s="782">
        <f t="shared" si="39"/>
        <v>6325.3</v>
      </c>
      <c r="O28" s="782">
        <f t="shared" si="39"/>
        <v>6425.4</v>
      </c>
      <c r="P28" s="849"/>
      <c r="Q28" s="850"/>
      <c r="R28" s="850"/>
      <c r="S28" s="851"/>
      <c r="T28" s="485">
        <v>125</v>
      </c>
      <c r="U28" s="200" t="s">
        <v>561</v>
      </c>
      <c r="V28" s="656">
        <f>'ROOMS#'!R28</f>
        <v>0</v>
      </c>
      <c r="W28" s="1"/>
      <c r="X28" s="485">
        <f t="shared" si="8"/>
        <v>125</v>
      </c>
      <c r="Y28" s="200" t="str">
        <f t="shared" si="8"/>
        <v>….</v>
      </c>
      <c r="Z28" s="533">
        <f t="shared" si="8"/>
        <v>0</v>
      </c>
      <c r="AA28" s="533" t="str">
        <f t="shared" si="9"/>
        <v xml:space="preserve"> = … ROOM OVERVIEW PICS ... DAY 1 …</v>
      </c>
      <c r="AB28" s="643">
        <f>$W$28</f>
        <v>0</v>
      </c>
      <c r="AC28" s="581">
        <f t="shared" si="1"/>
        <v>225</v>
      </c>
      <c r="AD28" s="200" t="str">
        <f t="shared" si="10"/>
        <v>….</v>
      </c>
      <c r="AE28" s="533">
        <f t="shared" si="10"/>
        <v>0</v>
      </c>
      <c r="AF28" s="533" t="str">
        <f t="shared" si="11"/>
        <v>….. SOURCE of  LOSS …..</v>
      </c>
      <c r="AG28" s="643">
        <f>$W$28</f>
        <v>0</v>
      </c>
      <c r="AH28" s="533">
        <f t="shared" si="2"/>
        <v>325</v>
      </c>
      <c r="AI28" s="200" t="str">
        <f t="shared" si="12"/>
        <v>….</v>
      </c>
      <c r="AJ28" s="533">
        <f t="shared" si="12"/>
        <v>0</v>
      </c>
      <c r="AK28" s="533" t="str">
        <f t="shared" si="13"/>
        <v>…..  C.P.S.  …...</v>
      </c>
      <c r="AL28" s="643">
        <f>$W$28</f>
        <v>0</v>
      </c>
      <c r="AM28" s="432"/>
      <c r="AN28" s="533">
        <f t="shared" si="3"/>
        <v>425</v>
      </c>
      <c r="AO28" s="200" t="str">
        <f t="shared" si="14"/>
        <v>….</v>
      </c>
      <c r="AP28" s="533">
        <f t="shared" si="14"/>
        <v>0</v>
      </c>
      <c r="AQ28" s="533" t="str">
        <f t="shared" si="15"/>
        <v>NON SALVAGEABLE ITEMS</v>
      </c>
      <c r="AR28" s="643">
        <f>$W$28</f>
        <v>0</v>
      </c>
      <c r="AS28" s="533">
        <f t="shared" si="4"/>
        <v>825</v>
      </c>
      <c r="AT28" s="200" t="s">
        <v>569</v>
      </c>
      <c r="AU28" s="533">
        <f t="shared" si="27"/>
        <v>0</v>
      </c>
      <c r="AV28" s="581" t="str">
        <f t="shared" si="28"/>
        <v>… MITIGATION  EQUIPMENT &amp; W.I.P . ...</v>
      </c>
      <c r="AW28" s="643">
        <f>$W$28</f>
        <v>0</v>
      </c>
      <c r="AX28" s="244">
        <f t="shared" si="16"/>
        <v>6125.1</v>
      </c>
      <c r="AY28" s="200" t="s">
        <v>569</v>
      </c>
      <c r="AZ28" t="str">
        <f t="shared" si="30"/>
        <v>.. DAY 1 …</v>
      </c>
      <c r="BA28" s="533">
        <f t="shared" si="17"/>
        <v>0</v>
      </c>
      <c r="BB28" t="str">
        <f t="shared" si="31"/>
        <v xml:space="preserve">  ...  MC READINGS ..</v>
      </c>
      <c r="BC28" s="643">
        <f>$W$28</f>
        <v>0</v>
      </c>
      <c r="BD28" s="244">
        <f t="shared" si="18"/>
        <v>6225.2</v>
      </c>
      <c r="BE28" s="200" t="s">
        <v>569</v>
      </c>
      <c r="BF28" s="533">
        <f t="shared" si="19"/>
        <v>0</v>
      </c>
      <c r="BG28" t="str">
        <f t="shared" si="32"/>
        <v xml:space="preserve">  ...  MC READINGS ..</v>
      </c>
      <c r="BH28" s="643">
        <f>$W$28</f>
        <v>0</v>
      </c>
      <c r="BI28" s="244">
        <f t="shared" si="20"/>
        <v>6325.3</v>
      </c>
      <c r="BJ28" s="200" t="s">
        <v>569</v>
      </c>
      <c r="BK28" t="str">
        <f t="shared" si="29"/>
        <v xml:space="preserve">….. DAY 3 ….. </v>
      </c>
      <c r="BL28" s="533">
        <f t="shared" si="21"/>
        <v>0</v>
      </c>
      <c r="BM28" t="str">
        <f t="shared" si="33"/>
        <v xml:space="preserve">  ...  MC READINGS ..</v>
      </c>
      <c r="BN28" s="643">
        <f>$W$28</f>
        <v>0</v>
      </c>
      <c r="BO28" s="244">
        <f t="shared" si="22"/>
        <v>6425.4</v>
      </c>
      <c r="BP28" s="200" t="s">
        <v>569</v>
      </c>
      <c r="BQ28" t="str">
        <f t="shared" si="34"/>
        <v xml:space="preserve">….. DAY 4 ….. </v>
      </c>
      <c r="BR28" s="533">
        <f t="shared" si="23"/>
        <v>0</v>
      </c>
      <c r="BS28" t="str">
        <f t="shared" si="35"/>
        <v xml:space="preserve">  ...  MC READINGS ..</v>
      </c>
      <c r="BT28" s="643">
        <f>$W$28</f>
        <v>0</v>
      </c>
      <c r="BU28" s="649">
        <f>BU27+1</f>
        <v>7404</v>
      </c>
      <c r="BV28" s="32" t="str">
        <f>BV26</f>
        <v xml:space="preserve">….. DAY 4 ….. </v>
      </c>
      <c r="BW28" s="615" t="s">
        <v>597</v>
      </c>
      <c r="BX28" s="610" t="s">
        <v>588</v>
      </c>
      <c r="CB28">
        <f t="shared" si="5"/>
        <v>0</v>
      </c>
      <c r="CC28">
        <f t="shared" si="6"/>
        <v>0</v>
      </c>
      <c r="CE28" s="200" t="s">
        <v>569</v>
      </c>
      <c r="CW28" s="570"/>
    </row>
    <row r="29" spans="1:101" ht="26.65" customHeight="1" thickTop="1">
      <c r="C29" s="485"/>
      <c r="BD29" s="244"/>
      <c r="BI29" s="244"/>
      <c r="BJ29" s="244"/>
      <c r="BK29"/>
      <c r="BL29"/>
      <c r="BO29" s="244"/>
      <c r="BU29" s="244"/>
      <c r="CO29" s="244"/>
      <c r="CR29" s="654"/>
    </row>
    <row r="30" spans="1:101" ht="26.65" customHeight="1">
      <c r="C30" s="655"/>
      <c r="X30" s="209" t="s">
        <v>623</v>
      </c>
      <c r="BD30" s="244"/>
      <c r="BI30" s="244"/>
      <c r="BJ30" s="244"/>
      <c r="BK30"/>
      <c r="BL30"/>
      <c r="BO30" s="244"/>
      <c r="BU30" s="244"/>
      <c r="BV30" s="32"/>
      <c r="BW30" s="615"/>
      <c r="BX30" s="610"/>
      <c r="CQ30" s="244"/>
      <c r="CR30" s="244"/>
    </row>
    <row r="31" spans="1:101" ht="26.65" customHeight="1">
      <c r="BD31" s="244"/>
      <c r="BI31" s="244"/>
      <c r="BJ31" s="244"/>
      <c r="BK31"/>
      <c r="BL31"/>
      <c r="BO31" s="244"/>
      <c r="BU31" s="244"/>
      <c r="CQ31" s="244"/>
      <c r="CR31" s="244"/>
    </row>
    <row r="32" spans="1:101" ht="26.65" customHeight="1">
      <c r="BD32" s="244"/>
      <c r="BI32" s="244"/>
      <c r="BJ32" s="244"/>
      <c r="BK32"/>
      <c r="BL32"/>
      <c r="BO32" s="244"/>
      <c r="BU32" s="244"/>
    </row>
    <row r="33" spans="1:73" ht="26.65" customHeight="1">
      <c r="BD33" s="244"/>
      <c r="BI33" s="244"/>
      <c r="BJ33" s="244"/>
      <c r="BK33"/>
      <c r="BL33"/>
      <c r="BO33" s="244"/>
      <c r="BU33" s="244"/>
    </row>
    <row r="34" spans="1:73" ht="26.65" customHeight="1">
      <c r="A34" s="838"/>
      <c r="B34" s="838"/>
      <c r="C34" s="838"/>
      <c r="D34" s="838"/>
      <c r="E34" s="780"/>
      <c r="H34" s="14"/>
      <c r="I34" s="14"/>
      <c r="L34" s="14"/>
      <c r="O34" s="14"/>
      <c r="Q34" s="14"/>
      <c r="BD34" s="244"/>
      <c r="BI34" s="244"/>
      <c r="BJ34" s="244"/>
      <c r="BK34"/>
      <c r="BL34"/>
      <c r="BO34" s="244"/>
      <c r="BU34" s="244"/>
    </row>
    <row r="35" spans="1:73" ht="26.65" customHeight="1">
      <c r="BD35" s="244"/>
      <c r="BI35" s="244"/>
      <c r="BJ35" s="244"/>
      <c r="BK35"/>
      <c r="BL35"/>
      <c r="BO35" s="244"/>
      <c r="BU35" s="244"/>
    </row>
    <row r="36" spans="1:73" ht="26.65" customHeight="1" thickBot="1">
      <c r="BD36" s="244"/>
      <c r="BI36" s="244"/>
      <c r="BJ36" s="244"/>
      <c r="BK36"/>
      <c r="BL36"/>
      <c r="BO36" s="244"/>
      <c r="BU36" s="659"/>
    </row>
    <row r="37" spans="1:73" ht="26.65" customHeight="1" thickTop="1">
      <c r="BD37" s="244"/>
      <c r="BI37" s="244"/>
      <c r="BJ37" s="244"/>
      <c r="BK37"/>
      <c r="BL37"/>
      <c r="BO37" s="244"/>
    </row>
    <row r="38" spans="1:73" ht="26.65" customHeight="1">
      <c r="BD38" s="244"/>
      <c r="BI38" s="244"/>
      <c r="BJ38" s="244"/>
      <c r="BK38"/>
      <c r="BL38"/>
      <c r="BO38" s="244"/>
    </row>
    <row r="39" spans="1:73" ht="26.65" customHeight="1">
      <c r="BD39" s="244"/>
      <c r="BI39" s="244"/>
      <c r="BJ39" s="244"/>
      <c r="BK39"/>
      <c r="BL39"/>
      <c r="BO39" s="244"/>
    </row>
  </sheetData>
  <mergeCells count="30">
    <mergeCell ref="B1:C2"/>
    <mergeCell ref="P11:S11"/>
    <mergeCell ref="P13:S13"/>
    <mergeCell ref="P15:S15"/>
    <mergeCell ref="P17:S17"/>
    <mergeCell ref="D1:E2"/>
    <mergeCell ref="F1:G2"/>
    <mergeCell ref="H1:I2"/>
    <mergeCell ref="J1:K2"/>
    <mergeCell ref="P19:S28"/>
    <mergeCell ref="A34:D34"/>
    <mergeCell ref="BH1:BH2"/>
    <mergeCell ref="BN1:BN2"/>
    <mergeCell ref="BT1:BT2"/>
    <mergeCell ref="AH2:AK2"/>
    <mergeCell ref="P7:S7"/>
    <mergeCell ref="P9:S9"/>
    <mergeCell ref="AL1:AL2"/>
    <mergeCell ref="AN1:AQ1"/>
    <mergeCell ref="AR1:AR2"/>
    <mergeCell ref="AS1:AV1"/>
    <mergeCell ref="AW1:AW2"/>
    <mergeCell ref="BC1:BC2"/>
    <mergeCell ref="P1:S1"/>
    <mergeCell ref="W1:W2"/>
    <mergeCell ref="AB1:AB2"/>
    <mergeCell ref="AC1:AF1"/>
    <mergeCell ref="AG1:AG2"/>
    <mergeCell ref="AH1:AK1"/>
    <mergeCell ref="L1:O1"/>
  </mergeCells>
  <printOptions gridLines="1"/>
  <pageMargins left="0.25" right="0.19" top="0.27" bottom="0.31" header="0.24" footer="0.05"/>
  <pageSetup orientation="portrait" r:id="rId1"/>
  <headerFooter>
    <oddFooter>&amp;L.....  &amp;P&amp;C&amp;F&amp;R&amp;A      ...</oddFooter>
  </headerFooter>
  <colBreaks count="13" manualBreakCount="13">
    <brk id="15" max="27" man="1"/>
    <brk id="19" max="27" man="1"/>
    <brk id="23" max="27" man="1"/>
    <brk id="28" max="27" man="1"/>
    <brk id="33" max="27" man="1"/>
    <brk id="39" max="27" man="1"/>
    <brk id="44" max="27" man="1"/>
    <brk id="49" max="27" man="1"/>
    <brk id="55" max="27" man="1"/>
    <brk id="60" max="27" man="1"/>
    <brk id="66" max="27" man="1"/>
    <brk id="72" max="27" man="1"/>
    <brk id="79" max="27"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8B62-3544-49A6-BD3B-D4FA269E835D}">
  <dimension ref="A1:V84"/>
  <sheetViews>
    <sheetView view="pageBreakPreview" topLeftCell="G54" zoomScaleNormal="100" zoomScaleSheetLayoutView="100" workbookViewId="0">
      <selection activeCell="H56" sqref="H56:I56"/>
    </sheetView>
  </sheetViews>
  <sheetFormatPr defaultColWidth="8" defaultRowHeight="13.9"/>
  <cols>
    <col min="1" max="1" width="24.875" customWidth="1"/>
    <col min="2" max="2" width="24.25" customWidth="1"/>
    <col min="3" max="3" width="52.625" customWidth="1"/>
    <col min="4" max="4" width="9.625" customWidth="1"/>
    <col min="5" max="5" width="8.25" customWidth="1"/>
    <col min="6" max="7" width="7.75" customWidth="1"/>
    <col min="8" max="8" width="9.75" customWidth="1"/>
    <col min="9" max="9" width="10.25" customWidth="1"/>
    <col min="10" max="10" width="12.5" customWidth="1"/>
    <col min="11" max="11" width="15.75" customWidth="1"/>
    <col min="12" max="12" width="11.625" customWidth="1"/>
    <col min="13" max="13" width="2.25" customWidth="1"/>
    <col min="14" max="14" width="11.375" customWidth="1"/>
    <col min="15" max="15" width="13.5" customWidth="1"/>
    <col min="16" max="16" width="3.875" customWidth="1"/>
    <col min="17" max="17" width="13.75" customWidth="1"/>
    <col min="18" max="18" width="12.875" customWidth="1"/>
  </cols>
  <sheetData>
    <row r="1" spans="1:7" ht="48" customHeight="1">
      <c r="A1" s="887" t="s">
        <v>639</v>
      </c>
      <c r="B1" s="887"/>
      <c r="C1" s="887"/>
      <c r="D1" s="887"/>
      <c r="E1" s="887"/>
      <c r="F1" s="887"/>
      <c r="G1" s="785"/>
    </row>
    <row r="2" spans="1:7" ht="25.15" customHeight="1">
      <c r="A2" s="724" t="s">
        <v>640</v>
      </c>
      <c r="B2" s="725" t="str">
        <f>+'[1]jobinfo(2)'!C1</f>
        <v>MONTGOMERY, JAVIONNA ANTONIO</v>
      </c>
      <c r="C2" s="654" t="str">
        <f>+'[1]jobinfo(2)'!B26</f>
        <v xml:space="preserve">Insurance Co. Name </v>
      </c>
      <c r="D2" t="str">
        <f>+'[1]jobinfo(2)'!C26</f>
        <v>INS CO</v>
      </c>
      <c r="F2" s="283"/>
      <c r="G2" s="283"/>
    </row>
    <row r="3" spans="1:7" ht="25.15" customHeight="1">
      <c r="A3" s="726" t="s">
        <v>152</v>
      </c>
      <c r="B3" s="725" t="str">
        <f>+'[1]jobinfo(2)'!C2</f>
        <v xml:space="preserve">3034 Ashwood Road, </v>
      </c>
      <c r="C3" s="654" t="str">
        <f>+'[1]jobinfo(2)'!B27</f>
        <v xml:space="preserve">Claim # </v>
      </c>
      <c r="D3" t="str">
        <f>+'[1]jobinfo(2)'!C27</f>
        <v>CLM# TBD</v>
      </c>
      <c r="F3" s="283"/>
      <c r="G3" s="283"/>
    </row>
    <row r="4" spans="1:7" ht="25.15" customHeight="1">
      <c r="A4" s="726" t="s">
        <v>157</v>
      </c>
      <c r="B4" s="725" t="str">
        <f>+'[1]jobinfo(2)'!C3</f>
        <v>Cleveland, OH, USA 44120</v>
      </c>
      <c r="C4" s="654" t="str">
        <f>+'[1]jobinfo(2)'!B11</f>
        <v>Cause of Loss</v>
      </c>
      <c r="D4" t="str">
        <f>+'[1]jobinfo(2)'!C11</f>
        <v>WATER BATHTUB OVERFLOW</v>
      </c>
      <c r="F4" s="283"/>
      <c r="G4" s="283"/>
    </row>
    <row r="5" spans="1:7" ht="25.15" customHeight="1">
      <c r="A5" s="726" t="s">
        <v>160</v>
      </c>
      <c r="B5" s="725" t="str">
        <f>+'[1]jobinfo(2)'!C4</f>
        <v>JAVIONNA@ICLOUD.COM</v>
      </c>
      <c r="C5" s="727" t="str">
        <f>+'[1]jobinfo(2)'!B12</f>
        <v>date of loss</v>
      </c>
      <c r="D5" s="13" t="str">
        <f>+'[1]jobinfo(2)'!C12</f>
        <v>Saturday, August 26, 2025</v>
      </c>
      <c r="F5" s="283"/>
      <c r="G5" s="283"/>
    </row>
    <row r="6" spans="1:7" ht="25.15" customHeight="1">
      <c r="A6" s="726" t="s">
        <v>163</v>
      </c>
      <c r="B6" s="725" t="str">
        <f>+'[1]jobinfo(2)'!C5</f>
        <v>(216) 551-5572</v>
      </c>
      <c r="C6" s="727" t="str">
        <f>+'[1]jobinfo(2)'!B13</f>
        <v>rebuild  type 1</v>
      </c>
      <c r="D6" s="13" t="str">
        <f>+'[1]jobinfo(2)'!C13</f>
        <v>interior repairs LVL1</v>
      </c>
      <c r="F6" s="8"/>
      <c r="G6" s="8"/>
    </row>
    <row r="7" spans="1:7" ht="25.15" customHeight="1">
      <c r="A7" s="728"/>
      <c r="B7" s="729" t="s">
        <v>641</v>
      </c>
      <c r="C7" s="654" t="str">
        <f>+'[1]jobinfo(2)'!B14</f>
        <v>rebuild  type 2</v>
      </c>
      <c r="D7" t="str">
        <f>+'[1]jobinfo(2)'!C14</f>
        <v>interior repairs LVL2</v>
      </c>
      <c r="F7" s="8"/>
      <c r="G7" s="8"/>
    </row>
    <row r="8" spans="1:7" ht="33" customHeight="1">
      <c r="A8" s="888" t="s">
        <v>642</v>
      </c>
      <c r="B8" s="888"/>
      <c r="C8" s="888"/>
      <c r="D8" s="888"/>
      <c r="E8" s="888"/>
      <c r="F8" s="888"/>
      <c r="G8" s="786"/>
    </row>
    <row r="9" spans="1:7" ht="33" customHeight="1">
      <c r="A9" s="888"/>
      <c r="B9" s="888"/>
      <c r="C9" s="888"/>
      <c r="D9" s="888"/>
      <c r="E9" s="888"/>
      <c r="F9" s="888"/>
      <c r="G9" s="786"/>
    </row>
    <row r="10" spans="1:7" ht="33" customHeight="1">
      <c r="A10" s="888" t="s">
        <v>643</v>
      </c>
      <c r="B10" s="888"/>
      <c r="C10" s="888"/>
      <c r="D10" s="888"/>
      <c r="E10" s="888"/>
      <c r="F10" s="888"/>
      <c r="G10" s="786"/>
    </row>
    <row r="11" spans="1:7" s="525" customFormat="1" ht="27.6">
      <c r="A11" s="730"/>
      <c r="B11" s="731"/>
      <c r="C11" s="732" t="s">
        <v>268</v>
      </c>
      <c r="D11" s="733" t="s">
        <v>644</v>
      </c>
      <c r="E11" s="734" t="s">
        <v>645</v>
      </c>
      <c r="F11" s="735" t="s">
        <v>284</v>
      </c>
      <c r="G11" s="735"/>
    </row>
    <row r="12" spans="1:7" ht="22.15" customHeight="1">
      <c r="A12" t="s">
        <v>646</v>
      </c>
      <c r="B12" s="736" t="s">
        <v>647</v>
      </c>
      <c r="C12" s="737" t="s">
        <v>648</v>
      </c>
      <c r="D12" s="737"/>
      <c r="E12" s="737"/>
      <c r="F12" s="738"/>
    </row>
    <row r="13" spans="1:7" ht="43.9" customHeight="1">
      <c r="A13" s="739" t="s">
        <v>649</v>
      </c>
      <c r="B13" s="889" t="s">
        <v>650</v>
      </c>
      <c r="C13" s="890"/>
      <c r="D13" s="740" t="s">
        <v>651</v>
      </c>
      <c r="E13" s="740" t="s">
        <v>651</v>
      </c>
      <c r="F13" s="740" t="s">
        <v>652</v>
      </c>
      <c r="G13" s="740"/>
    </row>
    <row r="14" spans="1:7" ht="124.15" customHeight="1">
      <c r="A14" s="741">
        <v>1</v>
      </c>
      <c r="B14" s="885" t="s">
        <v>653</v>
      </c>
      <c r="C14" s="886"/>
      <c r="D14" s="873">
        <v>0.33</v>
      </c>
      <c r="E14" s="874"/>
      <c r="F14" s="742">
        <f>+D14</f>
        <v>0.33</v>
      </c>
      <c r="G14" s="742"/>
    </row>
    <row r="15" spans="1:7" ht="124.15" customHeight="1">
      <c r="A15" s="743">
        <v>2</v>
      </c>
      <c r="B15" s="879">
        <v>0.5</v>
      </c>
      <c r="C15" s="880"/>
      <c r="D15" s="881">
        <v>0.33</v>
      </c>
      <c r="E15" s="882"/>
      <c r="F15" s="744">
        <f>+D15+D14</f>
        <v>0.66</v>
      </c>
      <c r="G15" s="745"/>
    </row>
    <row r="16" spans="1:7" ht="124.15" customHeight="1">
      <c r="A16" s="746">
        <v>3</v>
      </c>
      <c r="B16" s="883">
        <v>0.75</v>
      </c>
      <c r="C16" s="884"/>
      <c r="D16" s="873">
        <v>0.1</v>
      </c>
      <c r="E16" s="874"/>
      <c r="F16" s="747">
        <f>+F15+D16</f>
        <v>0.76</v>
      </c>
      <c r="G16" s="748"/>
    </row>
    <row r="17" spans="1:18" ht="124.15" customHeight="1">
      <c r="A17" s="743">
        <v>4</v>
      </c>
      <c r="B17" s="879">
        <v>0.9</v>
      </c>
      <c r="C17" s="880"/>
      <c r="D17" s="881">
        <v>0.14000000000000001</v>
      </c>
      <c r="E17" s="882"/>
      <c r="F17" s="744">
        <f>+F16+D17</f>
        <v>0.9</v>
      </c>
      <c r="G17" s="745"/>
    </row>
    <row r="18" spans="1:18" ht="124.15" customHeight="1">
      <c r="A18" s="741">
        <v>5</v>
      </c>
      <c r="B18" s="871">
        <v>1</v>
      </c>
      <c r="C18" s="872"/>
      <c r="D18" s="873">
        <v>0.1</v>
      </c>
      <c r="E18" s="874"/>
      <c r="F18" s="747">
        <f>+F17+D18</f>
        <v>1</v>
      </c>
      <c r="G18" s="748"/>
    </row>
    <row r="20" spans="1:18" ht="15.4" customHeight="1">
      <c r="H20" s="588" t="s">
        <v>654</v>
      </c>
      <c r="I20" s="588"/>
      <c r="J20" s="588" t="s">
        <v>655</v>
      </c>
      <c r="K20" s="588"/>
      <c r="L20" s="588"/>
      <c r="M20" s="588"/>
      <c r="N20" s="588"/>
      <c r="O20" s="875" t="s">
        <v>656</v>
      </c>
      <c r="P20" s="876" t="str">
        <f>'[1]jobinfo(2)'!C51</f>
        <v>OH25 MONTGOMERY</v>
      </c>
      <c r="Q20" s="876"/>
      <c r="R20" s="876"/>
    </row>
    <row r="21" spans="1:18" ht="15.4" customHeight="1">
      <c r="H21" s="100" t="str">
        <f>'[1]jobinfo(2)'!C100</f>
        <v>All Phase Consulting, LLC</v>
      </c>
      <c r="I21" s="100"/>
      <c r="J21" s="877"/>
      <c r="K21" t="str">
        <f>+'[1]jobinfo(2)'!D100</f>
        <v>Wayside Builders, LLC</v>
      </c>
      <c r="N21" s="878" t="s">
        <v>657</v>
      </c>
      <c r="O21" s="875"/>
      <c r="P21" s="867" t="str">
        <f>'[1]jobinfo(2)'!C1</f>
        <v>MONTGOMERY, JAVIONNA ANTONIO</v>
      </c>
      <c r="Q21" s="867"/>
      <c r="R21" s="867"/>
    </row>
    <row r="22" spans="1:18" ht="15.4" customHeight="1">
      <c r="H22" s="100" t="str">
        <f>'[1]jobinfo(2)'!C112</f>
        <v>Joe Jones, PM  216.450.7228</v>
      </c>
      <c r="I22" s="789"/>
      <c r="J22" s="877"/>
      <c r="K22" t="str">
        <f>'[1]jobinfo(2)'!D112</f>
        <v>Tony Jones 216.347.2656</v>
      </c>
      <c r="N22" s="878"/>
      <c r="O22" s="875"/>
      <c r="P22" s="870" t="str">
        <f>'[1]jobinfo(2)'!C2</f>
        <v xml:space="preserve">3034 Ashwood Road, </v>
      </c>
      <c r="Q22" s="870"/>
      <c r="R22" s="870"/>
    </row>
    <row r="23" spans="1:18" ht="15.4" customHeight="1">
      <c r="H23" s="100"/>
      <c r="I23" s="100"/>
      <c r="J23" s="877"/>
      <c r="N23" s="878"/>
      <c r="O23" s="875"/>
      <c r="P23" s="870" t="str">
        <f>'[1]jobinfo(2)'!C3</f>
        <v>Cleveland, OH, USA 44120</v>
      </c>
      <c r="Q23" s="870"/>
      <c r="R23" s="870"/>
    </row>
    <row r="24" spans="1:18" ht="15.4" customHeight="1">
      <c r="H24" s="429" t="str">
        <f>'[1]jobinfo(2)'!B5</f>
        <v>Cst-owner Phone#</v>
      </c>
      <c r="I24" s="343" t="str">
        <f>'[1]jobinfo(2)'!C5</f>
        <v>(216) 551-5572</v>
      </c>
      <c r="J24" s="429" t="str">
        <f>'[1]jobinfo(2)'!B26</f>
        <v xml:space="preserve">Insurance Co. Name </v>
      </c>
      <c r="K24" s="100" t="str">
        <f>'[1]jobinfo(2)'!C26</f>
        <v>INS CO</v>
      </c>
      <c r="L24" s="429" t="str">
        <f>'[1]jobinfo(2)'!B37</f>
        <v>adj contents</v>
      </c>
      <c r="M24" s="867">
        <f>'[1]jobinfo(2)'!C37</f>
        <v>0</v>
      </c>
      <c r="N24" s="867"/>
      <c r="O24" s="863"/>
      <c r="P24" s="863"/>
      <c r="Q24" s="863"/>
      <c r="R24" s="863"/>
    </row>
    <row r="25" spans="1:18" ht="15.4" customHeight="1">
      <c r="H25" s="429" t="str">
        <f>'[1]jobinfo(2)'!B6</f>
        <v>Co-Owner.cst#2</v>
      </c>
      <c r="I25" s="100">
        <f>'[1]jobinfo(2)'!C6</f>
        <v>0</v>
      </c>
      <c r="J25" s="429" t="str">
        <f>'[1]jobinfo(2)'!B27</f>
        <v xml:space="preserve">Claim # </v>
      </c>
      <c r="K25" s="343" t="str">
        <f>'[1]jobinfo(2)'!C27</f>
        <v>CLM# TBD</v>
      </c>
      <c r="L25" s="429" t="str">
        <f>'[1]jobinfo(2)'!B38</f>
        <v>adj CPS phone #</v>
      </c>
      <c r="M25" s="867">
        <f>'[1]jobinfo(2)'!C38</f>
        <v>0</v>
      </c>
      <c r="N25" s="867"/>
      <c r="O25" s="429" t="str">
        <f>'[1]jobinfo(2)'!B34</f>
        <v>Field Adjuster Name</v>
      </c>
      <c r="P25" s="870">
        <f>'[1]jobinfo(2)'!C34</f>
        <v>0</v>
      </c>
      <c r="Q25" s="870"/>
      <c r="R25" s="870"/>
    </row>
    <row r="26" spans="1:18" ht="15.4" customHeight="1">
      <c r="H26" s="429" t="str">
        <f>'[1]jobinfo(2)'!B11</f>
        <v>Cause of Loss</v>
      </c>
      <c r="I26" s="100" t="str">
        <f>'[1]jobinfo(2)'!C11</f>
        <v>WATER BATHTUB OVERFLOW</v>
      </c>
      <c r="J26" s="429" t="str">
        <f>'[1]jobinfo(2)'!B28</f>
        <v>policy #</v>
      </c>
      <c r="K26" s="100" t="str">
        <f>'[1]jobinfo(2)'!C28</f>
        <v>PL # TBD</v>
      </c>
      <c r="L26" s="429" t="str">
        <f>'[1]jobinfo(2)'!B39</f>
        <v>adj CPS email</v>
      </c>
      <c r="M26" s="867">
        <f>'[1]jobinfo(2)'!C39</f>
        <v>0</v>
      </c>
      <c r="N26" s="867"/>
      <c r="O26" s="429" t="str">
        <f>'[1]jobinfo(2)'!B35</f>
        <v>Phone # field adj</v>
      </c>
      <c r="P26" s="867">
        <f>'[1]jobinfo(2)'!C35</f>
        <v>0</v>
      </c>
      <c r="Q26" s="867"/>
      <c r="R26" s="867"/>
    </row>
    <row r="27" spans="1:18" ht="15.4" customHeight="1">
      <c r="H27" s="429" t="str">
        <f>'[1]jobinfo(2)'!B12</f>
        <v>date of loss</v>
      </c>
      <c r="I27" s="315" t="str">
        <f>'[1]jobinfo(2)'!C12</f>
        <v>Saturday, August 26, 2025</v>
      </c>
      <c r="J27" s="429" t="str">
        <f>'[1]jobinfo(2)'!B29</f>
        <v>Email INS. co.</v>
      </c>
      <c r="K27" s="100">
        <f>'[1]jobinfo(2)'!C29</f>
        <v>0</v>
      </c>
      <c r="L27" s="429" t="str">
        <f>'[1]jobinfo(2)'!B40</f>
        <v>TMP adj</v>
      </c>
      <c r="M27" s="867">
        <f>'[1]jobinfo(2)'!C40</f>
        <v>0</v>
      </c>
      <c r="N27" s="867"/>
      <c r="O27" s="429" t="str">
        <f>'[1]jobinfo(2)'!B36</f>
        <v>Field adj email</v>
      </c>
      <c r="P27" s="867">
        <f>'[1]jobinfo(2)'!C36</f>
        <v>0</v>
      </c>
      <c r="Q27" s="867"/>
      <c r="R27" s="867"/>
    </row>
    <row r="28" spans="1:18" ht="15.4" customHeight="1">
      <c r="H28" s="429" t="str">
        <f>'[1]jobinfo(2)'!B13</f>
        <v>rebuild  type 1</v>
      </c>
      <c r="I28" s="100" t="str">
        <f>'[1]jobinfo(2)'!C13</f>
        <v>interior repairs LVL1</v>
      </c>
      <c r="J28" s="429" t="str">
        <f>'[1]jobinfo(2)'!B30</f>
        <v>DESK Adjuster DA</v>
      </c>
      <c r="K28" s="100">
        <f>'[1]jobinfo(2)'!C30</f>
        <v>0</v>
      </c>
      <c r="L28" s="429" t="str">
        <f>'[1]jobinfo(2)'!B41</f>
        <v>TMP adj phone #</v>
      </c>
      <c r="M28" s="867">
        <f>'[1]jobinfo(2)'!C41</f>
        <v>0</v>
      </c>
      <c r="N28" s="867"/>
      <c r="O28" s="429" t="str">
        <f>'[1]jobinfo(2)'!B21</f>
        <v>Year Built</v>
      </c>
      <c r="P28" s="867" t="str">
        <f>'[1]jobinfo(2)'!C21</f>
        <v>POST 1978</v>
      </c>
      <c r="Q28" s="867"/>
      <c r="R28" s="867"/>
    </row>
    <row r="29" spans="1:18" ht="15.4" customHeight="1">
      <c r="H29" s="429" t="str">
        <f>'[1]jobinfo(2)'!B14</f>
        <v>rebuild  type 2</v>
      </c>
      <c r="I29" s="100" t="str">
        <f>'[1]jobinfo(2)'!C14</f>
        <v>interior repairs LVL2</v>
      </c>
      <c r="J29" s="429" t="str">
        <f>'[1]jobinfo(2)'!B31</f>
        <v>DA Phone</v>
      </c>
      <c r="K29" s="343">
        <f>'[1]jobinfo(2)'!C31</f>
        <v>0</v>
      </c>
      <c r="L29" s="429" t="str">
        <f>'[1]jobinfo(2)'!B42</f>
        <v>adj TMP email</v>
      </c>
      <c r="M29" s="867">
        <f>'[1]jobinfo(2)'!C42</f>
        <v>0</v>
      </c>
      <c r="N29" s="867"/>
      <c r="O29" s="429" t="str">
        <f>'[1]jobinfo(2)'!B22</f>
        <v>Contract Date</v>
      </c>
      <c r="P29" s="869">
        <f>'[1]jobinfo(2)'!C22</f>
        <v>45896</v>
      </c>
      <c r="Q29" s="869"/>
      <c r="R29" s="869"/>
    </row>
    <row r="30" spans="1:18" ht="15.4" customHeight="1">
      <c r="H30" s="429" t="str">
        <f>'[1]jobinfo(2)'!B15</f>
        <v>rebuild  type 3</v>
      </c>
      <c r="I30" s="100" t="str">
        <f>'[1]jobinfo(2)'!C15</f>
        <v>interior repairs BSMNT</v>
      </c>
      <c r="J30" s="429" t="str">
        <f>'[1]jobinfo(2)'!B32</f>
        <v>DA Ph. Ext. #</v>
      </c>
      <c r="K30" s="100">
        <f>'[1]jobinfo(2)'!C32</f>
        <v>0</v>
      </c>
      <c r="L30" s="429"/>
      <c r="M30" s="867"/>
      <c r="N30" s="867"/>
      <c r="O30" s="429" t="str">
        <f>'[1]jobinfo(2)'!B19</f>
        <v>Replacement</v>
      </c>
      <c r="P30" s="100" t="str">
        <f>'[1]jobinfo(2)'!C19</f>
        <v>Y</v>
      </c>
    </row>
    <row r="31" spans="1:18" ht="15.4" customHeight="1">
      <c r="H31" s="429" t="str">
        <f>'[1]jobinfo(2)'!B16</f>
        <v>DEMO</v>
      </c>
      <c r="I31" s="100" t="str">
        <f>'[1]jobinfo(2)'!C16</f>
        <v>Y</v>
      </c>
      <c r="J31" s="429" t="str">
        <f>'[1]jobinfo(2)'!B33</f>
        <v xml:space="preserve">DA Email </v>
      </c>
      <c r="K31" s="100">
        <f>'[1]jobinfo(2)'!C33</f>
        <v>0</v>
      </c>
      <c r="L31" s="429"/>
      <c r="M31" s="867"/>
      <c r="N31" s="867"/>
      <c r="O31" s="429" t="str">
        <f>'[1]jobinfo(2)'!B23</f>
        <v>Loss of use/ ALE</v>
      </c>
      <c r="P31" s="100" t="str">
        <f>'[1]jobinfo(2)'!C23</f>
        <v>TBD</v>
      </c>
      <c r="Q31" s="429" t="str">
        <f>'[1]jobinfo(2)'!B18</f>
        <v>Other Structures</v>
      </c>
      <c r="R31" s="100" t="str">
        <f>'[1]jobinfo(2)'!C18</f>
        <v>NA</v>
      </c>
    </row>
    <row r="32" spans="1:18" ht="15.4" customHeight="1">
      <c r="H32" s="429" t="str">
        <f>'[1]jobinfo(2)'!B17</f>
        <v>Mitigation</v>
      </c>
      <c r="I32" s="100" t="str">
        <f>'[1]jobinfo(2)'!C17</f>
        <v>Y</v>
      </c>
      <c r="K32" s="429" t="str">
        <f>'[1]jobinfo(2)'!B20</f>
        <v>CPS / CLN / CON/ CGN</v>
      </c>
      <c r="L32" s="100" t="str">
        <f>'[1]jobinfo(2)'!C20</f>
        <v>NA</v>
      </c>
      <c r="M32" s="867"/>
      <c r="N32" s="867"/>
      <c r="O32" s="429" t="str">
        <f>'[1]jobinfo(2)'!B24</f>
        <v>Breathing issue</v>
      </c>
      <c r="P32" s="100" t="str">
        <f>'[1]jobinfo(2)'!C24</f>
        <v>TBD</v>
      </c>
      <c r="Q32" s="429" t="str">
        <f>'[1]jobinfo(2)'!B25</f>
        <v>HMR</v>
      </c>
      <c r="R32" s="100" t="str">
        <f>'[1]jobinfo(2)'!C25</f>
        <v>TBD</v>
      </c>
    </row>
    <row r="33" spans="8:22" ht="1.9" customHeight="1">
      <c r="H33" s="868"/>
      <c r="I33" s="868"/>
      <c r="J33" s="868"/>
      <c r="K33" s="868"/>
      <c r="L33" s="868"/>
      <c r="M33" s="868"/>
      <c r="N33" s="868"/>
      <c r="O33" s="868"/>
      <c r="P33" s="868"/>
      <c r="Q33" s="868"/>
      <c r="R33" s="868"/>
    </row>
    <row r="34" spans="8:22" ht="15.4" customHeight="1">
      <c r="H34" s="862" t="s">
        <v>658</v>
      </c>
      <c r="I34" s="862"/>
      <c r="J34" s="863" t="s">
        <v>659</v>
      </c>
      <c r="K34" s="863"/>
      <c r="L34" s="863"/>
      <c r="N34" t="s">
        <v>660</v>
      </c>
      <c r="O34" s="790"/>
      <c r="Q34" t="s">
        <v>661</v>
      </c>
    </row>
    <row r="35" spans="8:22" ht="16.899999999999999" customHeight="1">
      <c r="H35" s="862"/>
      <c r="I35" s="862"/>
      <c r="J35" s="749">
        <v>1</v>
      </c>
      <c r="K35" s="793" t="s">
        <v>662</v>
      </c>
      <c r="L35" s="2" t="str">
        <f>K21</f>
        <v>Wayside Builders, LLC</v>
      </c>
      <c r="N35" s="750">
        <v>0.7</v>
      </c>
      <c r="O35" t="str">
        <f>L35</f>
        <v>Wayside Builders, LLC</v>
      </c>
      <c r="Q35" s="750">
        <v>0.5</v>
      </c>
      <c r="R35" s="793" t="str">
        <f>K35</f>
        <v>SUB</v>
      </c>
      <c r="S35" s="776"/>
      <c r="T35" s="776"/>
    </row>
    <row r="36" spans="8:22" ht="40.15" customHeight="1">
      <c r="H36" s="865" t="s">
        <v>663</v>
      </c>
      <c r="I36" s="866"/>
      <c r="J36" s="751">
        <v>1</v>
      </c>
      <c r="K36" s="752">
        <v>0</v>
      </c>
      <c r="L36" s="753">
        <f t="shared" ref="L36:L42" si="0">J36*K36</f>
        <v>0</v>
      </c>
      <c r="N36" s="754">
        <f t="shared" ref="N36:N42" si="1">J36*$N$35</f>
        <v>0.7</v>
      </c>
      <c r="O36" s="755">
        <f t="shared" ref="O36:O42" si="2">N36*K36</f>
        <v>0</v>
      </c>
      <c r="Q36" s="754">
        <f t="shared" ref="Q36:Q42" si="3">J36*$Q$35</f>
        <v>0.5</v>
      </c>
      <c r="R36" s="754">
        <f t="shared" ref="R36:R42" si="4">Q36*K36</f>
        <v>0</v>
      </c>
      <c r="S36" s="752"/>
      <c r="T36" s="752"/>
      <c r="U36" s="752">
        <v>0.5</v>
      </c>
      <c r="V36" s="752">
        <v>0.5</v>
      </c>
    </row>
    <row r="37" spans="8:22" ht="40.15" customHeight="1" thickBot="1">
      <c r="H37" s="865" t="s">
        <v>664</v>
      </c>
      <c r="I37" s="866"/>
      <c r="J37" s="756">
        <v>1</v>
      </c>
      <c r="K37" s="752">
        <v>0</v>
      </c>
      <c r="L37" s="754">
        <f t="shared" si="0"/>
        <v>0</v>
      </c>
      <c r="N37" s="757">
        <f t="shared" si="1"/>
        <v>0.7</v>
      </c>
      <c r="O37" s="755">
        <f t="shared" si="2"/>
        <v>0</v>
      </c>
      <c r="Q37" s="757">
        <f t="shared" si="3"/>
        <v>0.5</v>
      </c>
      <c r="R37" s="754">
        <f t="shared" si="4"/>
        <v>0</v>
      </c>
      <c r="S37" s="752"/>
      <c r="T37" s="752"/>
      <c r="U37" s="752"/>
      <c r="V37" s="752"/>
    </row>
    <row r="38" spans="8:22" ht="40.15" customHeight="1" thickTop="1" thickBot="1">
      <c r="H38" s="758" t="s">
        <v>665</v>
      </c>
      <c r="J38" s="751">
        <v>33149.78</v>
      </c>
      <c r="K38" s="752">
        <v>0.2</v>
      </c>
      <c r="L38" s="753">
        <f t="shared" si="0"/>
        <v>6629.9560000000001</v>
      </c>
      <c r="N38" s="754">
        <f t="shared" si="1"/>
        <v>23204.845999999998</v>
      </c>
      <c r="O38" s="755">
        <f t="shared" si="2"/>
        <v>4640.9691999999995</v>
      </c>
      <c r="Q38" s="754">
        <f t="shared" si="3"/>
        <v>16574.89</v>
      </c>
      <c r="R38" s="754">
        <f t="shared" si="4"/>
        <v>3314.9780000000001</v>
      </c>
      <c r="S38" s="752"/>
      <c r="T38" s="752"/>
      <c r="U38" s="752">
        <v>0.66</v>
      </c>
      <c r="V38" s="752">
        <v>0.33</v>
      </c>
    </row>
    <row r="39" spans="8:22" ht="40.15" customHeight="1" thickTop="1">
      <c r="H39" s="859" t="s">
        <v>666</v>
      </c>
      <c r="I39" s="860"/>
      <c r="J39" s="756">
        <v>0</v>
      </c>
      <c r="K39" s="752">
        <v>0.2</v>
      </c>
      <c r="L39" s="754">
        <f t="shared" si="0"/>
        <v>0</v>
      </c>
      <c r="N39" s="757">
        <f t="shared" si="1"/>
        <v>0</v>
      </c>
      <c r="O39" s="755">
        <f t="shared" si="2"/>
        <v>0</v>
      </c>
      <c r="Q39" s="757">
        <f t="shared" si="3"/>
        <v>0</v>
      </c>
      <c r="R39" s="754">
        <f t="shared" si="4"/>
        <v>0</v>
      </c>
      <c r="S39" s="752"/>
      <c r="T39" s="752"/>
      <c r="U39" s="752">
        <v>0.66</v>
      </c>
      <c r="V39" s="752">
        <v>0.33</v>
      </c>
    </row>
    <row r="40" spans="8:22" ht="40.15" customHeight="1">
      <c r="H40" s="859" t="s">
        <v>667</v>
      </c>
      <c r="I40" s="860"/>
      <c r="J40" s="751">
        <f>97116.91-J38-4</f>
        <v>63963.130000000005</v>
      </c>
      <c r="K40" s="752">
        <v>0.8</v>
      </c>
      <c r="L40" s="753">
        <f t="shared" si="0"/>
        <v>51170.504000000008</v>
      </c>
      <c r="N40" s="754">
        <f t="shared" si="1"/>
        <v>44774.190999999999</v>
      </c>
      <c r="O40" s="755">
        <f t="shared" si="2"/>
        <v>35819.352800000001</v>
      </c>
      <c r="Q40" s="754">
        <f t="shared" si="3"/>
        <v>31981.565000000002</v>
      </c>
      <c r="R40" s="754">
        <f t="shared" si="4"/>
        <v>25585.252000000004</v>
      </c>
      <c r="S40" s="752"/>
      <c r="T40" s="752"/>
      <c r="U40" s="752">
        <v>0.8</v>
      </c>
      <c r="V40" s="752">
        <v>0.2</v>
      </c>
    </row>
    <row r="41" spans="8:22" ht="40.15" customHeight="1">
      <c r="H41" s="861" t="s">
        <v>668</v>
      </c>
      <c r="I41" s="861"/>
      <c r="J41" s="756">
        <v>1</v>
      </c>
      <c r="K41" s="752">
        <v>0</v>
      </c>
      <c r="L41" s="754">
        <f t="shared" si="0"/>
        <v>0</v>
      </c>
      <c r="N41" s="757">
        <f t="shared" si="1"/>
        <v>0.7</v>
      </c>
      <c r="O41" s="755">
        <f t="shared" si="2"/>
        <v>0</v>
      </c>
      <c r="Q41" s="757">
        <f t="shared" si="3"/>
        <v>0.5</v>
      </c>
      <c r="R41" s="754">
        <f t="shared" si="4"/>
        <v>0</v>
      </c>
      <c r="S41" s="752"/>
      <c r="T41" s="752"/>
    </row>
    <row r="42" spans="8:22" ht="40.15" customHeight="1">
      <c r="H42" s="859" t="s">
        <v>669</v>
      </c>
      <c r="I42" s="860"/>
      <c r="J42" s="759">
        <v>0</v>
      </c>
      <c r="K42" s="752">
        <v>0.1</v>
      </c>
      <c r="L42" s="760">
        <f t="shared" si="0"/>
        <v>0</v>
      </c>
      <c r="N42" s="754">
        <f t="shared" si="1"/>
        <v>0</v>
      </c>
      <c r="O42" s="755">
        <f t="shared" si="2"/>
        <v>0</v>
      </c>
      <c r="Q42" s="761">
        <f t="shared" si="3"/>
        <v>0</v>
      </c>
      <c r="R42" s="761">
        <f t="shared" si="4"/>
        <v>0</v>
      </c>
      <c r="S42" s="752"/>
      <c r="T42" s="752"/>
      <c r="U42" s="752">
        <v>0.66</v>
      </c>
      <c r="V42" s="752">
        <v>0.33</v>
      </c>
    </row>
    <row r="43" spans="8:22" ht="22.15" customHeight="1">
      <c r="H43" s="762" t="s">
        <v>670</v>
      </c>
      <c r="I43" s="588"/>
      <c r="J43" s="763">
        <f>SUM(J36:J42)</f>
        <v>97115.91</v>
      </c>
      <c r="K43" s="764"/>
      <c r="L43" s="765">
        <f>SUM(L36:L42)</f>
        <v>57800.460000000006</v>
      </c>
      <c r="M43" s="588"/>
      <c r="N43" s="766">
        <f>SUM(N36:N42)</f>
        <v>67981.137000000002</v>
      </c>
      <c r="O43" s="765">
        <f>SUM(O36:O42)</f>
        <v>40460.322</v>
      </c>
      <c r="P43" s="588"/>
      <c r="Q43" s="766">
        <f>SUM(Q36:Q42)</f>
        <v>48557.955000000002</v>
      </c>
      <c r="R43" s="765">
        <f>SUM(R36:R42)</f>
        <v>28900.230000000003</v>
      </c>
    </row>
    <row r="44" spans="8:22" ht="22.15" customHeight="1">
      <c r="H44" s="762"/>
      <c r="I44" s="588"/>
      <c r="J44" s="763"/>
      <c r="K44" s="764"/>
      <c r="L44" s="765"/>
      <c r="M44" s="588"/>
      <c r="N44" s="766"/>
      <c r="O44" s="765"/>
      <c r="P44" s="588"/>
      <c r="Q44" s="766"/>
      <c r="R44" s="765"/>
    </row>
    <row r="45" spans="8:22" ht="43.9" customHeight="1">
      <c r="H45" s="862" t="s">
        <v>658</v>
      </c>
      <c r="I45" s="862"/>
      <c r="J45" s="863" t="s">
        <v>659</v>
      </c>
      <c r="K45" s="863"/>
      <c r="L45" s="863"/>
      <c r="N45" t="s">
        <v>671</v>
      </c>
      <c r="O45" s="790"/>
      <c r="Q45" t="s">
        <v>661</v>
      </c>
    </row>
    <row r="46" spans="8:22" ht="40.15" customHeight="1">
      <c r="H46" s="862"/>
      <c r="I46" s="862"/>
      <c r="J46" s="749">
        <v>1</v>
      </c>
      <c r="K46" s="864" t="s">
        <v>657</v>
      </c>
      <c r="L46" s="864"/>
      <c r="N46" s="750">
        <v>0.7</v>
      </c>
      <c r="O46">
        <f>L46</f>
        <v>0</v>
      </c>
      <c r="Q46" s="750">
        <v>0.5</v>
      </c>
      <c r="R46" s="793" t="str">
        <f>K46</f>
        <v>APC</v>
      </c>
    </row>
    <row r="47" spans="8:22" ht="40.15" customHeight="1">
      <c r="H47" s="865" t="s">
        <v>663</v>
      </c>
      <c r="I47" s="866"/>
      <c r="J47" s="751">
        <f>J36</f>
        <v>1</v>
      </c>
      <c r="K47" s="752">
        <f>100%-K36</f>
        <v>1</v>
      </c>
      <c r="L47" s="753">
        <f t="shared" ref="L47:L53" si="5">J47*K47</f>
        <v>1</v>
      </c>
      <c r="N47" s="754">
        <f t="shared" ref="N47:N53" si="6">J47*$N$35</f>
        <v>0.7</v>
      </c>
      <c r="O47" s="755">
        <f t="shared" ref="O47:O53" si="7">N47*K47</f>
        <v>0.7</v>
      </c>
      <c r="Q47" s="754">
        <f t="shared" ref="Q47:Q53" si="8">J47*$Q$35</f>
        <v>0.5</v>
      </c>
      <c r="R47" s="754">
        <f t="shared" ref="R47:R53" si="9">Q47*K47</f>
        <v>0.5</v>
      </c>
    </row>
    <row r="48" spans="8:22" ht="40.15" customHeight="1" thickBot="1">
      <c r="H48" s="865" t="s">
        <v>664</v>
      </c>
      <c r="I48" s="866"/>
      <c r="J48" s="756">
        <v>1</v>
      </c>
      <c r="K48" s="752">
        <f t="shared" ref="K48:K53" si="10">100%-K37</f>
        <v>1</v>
      </c>
      <c r="L48" s="754">
        <f t="shared" si="5"/>
        <v>1</v>
      </c>
      <c r="N48" s="757">
        <f t="shared" si="6"/>
        <v>0.7</v>
      </c>
      <c r="O48" s="755">
        <f t="shared" si="7"/>
        <v>0.7</v>
      </c>
      <c r="Q48" s="757">
        <f t="shared" si="8"/>
        <v>0.5</v>
      </c>
      <c r="R48" s="754">
        <f t="shared" si="9"/>
        <v>0.5</v>
      </c>
    </row>
    <row r="49" spans="8:18" ht="40.15" customHeight="1" thickTop="1" thickBot="1">
      <c r="H49" s="758" t="s">
        <v>665</v>
      </c>
      <c r="J49" s="751">
        <f>J38</f>
        <v>33149.78</v>
      </c>
      <c r="K49" s="752">
        <f t="shared" si="10"/>
        <v>0.8</v>
      </c>
      <c r="L49" s="753">
        <f t="shared" si="5"/>
        <v>26519.824000000001</v>
      </c>
      <c r="N49" s="754">
        <f t="shared" si="6"/>
        <v>23204.845999999998</v>
      </c>
      <c r="O49" s="755">
        <f>N49*K49</f>
        <v>18563.876799999998</v>
      </c>
      <c r="Q49" s="754">
        <f t="shared" si="8"/>
        <v>16574.89</v>
      </c>
      <c r="R49" s="754">
        <f t="shared" si="9"/>
        <v>13259.912</v>
      </c>
    </row>
    <row r="50" spans="8:18" ht="40.15" customHeight="1" thickTop="1">
      <c r="H50" s="859" t="s">
        <v>666</v>
      </c>
      <c r="I50" s="860"/>
      <c r="J50" s="756">
        <v>0</v>
      </c>
      <c r="K50" s="752">
        <f t="shared" si="10"/>
        <v>0.8</v>
      </c>
      <c r="L50" s="754">
        <f t="shared" si="5"/>
        <v>0</v>
      </c>
      <c r="N50" s="757">
        <f t="shared" si="6"/>
        <v>0</v>
      </c>
      <c r="O50" s="755">
        <f t="shared" si="7"/>
        <v>0</v>
      </c>
      <c r="Q50" s="757">
        <f t="shared" si="8"/>
        <v>0</v>
      </c>
      <c r="R50" s="754">
        <f t="shared" si="9"/>
        <v>0</v>
      </c>
    </row>
    <row r="51" spans="8:18" ht="40.15" customHeight="1">
      <c r="H51" s="859" t="s">
        <v>667</v>
      </c>
      <c r="I51" s="860"/>
      <c r="J51" s="751">
        <f>J40</f>
        <v>63963.130000000005</v>
      </c>
      <c r="K51" s="752">
        <f t="shared" si="10"/>
        <v>0.19999999999999996</v>
      </c>
      <c r="L51" s="753">
        <f t="shared" si="5"/>
        <v>12792.625999999998</v>
      </c>
      <c r="N51" s="754">
        <f t="shared" si="6"/>
        <v>44774.190999999999</v>
      </c>
      <c r="O51" s="755">
        <f>N51*K51</f>
        <v>8954.8381999999983</v>
      </c>
      <c r="Q51" s="754">
        <f t="shared" si="8"/>
        <v>31981.565000000002</v>
      </c>
      <c r="R51" s="754">
        <f>Q51*K51</f>
        <v>6396.3129999999992</v>
      </c>
    </row>
    <row r="52" spans="8:18" ht="40.15" customHeight="1">
      <c r="H52" s="861" t="s">
        <v>668</v>
      </c>
      <c r="I52" s="861"/>
      <c r="J52" s="756">
        <v>1</v>
      </c>
      <c r="K52" s="752">
        <f t="shared" si="10"/>
        <v>1</v>
      </c>
      <c r="L52" s="754">
        <f t="shared" si="5"/>
        <v>1</v>
      </c>
      <c r="N52" s="757">
        <f t="shared" si="6"/>
        <v>0.7</v>
      </c>
      <c r="O52" s="755">
        <f t="shared" si="7"/>
        <v>0.7</v>
      </c>
      <c r="Q52" s="757">
        <f t="shared" si="8"/>
        <v>0.5</v>
      </c>
      <c r="R52" s="754">
        <f t="shared" si="9"/>
        <v>0.5</v>
      </c>
    </row>
    <row r="53" spans="8:18" ht="40.15" customHeight="1">
      <c r="H53" s="859" t="s">
        <v>669</v>
      </c>
      <c r="I53" s="860"/>
      <c r="J53" s="759">
        <v>0</v>
      </c>
      <c r="K53" s="752">
        <f t="shared" si="10"/>
        <v>0.9</v>
      </c>
      <c r="L53" s="760">
        <f t="shared" si="5"/>
        <v>0</v>
      </c>
      <c r="N53" s="754">
        <f t="shared" si="6"/>
        <v>0</v>
      </c>
      <c r="O53" s="755">
        <f t="shared" si="7"/>
        <v>0</v>
      </c>
      <c r="Q53" s="761">
        <f t="shared" si="8"/>
        <v>0</v>
      </c>
      <c r="R53" s="761">
        <f t="shared" si="9"/>
        <v>0</v>
      </c>
    </row>
    <row r="54" spans="8:18" ht="40.15" customHeight="1">
      <c r="H54" s="762" t="s">
        <v>670</v>
      </c>
      <c r="I54" s="588"/>
      <c r="J54" s="763">
        <f>SUM(J47:J53)</f>
        <v>97115.91</v>
      </c>
      <c r="K54" s="764"/>
      <c r="L54" s="765">
        <f>SUM(L47:L53)</f>
        <v>39315.449999999997</v>
      </c>
      <c r="M54" s="588"/>
      <c r="N54" s="766">
        <f>SUM(N47:N53)</f>
        <v>67981.137000000002</v>
      </c>
      <c r="O54" s="765">
        <f>SUM(O47:O53)</f>
        <v>27520.814999999999</v>
      </c>
      <c r="P54" s="588"/>
      <c r="Q54" s="766">
        <f>SUM(Q47:Q53)</f>
        <v>48557.955000000002</v>
      </c>
      <c r="R54" s="765">
        <f>SUM(R47:R53)</f>
        <v>19657.724999999999</v>
      </c>
    </row>
    <row r="55" spans="8:18" ht="40.15" customHeight="1">
      <c r="H55" t="s">
        <v>672</v>
      </c>
      <c r="J55" t="s">
        <v>673</v>
      </c>
    </row>
    <row r="56" spans="8:18" ht="40.15" customHeight="1" thickBot="1">
      <c r="H56" s="859" t="s">
        <v>667</v>
      </c>
      <c r="I56" s="860"/>
      <c r="J56" s="767">
        <f>J54</f>
        <v>97115.91</v>
      </c>
      <c r="K56" s="790" t="s">
        <v>657</v>
      </c>
    </row>
    <row r="57" spans="8:18" ht="40.15" customHeight="1" thickTop="1" thickBot="1">
      <c r="H57" s="768" t="s">
        <v>665</v>
      </c>
      <c r="I57" s="792"/>
      <c r="J57" s="761">
        <f>-J49</f>
        <v>-33149.78</v>
      </c>
      <c r="K57" s="790"/>
    </row>
    <row r="58" spans="8:18" ht="14.45" thickTop="1">
      <c r="J58" s="767">
        <f>J57+J56</f>
        <v>63966.130000000005</v>
      </c>
    </row>
    <row r="59" spans="8:18" ht="18">
      <c r="I59" s="752">
        <v>0.2</v>
      </c>
      <c r="J59" s="761">
        <f>-J58*I59</f>
        <v>-12793.226000000002</v>
      </c>
      <c r="K59" s="767">
        <f>-J59</f>
        <v>12793.226000000002</v>
      </c>
    </row>
    <row r="60" spans="8:18">
      <c r="J60" s="767">
        <f>J58+J59</f>
        <v>51172.904000000002</v>
      </c>
    </row>
    <row r="62" spans="8:18">
      <c r="H62" t="s">
        <v>674</v>
      </c>
      <c r="J62" s="769">
        <v>-20000</v>
      </c>
    </row>
    <row r="63" spans="8:18">
      <c r="J63" s="770">
        <f>J60+J62</f>
        <v>31172.904000000002</v>
      </c>
    </row>
    <row r="64" spans="8:18">
      <c r="J64" s="770"/>
    </row>
    <row r="65" spans="8:17">
      <c r="H65" t="s">
        <v>675</v>
      </c>
      <c r="J65" s="770">
        <v>14000</v>
      </c>
      <c r="K65" s="767">
        <f>-J65</f>
        <v>-14000</v>
      </c>
    </row>
    <row r="66" spans="8:17">
      <c r="J66" s="769">
        <v>1</v>
      </c>
    </row>
    <row r="67" spans="8:17">
      <c r="J67" s="770">
        <f>J63+J65</f>
        <v>45172.904000000002</v>
      </c>
    </row>
    <row r="68" spans="8:17">
      <c r="H68" t="s">
        <v>674</v>
      </c>
      <c r="J68" s="769">
        <v>7000</v>
      </c>
    </row>
    <row r="69" spans="8:17">
      <c r="J69" s="769"/>
    </row>
    <row r="70" spans="8:17">
      <c r="J70" s="770">
        <f>J67+J68</f>
        <v>52172.904000000002</v>
      </c>
    </row>
    <row r="71" spans="8:17">
      <c r="J71" s="770"/>
    </row>
    <row r="72" spans="8:17" ht="14.45" thickBot="1">
      <c r="J72" s="770"/>
    </row>
    <row r="73" spans="8:17" ht="15" thickTop="1" thickBot="1">
      <c r="H73" s="758" t="s">
        <v>665</v>
      </c>
    </row>
    <row r="74" spans="8:17" ht="15.6" thickTop="1">
      <c r="I74" s="751">
        <f>J49</f>
        <v>33149.78</v>
      </c>
    </row>
    <row r="75" spans="8:17" ht="18">
      <c r="I75" s="752">
        <v>0.2</v>
      </c>
      <c r="J75" s="769">
        <f>I74*I75</f>
        <v>6629.9560000000001</v>
      </c>
      <c r="K75" s="761">
        <f>I74-J75</f>
        <v>26519.824000000001</v>
      </c>
    </row>
    <row r="76" spans="8:17" ht="15">
      <c r="J76" s="767">
        <f>J70+J75</f>
        <v>58802.86</v>
      </c>
      <c r="K76" s="767">
        <f>SUM(K59:K75)</f>
        <v>25313.050000000003</v>
      </c>
      <c r="N76" s="771">
        <v>33150</v>
      </c>
    </row>
    <row r="77" spans="8:17" ht="15">
      <c r="N77" s="771">
        <v>36917.18</v>
      </c>
      <c r="Q77" s="767">
        <f>N77</f>
        <v>36917.18</v>
      </c>
    </row>
    <row r="78" spans="8:17">
      <c r="N78" s="770">
        <f>N76+N77</f>
        <v>70067.179999999993</v>
      </c>
      <c r="Q78" s="767">
        <f>K82</f>
        <v>7836.7299999999959</v>
      </c>
    </row>
    <row r="79" spans="8:17">
      <c r="N79" s="770">
        <v>20000</v>
      </c>
      <c r="Q79" s="767">
        <f>+Q77+Q78</f>
        <v>44753.909999999996</v>
      </c>
    </row>
    <row r="80" spans="8:17">
      <c r="J80" s="767">
        <f>J76+K76</f>
        <v>84115.91</v>
      </c>
      <c r="K80" s="767">
        <f>I74</f>
        <v>33149.78</v>
      </c>
      <c r="L80" t="s">
        <v>676</v>
      </c>
      <c r="N80" s="770">
        <f>N78+N79</f>
        <v>90067.18</v>
      </c>
      <c r="Q80" s="767">
        <f>+N81</f>
        <v>7048.7300000000105</v>
      </c>
    </row>
    <row r="81" spans="10:17">
      <c r="J81" s="761">
        <f>-J62</f>
        <v>20000</v>
      </c>
      <c r="K81" s="767">
        <f>-K76</f>
        <v>-25313.050000000003</v>
      </c>
      <c r="L81" t="s">
        <v>677</v>
      </c>
      <c r="N81" s="767">
        <f>J84-N80</f>
        <v>7048.7300000000105</v>
      </c>
      <c r="O81" t="s">
        <v>678</v>
      </c>
    </row>
    <row r="82" spans="10:17">
      <c r="J82" s="767">
        <f>J80+J81</f>
        <v>104115.91</v>
      </c>
      <c r="K82" s="767">
        <f>K80+K81</f>
        <v>7836.7299999999959</v>
      </c>
      <c r="L82" t="s">
        <v>679</v>
      </c>
      <c r="N82" s="767">
        <f>+N80+N81</f>
        <v>97115.91</v>
      </c>
      <c r="Q82" s="767">
        <f>SUM(Q79:Q81)</f>
        <v>51802.640000000007</v>
      </c>
    </row>
    <row r="83" spans="10:17">
      <c r="J83" s="761">
        <f>-J68</f>
        <v>-7000</v>
      </c>
    </row>
    <row r="84" spans="10:17">
      <c r="J84" s="767">
        <f>J82+J83</f>
        <v>97115.91</v>
      </c>
    </row>
  </sheetData>
  <mergeCells count="56">
    <mergeCell ref="B14:C14"/>
    <mergeCell ref="D14:E14"/>
    <mergeCell ref="A1:F1"/>
    <mergeCell ref="A8:F8"/>
    <mergeCell ref="A9:F9"/>
    <mergeCell ref="A10:F10"/>
    <mergeCell ref="B13:C13"/>
    <mergeCell ref="B15:C15"/>
    <mergeCell ref="D15:E15"/>
    <mergeCell ref="B16:C16"/>
    <mergeCell ref="D16:E16"/>
    <mergeCell ref="B17:C17"/>
    <mergeCell ref="D17:E17"/>
    <mergeCell ref="B18:C18"/>
    <mergeCell ref="D18:E18"/>
    <mergeCell ref="O20:O23"/>
    <mergeCell ref="P20:R20"/>
    <mergeCell ref="J21:J23"/>
    <mergeCell ref="N21:N23"/>
    <mergeCell ref="P21:R21"/>
    <mergeCell ref="P22:R22"/>
    <mergeCell ref="P23:R23"/>
    <mergeCell ref="M24:N24"/>
    <mergeCell ref="O24:R24"/>
    <mergeCell ref="M25:N25"/>
    <mergeCell ref="P25:R25"/>
    <mergeCell ref="M26:N26"/>
    <mergeCell ref="P26:R26"/>
    <mergeCell ref="M27:N27"/>
    <mergeCell ref="P27:R27"/>
    <mergeCell ref="M28:N28"/>
    <mergeCell ref="P28:R28"/>
    <mergeCell ref="M29:N29"/>
    <mergeCell ref="P29:R29"/>
    <mergeCell ref="H42:I42"/>
    <mergeCell ref="M30:N30"/>
    <mergeCell ref="M31:N31"/>
    <mergeCell ref="M32:N32"/>
    <mergeCell ref="H33:R33"/>
    <mergeCell ref="H34:I35"/>
    <mergeCell ref="J34:L34"/>
    <mergeCell ref="H36:I36"/>
    <mergeCell ref="H37:I37"/>
    <mergeCell ref="H39:I39"/>
    <mergeCell ref="H40:I40"/>
    <mergeCell ref="H41:I41"/>
    <mergeCell ref="J45:L45"/>
    <mergeCell ref="K46:L46"/>
    <mergeCell ref="H47:I47"/>
    <mergeCell ref="H48:I48"/>
    <mergeCell ref="H50:I50"/>
    <mergeCell ref="H51:I51"/>
    <mergeCell ref="H52:I52"/>
    <mergeCell ref="H53:I53"/>
    <mergeCell ref="H56:I56"/>
    <mergeCell ref="H45:I46"/>
  </mergeCells>
  <printOptions gridLines="1"/>
  <pageMargins left="0.25" right="0.15" top="0.34" bottom="0.25" header="0.25" footer="0.08"/>
  <pageSetup orientation="landscape" r:id="rId1"/>
  <headerFooter>
    <oddFooter>&amp;LPage # &amp;P of &amp;N   &amp;A&amp;C&amp;D&amp;T&amp;R&amp;F</oddFooter>
  </headerFooter>
  <rowBreaks count="1" manualBreakCount="1">
    <brk id="54" min="7" max="17" man="1"/>
  </rowBreaks>
  <colBreaks count="1" manualBreakCount="1">
    <brk id="7" max="5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2BC7-1B7B-4E9F-B9B9-D651726AC25B}">
  <sheetPr codeName="Sheet13">
    <tabColor rgb="FFFFFF00"/>
  </sheetPr>
  <dimension ref="A1:K232"/>
  <sheetViews>
    <sheetView tabSelected="1" workbookViewId="0">
      <selection activeCell="B7" sqref="B7"/>
    </sheetView>
  </sheetViews>
  <sheetFormatPr defaultRowHeight="13.9"/>
  <cols>
    <col min="2" max="2" width="65.875" bestFit="1" customWidth="1"/>
    <col min="3" max="3" width="2" customWidth="1"/>
    <col min="4" max="4" width="27.875" customWidth="1"/>
    <col min="5" max="5" width="2.75" customWidth="1"/>
    <col min="6" max="6" width="6.625" customWidth="1"/>
    <col min="7" max="7" width="46" bestFit="1" customWidth="1"/>
    <col min="8" max="8" width="47.25" customWidth="1"/>
    <col min="10" max="10" width="23.625" bestFit="1" customWidth="1"/>
    <col min="11" max="11" width="15.75" style="335" customWidth="1"/>
  </cols>
  <sheetData>
    <row r="1" spans="1:11">
      <c r="D1" t="s">
        <v>680</v>
      </c>
    </row>
    <row r="2" spans="1:11">
      <c r="A2" t="s">
        <v>681</v>
      </c>
      <c r="B2" t="s">
        <v>682</v>
      </c>
      <c r="D2" s="552" t="s">
        <v>683</v>
      </c>
    </row>
    <row r="3" spans="1:11">
      <c r="B3" t="s">
        <v>684</v>
      </c>
    </row>
    <row r="4" spans="1:11">
      <c r="B4" t="s">
        <v>685</v>
      </c>
    </row>
    <row r="5" spans="1:11">
      <c r="B5" s="552" t="s">
        <v>686</v>
      </c>
    </row>
    <row r="6" spans="1:11">
      <c r="B6" s="552"/>
    </row>
    <row r="7" spans="1:11">
      <c r="B7" s="552"/>
    </row>
    <row r="8" spans="1:11">
      <c r="A8" t="s">
        <v>681</v>
      </c>
      <c r="B8" s="432" t="s">
        <v>687</v>
      </c>
      <c r="D8" s="539" t="s">
        <v>688</v>
      </c>
    </row>
    <row r="9" spans="1:11">
      <c r="B9" s="539" t="s">
        <v>688</v>
      </c>
      <c r="K9" s="548" t="s">
        <v>263</v>
      </c>
    </row>
    <row r="10" spans="1:11">
      <c r="B10" s="431" t="s">
        <v>689</v>
      </c>
      <c r="K10" s="548"/>
    </row>
    <row r="11" spans="1:11">
      <c r="B11" s="1" t="s">
        <v>690</v>
      </c>
      <c r="K11" s="548"/>
    </row>
    <row r="12" spans="1:11">
      <c r="B12" s="1" t="s">
        <v>691</v>
      </c>
      <c r="K12" s="548" t="s">
        <v>278</v>
      </c>
    </row>
    <row r="13" spans="1:11">
      <c r="B13" s="1" t="s">
        <v>692</v>
      </c>
      <c r="D13" s="539"/>
      <c r="K13" s="548" t="s">
        <v>693</v>
      </c>
    </row>
    <row r="14" spans="1:11">
      <c r="B14" s="1" t="s">
        <v>263</v>
      </c>
      <c r="K14" s="548" t="s">
        <v>694</v>
      </c>
    </row>
    <row r="15" spans="1:11">
      <c r="B15" s="1" t="s">
        <v>278</v>
      </c>
      <c r="K15" s="548" t="s">
        <v>695</v>
      </c>
    </row>
    <row r="16" spans="1:11">
      <c r="B16" s="1" t="s">
        <v>294</v>
      </c>
      <c r="K16" s="548" t="s">
        <v>696</v>
      </c>
    </row>
    <row r="17" spans="2:11">
      <c r="B17" s="1" t="s">
        <v>697</v>
      </c>
      <c r="K17" s="548" t="s">
        <v>698</v>
      </c>
    </row>
    <row r="18" spans="2:11">
      <c r="B18" s="556" t="s">
        <v>321</v>
      </c>
      <c r="K18" s="548" t="s">
        <v>320</v>
      </c>
    </row>
    <row r="19" spans="2:11">
      <c r="B19" s="1" t="s">
        <v>699</v>
      </c>
      <c r="K19" s="548" t="s">
        <v>700</v>
      </c>
    </row>
    <row r="20" spans="2:11">
      <c r="B20" s="1" t="s">
        <v>698</v>
      </c>
      <c r="K20" s="548" t="s">
        <v>701</v>
      </c>
    </row>
    <row r="21" spans="2:11">
      <c r="B21" s="1" t="s">
        <v>702</v>
      </c>
      <c r="K21" s="548"/>
    </row>
    <row r="22" spans="2:11">
      <c r="B22" s="1" t="s">
        <v>703</v>
      </c>
      <c r="K22" s="548"/>
    </row>
    <row r="23" spans="2:11">
      <c r="B23" s="1" t="s">
        <v>704</v>
      </c>
      <c r="K23" s="548"/>
    </row>
    <row r="24" spans="2:11">
      <c r="B24" s="1" t="s">
        <v>300</v>
      </c>
      <c r="K24" s="548"/>
    </row>
    <row r="25" spans="2:11">
      <c r="B25" s="1" t="s">
        <v>705</v>
      </c>
      <c r="K25" s="548"/>
    </row>
    <row r="26" spans="2:11">
      <c r="B26" s="1"/>
      <c r="K26" s="548"/>
    </row>
    <row r="27" spans="2:11">
      <c r="B27" s="182" t="s">
        <v>706</v>
      </c>
      <c r="K27" s="548"/>
    </row>
    <row r="28" spans="2:11">
      <c r="B28" s="515" t="s">
        <v>707</v>
      </c>
      <c r="K28" s="548"/>
    </row>
    <row r="29" spans="2:11">
      <c r="B29" s="515" t="s">
        <v>708</v>
      </c>
      <c r="K29" s="548"/>
    </row>
    <row r="30" spans="2:11">
      <c r="B30" s="1" t="s">
        <v>709</v>
      </c>
      <c r="K30" s="548"/>
    </row>
    <row r="31" spans="2:11">
      <c r="B31" s="1" t="s">
        <v>710</v>
      </c>
      <c r="K31" s="548"/>
    </row>
    <row r="32" spans="2:11">
      <c r="B32" s="1" t="s">
        <v>711</v>
      </c>
      <c r="K32" s="548"/>
    </row>
    <row r="33" spans="2:11">
      <c r="B33" s="1" t="s">
        <v>712</v>
      </c>
      <c r="K33" s="548"/>
    </row>
    <row r="34" spans="2:11">
      <c r="B34" s="1" t="s">
        <v>713</v>
      </c>
      <c r="K34" s="548"/>
    </row>
    <row r="35" spans="2:11">
      <c r="B35" s="539" t="s">
        <v>714</v>
      </c>
      <c r="K35" s="548"/>
    </row>
    <row r="36" spans="2:11">
      <c r="B36" s="1" t="s">
        <v>705</v>
      </c>
      <c r="K36" s="548"/>
    </row>
    <row r="37" spans="2:11">
      <c r="B37" s="539"/>
      <c r="K37" s="548"/>
    </row>
    <row r="38" spans="2:11">
      <c r="B38" s="1"/>
      <c r="K38" s="548"/>
    </row>
    <row r="39" spans="2:11">
      <c r="B39" s="182" t="s">
        <v>715</v>
      </c>
      <c r="K39" s="548"/>
    </row>
    <row r="40" spans="2:11">
      <c r="B40" s="787"/>
      <c r="K40" s="548"/>
    </row>
    <row r="41" spans="2:11">
      <c r="B41" s="515" t="s">
        <v>305</v>
      </c>
      <c r="K41" s="548"/>
    </row>
    <row r="42" spans="2:11">
      <c r="B42" s="515" t="s">
        <v>309</v>
      </c>
      <c r="K42" s="548"/>
    </row>
    <row r="43" spans="2:11">
      <c r="B43" s="515" t="s">
        <v>314</v>
      </c>
      <c r="K43" s="548"/>
    </row>
    <row r="44" spans="2:11">
      <c r="B44" s="1" t="s">
        <v>320</v>
      </c>
      <c r="K44" s="548" t="s">
        <v>716</v>
      </c>
    </row>
    <row r="45" spans="2:11">
      <c r="B45" s="1" t="s">
        <v>326</v>
      </c>
      <c r="K45" s="548" t="s">
        <v>709</v>
      </c>
    </row>
    <row r="46" spans="2:11" ht="16.149999999999999" customHeight="1">
      <c r="B46" s="555" t="s">
        <v>332</v>
      </c>
      <c r="K46" s="548" t="s">
        <v>717</v>
      </c>
    </row>
    <row r="47" spans="2:11">
      <c r="B47" s="1" t="s">
        <v>336</v>
      </c>
      <c r="K47" s="548" t="s">
        <v>718</v>
      </c>
    </row>
    <row r="48" spans="2:11">
      <c r="B48" s="1" t="s">
        <v>719</v>
      </c>
      <c r="K48" s="548"/>
    </row>
    <row r="49" spans="2:11">
      <c r="B49" s="1" t="s">
        <v>709</v>
      </c>
      <c r="K49" s="548" t="s">
        <v>713</v>
      </c>
    </row>
    <row r="50" spans="2:11">
      <c r="B50" s="1" t="s">
        <v>710</v>
      </c>
      <c r="K50" s="548" t="s">
        <v>690</v>
      </c>
    </row>
    <row r="51" spans="2:11">
      <c r="B51" s="1" t="s">
        <v>711</v>
      </c>
      <c r="K51" s="548"/>
    </row>
    <row r="52" spans="2:11">
      <c r="B52" s="1" t="s">
        <v>712</v>
      </c>
      <c r="K52" s="548" t="s">
        <v>720</v>
      </c>
    </row>
    <row r="53" spans="2:11">
      <c r="B53" s="1"/>
      <c r="K53" s="548"/>
    </row>
    <row r="54" spans="2:11">
      <c r="B54" s="182" t="s">
        <v>721</v>
      </c>
      <c r="K54" s="548"/>
    </row>
    <row r="55" spans="2:11">
      <c r="B55" s="1" t="s">
        <v>713</v>
      </c>
    </row>
    <row r="56" spans="2:11">
      <c r="B56" s="515" t="s">
        <v>722</v>
      </c>
    </row>
    <row r="57" spans="2:11">
      <c r="B57" s="1" t="s">
        <v>723</v>
      </c>
      <c r="J57" s="1"/>
    </row>
    <row r="58" spans="2:11">
      <c r="B58" s="1" t="s">
        <v>713</v>
      </c>
    </row>
    <row r="60" spans="2:11">
      <c r="B60" s="182" t="s">
        <v>724</v>
      </c>
    </row>
    <row r="61" spans="2:11" ht="14.45">
      <c r="B61" s="557" t="s">
        <v>725</v>
      </c>
    </row>
    <row r="62" spans="2:11">
      <c r="B62" s="515" t="s">
        <v>340</v>
      </c>
    </row>
    <row r="63" spans="2:11">
      <c r="B63" s="515" t="s">
        <v>726</v>
      </c>
    </row>
    <row r="64" spans="2:11">
      <c r="B64" s="515" t="s">
        <v>727</v>
      </c>
    </row>
    <row r="65" spans="2:2">
      <c r="B65" s="515" t="s">
        <v>728</v>
      </c>
    </row>
    <row r="66" spans="2:2">
      <c r="B66" s="515" t="s">
        <v>729</v>
      </c>
    </row>
    <row r="67" spans="2:2" ht="14.45">
      <c r="B67" s="557" t="s">
        <v>347</v>
      </c>
    </row>
    <row r="68" spans="2:2">
      <c r="B68" t="s">
        <v>350</v>
      </c>
    </row>
    <row r="69" spans="2:2">
      <c r="B69" t="s">
        <v>354</v>
      </c>
    </row>
    <row r="71" spans="2:2">
      <c r="B71" s="432" t="s">
        <v>730</v>
      </c>
    </row>
    <row r="72" spans="2:2">
      <c r="B72" t="s">
        <v>731</v>
      </c>
    </row>
    <row r="73" spans="2:2">
      <c r="B73" t="s">
        <v>732</v>
      </c>
    </row>
    <row r="74" spans="2:2">
      <c r="B74" t="s">
        <v>733</v>
      </c>
    </row>
    <row r="75" spans="2:2">
      <c r="B75" t="s">
        <v>734</v>
      </c>
    </row>
    <row r="77" spans="2:2">
      <c r="B77" s="432" t="s">
        <v>542</v>
      </c>
    </row>
    <row r="78" spans="2:2">
      <c r="B78" s="209" t="s">
        <v>735</v>
      </c>
    </row>
    <row r="79" spans="2:2">
      <c r="B79" s="209" t="s">
        <v>736</v>
      </c>
    </row>
    <row r="80" spans="2:2">
      <c r="B80" s="209" t="s">
        <v>737</v>
      </c>
    </row>
    <row r="82" spans="2:7">
      <c r="B82" s="558" t="s">
        <v>738</v>
      </c>
    </row>
    <row r="83" spans="2:7">
      <c r="B83" s="558" t="s">
        <v>739</v>
      </c>
    </row>
    <row r="85" spans="2:7">
      <c r="B85" s="432" t="s">
        <v>740</v>
      </c>
    </row>
    <row r="86" spans="2:7">
      <c r="B86" t="s">
        <v>741</v>
      </c>
      <c r="G86" s="510"/>
    </row>
    <row r="87" spans="2:7" ht="15">
      <c r="B87" t="s">
        <v>742</v>
      </c>
      <c r="G87" s="541"/>
    </row>
    <row r="88" spans="2:7">
      <c r="B88" t="s">
        <v>743</v>
      </c>
      <c r="G88" s="510"/>
    </row>
    <row r="89" spans="2:7">
      <c r="G89" s="510"/>
    </row>
    <row r="90" spans="2:7">
      <c r="B90" t="s">
        <v>680</v>
      </c>
      <c r="G90" s="510"/>
    </row>
    <row r="91" spans="2:7">
      <c r="G91" s="510"/>
    </row>
    <row r="92" spans="2:7">
      <c r="B92" s="432" t="s">
        <v>744</v>
      </c>
      <c r="G92" s="510"/>
    </row>
    <row r="93" spans="2:7">
      <c r="B93" t="s">
        <v>745</v>
      </c>
      <c r="G93" s="510"/>
    </row>
    <row r="94" spans="2:7">
      <c r="B94" t="s">
        <v>746</v>
      </c>
      <c r="G94" s="510"/>
    </row>
    <row r="95" spans="2:7">
      <c r="B95" t="s">
        <v>747</v>
      </c>
      <c r="G95" s="510"/>
    </row>
    <row r="96" spans="2:7">
      <c r="G96" s="510"/>
    </row>
    <row r="97" spans="2:7">
      <c r="G97" s="510"/>
    </row>
    <row r="98" spans="2:7">
      <c r="B98" s="544" t="s">
        <v>748</v>
      </c>
      <c r="G98" s="539"/>
    </row>
    <row r="99" spans="2:7">
      <c r="B99" s="544" t="s">
        <v>749</v>
      </c>
      <c r="G99" s="539"/>
    </row>
    <row r="100" spans="2:7">
      <c r="B100" s="544" t="s">
        <v>750</v>
      </c>
      <c r="D100" s="539"/>
      <c r="G100" s="539"/>
    </row>
    <row r="101" spans="2:7">
      <c r="B101" s="544" t="s">
        <v>751</v>
      </c>
      <c r="D101" s="539"/>
      <c r="G101" s="539"/>
    </row>
    <row r="102" spans="2:7">
      <c r="B102" s="544" t="s">
        <v>752</v>
      </c>
      <c r="D102" s="539"/>
      <c r="G102" s="539"/>
    </row>
    <row r="103" spans="2:7">
      <c r="B103" s="544" t="s">
        <v>753</v>
      </c>
      <c r="D103" s="539"/>
      <c r="G103" s="539"/>
    </row>
    <row r="104" spans="2:7">
      <c r="D104" s="539"/>
      <c r="G104" s="539"/>
    </row>
    <row r="105" spans="2:7">
      <c r="D105" s="539"/>
      <c r="G105" s="539"/>
    </row>
    <row r="106" spans="2:7">
      <c r="D106" s="539"/>
      <c r="G106" s="539"/>
    </row>
    <row r="107" spans="2:7">
      <c r="D107" s="539"/>
      <c r="G107" s="539"/>
    </row>
    <row r="108" spans="2:7">
      <c r="D108" s="539"/>
      <c r="G108" s="539"/>
    </row>
    <row r="109" spans="2:7">
      <c r="D109" s="539"/>
      <c r="G109" s="539"/>
    </row>
    <row r="110" spans="2:7">
      <c r="D110" s="539"/>
      <c r="G110" s="539"/>
    </row>
    <row r="111" spans="2:7">
      <c r="D111" s="539"/>
      <c r="G111" s="539"/>
    </row>
    <row r="112" spans="2:7">
      <c r="D112" s="539"/>
      <c r="G112" s="539"/>
    </row>
    <row r="113" spans="2:7">
      <c r="D113" s="539"/>
      <c r="G113" s="539"/>
    </row>
    <row r="114" spans="2:7">
      <c r="D114" s="539"/>
      <c r="G114" s="539"/>
    </row>
    <row r="115" spans="2:7">
      <c r="D115" s="539"/>
      <c r="G115" s="539"/>
    </row>
    <row r="116" spans="2:7">
      <c r="D116" s="539"/>
      <c r="G116" s="539"/>
    </row>
    <row r="117" spans="2:7">
      <c r="D117" s="539"/>
      <c r="G117" s="539"/>
    </row>
    <row r="118" spans="2:7">
      <c r="D118" s="539"/>
      <c r="G118" s="539"/>
    </row>
    <row r="119" spans="2:7">
      <c r="D119" s="539"/>
      <c r="G119" s="539"/>
    </row>
    <row r="120" spans="2:7">
      <c r="D120" s="539"/>
      <c r="G120" s="539"/>
    </row>
    <row r="121" spans="2:7">
      <c r="B121" s="552" t="s">
        <v>686</v>
      </c>
      <c r="D121" s="539"/>
      <c r="G121" s="539"/>
    </row>
    <row r="122" spans="2:7">
      <c r="B122" s="548"/>
      <c r="D122" s="539"/>
      <c r="G122" s="539"/>
    </row>
    <row r="123" spans="2:7">
      <c r="B123" s="552" t="s">
        <v>754</v>
      </c>
      <c r="D123" s="539"/>
      <c r="G123" s="539"/>
    </row>
    <row r="124" spans="2:7">
      <c r="B124" s="548"/>
      <c r="D124" s="539"/>
      <c r="G124" s="539"/>
    </row>
    <row r="125" spans="2:7">
      <c r="D125" s="539"/>
      <c r="G125" s="539"/>
    </row>
    <row r="126" spans="2:7">
      <c r="D126" s="539"/>
      <c r="G126" s="539"/>
    </row>
    <row r="127" spans="2:7">
      <c r="D127" s="539"/>
      <c r="G127" s="539"/>
    </row>
    <row r="128" spans="2:7">
      <c r="B128" s="544" t="s">
        <v>755</v>
      </c>
      <c r="D128" s="539" t="s">
        <v>756</v>
      </c>
      <c r="G128" s="539"/>
    </row>
    <row r="129" spans="2:7">
      <c r="B129" s="544" t="s">
        <v>757</v>
      </c>
      <c r="D129" s="539" t="s">
        <v>758</v>
      </c>
      <c r="G129" s="539"/>
    </row>
    <row r="130" spans="2:7">
      <c r="B130" s="544" t="s">
        <v>759</v>
      </c>
      <c r="D130" s="539" t="s">
        <v>760</v>
      </c>
      <c r="G130" s="539"/>
    </row>
    <row r="131" spans="2:7">
      <c r="B131" s="544" t="s">
        <v>761</v>
      </c>
      <c r="G131" s="539"/>
    </row>
    <row r="132" spans="2:7">
      <c r="B132" s="544" t="s">
        <v>762</v>
      </c>
      <c r="D132" s="539" t="s">
        <v>763</v>
      </c>
      <c r="G132" s="539"/>
    </row>
    <row r="133" spans="2:7">
      <c r="B133" s="544" t="s">
        <v>764</v>
      </c>
      <c r="D133" s="539" t="s">
        <v>765</v>
      </c>
      <c r="G133" s="539"/>
    </row>
    <row r="134" spans="2:7">
      <c r="B134" s="544" t="s">
        <v>766</v>
      </c>
      <c r="D134" s="539" t="s">
        <v>767</v>
      </c>
      <c r="G134" s="539"/>
    </row>
    <row r="135" spans="2:7">
      <c r="B135" s="544" t="s">
        <v>768</v>
      </c>
      <c r="D135" s="539" t="s">
        <v>769</v>
      </c>
      <c r="G135" s="539"/>
    </row>
    <row r="136" spans="2:7">
      <c r="B136" s="544" t="s">
        <v>770</v>
      </c>
      <c r="D136" s="539" t="s">
        <v>771</v>
      </c>
      <c r="G136" s="539"/>
    </row>
    <row r="137" spans="2:7">
      <c r="B137" s="544" t="s">
        <v>772</v>
      </c>
      <c r="D137" s="539" t="s">
        <v>773</v>
      </c>
      <c r="G137" s="539"/>
    </row>
    <row r="138" spans="2:7">
      <c r="B138" s="544" t="s">
        <v>774</v>
      </c>
      <c r="D138" s="539" t="s">
        <v>775</v>
      </c>
      <c r="G138" s="539"/>
    </row>
    <row r="139" spans="2:7">
      <c r="B139" s="544" t="s">
        <v>776</v>
      </c>
      <c r="D139" s="539" t="s">
        <v>729</v>
      </c>
      <c r="G139" s="539"/>
    </row>
    <row r="140" spans="2:7">
      <c r="B140" s="544" t="s">
        <v>777</v>
      </c>
      <c r="D140" s="539" t="s">
        <v>778</v>
      </c>
      <c r="G140" s="539"/>
    </row>
    <row r="141" spans="2:7">
      <c r="B141" s="544" t="s">
        <v>779</v>
      </c>
      <c r="D141" s="539" t="s">
        <v>780</v>
      </c>
      <c r="G141" s="539"/>
    </row>
    <row r="142" spans="2:7">
      <c r="B142" s="544" t="s">
        <v>748</v>
      </c>
      <c r="D142" s="539" t="s">
        <v>781</v>
      </c>
      <c r="G142" s="539"/>
    </row>
    <row r="143" spans="2:7">
      <c r="B143" s="544" t="s">
        <v>749</v>
      </c>
      <c r="D143" s="539" t="s">
        <v>782</v>
      </c>
      <c r="G143" s="539"/>
    </row>
    <row r="144" spans="2:7">
      <c r="B144" s="544" t="s">
        <v>750</v>
      </c>
      <c r="D144" s="539" t="s">
        <v>783</v>
      </c>
      <c r="G144" s="539"/>
    </row>
    <row r="145" spans="2:7">
      <c r="B145" s="544" t="s">
        <v>751</v>
      </c>
      <c r="D145" s="543" t="s">
        <v>784</v>
      </c>
      <c r="G145" s="539"/>
    </row>
    <row r="146" spans="2:7">
      <c r="B146" s="544" t="s">
        <v>752</v>
      </c>
      <c r="D146" s="539" t="s">
        <v>785</v>
      </c>
      <c r="G146" s="539"/>
    </row>
    <row r="147" spans="2:7">
      <c r="B147" s="544" t="s">
        <v>753</v>
      </c>
      <c r="D147" s="539" t="s">
        <v>786</v>
      </c>
      <c r="G147" s="539"/>
    </row>
    <row r="148" spans="2:7">
      <c r="B148" s="544" t="s">
        <v>787</v>
      </c>
      <c r="D148" s="539" t="s">
        <v>788</v>
      </c>
      <c r="G148" s="539"/>
    </row>
    <row r="149" spans="2:7">
      <c r="B149" s="544" t="s">
        <v>789</v>
      </c>
      <c r="D149" s="539" t="s">
        <v>790</v>
      </c>
      <c r="G149" s="539"/>
    </row>
    <row r="150" spans="2:7">
      <c r="B150" s="544" t="s">
        <v>791</v>
      </c>
      <c r="D150" s="539" t="s">
        <v>792</v>
      </c>
      <c r="G150" s="539"/>
    </row>
    <row r="151" spans="2:7">
      <c r="B151" s="544" t="s">
        <v>793</v>
      </c>
      <c r="D151" s="539" t="s">
        <v>794</v>
      </c>
      <c r="G151" s="539"/>
    </row>
    <row r="152" spans="2:7">
      <c r="B152" s="544" t="s">
        <v>795</v>
      </c>
      <c r="D152" s="539" t="s">
        <v>796</v>
      </c>
      <c r="G152" s="539"/>
    </row>
    <row r="153" spans="2:7">
      <c r="B153" s="544" t="s">
        <v>797</v>
      </c>
      <c r="D153" s="539" t="s">
        <v>798</v>
      </c>
      <c r="G153" s="539"/>
    </row>
    <row r="154" spans="2:7">
      <c r="B154" s="544" t="s">
        <v>799</v>
      </c>
      <c r="D154" s="539" t="s">
        <v>800</v>
      </c>
      <c r="G154" s="539"/>
    </row>
    <row r="155" spans="2:7">
      <c r="B155" s="544" t="s">
        <v>801</v>
      </c>
      <c r="D155" s="539" t="s">
        <v>802</v>
      </c>
      <c r="G155" s="539"/>
    </row>
    <row r="156" spans="2:7">
      <c r="B156" s="544" t="s">
        <v>803</v>
      </c>
      <c r="D156" s="539" t="s">
        <v>804</v>
      </c>
      <c r="G156" s="539"/>
    </row>
    <row r="157" spans="2:7">
      <c r="B157" s="544" t="s">
        <v>805</v>
      </c>
      <c r="D157" s="539" t="s">
        <v>806</v>
      </c>
      <c r="G157" s="539"/>
    </row>
    <row r="158" spans="2:7">
      <c r="B158" s="544" t="s">
        <v>807</v>
      </c>
      <c r="D158" s="539" t="s">
        <v>808</v>
      </c>
      <c r="G158" s="539"/>
    </row>
    <row r="159" spans="2:7">
      <c r="B159" s="544" t="s">
        <v>809</v>
      </c>
      <c r="D159" s="539" t="s">
        <v>810</v>
      </c>
      <c r="G159" s="539"/>
    </row>
    <row r="160" spans="2:7">
      <c r="B160" s="544" t="s">
        <v>811</v>
      </c>
      <c r="D160" s="543" t="s">
        <v>812</v>
      </c>
      <c r="G160" s="539"/>
    </row>
    <row r="161" spans="2:7">
      <c r="B161" s="544" t="s">
        <v>813</v>
      </c>
      <c r="D161" s="539" t="s">
        <v>814</v>
      </c>
      <c r="G161" s="539"/>
    </row>
    <row r="162" spans="2:7">
      <c r="B162" s="544" t="s">
        <v>815</v>
      </c>
      <c r="D162" s="545" t="s">
        <v>816</v>
      </c>
      <c r="G162" s="507"/>
    </row>
    <row r="163" spans="2:7" ht="17.45">
      <c r="B163" s="544" t="s">
        <v>817</v>
      </c>
      <c r="D163" s="539" t="s">
        <v>818</v>
      </c>
      <c r="G163" s="538"/>
    </row>
    <row r="164" spans="2:7">
      <c r="D164" s="539" t="s">
        <v>819</v>
      </c>
      <c r="G164" s="507"/>
    </row>
    <row r="165" spans="2:7">
      <c r="D165" s="539" t="s">
        <v>820</v>
      </c>
      <c r="G165" s="507"/>
    </row>
    <row r="166" spans="2:7">
      <c r="D166" s="539" t="s">
        <v>821</v>
      </c>
    </row>
    <row r="167" spans="2:7">
      <c r="D167" s="539" t="s">
        <v>822</v>
      </c>
    </row>
    <row r="168" spans="2:7">
      <c r="D168" s="539" t="s">
        <v>823</v>
      </c>
    </row>
    <row r="169" spans="2:7">
      <c r="D169" s="539" t="s">
        <v>824</v>
      </c>
    </row>
    <row r="170" spans="2:7">
      <c r="B170" s="1" t="s">
        <v>825</v>
      </c>
      <c r="D170" s="539" t="s">
        <v>826</v>
      </c>
    </row>
    <row r="171" spans="2:7">
      <c r="B171" s="1" t="s">
        <v>827</v>
      </c>
      <c r="D171" s="539" t="s">
        <v>828</v>
      </c>
    </row>
    <row r="172" spans="2:7">
      <c r="B172" s="1" t="s">
        <v>829</v>
      </c>
      <c r="D172" s="539" t="s">
        <v>830</v>
      </c>
    </row>
    <row r="173" spans="2:7">
      <c r="B173" s="1" t="s">
        <v>831</v>
      </c>
      <c r="D173" s="539" t="s">
        <v>832</v>
      </c>
    </row>
    <row r="174" spans="2:7">
      <c r="B174" s="551" t="s">
        <v>833</v>
      </c>
      <c r="D174" s="539" t="s">
        <v>834</v>
      </c>
    </row>
    <row r="175" spans="2:7">
      <c r="B175" s="551" t="s">
        <v>835</v>
      </c>
      <c r="D175" s="539" t="s">
        <v>836</v>
      </c>
    </row>
    <row r="176" spans="2:7">
      <c r="B176" s="551" t="s">
        <v>837</v>
      </c>
      <c r="D176" s="543" t="s">
        <v>838</v>
      </c>
    </row>
    <row r="177" spans="2:4">
      <c r="B177" s="1" t="s">
        <v>839</v>
      </c>
      <c r="D177" s="539" t="s">
        <v>840</v>
      </c>
    </row>
    <row r="178" spans="2:4">
      <c r="B178" s="1" t="s">
        <v>841</v>
      </c>
      <c r="D178" s="539" t="s">
        <v>842</v>
      </c>
    </row>
    <row r="179" spans="2:4">
      <c r="B179" s="1" t="s">
        <v>843</v>
      </c>
      <c r="D179" s="542" t="s">
        <v>844</v>
      </c>
    </row>
    <row r="180" spans="2:4">
      <c r="B180" s="550" t="s">
        <v>845</v>
      </c>
      <c r="D180" s="540" t="s">
        <v>846</v>
      </c>
    </row>
    <row r="181" spans="2:4">
      <c r="B181" s="550" t="s">
        <v>847</v>
      </c>
      <c r="D181" s="540" t="s">
        <v>848</v>
      </c>
    </row>
    <row r="182" spans="2:4">
      <c r="B182" s="550" t="s">
        <v>849</v>
      </c>
      <c r="D182" s="540" t="s">
        <v>850</v>
      </c>
    </row>
    <row r="183" spans="2:4">
      <c r="B183" s="550" t="s">
        <v>851</v>
      </c>
      <c r="D183" s="540" t="s">
        <v>852</v>
      </c>
    </row>
    <row r="184" spans="2:4">
      <c r="B184" s="1" t="s">
        <v>853</v>
      </c>
      <c r="D184" s="540" t="s">
        <v>854</v>
      </c>
    </row>
    <row r="185" spans="2:4">
      <c r="B185" s="1" t="s">
        <v>855</v>
      </c>
      <c r="D185" s="540" t="s">
        <v>856</v>
      </c>
    </row>
    <row r="186" spans="2:4">
      <c r="B186" s="1" t="s">
        <v>857</v>
      </c>
      <c r="D186" s="540" t="s">
        <v>858</v>
      </c>
    </row>
    <row r="187" spans="2:4">
      <c r="B187" s="1" t="s">
        <v>859</v>
      </c>
      <c r="D187" s="540" t="s">
        <v>860</v>
      </c>
    </row>
    <row r="188" spans="2:4">
      <c r="B188" s="1" t="s">
        <v>861</v>
      </c>
      <c r="D188" s="540" t="s">
        <v>862</v>
      </c>
    </row>
    <row r="189" spans="2:4">
      <c r="B189" s="546" t="s">
        <v>863</v>
      </c>
      <c r="D189" s="540" t="s">
        <v>864</v>
      </c>
    </row>
    <row r="190" spans="2:4">
      <c r="B190" s="546" t="s">
        <v>865</v>
      </c>
      <c r="D190" s="540" t="s">
        <v>866</v>
      </c>
    </row>
    <row r="191" spans="2:4">
      <c r="B191" s="546" t="s">
        <v>867</v>
      </c>
      <c r="D191" s="540" t="s">
        <v>868</v>
      </c>
    </row>
    <row r="192" spans="2:4">
      <c r="B192" s="546" t="s">
        <v>869</v>
      </c>
      <c r="D192" s="539" t="s">
        <v>870</v>
      </c>
    </row>
    <row r="193" spans="2:2">
      <c r="B193" s="546" t="s">
        <v>871</v>
      </c>
    </row>
    <row r="194" spans="2:2">
      <c r="B194" s="546" t="s">
        <v>872</v>
      </c>
    </row>
    <row r="195" spans="2:2">
      <c r="B195" s="546" t="s">
        <v>873</v>
      </c>
    </row>
    <row r="196" spans="2:2">
      <c r="B196" s="546" t="s">
        <v>874</v>
      </c>
    </row>
    <row r="197" spans="2:2">
      <c r="B197" s="546" t="s">
        <v>875</v>
      </c>
    </row>
    <row r="198" spans="2:2">
      <c r="B198" s="546" t="s">
        <v>876</v>
      </c>
    </row>
    <row r="199" spans="2:2">
      <c r="B199" s="546" t="s">
        <v>877</v>
      </c>
    </row>
    <row r="200" spans="2:2">
      <c r="B200" s="546" t="s">
        <v>878</v>
      </c>
    </row>
    <row r="201" spans="2:2">
      <c r="B201" s="1" t="s">
        <v>879</v>
      </c>
    </row>
    <row r="203" spans="2:2">
      <c r="B203" s="1"/>
    </row>
    <row r="204" spans="2:2">
      <c r="B204" s="1" t="s">
        <v>880</v>
      </c>
    </row>
    <row r="205" spans="2:2">
      <c r="B205" s="1" t="s">
        <v>881</v>
      </c>
    </row>
    <row r="206" spans="2:2">
      <c r="B206" s="1" t="s">
        <v>882</v>
      </c>
    </row>
    <row r="207" spans="2:2">
      <c r="B207" s="1" t="s">
        <v>883</v>
      </c>
    </row>
    <row r="208" spans="2:2">
      <c r="B208" s="1" t="s">
        <v>884</v>
      </c>
    </row>
    <row r="209" spans="2:4">
      <c r="B209" s="1" t="s">
        <v>885</v>
      </c>
    </row>
    <row r="210" spans="2:4">
      <c r="B210" s="1" t="s">
        <v>886</v>
      </c>
    </row>
    <row r="211" spans="2:4">
      <c r="B211" s="1" t="s">
        <v>887</v>
      </c>
    </row>
    <row r="212" spans="2:4">
      <c r="B212" s="1" t="s">
        <v>888</v>
      </c>
    </row>
    <row r="213" spans="2:4">
      <c r="B213" s="1" t="s">
        <v>889</v>
      </c>
    </row>
    <row r="214" spans="2:4">
      <c r="B214" s="1" t="s">
        <v>890</v>
      </c>
    </row>
    <row r="215" spans="2:4">
      <c r="B215" s="1"/>
    </row>
    <row r="216" spans="2:4">
      <c r="B216" s="1" t="s">
        <v>891</v>
      </c>
    </row>
    <row r="217" spans="2:4">
      <c r="B217" s="553" t="s">
        <v>892</v>
      </c>
      <c r="C217" s="549"/>
      <c r="D217" s="549"/>
    </row>
    <row r="218" spans="2:4">
      <c r="B218" s="553" t="s">
        <v>893</v>
      </c>
      <c r="C218" s="549"/>
      <c r="D218" s="549"/>
    </row>
    <row r="219" spans="2:4">
      <c r="B219" s="553" t="s">
        <v>894</v>
      </c>
      <c r="C219" s="549"/>
      <c r="D219" s="549"/>
    </row>
    <row r="220" spans="2:4">
      <c r="B220" s="553" t="s">
        <v>895</v>
      </c>
      <c r="C220" s="549"/>
      <c r="D220" s="549"/>
    </row>
    <row r="221" spans="2:4">
      <c r="B221" s="1" t="s">
        <v>896</v>
      </c>
    </row>
    <row r="222" spans="2:4">
      <c r="B222" s="1" t="s">
        <v>897</v>
      </c>
    </row>
    <row r="223" spans="2:4">
      <c r="B223" s="1" t="s">
        <v>898</v>
      </c>
    </row>
    <row r="224" spans="2:4">
      <c r="B224" s="1" t="s">
        <v>899</v>
      </c>
    </row>
    <row r="225" spans="2:4">
      <c r="B225" s="554" t="s">
        <v>900</v>
      </c>
      <c r="C225" s="547"/>
      <c r="D225" s="547"/>
    </row>
    <row r="226" spans="2:4">
      <c r="B226" s="554" t="s">
        <v>901</v>
      </c>
      <c r="C226" s="547"/>
      <c r="D226" s="547"/>
    </row>
    <row r="227" spans="2:4">
      <c r="B227" s="554" t="s">
        <v>902</v>
      </c>
      <c r="C227" s="547"/>
      <c r="D227" s="547"/>
    </row>
    <row r="228" spans="2:4">
      <c r="B228" s="554" t="s">
        <v>903</v>
      </c>
      <c r="C228" s="547"/>
      <c r="D228" s="547"/>
    </row>
    <row r="229" spans="2:4">
      <c r="B229" s="1" t="s">
        <v>904</v>
      </c>
    </row>
    <row r="230" spans="2:4">
      <c r="B230" s="1" t="s">
        <v>905</v>
      </c>
    </row>
    <row r="231" spans="2:4">
      <c r="B231" s="1" t="s">
        <v>906</v>
      </c>
    </row>
    <row r="232" spans="2:4">
      <c r="D232" t="s">
        <v>907</v>
      </c>
    </row>
  </sheetData>
  <pageMargins left="0.7" right="0.7" top="0.75" bottom="0.75" header="0.3" footer="0.3"/>
  <pageSetup paperSize="287" orientation="portrait" horizontalDpi="203" verticalDpi="20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7924-97B9-48AE-936B-DEB60DA41AEE}">
  <sheetPr codeName="Sheet23">
    <tabColor rgb="FFFFFF00"/>
  </sheetPr>
  <dimension ref="A1:U44"/>
  <sheetViews>
    <sheetView view="pageBreakPreview" topLeftCell="B1" zoomScaleNormal="100" zoomScaleSheetLayoutView="100" workbookViewId="0">
      <selection activeCell="B11" sqref="B11"/>
    </sheetView>
  </sheetViews>
  <sheetFormatPr defaultRowHeight="22.9" customHeight="1"/>
  <cols>
    <col min="1" max="1" width="4.25" hidden="1" customWidth="1"/>
    <col min="2" max="2" width="23.5" customWidth="1"/>
    <col min="3" max="3" width="17.25" customWidth="1"/>
    <col min="4" max="4" width="15.875" customWidth="1"/>
    <col min="5" max="5" width="16.75" customWidth="1"/>
    <col min="6" max="6" width="16.125" customWidth="1"/>
    <col min="200" max="201" width="32.125" customWidth="1"/>
    <col min="202" max="202" width="23.125" customWidth="1"/>
    <col min="207" max="207" width="2.75" customWidth="1"/>
    <col min="208" max="208" width="35.75" customWidth="1"/>
    <col min="209" max="209" width="5.125" customWidth="1"/>
    <col min="210" max="210" width="32.125" customWidth="1"/>
    <col min="214" max="214" width="40.25" customWidth="1"/>
    <col min="222" max="222" width="79.75" customWidth="1"/>
    <col min="456" max="457" width="32.125" customWidth="1"/>
    <col min="458" max="458" width="23.125" customWidth="1"/>
    <col min="463" max="463" width="2.75" customWidth="1"/>
    <col min="464" max="464" width="35.75" customWidth="1"/>
    <col min="465" max="465" width="5.125" customWidth="1"/>
    <col min="466" max="466" width="32.125" customWidth="1"/>
    <col min="470" max="470" width="40.25" customWidth="1"/>
    <col min="478" max="478" width="79.75" customWidth="1"/>
    <col min="712" max="713" width="32.125" customWidth="1"/>
    <col min="714" max="714" width="23.125" customWidth="1"/>
    <col min="719" max="719" width="2.75" customWidth="1"/>
    <col min="720" max="720" width="35.75" customWidth="1"/>
    <col min="721" max="721" width="5.125" customWidth="1"/>
    <col min="722" max="722" width="32.125" customWidth="1"/>
    <col min="726" max="726" width="40.25" customWidth="1"/>
    <col min="734" max="734" width="79.75" customWidth="1"/>
    <col min="968" max="969" width="32.125" customWidth="1"/>
    <col min="970" max="970" width="23.125" customWidth="1"/>
    <col min="975" max="975" width="2.75" customWidth="1"/>
    <col min="976" max="976" width="35.75" customWidth="1"/>
    <col min="977" max="977" width="5.125" customWidth="1"/>
    <col min="978" max="978" width="32.125" customWidth="1"/>
    <col min="982" max="982" width="40.25" customWidth="1"/>
    <col min="990" max="990" width="79.75" customWidth="1"/>
    <col min="1224" max="1225" width="32.125" customWidth="1"/>
    <col min="1226" max="1226" width="23.125" customWidth="1"/>
    <col min="1231" max="1231" width="2.75" customWidth="1"/>
    <col min="1232" max="1232" width="35.75" customWidth="1"/>
    <col min="1233" max="1233" width="5.125" customWidth="1"/>
    <col min="1234" max="1234" width="32.125" customWidth="1"/>
    <col min="1238" max="1238" width="40.25" customWidth="1"/>
    <col min="1246" max="1246" width="79.75" customWidth="1"/>
    <col min="1480" max="1481" width="32.125" customWidth="1"/>
    <col min="1482" max="1482" width="23.125" customWidth="1"/>
    <col min="1487" max="1487" width="2.75" customWidth="1"/>
    <col min="1488" max="1488" width="35.75" customWidth="1"/>
    <col min="1489" max="1489" width="5.125" customWidth="1"/>
    <col min="1490" max="1490" width="32.125" customWidth="1"/>
    <col min="1494" max="1494" width="40.25" customWidth="1"/>
    <col min="1502" max="1502" width="79.75" customWidth="1"/>
    <col min="1736" max="1737" width="32.125" customWidth="1"/>
    <col min="1738" max="1738" width="23.125" customWidth="1"/>
    <col min="1743" max="1743" width="2.75" customWidth="1"/>
    <col min="1744" max="1744" width="35.75" customWidth="1"/>
    <col min="1745" max="1745" width="5.125" customWidth="1"/>
    <col min="1746" max="1746" width="32.125" customWidth="1"/>
    <col min="1750" max="1750" width="40.25" customWidth="1"/>
    <col min="1758" max="1758" width="79.75" customWidth="1"/>
    <col min="1992" max="1993" width="32.125" customWidth="1"/>
    <col min="1994" max="1994" width="23.125" customWidth="1"/>
    <col min="1999" max="1999" width="2.75" customWidth="1"/>
    <col min="2000" max="2000" width="35.75" customWidth="1"/>
    <col min="2001" max="2001" width="5.125" customWidth="1"/>
    <col min="2002" max="2002" width="32.125" customWidth="1"/>
    <col min="2006" max="2006" width="40.25" customWidth="1"/>
    <col min="2014" max="2014" width="79.75" customWidth="1"/>
    <col min="2248" max="2249" width="32.125" customWidth="1"/>
    <col min="2250" max="2250" width="23.125" customWidth="1"/>
    <col min="2255" max="2255" width="2.75" customWidth="1"/>
    <col min="2256" max="2256" width="35.75" customWidth="1"/>
    <col min="2257" max="2257" width="5.125" customWidth="1"/>
    <col min="2258" max="2258" width="32.125" customWidth="1"/>
    <col min="2262" max="2262" width="40.25" customWidth="1"/>
    <col min="2270" max="2270" width="79.75" customWidth="1"/>
    <col min="2504" max="2505" width="32.125" customWidth="1"/>
    <col min="2506" max="2506" width="23.125" customWidth="1"/>
    <col min="2511" max="2511" width="2.75" customWidth="1"/>
    <col min="2512" max="2512" width="35.75" customWidth="1"/>
    <col min="2513" max="2513" width="5.125" customWidth="1"/>
    <col min="2514" max="2514" width="32.125" customWidth="1"/>
    <col min="2518" max="2518" width="40.25" customWidth="1"/>
    <col min="2526" max="2526" width="79.75" customWidth="1"/>
    <col min="2760" max="2761" width="32.125" customWidth="1"/>
    <col min="2762" max="2762" width="23.125" customWidth="1"/>
    <col min="2767" max="2767" width="2.75" customWidth="1"/>
    <col min="2768" max="2768" width="35.75" customWidth="1"/>
    <col min="2769" max="2769" width="5.125" customWidth="1"/>
    <col min="2770" max="2770" width="32.125" customWidth="1"/>
    <col min="2774" max="2774" width="40.25" customWidth="1"/>
    <col min="2782" max="2782" width="79.75" customWidth="1"/>
    <col min="3016" max="3017" width="32.125" customWidth="1"/>
    <col min="3018" max="3018" width="23.125" customWidth="1"/>
    <col min="3023" max="3023" width="2.75" customWidth="1"/>
    <col min="3024" max="3024" width="35.75" customWidth="1"/>
    <col min="3025" max="3025" width="5.125" customWidth="1"/>
    <col min="3026" max="3026" width="32.125" customWidth="1"/>
    <col min="3030" max="3030" width="40.25" customWidth="1"/>
    <col min="3038" max="3038" width="79.75" customWidth="1"/>
    <col min="3272" max="3273" width="32.125" customWidth="1"/>
    <col min="3274" max="3274" width="23.125" customWidth="1"/>
    <col min="3279" max="3279" width="2.75" customWidth="1"/>
    <col min="3280" max="3280" width="35.75" customWidth="1"/>
    <col min="3281" max="3281" width="5.125" customWidth="1"/>
    <col min="3282" max="3282" width="32.125" customWidth="1"/>
    <col min="3286" max="3286" width="40.25" customWidth="1"/>
    <col min="3294" max="3294" width="79.75" customWidth="1"/>
    <col min="3528" max="3529" width="32.125" customWidth="1"/>
    <col min="3530" max="3530" width="23.125" customWidth="1"/>
    <col min="3535" max="3535" width="2.75" customWidth="1"/>
    <col min="3536" max="3536" width="35.75" customWidth="1"/>
    <col min="3537" max="3537" width="5.125" customWidth="1"/>
    <col min="3538" max="3538" width="32.125" customWidth="1"/>
    <col min="3542" max="3542" width="40.25" customWidth="1"/>
    <col min="3550" max="3550" width="79.75" customWidth="1"/>
    <col min="3784" max="3785" width="32.125" customWidth="1"/>
    <col min="3786" max="3786" width="23.125" customWidth="1"/>
    <col min="3791" max="3791" width="2.75" customWidth="1"/>
    <col min="3792" max="3792" width="35.75" customWidth="1"/>
    <col min="3793" max="3793" width="5.125" customWidth="1"/>
    <col min="3794" max="3794" width="32.125" customWidth="1"/>
    <col min="3798" max="3798" width="40.25" customWidth="1"/>
    <col min="3806" max="3806" width="79.75" customWidth="1"/>
    <col min="4040" max="4041" width="32.125" customWidth="1"/>
    <col min="4042" max="4042" width="23.125" customWidth="1"/>
    <col min="4047" max="4047" width="2.75" customWidth="1"/>
    <col min="4048" max="4048" width="35.75" customWidth="1"/>
    <col min="4049" max="4049" width="5.125" customWidth="1"/>
    <col min="4050" max="4050" width="32.125" customWidth="1"/>
    <col min="4054" max="4054" width="40.25" customWidth="1"/>
    <col min="4062" max="4062" width="79.75" customWidth="1"/>
    <col min="4296" max="4297" width="32.125" customWidth="1"/>
    <col min="4298" max="4298" width="23.125" customWidth="1"/>
    <col min="4303" max="4303" width="2.75" customWidth="1"/>
    <col min="4304" max="4304" width="35.75" customWidth="1"/>
    <col min="4305" max="4305" width="5.125" customWidth="1"/>
    <col min="4306" max="4306" width="32.125" customWidth="1"/>
    <col min="4310" max="4310" width="40.25" customWidth="1"/>
    <col min="4318" max="4318" width="79.75" customWidth="1"/>
    <col min="4552" max="4553" width="32.125" customWidth="1"/>
    <col min="4554" max="4554" width="23.125" customWidth="1"/>
    <col min="4559" max="4559" width="2.75" customWidth="1"/>
    <col min="4560" max="4560" width="35.75" customWidth="1"/>
    <col min="4561" max="4561" width="5.125" customWidth="1"/>
    <col min="4562" max="4562" width="32.125" customWidth="1"/>
    <col min="4566" max="4566" width="40.25" customWidth="1"/>
    <col min="4574" max="4574" width="79.75" customWidth="1"/>
    <col min="4808" max="4809" width="32.125" customWidth="1"/>
    <col min="4810" max="4810" width="23.125" customWidth="1"/>
    <col min="4815" max="4815" width="2.75" customWidth="1"/>
    <col min="4816" max="4816" width="35.75" customWidth="1"/>
    <col min="4817" max="4817" width="5.125" customWidth="1"/>
    <col min="4818" max="4818" width="32.125" customWidth="1"/>
    <col min="4822" max="4822" width="40.25" customWidth="1"/>
    <col min="4830" max="4830" width="79.75" customWidth="1"/>
    <col min="5064" max="5065" width="32.125" customWidth="1"/>
    <col min="5066" max="5066" width="23.125" customWidth="1"/>
    <col min="5071" max="5071" width="2.75" customWidth="1"/>
    <col min="5072" max="5072" width="35.75" customWidth="1"/>
    <col min="5073" max="5073" width="5.125" customWidth="1"/>
    <col min="5074" max="5074" width="32.125" customWidth="1"/>
    <col min="5078" max="5078" width="40.25" customWidth="1"/>
    <col min="5086" max="5086" width="79.75" customWidth="1"/>
    <col min="5320" max="5321" width="32.125" customWidth="1"/>
    <col min="5322" max="5322" width="23.125" customWidth="1"/>
    <col min="5327" max="5327" width="2.75" customWidth="1"/>
    <col min="5328" max="5328" width="35.75" customWidth="1"/>
    <col min="5329" max="5329" width="5.125" customWidth="1"/>
    <col min="5330" max="5330" width="32.125" customWidth="1"/>
    <col min="5334" max="5334" width="40.25" customWidth="1"/>
    <col min="5342" max="5342" width="79.75" customWidth="1"/>
    <col min="5576" max="5577" width="32.125" customWidth="1"/>
    <col min="5578" max="5578" width="23.125" customWidth="1"/>
    <col min="5583" max="5583" width="2.75" customWidth="1"/>
    <col min="5584" max="5584" width="35.75" customWidth="1"/>
    <col min="5585" max="5585" width="5.125" customWidth="1"/>
    <col min="5586" max="5586" width="32.125" customWidth="1"/>
    <col min="5590" max="5590" width="40.25" customWidth="1"/>
    <col min="5598" max="5598" width="79.75" customWidth="1"/>
    <col min="5832" max="5833" width="32.125" customWidth="1"/>
    <col min="5834" max="5834" width="23.125" customWidth="1"/>
    <col min="5839" max="5839" width="2.75" customWidth="1"/>
    <col min="5840" max="5840" width="35.75" customWidth="1"/>
    <col min="5841" max="5841" width="5.125" customWidth="1"/>
    <col min="5842" max="5842" width="32.125" customWidth="1"/>
    <col min="5846" max="5846" width="40.25" customWidth="1"/>
    <col min="5854" max="5854" width="79.75" customWidth="1"/>
    <col min="6088" max="6089" width="32.125" customWidth="1"/>
    <col min="6090" max="6090" width="23.125" customWidth="1"/>
    <col min="6095" max="6095" width="2.75" customWidth="1"/>
    <col min="6096" max="6096" width="35.75" customWidth="1"/>
    <col min="6097" max="6097" width="5.125" customWidth="1"/>
    <col min="6098" max="6098" width="32.125" customWidth="1"/>
    <col min="6102" max="6102" width="40.25" customWidth="1"/>
    <col min="6110" max="6110" width="79.75" customWidth="1"/>
    <col min="6344" max="6345" width="32.125" customWidth="1"/>
    <col min="6346" max="6346" width="23.125" customWidth="1"/>
    <col min="6351" max="6351" width="2.75" customWidth="1"/>
    <col min="6352" max="6352" width="35.75" customWidth="1"/>
    <col min="6353" max="6353" width="5.125" customWidth="1"/>
    <col min="6354" max="6354" width="32.125" customWidth="1"/>
    <col min="6358" max="6358" width="40.25" customWidth="1"/>
    <col min="6366" max="6366" width="79.75" customWidth="1"/>
    <col min="6600" max="6601" width="32.125" customWidth="1"/>
    <col min="6602" max="6602" width="23.125" customWidth="1"/>
    <col min="6607" max="6607" width="2.75" customWidth="1"/>
    <col min="6608" max="6608" width="35.75" customWidth="1"/>
    <col min="6609" max="6609" width="5.125" customWidth="1"/>
    <col min="6610" max="6610" width="32.125" customWidth="1"/>
    <col min="6614" max="6614" width="40.25" customWidth="1"/>
    <col min="6622" max="6622" width="79.75" customWidth="1"/>
    <col min="6856" max="6857" width="32.125" customWidth="1"/>
    <col min="6858" max="6858" width="23.125" customWidth="1"/>
    <col min="6863" max="6863" width="2.75" customWidth="1"/>
    <col min="6864" max="6864" width="35.75" customWidth="1"/>
    <col min="6865" max="6865" width="5.125" customWidth="1"/>
    <col min="6866" max="6866" width="32.125" customWidth="1"/>
    <col min="6870" max="6870" width="40.25" customWidth="1"/>
    <col min="6878" max="6878" width="79.75" customWidth="1"/>
    <col min="7112" max="7113" width="32.125" customWidth="1"/>
    <col min="7114" max="7114" width="23.125" customWidth="1"/>
    <col min="7119" max="7119" width="2.75" customWidth="1"/>
    <col min="7120" max="7120" width="35.75" customWidth="1"/>
    <col min="7121" max="7121" width="5.125" customWidth="1"/>
    <col min="7122" max="7122" width="32.125" customWidth="1"/>
    <col min="7126" max="7126" width="40.25" customWidth="1"/>
    <col min="7134" max="7134" width="79.75" customWidth="1"/>
    <col min="7368" max="7369" width="32.125" customWidth="1"/>
    <col min="7370" max="7370" width="23.125" customWidth="1"/>
    <col min="7375" max="7375" width="2.75" customWidth="1"/>
    <col min="7376" max="7376" width="35.75" customWidth="1"/>
    <col min="7377" max="7377" width="5.125" customWidth="1"/>
    <col min="7378" max="7378" width="32.125" customWidth="1"/>
    <col min="7382" max="7382" width="40.25" customWidth="1"/>
    <col min="7390" max="7390" width="79.75" customWidth="1"/>
    <col min="7624" max="7625" width="32.125" customWidth="1"/>
    <col min="7626" max="7626" width="23.125" customWidth="1"/>
    <col min="7631" max="7631" width="2.75" customWidth="1"/>
    <col min="7632" max="7632" width="35.75" customWidth="1"/>
    <col min="7633" max="7633" width="5.125" customWidth="1"/>
    <col min="7634" max="7634" width="32.125" customWidth="1"/>
    <col min="7638" max="7638" width="40.25" customWidth="1"/>
    <col min="7646" max="7646" width="79.75" customWidth="1"/>
    <col min="7880" max="7881" width="32.125" customWidth="1"/>
    <col min="7882" max="7882" width="23.125" customWidth="1"/>
    <col min="7887" max="7887" width="2.75" customWidth="1"/>
    <col min="7888" max="7888" width="35.75" customWidth="1"/>
    <col min="7889" max="7889" width="5.125" customWidth="1"/>
    <col min="7890" max="7890" width="32.125" customWidth="1"/>
    <col min="7894" max="7894" width="40.25" customWidth="1"/>
    <col min="7902" max="7902" width="79.75" customWidth="1"/>
    <col min="8136" max="8137" width="32.125" customWidth="1"/>
    <col min="8138" max="8138" width="23.125" customWidth="1"/>
    <col min="8143" max="8143" width="2.75" customWidth="1"/>
    <col min="8144" max="8144" width="35.75" customWidth="1"/>
    <col min="8145" max="8145" width="5.125" customWidth="1"/>
    <col min="8146" max="8146" width="32.125" customWidth="1"/>
    <col min="8150" max="8150" width="40.25" customWidth="1"/>
    <col min="8158" max="8158" width="79.75" customWidth="1"/>
    <col min="8392" max="8393" width="32.125" customWidth="1"/>
    <col min="8394" max="8394" width="23.125" customWidth="1"/>
    <col min="8399" max="8399" width="2.75" customWidth="1"/>
    <col min="8400" max="8400" width="35.75" customWidth="1"/>
    <col min="8401" max="8401" width="5.125" customWidth="1"/>
    <col min="8402" max="8402" width="32.125" customWidth="1"/>
    <col min="8406" max="8406" width="40.25" customWidth="1"/>
    <col min="8414" max="8414" width="79.75" customWidth="1"/>
    <col min="8648" max="8649" width="32.125" customWidth="1"/>
    <col min="8650" max="8650" width="23.125" customWidth="1"/>
    <col min="8655" max="8655" width="2.75" customWidth="1"/>
    <col min="8656" max="8656" width="35.75" customWidth="1"/>
    <col min="8657" max="8657" width="5.125" customWidth="1"/>
    <col min="8658" max="8658" width="32.125" customWidth="1"/>
    <col min="8662" max="8662" width="40.25" customWidth="1"/>
    <col min="8670" max="8670" width="79.75" customWidth="1"/>
    <col min="8904" max="8905" width="32.125" customWidth="1"/>
    <col min="8906" max="8906" width="23.125" customWidth="1"/>
    <col min="8911" max="8911" width="2.75" customWidth="1"/>
    <col min="8912" max="8912" width="35.75" customWidth="1"/>
    <col min="8913" max="8913" width="5.125" customWidth="1"/>
    <col min="8914" max="8914" width="32.125" customWidth="1"/>
    <col min="8918" max="8918" width="40.25" customWidth="1"/>
    <col min="8926" max="8926" width="79.75" customWidth="1"/>
    <col min="9160" max="9161" width="32.125" customWidth="1"/>
    <col min="9162" max="9162" width="23.125" customWidth="1"/>
    <col min="9167" max="9167" width="2.75" customWidth="1"/>
    <col min="9168" max="9168" width="35.75" customWidth="1"/>
    <col min="9169" max="9169" width="5.125" customWidth="1"/>
    <col min="9170" max="9170" width="32.125" customWidth="1"/>
    <col min="9174" max="9174" width="40.25" customWidth="1"/>
    <col min="9182" max="9182" width="79.75" customWidth="1"/>
    <col min="9416" max="9417" width="32.125" customWidth="1"/>
    <col min="9418" max="9418" width="23.125" customWidth="1"/>
    <col min="9423" max="9423" width="2.75" customWidth="1"/>
    <col min="9424" max="9424" width="35.75" customWidth="1"/>
    <col min="9425" max="9425" width="5.125" customWidth="1"/>
    <col min="9426" max="9426" width="32.125" customWidth="1"/>
    <col min="9430" max="9430" width="40.25" customWidth="1"/>
    <col min="9438" max="9438" width="79.75" customWidth="1"/>
    <col min="9672" max="9673" width="32.125" customWidth="1"/>
    <col min="9674" max="9674" width="23.125" customWidth="1"/>
    <col min="9679" max="9679" width="2.75" customWidth="1"/>
    <col min="9680" max="9680" width="35.75" customWidth="1"/>
    <col min="9681" max="9681" width="5.125" customWidth="1"/>
    <col min="9682" max="9682" width="32.125" customWidth="1"/>
    <col min="9686" max="9686" width="40.25" customWidth="1"/>
    <col min="9694" max="9694" width="79.75" customWidth="1"/>
    <col min="9928" max="9929" width="32.125" customWidth="1"/>
    <col min="9930" max="9930" width="23.125" customWidth="1"/>
    <col min="9935" max="9935" width="2.75" customWidth="1"/>
    <col min="9936" max="9936" width="35.75" customWidth="1"/>
    <col min="9937" max="9937" width="5.125" customWidth="1"/>
    <col min="9938" max="9938" width="32.125" customWidth="1"/>
    <col min="9942" max="9942" width="40.25" customWidth="1"/>
    <col min="9950" max="9950" width="79.75" customWidth="1"/>
    <col min="10184" max="10185" width="32.125" customWidth="1"/>
    <col min="10186" max="10186" width="23.125" customWidth="1"/>
    <col min="10191" max="10191" width="2.75" customWidth="1"/>
    <col min="10192" max="10192" width="35.75" customWidth="1"/>
    <col min="10193" max="10193" width="5.125" customWidth="1"/>
    <col min="10194" max="10194" width="32.125" customWidth="1"/>
    <col min="10198" max="10198" width="40.25" customWidth="1"/>
    <col min="10206" max="10206" width="79.75" customWidth="1"/>
    <col min="10440" max="10441" width="32.125" customWidth="1"/>
    <col min="10442" max="10442" width="23.125" customWidth="1"/>
    <col min="10447" max="10447" width="2.75" customWidth="1"/>
    <col min="10448" max="10448" width="35.75" customWidth="1"/>
    <col min="10449" max="10449" width="5.125" customWidth="1"/>
    <col min="10450" max="10450" width="32.125" customWidth="1"/>
    <col min="10454" max="10454" width="40.25" customWidth="1"/>
    <col min="10462" max="10462" width="79.75" customWidth="1"/>
    <col min="10696" max="10697" width="32.125" customWidth="1"/>
    <col min="10698" max="10698" width="23.125" customWidth="1"/>
    <col min="10703" max="10703" width="2.75" customWidth="1"/>
    <col min="10704" max="10704" width="35.75" customWidth="1"/>
    <col min="10705" max="10705" width="5.125" customWidth="1"/>
    <col min="10706" max="10706" width="32.125" customWidth="1"/>
    <col min="10710" max="10710" width="40.25" customWidth="1"/>
    <col min="10718" max="10718" width="79.75" customWidth="1"/>
    <col min="10952" max="10953" width="32.125" customWidth="1"/>
    <col min="10954" max="10954" width="23.125" customWidth="1"/>
    <col min="10959" max="10959" width="2.75" customWidth="1"/>
    <col min="10960" max="10960" width="35.75" customWidth="1"/>
    <col min="10961" max="10961" width="5.125" customWidth="1"/>
    <col min="10962" max="10962" width="32.125" customWidth="1"/>
    <col min="10966" max="10966" width="40.25" customWidth="1"/>
    <col min="10974" max="10974" width="79.75" customWidth="1"/>
    <col min="11208" max="11209" width="32.125" customWidth="1"/>
    <col min="11210" max="11210" width="23.125" customWidth="1"/>
    <col min="11215" max="11215" width="2.75" customWidth="1"/>
    <col min="11216" max="11216" width="35.75" customWidth="1"/>
    <col min="11217" max="11217" width="5.125" customWidth="1"/>
    <col min="11218" max="11218" width="32.125" customWidth="1"/>
    <col min="11222" max="11222" width="40.25" customWidth="1"/>
    <col min="11230" max="11230" width="79.75" customWidth="1"/>
    <col min="11464" max="11465" width="32.125" customWidth="1"/>
    <col min="11466" max="11466" width="23.125" customWidth="1"/>
    <col min="11471" max="11471" width="2.75" customWidth="1"/>
    <col min="11472" max="11472" width="35.75" customWidth="1"/>
    <col min="11473" max="11473" width="5.125" customWidth="1"/>
    <col min="11474" max="11474" width="32.125" customWidth="1"/>
    <col min="11478" max="11478" width="40.25" customWidth="1"/>
    <col min="11486" max="11486" width="79.75" customWidth="1"/>
    <col min="11720" max="11721" width="32.125" customWidth="1"/>
    <col min="11722" max="11722" width="23.125" customWidth="1"/>
    <col min="11727" max="11727" width="2.75" customWidth="1"/>
    <col min="11728" max="11728" width="35.75" customWidth="1"/>
    <col min="11729" max="11729" width="5.125" customWidth="1"/>
    <col min="11730" max="11730" width="32.125" customWidth="1"/>
    <col min="11734" max="11734" width="40.25" customWidth="1"/>
    <col min="11742" max="11742" width="79.75" customWidth="1"/>
    <col min="11976" max="11977" width="32.125" customWidth="1"/>
    <col min="11978" max="11978" width="23.125" customWidth="1"/>
    <col min="11983" max="11983" width="2.75" customWidth="1"/>
    <col min="11984" max="11984" width="35.75" customWidth="1"/>
    <col min="11985" max="11985" width="5.125" customWidth="1"/>
    <col min="11986" max="11986" width="32.125" customWidth="1"/>
    <col min="11990" max="11990" width="40.25" customWidth="1"/>
    <col min="11998" max="11998" width="79.75" customWidth="1"/>
    <col min="12232" max="12233" width="32.125" customWidth="1"/>
    <col min="12234" max="12234" width="23.125" customWidth="1"/>
    <col min="12239" max="12239" width="2.75" customWidth="1"/>
    <col min="12240" max="12240" width="35.75" customWidth="1"/>
    <col min="12241" max="12241" width="5.125" customWidth="1"/>
    <col min="12242" max="12242" width="32.125" customWidth="1"/>
    <col min="12246" max="12246" width="40.25" customWidth="1"/>
    <col min="12254" max="12254" width="79.75" customWidth="1"/>
    <col min="12488" max="12489" width="32.125" customWidth="1"/>
    <col min="12490" max="12490" width="23.125" customWidth="1"/>
    <col min="12495" max="12495" width="2.75" customWidth="1"/>
    <col min="12496" max="12496" width="35.75" customWidth="1"/>
    <col min="12497" max="12497" width="5.125" customWidth="1"/>
    <col min="12498" max="12498" width="32.125" customWidth="1"/>
    <col min="12502" max="12502" width="40.25" customWidth="1"/>
    <col min="12510" max="12510" width="79.75" customWidth="1"/>
    <col min="12744" max="12745" width="32.125" customWidth="1"/>
    <col min="12746" max="12746" width="23.125" customWidth="1"/>
    <col min="12751" max="12751" width="2.75" customWidth="1"/>
    <col min="12752" max="12752" width="35.75" customWidth="1"/>
    <col min="12753" max="12753" width="5.125" customWidth="1"/>
    <col min="12754" max="12754" width="32.125" customWidth="1"/>
    <col min="12758" max="12758" width="40.25" customWidth="1"/>
    <col min="12766" max="12766" width="79.75" customWidth="1"/>
    <col min="13000" max="13001" width="32.125" customWidth="1"/>
    <col min="13002" max="13002" width="23.125" customWidth="1"/>
    <col min="13007" max="13007" width="2.75" customWidth="1"/>
    <col min="13008" max="13008" width="35.75" customWidth="1"/>
    <col min="13009" max="13009" width="5.125" customWidth="1"/>
    <col min="13010" max="13010" width="32.125" customWidth="1"/>
    <col min="13014" max="13014" width="40.25" customWidth="1"/>
    <col min="13022" max="13022" width="79.75" customWidth="1"/>
    <col min="13256" max="13257" width="32.125" customWidth="1"/>
    <col min="13258" max="13258" width="23.125" customWidth="1"/>
    <col min="13263" max="13263" width="2.75" customWidth="1"/>
    <col min="13264" max="13264" width="35.75" customWidth="1"/>
    <col min="13265" max="13265" width="5.125" customWidth="1"/>
    <col min="13266" max="13266" width="32.125" customWidth="1"/>
    <col min="13270" max="13270" width="40.25" customWidth="1"/>
    <col min="13278" max="13278" width="79.75" customWidth="1"/>
    <col min="13512" max="13513" width="32.125" customWidth="1"/>
    <col min="13514" max="13514" width="23.125" customWidth="1"/>
    <col min="13519" max="13519" width="2.75" customWidth="1"/>
    <col min="13520" max="13520" width="35.75" customWidth="1"/>
    <col min="13521" max="13521" width="5.125" customWidth="1"/>
    <col min="13522" max="13522" width="32.125" customWidth="1"/>
    <col min="13526" max="13526" width="40.25" customWidth="1"/>
    <col min="13534" max="13534" width="79.75" customWidth="1"/>
    <col min="13768" max="13769" width="32.125" customWidth="1"/>
    <col min="13770" max="13770" width="23.125" customWidth="1"/>
    <col min="13775" max="13775" width="2.75" customWidth="1"/>
    <col min="13776" max="13776" width="35.75" customWidth="1"/>
    <col min="13777" max="13777" width="5.125" customWidth="1"/>
    <col min="13778" max="13778" width="32.125" customWidth="1"/>
    <col min="13782" max="13782" width="40.25" customWidth="1"/>
    <col min="13790" max="13790" width="79.75" customWidth="1"/>
    <col min="14024" max="14025" width="32.125" customWidth="1"/>
    <col min="14026" max="14026" width="23.125" customWidth="1"/>
    <col min="14031" max="14031" width="2.75" customWidth="1"/>
    <col min="14032" max="14032" width="35.75" customWidth="1"/>
    <col min="14033" max="14033" width="5.125" customWidth="1"/>
    <col min="14034" max="14034" width="32.125" customWidth="1"/>
    <col min="14038" max="14038" width="40.25" customWidth="1"/>
    <col min="14046" max="14046" width="79.75" customWidth="1"/>
    <col min="14280" max="14281" width="32.125" customWidth="1"/>
    <col min="14282" max="14282" width="23.125" customWidth="1"/>
    <col min="14287" max="14287" width="2.75" customWidth="1"/>
    <col min="14288" max="14288" width="35.75" customWidth="1"/>
    <col min="14289" max="14289" width="5.125" customWidth="1"/>
    <col min="14290" max="14290" width="32.125" customWidth="1"/>
    <col min="14294" max="14294" width="40.25" customWidth="1"/>
    <col min="14302" max="14302" width="79.75" customWidth="1"/>
    <col min="14536" max="14537" width="32.125" customWidth="1"/>
    <col min="14538" max="14538" width="23.125" customWidth="1"/>
    <col min="14543" max="14543" width="2.75" customWidth="1"/>
    <col min="14544" max="14544" width="35.75" customWidth="1"/>
    <col min="14545" max="14545" width="5.125" customWidth="1"/>
    <col min="14546" max="14546" width="32.125" customWidth="1"/>
    <col min="14550" max="14550" width="40.25" customWidth="1"/>
    <col min="14558" max="14558" width="79.75" customWidth="1"/>
    <col min="14792" max="14793" width="32.125" customWidth="1"/>
    <col min="14794" max="14794" width="23.125" customWidth="1"/>
    <col min="14799" max="14799" width="2.75" customWidth="1"/>
    <col min="14800" max="14800" width="35.75" customWidth="1"/>
    <col min="14801" max="14801" width="5.125" customWidth="1"/>
    <col min="14802" max="14802" width="32.125" customWidth="1"/>
    <col min="14806" max="14806" width="40.25" customWidth="1"/>
    <col min="14814" max="14814" width="79.75" customWidth="1"/>
    <col min="15048" max="15049" width="32.125" customWidth="1"/>
    <col min="15050" max="15050" width="23.125" customWidth="1"/>
    <col min="15055" max="15055" width="2.75" customWidth="1"/>
    <col min="15056" max="15056" width="35.75" customWidth="1"/>
    <col min="15057" max="15057" width="5.125" customWidth="1"/>
    <col min="15058" max="15058" width="32.125" customWidth="1"/>
    <col min="15062" max="15062" width="40.25" customWidth="1"/>
    <col min="15070" max="15070" width="79.75" customWidth="1"/>
    <col min="15304" max="15305" width="32.125" customWidth="1"/>
    <col min="15306" max="15306" width="23.125" customWidth="1"/>
    <col min="15311" max="15311" width="2.75" customWidth="1"/>
    <col min="15312" max="15312" width="35.75" customWidth="1"/>
    <col min="15313" max="15313" width="5.125" customWidth="1"/>
    <col min="15314" max="15314" width="32.125" customWidth="1"/>
    <col min="15318" max="15318" width="40.25" customWidth="1"/>
    <col min="15326" max="15326" width="79.75" customWidth="1"/>
    <col min="15560" max="15561" width="32.125" customWidth="1"/>
    <col min="15562" max="15562" width="23.125" customWidth="1"/>
    <col min="15567" max="15567" width="2.75" customWidth="1"/>
    <col min="15568" max="15568" width="35.75" customWidth="1"/>
    <col min="15569" max="15569" width="5.125" customWidth="1"/>
    <col min="15570" max="15570" width="32.125" customWidth="1"/>
    <col min="15574" max="15574" width="40.25" customWidth="1"/>
    <col min="15582" max="15582" width="79.75" customWidth="1"/>
    <col min="15816" max="15817" width="32.125" customWidth="1"/>
    <col min="15818" max="15818" width="23.125" customWidth="1"/>
    <col min="15823" max="15823" width="2.75" customWidth="1"/>
    <col min="15824" max="15824" width="35.75" customWidth="1"/>
    <col min="15825" max="15825" width="5.125" customWidth="1"/>
    <col min="15826" max="15826" width="32.125" customWidth="1"/>
    <col min="15830" max="15830" width="40.25" customWidth="1"/>
    <col min="15838" max="15838" width="79.75" customWidth="1"/>
    <col min="16072" max="16073" width="32.125" customWidth="1"/>
    <col min="16074" max="16074" width="23.125" customWidth="1"/>
    <col min="16079" max="16079" width="2.75" customWidth="1"/>
    <col min="16080" max="16080" width="35.75" customWidth="1"/>
    <col min="16081" max="16081" width="5.125" customWidth="1"/>
    <col min="16082" max="16082" width="32.125" customWidth="1"/>
    <col min="16086" max="16086" width="40.25" customWidth="1"/>
    <col min="16094" max="16094" width="79.75" customWidth="1"/>
  </cols>
  <sheetData>
    <row r="1" spans="1:21" ht="22.9" customHeight="1">
      <c r="B1" s="584" t="str">
        <f>+'[2]jobinfo(2)'!$C$1</f>
        <v>MONTGOMERY, JAVIONNA ANTONIO</v>
      </c>
      <c r="C1" s="585" t="str">
        <f>+'[2]jobinfo(2)'!$C$2</f>
        <v xml:space="preserve">3034 Ashwood Road, </v>
      </c>
      <c r="D1" s="585"/>
      <c r="E1" s="586" t="str">
        <f>+'[2]jobinfo(2)'!$C$3</f>
        <v>Cleveland, OH, USA 44120</v>
      </c>
      <c r="F1" s="587" t="str">
        <f>'[2]jobinfo(2)'!$C$11</f>
        <v>WATER BATHTUB OVER</v>
      </c>
      <c r="G1" s="343"/>
      <c r="H1" s="343"/>
      <c r="I1" s="588"/>
      <c r="K1" s="588"/>
      <c r="L1" s="589"/>
      <c r="T1" s="588" t="str">
        <f>'[2]jobinfo(2)'!$C$5</f>
        <v>(216) 551-5572</v>
      </c>
      <c r="U1" s="588"/>
    </row>
    <row r="2" spans="1:21" ht="22.9" customHeight="1">
      <c r="B2" s="590" t="s">
        <v>315</v>
      </c>
      <c r="C2" s="591" t="s">
        <v>908</v>
      </c>
      <c r="D2" s="591"/>
      <c r="E2" s="592" t="s">
        <v>909</v>
      </c>
      <c r="F2" s="593"/>
      <c r="G2" s="525"/>
    </row>
    <row r="3" spans="1:21" ht="22.9" customHeight="1">
      <c r="B3" s="14" t="s">
        <v>910</v>
      </c>
      <c r="G3" s="525"/>
    </row>
    <row r="4" spans="1:21" ht="22.9" customHeight="1">
      <c r="A4" s="891" t="s">
        <v>911</v>
      </c>
      <c r="C4" s="594" t="s">
        <v>912</v>
      </c>
      <c r="D4" s="594" t="s">
        <v>912</v>
      </c>
      <c r="E4" s="594" t="s">
        <v>912</v>
      </c>
      <c r="F4" s="595" t="s">
        <v>913</v>
      </c>
      <c r="G4" s="596"/>
    </row>
    <row r="5" spans="1:21" ht="22.9" customHeight="1">
      <c r="A5" s="891"/>
      <c r="B5" s="597" t="s">
        <v>914</v>
      </c>
      <c r="C5" s="594" t="s">
        <v>912</v>
      </c>
      <c r="D5" s="594" t="s">
        <v>912</v>
      </c>
      <c r="E5" s="594" t="s">
        <v>912</v>
      </c>
      <c r="F5" s="595"/>
      <c r="G5" s="596"/>
    </row>
    <row r="6" spans="1:21" ht="22.9" customHeight="1">
      <c r="A6" s="891"/>
      <c r="B6" s="597" t="s">
        <v>915</v>
      </c>
      <c r="C6" s="594" t="s">
        <v>912</v>
      </c>
      <c r="D6" s="594" t="s">
        <v>912</v>
      </c>
      <c r="E6" s="594" t="s">
        <v>912</v>
      </c>
      <c r="F6" s="595"/>
      <c r="G6" s="596"/>
    </row>
    <row r="7" spans="1:21" ht="22.9" customHeight="1">
      <c r="A7" s="891"/>
      <c r="B7" s="597" t="s">
        <v>916</v>
      </c>
      <c r="C7" s="594" t="s">
        <v>912</v>
      </c>
      <c r="D7" s="594" t="s">
        <v>912</v>
      </c>
      <c r="E7" s="594" t="s">
        <v>912</v>
      </c>
      <c r="F7" s="595"/>
      <c r="G7" s="596"/>
    </row>
    <row r="8" spans="1:21" ht="22.9" customHeight="1">
      <c r="A8" s="891"/>
      <c r="B8" s="597" t="s">
        <v>917</v>
      </c>
      <c r="C8" s="594" t="s">
        <v>912</v>
      </c>
      <c r="D8" s="594" t="s">
        <v>912</v>
      </c>
      <c r="E8" s="594" t="s">
        <v>912</v>
      </c>
      <c r="F8" s="595"/>
      <c r="G8" s="596"/>
    </row>
    <row r="9" spans="1:21" ht="22.9" customHeight="1">
      <c r="A9" s="891"/>
      <c r="B9" s="597"/>
      <c r="C9" s="594" t="s">
        <v>912</v>
      </c>
      <c r="D9" s="594" t="s">
        <v>912</v>
      </c>
      <c r="E9" s="594" t="s">
        <v>912</v>
      </c>
      <c r="F9" s="595"/>
      <c r="G9" s="596"/>
    </row>
    <row r="10" spans="1:21" ht="22.9" customHeight="1">
      <c r="A10" s="891"/>
      <c r="B10" s="597"/>
      <c r="C10" s="594" t="s">
        <v>912</v>
      </c>
      <c r="D10" s="594" t="s">
        <v>912</v>
      </c>
      <c r="E10" s="594" t="s">
        <v>912</v>
      </c>
      <c r="F10" s="595"/>
      <c r="G10" s="596"/>
    </row>
    <row r="11" spans="1:21" ht="22.9" customHeight="1">
      <c r="B11" s="597" t="s">
        <v>918</v>
      </c>
      <c r="C11" s="594" t="s">
        <v>912</v>
      </c>
      <c r="D11" s="594" t="s">
        <v>912</v>
      </c>
      <c r="E11" s="594" t="s">
        <v>912</v>
      </c>
      <c r="F11" s="595" t="s">
        <v>913</v>
      </c>
      <c r="G11" s="596"/>
    </row>
    <row r="12" spans="1:21" ht="22.9" customHeight="1">
      <c r="B12" s="138" t="s">
        <v>919</v>
      </c>
      <c r="C12" s="594" t="s">
        <v>912</v>
      </c>
      <c r="D12" s="594"/>
      <c r="E12" s="594"/>
      <c r="F12" s="595"/>
      <c r="G12" s="596"/>
    </row>
    <row r="13" spans="1:21" ht="22.9" customHeight="1">
      <c r="B13" s="597"/>
      <c r="C13" s="594" t="s">
        <v>912</v>
      </c>
      <c r="D13" s="594"/>
      <c r="E13" s="594"/>
      <c r="F13" s="595"/>
      <c r="G13" s="596"/>
    </row>
    <row r="14" spans="1:21" ht="22.9" customHeight="1">
      <c r="B14" s="597" t="s">
        <v>920</v>
      </c>
      <c r="C14" s="594" t="s">
        <v>912</v>
      </c>
      <c r="D14" s="594"/>
      <c r="E14" s="594"/>
      <c r="F14" s="595"/>
      <c r="G14" s="596"/>
    </row>
    <row r="15" spans="1:21" ht="22.9" customHeight="1">
      <c r="B15" s="597"/>
      <c r="C15" s="594"/>
      <c r="D15" s="594"/>
      <c r="E15" s="594"/>
      <c r="F15" s="595"/>
      <c r="G15" s="596"/>
    </row>
    <row r="16" spans="1:21" ht="22.9" customHeight="1">
      <c r="B16" s="597" t="s">
        <v>921</v>
      </c>
      <c r="C16" s="594" t="s">
        <v>922</v>
      </c>
      <c r="D16" s="594" t="s">
        <v>923</v>
      </c>
      <c r="E16" s="594" t="s">
        <v>924</v>
      </c>
      <c r="F16" s="595" t="s">
        <v>925</v>
      </c>
      <c r="G16" s="596"/>
    </row>
    <row r="17" spans="2:7" ht="22.9" customHeight="1">
      <c r="C17" s="14" t="s">
        <v>926</v>
      </c>
      <c r="D17" s="594"/>
      <c r="E17" s="594"/>
      <c r="F17" s="595"/>
      <c r="G17" s="596"/>
    </row>
    <row r="18" spans="2:7" ht="22.9" customHeight="1">
      <c r="B18" s="598" t="s">
        <v>927</v>
      </c>
      <c r="C18" s="599"/>
      <c r="D18" s="599"/>
      <c r="E18" s="599"/>
      <c r="F18" s="599"/>
      <c r="G18" s="339"/>
    </row>
    <row r="19" spans="2:7" ht="22.9" customHeight="1">
      <c r="B19" s="597" t="s">
        <v>928</v>
      </c>
      <c r="C19" s="600"/>
      <c r="D19" s="600"/>
      <c r="E19" s="600" t="s">
        <v>929</v>
      </c>
      <c r="F19" s="599"/>
      <c r="G19" s="339"/>
    </row>
    <row r="20" spans="2:7" ht="22.9" customHeight="1">
      <c r="B20" s="597" t="s">
        <v>930</v>
      </c>
      <c r="C20" s="599" t="s">
        <v>931</v>
      </c>
      <c r="D20" s="599"/>
      <c r="E20" s="601" t="s">
        <v>932</v>
      </c>
      <c r="F20" s="599"/>
      <c r="G20" s="339"/>
    </row>
    <row r="21" spans="2:7" ht="22.9" customHeight="1">
      <c r="B21" s="597" t="s">
        <v>933</v>
      </c>
      <c r="C21" s="600" t="s">
        <v>934</v>
      </c>
      <c r="D21" s="600"/>
      <c r="E21" s="602" t="s">
        <v>932</v>
      </c>
      <c r="F21" s="599"/>
      <c r="G21" s="339"/>
    </row>
    <row r="22" spans="2:7" ht="22.9" customHeight="1">
      <c r="B22" s="597" t="s">
        <v>935</v>
      </c>
      <c r="C22" s="599" t="s">
        <v>934</v>
      </c>
      <c r="D22" s="599"/>
      <c r="E22" s="602" t="s">
        <v>932</v>
      </c>
      <c r="F22" s="599"/>
      <c r="G22" s="339"/>
    </row>
    <row r="23" spans="2:7" ht="22.9" customHeight="1">
      <c r="B23" s="597" t="s">
        <v>936</v>
      </c>
      <c r="C23" s="600" t="s">
        <v>934</v>
      </c>
      <c r="D23" s="600"/>
      <c r="E23" s="602" t="s">
        <v>932</v>
      </c>
      <c r="F23" s="599"/>
      <c r="G23" s="339"/>
    </row>
    <row r="24" spans="2:7" ht="22.9" customHeight="1">
      <c r="B24" s="597" t="s">
        <v>937</v>
      </c>
      <c r="C24" s="599"/>
      <c r="D24" s="599"/>
      <c r="E24" s="599"/>
      <c r="F24" s="599"/>
      <c r="G24" s="339"/>
    </row>
    <row r="25" spans="2:7" ht="22.9" customHeight="1">
      <c r="B25" s="597"/>
      <c r="C25" s="599"/>
      <c r="D25" s="599"/>
      <c r="E25" s="599"/>
      <c r="F25" s="599"/>
      <c r="G25" s="339"/>
    </row>
    <row r="26" spans="2:7" ht="22.15" customHeight="1">
      <c r="B26" s="603" t="s">
        <v>938</v>
      </c>
      <c r="C26" s="599"/>
      <c r="D26" s="599"/>
      <c r="E26" s="599"/>
      <c r="F26" s="604"/>
      <c r="G26" s="339"/>
    </row>
    <row r="27" spans="2:7" ht="22.15" customHeight="1">
      <c r="B27" s="605" t="s">
        <v>939</v>
      </c>
      <c r="C27" s="599" t="s">
        <v>940</v>
      </c>
      <c r="D27" s="599" t="s">
        <v>941</v>
      </c>
      <c r="E27" s="606" t="s">
        <v>942</v>
      </c>
      <c r="F27" s="604"/>
      <c r="G27" s="339"/>
    </row>
    <row r="28" spans="2:7" ht="22.9" customHeight="1">
      <c r="B28" s="607" t="s">
        <v>943</v>
      </c>
      <c r="C28" s="599" t="s">
        <v>944</v>
      </c>
      <c r="D28" s="599"/>
      <c r="E28" s="599"/>
      <c r="F28" s="608"/>
      <c r="G28" s="339"/>
    </row>
    <row r="29" spans="2:7" ht="22.9" customHeight="1">
      <c r="B29" s="7" t="s">
        <v>945</v>
      </c>
      <c r="C29" s="599"/>
      <c r="D29" s="599"/>
      <c r="E29" s="599" t="s">
        <v>934</v>
      </c>
      <c r="F29" s="599" t="s">
        <v>946</v>
      </c>
      <c r="G29" s="339"/>
    </row>
    <row r="30" spans="2:7" ht="22.9" customHeight="1">
      <c r="B30" s="7" t="s">
        <v>947</v>
      </c>
      <c r="C30" s="599" t="s">
        <v>940</v>
      </c>
      <c r="D30" s="599" t="s">
        <v>941</v>
      </c>
      <c r="E30" s="599" t="s">
        <v>934</v>
      </c>
      <c r="F30" s="608"/>
      <c r="G30" s="339"/>
    </row>
    <row r="31" spans="2:7" ht="22.9" customHeight="1">
      <c r="B31" s="7" t="s">
        <v>948</v>
      </c>
      <c r="C31" s="608" t="s">
        <v>949</v>
      </c>
      <c r="D31" s="599"/>
      <c r="E31" s="599"/>
      <c r="F31" s="599"/>
      <c r="G31" s="339"/>
    </row>
    <row r="32" spans="2:7" ht="22.9" customHeight="1">
      <c r="B32" s="7" t="s">
        <v>950</v>
      </c>
      <c r="C32" s="339"/>
      <c r="D32" s="339"/>
      <c r="E32" s="339"/>
      <c r="F32" s="339"/>
      <c r="G32" s="339"/>
    </row>
    <row r="33" spans="3:7" ht="22.9" customHeight="1">
      <c r="C33" s="339"/>
      <c r="D33" s="339"/>
      <c r="E33" s="339"/>
      <c r="F33" s="339"/>
      <c r="G33" s="339"/>
    </row>
    <row r="34" spans="3:7" ht="22.9" customHeight="1">
      <c r="C34" s="339"/>
      <c r="D34" s="339"/>
      <c r="E34" s="339"/>
      <c r="F34" s="339"/>
      <c r="G34" s="339"/>
    </row>
    <row r="35" spans="3:7" ht="22.9" customHeight="1">
      <c r="C35" s="339"/>
      <c r="D35" s="339"/>
      <c r="E35" s="339"/>
      <c r="F35" s="339"/>
      <c r="G35" s="339"/>
    </row>
    <row r="36" spans="3:7" ht="22.9" customHeight="1">
      <c r="C36" s="339"/>
      <c r="D36" s="339"/>
      <c r="E36" s="339"/>
      <c r="F36" s="339"/>
      <c r="G36" s="339"/>
    </row>
    <row r="37" spans="3:7" ht="22.9" customHeight="1">
      <c r="C37" s="339"/>
      <c r="D37" s="339"/>
      <c r="E37" s="339"/>
      <c r="F37" s="339"/>
      <c r="G37" s="339"/>
    </row>
    <row r="38" spans="3:7" ht="22.9" customHeight="1">
      <c r="C38" s="339"/>
      <c r="D38" s="339"/>
      <c r="E38" s="339"/>
      <c r="F38" s="339"/>
      <c r="G38" s="339"/>
    </row>
    <row r="39" spans="3:7" ht="22.9" customHeight="1">
      <c r="C39" s="339"/>
      <c r="D39" s="339"/>
      <c r="E39" s="339"/>
      <c r="F39" s="339"/>
      <c r="G39" s="339"/>
    </row>
    <row r="40" spans="3:7" ht="22.9" customHeight="1">
      <c r="C40" s="339"/>
      <c r="D40" s="339"/>
      <c r="E40" s="339"/>
      <c r="F40" s="339"/>
      <c r="G40" s="339"/>
    </row>
    <row r="41" spans="3:7" ht="22.9" customHeight="1">
      <c r="C41" s="339"/>
      <c r="D41" s="339"/>
      <c r="E41" s="339"/>
      <c r="F41" s="339"/>
      <c r="G41" s="339"/>
    </row>
    <row r="42" spans="3:7" ht="22.9" customHeight="1">
      <c r="C42" s="339"/>
      <c r="D42" s="339"/>
      <c r="E42" s="339"/>
      <c r="F42" s="339"/>
      <c r="G42" s="339"/>
    </row>
    <row r="43" spans="3:7" ht="22.9" customHeight="1">
      <c r="C43" s="339"/>
      <c r="D43" s="339"/>
      <c r="E43" s="339"/>
      <c r="F43" s="339"/>
      <c r="G43" s="339"/>
    </row>
    <row r="44" spans="3:7" ht="22.9" customHeight="1">
      <c r="C44" s="339"/>
      <c r="D44" s="339"/>
      <c r="E44" s="339"/>
      <c r="F44" s="339"/>
      <c r="G44" s="339"/>
    </row>
  </sheetData>
  <mergeCells count="1">
    <mergeCell ref="A4:A10"/>
  </mergeCells>
  <printOptions horizontalCentered="1" verticalCentered="1" gridLines="1"/>
  <pageMargins left="0.25" right="0.25" top="0.19" bottom="0.37" header="0.26" footer="0.21"/>
  <pageSetup orientation="portrait" r:id="rId1"/>
  <headerFooter>
    <oddFooter>&amp;L&amp;A&amp;C
&amp;R
Page  #  &amp;P         &amp;F</oddFooter>
  </headerFooter>
  <colBreaks count="1" manualBreakCount="1">
    <brk id="6" max="31"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B712-6B80-4DE4-B6CF-5AD032CB6C20}">
  <sheetPr codeName="Sheet14"/>
  <dimension ref="A1:A109"/>
  <sheetViews>
    <sheetView view="pageBreakPreview" zoomScale="60" zoomScaleNormal="100" workbookViewId="0">
      <selection activeCell="P72" sqref="P72:Q75"/>
    </sheetView>
  </sheetViews>
  <sheetFormatPr defaultRowHeight="13.9"/>
  <cols>
    <col min="1" max="1" width="88.75" customWidth="1"/>
  </cols>
  <sheetData>
    <row r="1" spans="1:1">
      <c r="A1" t="s">
        <v>951</v>
      </c>
    </row>
    <row r="3" spans="1:1" ht="66">
      <c r="A3" s="494" t="s">
        <v>952</v>
      </c>
    </row>
    <row r="4" spans="1:1" ht="124.15">
      <c r="A4" s="335" t="s">
        <v>953</v>
      </c>
    </row>
    <row r="8" spans="1:1" ht="31.15">
      <c r="A8" s="500" t="s">
        <v>954</v>
      </c>
    </row>
    <row r="9" spans="1:1" ht="31.15">
      <c r="A9" s="498" t="s">
        <v>955</v>
      </c>
    </row>
    <row r="10" spans="1:1" ht="15.6">
      <c r="A10" s="498"/>
    </row>
    <row r="11" spans="1:1" ht="15.6">
      <c r="A11" s="498" t="s">
        <v>956</v>
      </c>
    </row>
    <row r="12" spans="1:1" ht="15.6">
      <c r="A12" s="498"/>
    </row>
    <row r="13" spans="1:1" ht="15.6">
      <c r="A13" s="498" t="s">
        <v>957</v>
      </c>
    </row>
    <row r="15" spans="1:1" ht="15" thickBot="1">
      <c r="A15" s="495"/>
    </row>
    <row r="16" spans="1:1" ht="55.9" thickBot="1">
      <c r="A16" s="496" t="s">
        <v>958</v>
      </c>
    </row>
    <row r="17" spans="1:1" ht="15" thickBot="1">
      <c r="A17" s="497"/>
    </row>
    <row r="18" spans="1:1" ht="42" thickBot="1">
      <c r="A18" s="496" t="s">
        <v>959</v>
      </c>
    </row>
    <row r="19" spans="1:1" ht="14.45">
      <c r="A19" s="495"/>
    </row>
    <row r="20" spans="1:1" ht="14.45">
      <c r="A20" s="495" t="s">
        <v>960</v>
      </c>
    </row>
    <row r="21" spans="1:1" ht="14.45">
      <c r="A21" s="495" t="s">
        <v>961</v>
      </c>
    </row>
    <row r="22" spans="1:1" ht="14.45">
      <c r="A22" s="495" t="s">
        <v>962</v>
      </c>
    </row>
    <row r="23" spans="1:1" ht="14.45">
      <c r="A23" s="495" t="s">
        <v>963</v>
      </c>
    </row>
    <row r="24" spans="1:1" ht="14.45">
      <c r="A24" s="495" t="s">
        <v>964</v>
      </c>
    </row>
    <row r="25" spans="1:1" ht="14.45">
      <c r="A25" s="495" t="s">
        <v>965</v>
      </c>
    </row>
    <row r="26" spans="1:1" ht="14.45">
      <c r="A26" s="495" t="s">
        <v>966</v>
      </c>
    </row>
    <row r="27" spans="1:1" ht="14.45">
      <c r="A27" s="495" t="s">
        <v>967</v>
      </c>
    </row>
    <row r="28" spans="1:1" ht="14.45">
      <c r="A28" s="495" t="s">
        <v>968</v>
      </c>
    </row>
    <row r="29" spans="1:1" ht="14.45">
      <c r="A29" s="495" t="s">
        <v>969</v>
      </c>
    </row>
    <row r="30" spans="1:1" ht="14.45">
      <c r="A30" s="495" t="s">
        <v>970</v>
      </c>
    </row>
    <row r="31" spans="1:1" ht="14.45">
      <c r="A31" s="495" t="s">
        <v>971</v>
      </c>
    </row>
    <row r="32" spans="1:1" ht="14.45">
      <c r="A32" s="495" t="s">
        <v>972</v>
      </c>
    </row>
    <row r="33" spans="1:1" ht="14.45">
      <c r="A33" s="495" t="s">
        <v>973</v>
      </c>
    </row>
    <row r="34" spans="1:1" ht="14.45">
      <c r="A34" s="495" t="s">
        <v>974</v>
      </c>
    </row>
    <row r="35" spans="1:1" ht="14.45">
      <c r="A35" s="495" t="s">
        <v>975</v>
      </c>
    </row>
    <row r="36" spans="1:1" ht="14.45">
      <c r="A36" s="495" t="s">
        <v>976</v>
      </c>
    </row>
    <row r="37" spans="1:1" ht="14.45">
      <c r="A37" s="495" t="s">
        <v>977</v>
      </c>
    </row>
    <row r="38" spans="1:1" ht="14.45">
      <c r="A38" s="495" t="s">
        <v>978</v>
      </c>
    </row>
    <row r="39" spans="1:1" ht="14.45">
      <c r="A39" s="495"/>
    </row>
    <row r="40" spans="1:1" ht="14.45">
      <c r="A40" s="495" t="s">
        <v>979</v>
      </c>
    </row>
    <row r="41" spans="1:1" ht="14.45">
      <c r="A41" s="495" t="s">
        <v>980</v>
      </c>
    </row>
    <row r="42" spans="1:1" ht="14.45">
      <c r="A42" s="495"/>
    </row>
    <row r="43" spans="1:1" ht="28.9">
      <c r="A43" s="499" t="s">
        <v>981</v>
      </c>
    </row>
    <row r="44" spans="1:1" ht="14.45">
      <c r="A44" s="499"/>
    </row>
    <row r="45" spans="1:1" ht="72">
      <c r="A45" s="499" t="s">
        <v>982</v>
      </c>
    </row>
    <row r="46" spans="1:1" ht="14.45">
      <c r="A46" s="499"/>
    </row>
    <row r="47" spans="1:1" ht="86.45">
      <c r="A47" s="499" t="s">
        <v>983</v>
      </c>
    </row>
    <row r="48" spans="1:1" ht="14.45">
      <c r="A48" s="499"/>
    </row>
    <row r="49" spans="1:1" ht="72">
      <c r="A49" s="499" t="s">
        <v>984</v>
      </c>
    </row>
    <row r="50" spans="1:1" ht="14.45">
      <c r="A50" s="499"/>
    </row>
    <row r="51" spans="1:1" ht="57.6">
      <c r="A51" s="499" t="s">
        <v>985</v>
      </c>
    </row>
    <row r="52" spans="1:1" ht="14.45">
      <c r="A52" s="499"/>
    </row>
    <row r="53" spans="1:1" ht="72">
      <c r="A53" s="499" t="s">
        <v>986</v>
      </c>
    </row>
    <row r="54" spans="1:1" ht="14.45">
      <c r="A54" s="499"/>
    </row>
    <row r="55" spans="1:1" ht="43.15">
      <c r="A55" s="499" t="s">
        <v>987</v>
      </c>
    </row>
    <row r="56" spans="1:1" ht="14.45">
      <c r="A56" s="499"/>
    </row>
    <row r="57" spans="1:1" ht="43.15">
      <c r="A57" s="499" t="s">
        <v>988</v>
      </c>
    </row>
    <row r="58" spans="1:1" ht="14.45">
      <c r="A58" s="499"/>
    </row>
    <row r="59" spans="1:1" ht="57.6">
      <c r="A59" s="499" t="s">
        <v>989</v>
      </c>
    </row>
    <row r="60" spans="1:1" ht="14.45">
      <c r="A60" s="499"/>
    </row>
    <row r="61" spans="1:1" ht="72">
      <c r="A61" s="499" t="s">
        <v>990</v>
      </c>
    </row>
    <row r="62" spans="1:1" ht="14.45">
      <c r="A62" s="499"/>
    </row>
    <row r="63" spans="1:1" ht="28.9">
      <c r="A63" s="499" t="s">
        <v>991</v>
      </c>
    </row>
    <row r="64" spans="1:1" ht="14.45">
      <c r="A64" s="499"/>
    </row>
    <row r="65" spans="1:1" ht="43.15">
      <c r="A65" s="499" t="s">
        <v>992</v>
      </c>
    </row>
    <row r="66" spans="1:1" ht="14.45">
      <c r="A66" s="499"/>
    </row>
    <row r="67" spans="1:1" ht="72">
      <c r="A67" s="499" t="s">
        <v>993</v>
      </c>
    </row>
    <row r="68" spans="1:1" ht="14.45">
      <c r="A68" s="499"/>
    </row>
    <row r="69" spans="1:1" ht="28.9">
      <c r="A69" s="499" t="s">
        <v>994</v>
      </c>
    </row>
    <row r="70" spans="1:1" ht="14.45">
      <c r="A70" s="499"/>
    </row>
    <row r="71" spans="1:1" ht="72">
      <c r="A71" s="499" t="s">
        <v>995</v>
      </c>
    </row>
    <row r="72" spans="1:1" ht="14.45">
      <c r="A72" s="499"/>
    </row>
    <row r="73" spans="1:1" ht="14.45">
      <c r="A73" s="499" t="s">
        <v>996</v>
      </c>
    </row>
    <row r="74" spans="1:1" ht="14.45">
      <c r="A74" s="499"/>
    </row>
    <row r="75" spans="1:1" ht="57.6">
      <c r="A75" s="499" t="s">
        <v>997</v>
      </c>
    </row>
    <row r="76" spans="1:1">
      <c r="A76" s="335"/>
    </row>
    <row r="77" spans="1:1">
      <c r="A77" s="335"/>
    </row>
    <row r="78" spans="1:1">
      <c r="A78" s="335"/>
    </row>
    <row r="79" spans="1:1">
      <c r="A79" s="335" t="s">
        <v>998</v>
      </c>
    </row>
    <row r="80" spans="1:1">
      <c r="A80" s="335"/>
    </row>
    <row r="81" spans="1:1">
      <c r="A81" s="335" t="s">
        <v>999</v>
      </c>
    </row>
    <row r="82" spans="1:1">
      <c r="A82" s="335" t="s">
        <v>1000</v>
      </c>
    </row>
    <row r="83" spans="1:1">
      <c r="A83" t="s">
        <v>1001</v>
      </c>
    </row>
    <row r="84" spans="1:1">
      <c r="A84" t="s">
        <v>1002</v>
      </c>
    </row>
    <row r="85" spans="1:1">
      <c r="A85" t="s">
        <v>1003</v>
      </c>
    </row>
    <row r="87" spans="1:1">
      <c r="A87" t="s">
        <v>1004</v>
      </c>
    </row>
    <row r="88" spans="1:1">
      <c r="A88" t="s">
        <v>1005</v>
      </c>
    </row>
    <row r="89" spans="1:1">
      <c r="A89" t="s">
        <v>1006</v>
      </c>
    </row>
    <row r="90" spans="1:1">
      <c r="A90" t="s">
        <v>1007</v>
      </c>
    </row>
    <row r="91" spans="1:1">
      <c r="A91" t="s">
        <v>1008</v>
      </c>
    </row>
    <row r="92" spans="1:1">
      <c r="A92" t="s">
        <v>1009</v>
      </c>
    </row>
    <row r="93" spans="1:1">
      <c r="A93" t="s">
        <v>1010</v>
      </c>
    </row>
    <row r="94" spans="1:1">
      <c r="A94" t="s">
        <v>1011</v>
      </c>
    </row>
    <row r="95" spans="1:1">
      <c r="A95" t="s">
        <v>1012</v>
      </c>
    </row>
    <row r="98" spans="1:1">
      <c r="A98" s="892" t="s">
        <v>1013</v>
      </c>
    </row>
    <row r="99" spans="1:1">
      <c r="A99" s="892"/>
    </row>
    <row r="101" spans="1:1">
      <c r="A101" t="s">
        <v>1014</v>
      </c>
    </row>
    <row r="102" spans="1:1">
      <c r="A102" t="s">
        <v>1015</v>
      </c>
    </row>
    <row r="103" spans="1:1">
      <c r="A103" t="s">
        <v>1016</v>
      </c>
    </row>
    <row r="104" spans="1:1">
      <c r="A104" t="s">
        <v>1017</v>
      </c>
    </row>
    <row r="105" spans="1:1">
      <c r="A105" t="s">
        <v>1018</v>
      </c>
    </row>
    <row r="106" spans="1:1">
      <c r="A106" t="s">
        <v>1019</v>
      </c>
    </row>
    <row r="107" spans="1:1">
      <c r="A107" t="s">
        <v>1020</v>
      </c>
    </row>
    <row r="108" spans="1:1">
      <c r="A108" t="s">
        <v>1021</v>
      </c>
    </row>
    <row r="109" spans="1:1">
      <c r="A109" t="s">
        <v>1022</v>
      </c>
    </row>
  </sheetData>
  <mergeCells count="1">
    <mergeCell ref="A98:A99"/>
  </mergeCells>
  <pageMargins left="0.27" right="0.27" top="0.68" bottom="0.63" header="0.3" footer="0.27"/>
  <pageSetup orientation="portrait" r:id="rId1"/>
  <headerFooter>
    <oddFooter>&amp;C&amp;A&amp;R&amp;F</oddFooter>
  </headerFooter>
  <rowBreaks count="1" manualBreakCount="1">
    <brk id="9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18A9-D180-4CD9-9C10-8A2E09DC8353}">
  <sheetPr codeName="Sheet1"/>
  <dimension ref="A1:C12"/>
  <sheetViews>
    <sheetView topLeftCell="A8" zoomScaleNormal="100" workbookViewId="0">
      <selection activeCell="A20" sqref="A20"/>
    </sheetView>
  </sheetViews>
  <sheetFormatPr defaultColWidth="6.5" defaultRowHeight="21"/>
  <cols>
    <col min="1" max="1" width="7.625" style="175" customWidth="1"/>
    <col min="2" max="2" width="74.5" style="338" customWidth="1"/>
    <col min="3" max="3" width="0.875" style="146" customWidth="1"/>
    <col min="4" max="16384" width="6.5" style="146"/>
  </cols>
  <sheetData>
    <row r="1" spans="1:3" ht="43.9" customHeight="1">
      <c r="A1" s="191" t="s">
        <v>1023</v>
      </c>
      <c r="B1" s="336"/>
      <c r="C1" s="192"/>
    </row>
    <row r="2" spans="1:3" ht="66" customHeight="1">
      <c r="B2" s="893" t="s">
        <v>1024</v>
      </c>
      <c r="C2" s="893"/>
    </row>
    <row r="3" spans="1:3" ht="43.9" customHeight="1">
      <c r="A3" s="175" t="s">
        <v>1025</v>
      </c>
      <c r="B3" s="336" t="s">
        <v>1026</v>
      </c>
      <c r="C3" s="147"/>
    </row>
    <row r="4" spans="1:3" ht="43.9" customHeight="1">
      <c r="A4" s="190" t="s">
        <v>1025</v>
      </c>
      <c r="B4" s="337" t="str">
        <f>+'quick chklst'!A1</f>
        <v>BASIC SUMMARY OF RESTORATION PROCESS; (Quick version).</v>
      </c>
      <c r="C4" s="147"/>
    </row>
    <row r="5" spans="1:3" ht="43.9" customHeight="1">
      <c r="A5" s="190"/>
      <c r="B5" s="337"/>
      <c r="C5" s="147"/>
    </row>
    <row r="6" spans="1:3" ht="43.9" customHeight="1">
      <c r="A6" s="175" t="s">
        <v>1025</v>
      </c>
      <c r="B6" s="336" t="e">
        <f>+#REF!</f>
        <v>#REF!</v>
      </c>
      <c r="C6" s="147"/>
    </row>
    <row r="7" spans="1:3" ht="43.9" customHeight="1">
      <c r="A7" s="190" t="s">
        <v>1025</v>
      </c>
      <c r="B7" s="338" t="e">
        <f>ENC!#REF!</f>
        <v>#REF!</v>
      </c>
      <c r="C7" s="148"/>
    </row>
    <row r="8" spans="1:3" ht="43.9" customHeight="1">
      <c r="A8" s="175" t="s">
        <v>1025</v>
      </c>
      <c r="B8" s="336" t="str">
        <f>ENC!A1</f>
        <v xml:space="preserve">ENCIRCLE </v>
      </c>
      <c r="C8" s="147"/>
    </row>
    <row r="9" spans="1:3" ht="43.9" customHeight="1">
      <c r="A9" s="190" t="s">
        <v>1025</v>
      </c>
      <c r="B9" s="338" t="e">
        <f>+#REF!</f>
        <v>#REF!</v>
      </c>
      <c r="C9" s="147"/>
    </row>
    <row r="10" spans="1:3" ht="43.9" customHeight="1">
      <c r="A10" s="175" t="s">
        <v>1025</v>
      </c>
      <c r="B10" s="336" t="e">
        <f>+#REF!</f>
        <v>#REF!</v>
      </c>
      <c r="C10" s="147"/>
    </row>
    <row r="11" spans="1:3" ht="43.9" customHeight="1">
      <c r="A11" s="190" t="s">
        <v>1025</v>
      </c>
      <c r="B11" s="338" t="str">
        <f>+'how2'!A115</f>
        <v>Note on creating the New Custmer Contract &amp; Docs</v>
      </c>
      <c r="C11" s="147"/>
    </row>
    <row r="12" spans="1:3" ht="43.9" customHeight="1">
      <c r="A12" s="175" t="s">
        <v>1025</v>
      </c>
      <c r="B12" s="336" t="s">
        <v>1027</v>
      </c>
      <c r="C12" s="147"/>
    </row>
  </sheetData>
  <mergeCells count="1">
    <mergeCell ref="B2:C2"/>
  </mergeCells>
  <printOptions gridLines="1"/>
  <pageMargins left="0.56000000000000005" right="0.27" top="0.46" bottom="0.75" header="0.3" footer="0.3"/>
  <pageSetup orientation="portrait" r:id="rId1"/>
  <headerFooter>
    <oddFooter>&amp;L&amp;P&amp;C&amp;A&amp;R&amp;F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9DB4-17A5-4B10-97F2-86866A1C35C6}">
  <sheetPr codeName="Sheet5"/>
  <dimension ref="A1:N102"/>
  <sheetViews>
    <sheetView view="pageBreakPreview" zoomScaleNormal="100" zoomScaleSheetLayoutView="100" workbookViewId="0">
      <selection activeCell="C3" sqref="C3"/>
    </sheetView>
  </sheetViews>
  <sheetFormatPr defaultColWidth="8.75" defaultRowHeight="13.9"/>
  <cols>
    <col min="1" max="1" width="32.625" style="100" customWidth="1"/>
    <col min="2" max="2" width="18.25" style="100" customWidth="1"/>
    <col min="3" max="3" width="17.875" style="100" customWidth="1"/>
    <col min="4" max="4" width="22.25" style="100" customWidth="1"/>
  </cols>
  <sheetData>
    <row r="1" spans="1:5" ht="22.15" customHeight="1">
      <c r="A1" s="334" t="s">
        <v>1028</v>
      </c>
      <c r="B1" s="896" t="str">
        <f>'jobinfo(2)'!C51</f>
        <v>OH25THOMAS@GERTRUDE</v>
      </c>
      <c r="C1" s="896"/>
    </row>
    <row r="2" spans="1:5" ht="22.15" customHeight="1">
      <c r="A2" s="720" t="s">
        <v>1029</v>
      </c>
      <c r="B2" s="722" t="s">
        <v>256</v>
      </c>
      <c r="D2" s="895" t="s">
        <v>1030</v>
      </c>
    </row>
    <row r="3" spans="1:5" ht="22.15" customHeight="1">
      <c r="A3" s="721" t="s">
        <v>1031</v>
      </c>
      <c r="B3" s="721" t="s">
        <v>1032</v>
      </c>
      <c r="C3" s="8" t="s">
        <v>523</v>
      </c>
      <c r="D3" s="895"/>
    </row>
    <row r="4" spans="1:5" ht="22.15" customHeight="1">
      <c r="A4" s="721" t="s">
        <v>1033</v>
      </c>
      <c r="B4" s="721" t="s">
        <v>1034</v>
      </c>
      <c r="C4" s="8"/>
    </row>
    <row r="5" spans="1:5" ht="22.15" customHeight="1">
      <c r="A5" s="898" t="s">
        <v>1035</v>
      </c>
      <c r="B5" s="898"/>
    </row>
    <row r="6" spans="1:5" ht="16.149999999999999" customHeight="1">
      <c r="A6" s="100" t="s">
        <v>1036</v>
      </c>
      <c r="B6" s="100" t="s">
        <v>1037</v>
      </c>
    </row>
    <row r="7" spans="1:5" ht="22.15" customHeight="1">
      <c r="A7" s="254" t="str">
        <f>+'jobinfo(2)'!C1</f>
        <v>THOMAS, ANITA</v>
      </c>
      <c r="B7" s="255" t="str">
        <f>+'jobinfo(2)'!C4</f>
        <v>A@EM</v>
      </c>
      <c r="C7" s="276"/>
    </row>
    <row r="8" spans="1:5" ht="19.149999999999999" customHeight="1">
      <c r="A8" s="262" t="s">
        <v>1038</v>
      </c>
      <c r="B8" s="262" t="s">
        <v>1039</v>
      </c>
      <c r="C8" s="262" t="s">
        <v>1040</v>
      </c>
      <c r="D8" s="253"/>
    </row>
    <row r="9" spans="1:5" ht="16.899999999999999" customHeight="1">
      <c r="A9" s="100" t="s">
        <v>1041</v>
      </c>
      <c r="B9" s="100" t="s">
        <v>1042</v>
      </c>
      <c r="C9" s="100" t="s">
        <v>1043</v>
      </c>
      <c r="D9" s="342" t="s">
        <v>1044</v>
      </c>
      <c r="E9" s="900"/>
    </row>
    <row r="10" spans="1:5" ht="19.899999999999999" customHeight="1">
      <c r="A10" s="254" t="str">
        <f>+'jobinfo(2)'!C2</f>
        <v>6600 GERTRUDE</v>
      </c>
      <c r="B10" s="894" t="str">
        <f>+'jobinfo(2)'!C3</f>
        <v>Cleveland, OH 44105</v>
      </c>
      <c r="C10" s="894"/>
      <c r="D10" s="254" t="s">
        <v>1045</v>
      </c>
      <c r="E10" s="900"/>
    </row>
    <row r="11" spans="1:5" ht="18" customHeight="1">
      <c r="A11" s="283" t="s">
        <v>1046</v>
      </c>
      <c r="B11" s="278" t="s">
        <v>1047</v>
      </c>
      <c r="C11" s="264" t="str">
        <f>+'jobinfo(2)'!C5</f>
        <v>(216) 315-2040</v>
      </c>
      <c r="D11" s="277"/>
      <c r="E11" s="900"/>
    </row>
    <row r="12" spans="1:5" ht="9" customHeight="1">
      <c r="A12" s="279"/>
      <c r="B12" s="280"/>
      <c r="C12" s="281"/>
      <c r="D12" s="281"/>
      <c r="E12" s="900"/>
    </row>
    <row r="13" spans="1:5" ht="16.899999999999999" customHeight="1">
      <c r="A13" s="251" t="s">
        <v>1048</v>
      </c>
      <c r="B13" s="100" t="s">
        <v>1049</v>
      </c>
      <c r="C13" s="98" t="s">
        <v>1050</v>
      </c>
      <c r="D13" s="100" t="s">
        <v>1051</v>
      </c>
      <c r="E13" s="900"/>
    </row>
    <row r="14" spans="1:5" ht="19.149999999999999" customHeight="1">
      <c r="A14" s="271">
        <f>+'jobinfo(2)'!C22</f>
        <v>45836</v>
      </c>
      <c r="B14" s="265" t="s">
        <v>201</v>
      </c>
      <c r="C14" s="265" t="s">
        <v>201</v>
      </c>
      <c r="D14" s="266" t="s">
        <v>1052</v>
      </c>
      <c r="E14" s="900"/>
    </row>
    <row r="15" spans="1:5" ht="10.9" customHeight="1">
      <c r="A15" s="279"/>
      <c r="B15" s="279"/>
      <c r="C15" s="279"/>
      <c r="D15" s="279"/>
      <c r="E15" s="900"/>
    </row>
    <row r="16" spans="1:5" ht="21" customHeight="1">
      <c r="A16" s="902" t="s">
        <v>1053</v>
      </c>
      <c r="B16" s="99" t="s">
        <v>1054</v>
      </c>
      <c r="D16" s="100" t="s">
        <v>1055</v>
      </c>
      <c r="E16" s="900"/>
    </row>
    <row r="17" spans="1:7" s="263" customFormat="1" ht="19.149999999999999" customHeight="1">
      <c r="A17" s="902"/>
      <c r="B17" s="282" t="str">
        <f>'jobinfo(2)'!C112</f>
        <v>Joe Jones, PM  216.450.7228</v>
      </c>
      <c r="D17" s="267" t="str">
        <f>+'jobinfo(2)'!C26</f>
        <v>ALLSTATE INS CO.</v>
      </c>
      <c r="E17" s="900"/>
    </row>
    <row r="18" spans="1:7" ht="10.9" customHeight="1">
      <c r="A18" s="279"/>
      <c r="B18" s="279"/>
      <c r="C18" s="279"/>
      <c r="D18" s="279"/>
      <c r="E18" s="900"/>
    </row>
    <row r="19" spans="1:7" ht="33" customHeight="1">
      <c r="A19" s="343" t="s">
        <v>1056</v>
      </c>
      <c r="B19" s="100" t="s">
        <v>1057</v>
      </c>
      <c r="C19" s="258" t="s">
        <v>1058</v>
      </c>
      <c r="D19" s="251" t="str">
        <f>'jobinfo(2)'!B28</f>
        <v>policy #</v>
      </c>
      <c r="E19" s="900"/>
    </row>
    <row r="20" spans="1:7" ht="19.899999999999999" customHeight="1">
      <c r="A20" s="257" t="str">
        <f>+'jobinfo(2)'!C11</f>
        <v xml:space="preserve">Water Damage=WTR </v>
      </c>
      <c r="B20" s="259" t="s">
        <v>1059</v>
      </c>
      <c r="C20" s="260" t="str">
        <f>+'jobinfo(2)'!C27</f>
        <v>CLM</v>
      </c>
      <c r="D20" s="251" t="str">
        <f>+'jobinfo(2)'!C28</f>
        <v>880 022 226</v>
      </c>
      <c r="E20" s="900"/>
    </row>
    <row r="21" spans="1:7" ht="4.9000000000000004" customHeight="1">
      <c r="A21" s="279"/>
      <c r="B21" s="279"/>
      <c r="C21" s="279"/>
      <c r="D21" s="279"/>
      <c r="E21" s="900"/>
    </row>
    <row r="22" spans="1:7" ht="22.15" customHeight="1">
      <c r="A22" s="332" t="s">
        <v>1060</v>
      </c>
      <c r="B22" s="256" t="s">
        <v>1061</v>
      </c>
      <c r="D22" s="346" t="s">
        <v>1062</v>
      </c>
      <c r="E22" s="900"/>
    </row>
    <row r="23" spans="1:7" ht="22.15" customHeight="1">
      <c r="A23" s="283" t="s">
        <v>1063</v>
      </c>
      <c r="E23" s="900"/>
    </row>
    <row r="24" spans="1:7" ht="4.9000000000000004" customHeight="1">
      <c r="A24" s="285"/>
      <c r="B24" s="279"/>
      <c r="C24" s="261"/>
      <c r="D24" s="286"/>
      <c r="E24" s="900"/>
    </row>
    <row r="25" spans="1:7" ht="22.15" customHeight="1">
      <c r="A25" s="283" t="s">
        <v>1064</v>
      </c>
      <c r="E25" s="900"/>
    </row>
    <row r="26" spans="1:7" ht="22.15" customHeight="1">
      <c r="A26" s="283" t="s">
        <v>1065</v>
      </c>
      <c r="B26" s="288" t="s">
        <v>1066</v>
      </c>
      <c r="C26" s="283" t="s">
        <v>1067</v>
      </c>
      <c r="D26" s="794" t="s">
        <v>1068</v>
      </c>
      <c r="E26" s="900"/>
    </row>
    <row r="27" spans="1:7" ht="19.899999999999999" customHeight="1">
      <c r="A27" s="289" t="s">
        <v>586</v>
      </c>
      <c r="B27" s="341" t="str">
        <f>B10</f>
        <v>Cleveland, OH 44105</v>
      </c>
      <c r="C27" s="717" t="s">
        <v>1069</v>
      </c>
      <c r="D27" s="289" t="s">
        <v>586</v>
      </c>
      <c r="E27" s="900"/>
    </row>
    <row r="28" spans="1:7" ht="18" customHeight="1">
      <c r="A28" s="290"/>
      <c r="B28" s="718" t="str">
        <f>+'jobinfo(2)'!C12</f>
        <v>Friday, September 12, 2025</v>
      </c>
      <c r="C28" s="717"/>
      <c r="D28" s="291"/>
      <c r="E28" s="900"/>
    </row>
    <row r="29" spans="1:7" ht="21" customHeight="1">
      <c r="A29" s="292" t="s">
        <v>1070</v>
      </c>
      <c r="B29" s="268" t="s">
        <v>1071</v>
      </c>
      <c r="C29" s="268" t="s">
        <v>1071</v>
      </c>
      <c r="D29" s="293" t="s">
        <v>1072</v>
      </c>
      <c r="E29" s="900"/>
      <c r="G29" s="223"/>
    </row>
    <row r="30" spans="1:7" ht="3" customHeight="1">
      <c r="A30" s="285"/>
      <c r="B30" s="279"/>
      <c r="C30" s="261"/>
      <c r="D30" s="286"/>
      <c r="E30" s="900"/>
      <c r="G30" s="223"/>
    </row>
    <row r="31" spans="1:7" ht="21" customHeight="1">
      <c r="A31" s="283" t="s">
        <v>1073</v>
      </c>
      <c r="B31" s="268" t="s">
        <v>1071</v>
      </c>
      <c r="C31" s="98" t="s">
        <v>1074</v>
      </c>
      <c r="D31" s="719" t="str">
        <f>'jobinfo(2)'!C100</f>
        <v>All Phase Consulting, LLC</v>
      </c>
      <c r="E31" s="900"/>
      <c r="G31" s="223"/>
    </row>
    <row r="32" spans="1:7" ht="7.9" customHeight="1">
      <c r="A32" s="344"/>
      <c r="B32" s="279"/>
      <c r="C32" s="269"/>
      <c r="D32" s="286"/>
      <c r="E32" s="900"/>
    </row>
    <row r="33" spans="1:6" ht="21" customHeight="1">
      <c r="A33" s="283" t="s">
        <v>1075</v>
      </c>
      <c r="C33" s="268" t="s">
        <v>1071</v>
      </c>
      <c r="D33" s="287"/>
      <c r="E33" s="900"/>
    </row>
    <row r="34" spans="1:6" ht="7.9" customHeight="1">
      <c r="A34" s="344"/>
      <c r="B34" s="279"/>
      <c r="C34" s="269"/>
      <c r="D34" s="287"/>
      <c r="E34" s="900"/>
    </row>
    <row r="35" spans="1:6" ht="22.15" customHeight="1">
      <c r="A35" s="345" t="s">
        <v>1076</v>
      </c>
      <c r="B35" s="270" t="s">
        <v>1077</v>
      </c>
      <c r="C35" s="283" t="s">
        <v>1078</v>
      </c>
      <c r="D35" s="268"/>
      <c r="E35" s="900"/>
    </row>
    <row r="36" spans="1:6" ht="22.15" customHeight="1">
      <c r="B36" s="272">
        <v>0.1</v>
      </c>
      <c r="C36" s="272">
        <v>0.1</v>
      </c>
      <c r="D36" s="271" t="s">
        <v>1071</v>
      </c>
      <c r="E36" s="900"/>
    </row>
    <row r="37" spans="1:6" ht="3" customHeight="1">
      <c r="A37" s="273"/>
      <c r="B37" s="273"/>
      <c r="C37" s="274"/>
      <c r="D37" s="287"/>
      <c r="E37" s="900"/>
    </row>
    <row r="38" spans="1:6" ht="16.899999999999999" customHeight="1">
      <c r="A38" s="901" t="s">
        <v>1079</v>
      </c>
      <c r="B38" s="99" t="s">
        <v>1080</v>
      </c>
      <c r="C38" s="270" t="str">
        <f>+'jobinfo(2)'!C100</f>
        <v>All Phase Consulting, LLC</v>
      </c>
      <c r="D38" s="98"/>
      <c r="E38" s="900"/>
    </row>
    <row r="39" spans="1:6" ht="16.899999999999999" customHeight="1">
      <c r="A39" s="901"/>
      <c r="B39" s="99" t="s">
        <v>1081</v>
      </c>
      <c r="C39" s="98" t="s">
        <v>1082</v>
      </c>
      <c r="D39" s="98" t="s">
        <v>1083</v>
      </c>
      <c r="E39" s="900"/>
    </row>
    <row r="40" spans="1:6" ht="16.899999999999999" customHeight="1">
      <c r="A40" s="901"/>
      <c r="B40" s="99" t="s">
        <v>1084</v>
      </c>
      <c r="C40" s="98" t="s">
        <v>1085</v>
      </c>
      <c r="D40" s="98" t="s">
        <v>1083</v>
      </c>
      <c r="E40" s="900"/>
    </row>
    <row r="41" spans="1:6" ht="16.899999999999999" customHeight="1">
      <c r="A41" s="99"/>
      <c r="B41" s="98"/>
      <c r="E41" s="900"/>
    </row>
    <row r="42" spans="1:6" ht="33" customHeight="1">
      <c r="A42" s="333" t="s">
        <v>1086</v>
      </c>
      <c r="B42" s="98"/>
      <c r="E42" s="900"/>
      <c r="F42" s="473"/>
    </row>
    <row r="43" spans="1:6" ht="19.899999999999999" customHeight="1">
      <c r="A43" s="99" t="s">
        <v>1087</v>
      </c>
      <c r="B43" s="8" t="s">
        <v>1088</v>
      </c>
      <c r="C43" s="98" t="s">
        <v>1089</v>
      </c>
      <c r="D43" s="100" t="s">
        <v>1090</v>
      </c>
      <c r="E43" s="900"/>
      <c r="F43" s="473" t="s">
        <v>1091</v>
      </c>
    </row>
    <row r="44" spans="1:6" ht="19.899999999999999" customHeight="1">
      <c r="A44" s="99" t="s">
        <v>1092</v>
      </c>
      <c r="B44" s="8" t="s">
        <v>1088</v>
      </c>
      <c r="C44" s="98" t="s">
        <v>1074</v>
      </c>
      <c r="E44" s="900"/>
      <c r="F44" s="474" t="s">
        <v>1093</v>
      </c>
    </row>
    <row r="45" spans="1:6" ht="33" customHeight="1">
      <c r="A45" s="478" t="str">
        <f>+'jobinfo(2)'!B53</f>
        <v xml:space="preserve">  Room/Area 101  </v>
      </c>
      <c r="B45" s="294" t="str">
        <f>+'jobinfo(2)'!C53</f>
        <v xml:space="preserve">Living Room, </v>
      </c>
      <c r="C45" s="478" t="str">
        <f>+'jobinfo(2)'!B66</f>
        <v xml:space="preserve">  Room/Area 14  </v>
      </c>
      <c r="D45" s="294" t="str">
        <f>+'jobinfo(2)'!C66</f>
        <v>STAIRS TO BASEMENT</v>
      </c>
      <c r="F45" s="475" t="s">
        <v>1094</v>
      </c>
    </row>
    <row r="46" spans="1:6" ht="19.149999999999999" customHeight="1">
      <c r="A46" s="478" t="str">
        <f>+'jobinfo(2)'!B54</f>
        <v xml:space="preserve">  Room/Area 102  </v>
      </c>
      <c r="B46" s="294" t="str">
        <f>+'jobinfo(2)'!C54</f>
        <v>GUEST CLOSET</v>
      </c>
      <c r="C46" s="478" t="str">
        <f>+'jobinfo(2)'!B67</f>
        <v xml:space="preserve">  Room/Area 15  </v>
      </c>
      <c r="D46" s="294" t="str">
        <f>+'jobinfo(2)'!C67</f>
        <v>LAUNDRY/UTILITY ROOM</v>
      </c>
    </row>
    <row r="47" spans="1:6" ht="19.149999999999999" customHeight="1">
      <c r="A47" s="478" t="str">
        <f>+'jobinfo(2)'!B55</f>
        <v xml:space="preserve">  Room/Area 103  </v>
      </c>
      <c r="B47" s="294" t="str">
        <f>+'jobinfo(2)'!C55</f>
        <v xml:space="preserve">Dining Room, </v>
      </c>
      <c r="C47" s="478" t="str">
        <f>+'jobinfo(2)'!B68</f>
        <v xml:space="preserve">  Room/Area 16  </v>
      </c>
      <c r="D47" s="294" t="str">
        <f>+'jobinfo(2)'!C68</f>
        <v>STORAGE UNDER STAIRS</v>
      </c>
    </row>
    <row r="48" spans="1:6" ht="19.149999999999999" customHeight="1">
      <c r="A48" s="478" t="str">
        <f>+'jobinfo(2)'!B56</f>
        <v xml:space="preserve">  Room/Area 104  </v>
      </c>
      <c r="B48" s="294" t="str">
        <f>+'jobinfo(2)'!C56</f>
        <v>DEN</v>
      </c>
      <c r="C48" s="478" t="str">
        <f>+'jobinfo(2)'!B69</f>
        <v xml:space="preserve">  Room/Area 17  </v>
      </c>
      <c r="D48" s="294" t="str">
        <f>+'jobinfo(2)'!C69</f>
        <v xml:space="preserve">STORAGE ROOM # 1 </v>
      </c>
    </row>
    <row r="49" spans="1:4" ht="19.149999999999999" customHeight="1">
      <c r="A49" s="478" t="str">
        <f>+'jobinfo(2)'!B57</f>
        <v xml:space="preserve">  Room/Area 105  </v>
      </c>
      <c r="B49" s="294" t="str">
        <f>+'jobinfo(2)'!C57</f>
        <v xml:space="preserve">Kitchen, </v>
      </c>
      <c r="C49" s="478" t="str">
        <f>+'jobinfo(2)'!B70</f>
        <v xml:space="preserve">  Room/Area 18  </v>
      </c>
      <c r="D49" s="294" t="str">
        <f>+'jobinfo(2)'!C70</f>
        <v>STORAGE ROOM # 2</v>
      </c>
    </row>
    <row r="50" spans="1:4" ht="19.149999999999999" customHeight="1">
      <c r="A50" s="478" t="str">
        <f>+'jobinfo(2)'!B58</f>
        <v xml:space="preserve">  Room/Area 106  </v>
      </c>
      <c r="B50" s="294" t="str">
        <f>+'jobinfo(2)'!C58</f>
        <v>STAIRS UP</v>
      </c>
      <c r="C50" s="478" t="str">
        <f>+'jobinfo(2)'!B71</f>
        <v xml:space="preserve">  Room/Area 19  </v>
      </c>
      <c r="D50" s="294" t="str">
        <f>+'jobinfo(2)'!C71</f>
        <v>STORAGE ROOM # 3</v>
      </c>
    </row>
    <row r="51" spans="1:4" ht="19.149999999999999" customHeight="1">
      <c r="A51" s="478" t="str">
        <f>+'jobinfo(2)'!B59</f>
        <v xml:space="preserve">  Room/Area 107  </v>
      </c>
      <c r="B51" s="294" t="str">
        <f>+'jobinfo(2)'!C59</f>
        <v>HALL UP</v>
      </c>
      <c r="C51" s="478" t="str">
        <f>+'jobinfo(2)'!B72</f>
        <v xml:space="preserve">  Room/Area 20  </v>
      </c>
      <c r="D51" s="294">
        <f>+'jobinfo(2)'!C72</f>
        <v>0</v>
      </c>
    </row>
    <row r="52" spans="1:4" ht="19.149999999999999" customHeight="1">
      <c r="A52" s="478" t="str">
        <f>+'jobinfo(2)'!B60</f>
        <v xml:space="preserve">  Room/Area 8  </v>
      </c>
      <c r="B52" s="294" t="str">
        <f>+'jobinfo(2)'!C60</f>
        <v>LINEN CLOSET</v>
      </c>
      <c r="C52" s="478" t="str">
        <f>+'jobinfo(2)'!B73</f>
        <v xml:space="preserve">  Room/Area 21</v>
      </c>
      <c r="D52" s="294">
        <f>+'jobinfo(2)'!C73</f>
        <v>0</v>
      </c>
    </row>
    <row r="53" spans="1:4" ht="19.149999999999999" customHeight="1">
      <c r="A53" s="478" t="str">
        <f>+'jobinfo(2)'!B61</f>
        <v xml:space="preserve">  Room/Area 9  </v>
      </c>
      <c r="B53" s="294" t="str">
        <f>+'jobinfo(2)'!C61</f>
        <v>BATH UP</v>
      </c>
      <c r="C53" s="478" t="str">
        <f>+'jobinfo(2)'!B74</f>
        <v xml:space="preserve">  Room/Area 22</v>
      </c>
      <c r="D53" s="294">
        <f>+'jobinfo(2)'!C74</f>
        <v>0</v>
      </c>
    </row>
    <row r="54" spans="1:4" ht="19.149999999999999" customHeight="1">
      <c r="A54" s="478" t="str">
        <f>+'jobinfo(2)'!B62</f>
        <v xml:space="preserve">  Room/Area 10  </v>
      </c>
      <c r="B54" s="294" t="str">
        <f>+'jobinfo(2)'!C62</f>
        <v xml:space="preserve">Bedroom 1, </v>
      </c>
      <c r="C54" s="478" t="str">
        <f>+'jobinfo(2)'!B75</f>
        <v xml:space="preserve">  Room/Area 23</v>
      </c>
      <c r="D54" s="294">
        <f>+'jobinfo(2)'!C75</f>
        <v>0</v>
      </c>
    </row>
    <row r="55" spans="1:4" ht="19.149999999999999" customHeight="1">
      <c r="A55" s="478" t="str">
        <f>+'jobinfo(2)'!B63</f>
        <v xml:space="preserve">  Room/Area 11  </v>
      </c>
      <c r="B55" s="294" t="str">
        <f>+'jobinfo(2)'!C63</f>
        <v>BR1 Closet</v>
      </c>
      <c r="C55" s="478" t="str">
        <f>+'jobinfo(2)'!B76</f>
        <v xml:space="preserve">  Room/Area 24</v>
      </c>
      <c r="D55" s="294">
        <f>+'jobinfo(2)'!C76</f>
        <v>0</v>
      </c>
    </row>
    <row r="56" spans="1:4" ht="19.149999999999999" customHeight="1">
      <c r="A56" s="478" t="str">
        <f>+'jobinfo(2)'!B64</f>
        <v xml:space="preserve">  Room/Area 12  </v>
      </c>
      <c r="B56" s="294" t="str">
        <f>+'jobinfo(2)'!C64</f>
        <v>Bedroom 2</v>
      </c>
      <c r="C56" s="478" t="str">
        <f>+'jobinfo(2)'!B77</f>
        <v xml:space="preserve">  Room/Area 25</v>
      </c>
      <c r="D56" s="294">
        <f>+'jobinfo(2)'!C77</f>
        <v>0</v>
      </c>
    </row>
    <row r="57" spans="1:4" ht="19.149999999999999" customHeight="1">
      <c r="A57" s="478" t="str">
        <f>+'jobinfo(2)'!B65</f>
        <v xml:space="preserve">  Room/Area 13  </v>
      </c>
      <c r="B57" s="294" t="str">
        <f>+'jobinfo(2)'!C65</f>
        <v>BR2 Closet</v>
      </c>
      <c r="C57" s="478"/>
    </row>
    <row r="58" spans="1:4" ht="19.149999999999999" customHeight="1">
      <c r="A58" s="295"/>
      <c r="B58" s="294"/>
      <c r="C58" s="294"/>
    </row>
    <row r="59" spans="1:4" ht="10.9" customHeight="1">
      <c r="A59" s="295"/>
      <c r="B59" s="294"/>
      <c r="C59" s="294"/>
    </row>
    <row r="60" spans="1:4" ht="17.45">
      <c r="A60" s="476" t="s">
        <v>1095</v>
      </c>
      <c r="C60" s="138"/>
      <c r="D60" s="138"/>
    </row>
    <row r="61" spans="1:4" ht="17.45">
      <c r="A61" s="138"/>
      <c r="B61" s="477" t="s">
        <v>1096</v>
      </c>
      <c r="C61" s="138"/>
      <c r="D61" s="138"/>
    </row>
    <row r="62" spans="1:4" ht="17.45">
      <c r="A62" s="138"/>
      <c r="B62" s="477" t="s">
        <v>1097</v>
      </c>
      <c r="C62" s="138"/>
      <c r="D62" s="138"/>
    </row>
    <row r="63" spans="1:4" ht="17.45">
      <c r="A63" s="138"/>
      <c r="B63" s="477" t="s">
        <v>1098</v>
      </c>
      <c r="C63" s="138"/>
      <c r="D63" s="138"/>
    </row>
    <row r="64" spans="1:4" ht="17.45">
      <c r="A64" s="138"/>
      <c r="B64" s="477" t="s">
        <v>1032</v>
      </c>
      <c r="C64" s="138"/>
      <c r="D64" s="138"/>
    </row>
    <row r="65" spans="1:10" ht="17.45">
      <c r="A65" s="138"/>
      <c r="B65" s="477" t="s">
        <v>1099</v>
      </c>
      <c r="C65" s="138"/>
      <c r="D65" s="138"/>
    </row>
    <row r="74" spans="1:10" ht="18">
      <c r="A74" s="790"/>
      <c r="B74" s="245"/>
      <c r="C74"/>
      <c r="D74" s="229" t="s">
        <v>1100</v>
      </c>
      <c r="E74" s="227" t="s">
        <v>1101</v>
      </c>
      <c r="F74" s="228"/>
      <c r="H74" t="s">
        <v>1102</v>
      </c>
    </row>
    <row r="75" spans="1:10" ht="18">
      <c r="A75" s="903"/>
      <c r="B75" s="904"/>
      <c r="C75" s="863"/>
      <c r="D75" s="781">
        <v>65</v>
      </c>
      <c r="E75" s="222" t="s">
        <v>1103</v>
      </c>
      <c r="I75" t="e">
        <f>1+#REF!</f>
        <v>#REF!</v>
      </c>
      <c r="J75" s="897"/>
    </row>
    <row r="76" spans="1:10" ht="18">
      <c r="A76" s="903"/>
      <c r="B76" s="904"/>
      <c r="C76" s="863"/>
      <c r="D76" s="199">
        <v>70</v>
      </c>
      <c r="E76" s="230" t="s">
        <v>1104</v>
      </c>
      <c r="F76" s="228"/>
      <c r="G76" s="228"/>
      <c r="H76" s="228"/>
      <c r="I76" t="e">
        <f t="shared" ref="I76:I82" si="0">1+I75</f>
        <v>#REF!</v>
      </c>
      <c r="J76" s="897"/>
    </row>
    <row r="77" spans="1:10" ht="17.45">
      <c r="A77" s="903"/>
      <c r="B77" s="904"/>
      <c r="C77" s="863"/>
      <c r="D77"/>
      <c r="E77" s="222" t="s">
        <v>1105</v>
      </c>
      <c r="I77" t="e">
        <f>1+#REF!</f>
        <v>#REF!</v>
      </c>
      <c r="J77" s="897"/>
    </row>
    <row r="78" spans="1:10" ht="18">
      <c r="A78" s="903"/>
      <c r="B78" s="899" t="s">
        <v>1106</v>
      </c>
      <c r="C78" s="863"/>
      <c r="D78" s="198" t="s">
        <v>1107</v>
      </c>
      <c r="E78" s="227" t="s">
        <v>1108</v>
      </c>
      <c r="F78" s="228"/>
      <c r="G78" s="228"/>
      <c r="H78" s="228"/>
      <c r="I78" t="e">
        <f t="shared" si="0"/>
        <v>#REF!</v>
      </c>
      <c r="J78" s="897"/>
    </row>
    <row r="79" spans="1:10" ht="18">
      <c r="A79" s="903"/>
      <c r="B79" s="899"/>
      <c r="C79" s="863"/>
      <c r="D79" s="781">
        <v>65</v>
      </c>
      <c r="E79" s="222" t="s">
        <v>1103</v>
      </c>
      <c r="I79" t="e">
        <f t="shared" si="0"/>
        <v>#REF!</v>
      </c>
      <c r="J79" s="897"/>
    </row>
    <row r="80" spans="1:10" ht="18">
      <c r="A80" s="903"/>
      <c r="B80" s="899"/>
      <c r="C80" s="863"/>
      <c r="D80" s="199">
        <v>70</v>
      </c>
      <c r="E80" s="230" t="s">
        <v>1104</v>
      </c>
      <c r="F80" s="228"/>
      <c r="G80" s="228"/>
      <c r="H80" s="228"/>
      <c r="I80" t="e">
        <f t="shared" si="0"/>
        <v>#REF!</v>
      </c>
      <c r="J80" s="897"/>
    </row>
    <row r="81" spans="1:14" ht="18">
      <c r="A81" s="903"/>
      <c r="B81" s="899"/>
      <c r="C81" s="863"/>
      <c r="D81" s="781">
        <v>90</v>
      </c>
      <c r="E81" s="222" t="s">
        <v>1032</v>
      </c>
      <c r="I81" t="e">
        <f t="shared" si="0"/>
        <v>#REF!</v>
      </c>
      <c r="J81" s="897"/>
    </row>
    <row r="82" spans="1:14" ht="17.45">
      <c r="A82" s="903"/>
      <c r="B82" s="899"/>
      <c r="C82" s="863"/>
      <c r="D82"/>
      <c r="E82" s="222" t="s">
        <v>1105</v>
      </c>
      <c r="F82" s="228"/>
      <c r="G82" s="228"/>
      <c r="H82" s="228"/>
      <c r="I82" t="e">
        <f t="shared" si="0"/>
        <v>#REF!</v>
      </c>
      <c r="J82" s="897"/>
    </row>
    <row r="83" spans="1:14" ht="18">
      <c r="A83"/>
      <c r="B83" s="225" t="s">
        <v>1109</v>
      </c>
      <c r="C83"/>
      <c r="D83"/>
      <c r="E83" s="199">
        <v>80</v>
      </c>
      <c r="F83" s="863"/>
      <c r="G83" s="863"/>
      <c r="H83" s="863"/>
      <c r="I83" s="905" t="s">
        <v>1110</v>
      </c>
      <c r="J83" s="905"/>
    </row>
    <row r="84" spans="1:14" ht="18">
      <c r="A84" s="223" t="s">
        <v>1111</v>
      </c>
      <c r="B84"/>
      <c r="C84"/>
      <c r="D84"/>
      <c r="E84" s="781"/>
      <c r="F84" s="863"/>
      <c r="G84" s="863"/>
      <c r="H84" s="863"/>
      <c r="I84" s="905"/>
      <c r="J84" s="905"/>
    </row>
    <row r="85" spans="1:14" ht="17.45">
      <c r="A85" s="906" t="s">
        <v>1112</v>
      </c>
      <c r="B85" s="226" t="s">
        <v>1113</v>
      </c>
      <c r="C85" s="246"/>
      <c r="D85" s="247"/>
      <c r="E85" s="197"/>
      <c r="F85" s="907" t="s">
        <v>1114</v>
      </c>
      <c r="G85" s="907"/>
      <c r="H85" s="907"/>
      <c r="I85" s="908" t="s">
        <v>1112</v>
      </c>
      <c r="J85" s="908"/>
    </row>
    <row r="86" spans="1:14" ht="18">
      <c r="A86" s="906"/>
      <c r="B86" s="248" t="s">
        <v>1115</v>
      </c>
      <c r="C86" s="8"/>
      <c r="D86" s="8"/>
      <c r="E86" s="250">
        <v>60</v>
      </c>
      <c r="F86" s="907"/>
      <c r="G86" s="907"/>
      <c r="H86" s="907"/>
      <c r="I86" s="908"/>
      <c r="J86" s="908"/>
    </row>
    <row r="87" spans="1:14" ht="18">
      <c r="A87" s="906"/>
      <c r="B87" s="248" t="s">
        <v>1116</v>
      </c>
      <c r="C87" s="8"/>
      <c r="D87" s="8"/>
      <c r="E87" s="250">
        <v>70</v>
      </c>
      <c r="F87" s="907"/>
      <c r="G87" s="907"/>
      <c r="H87" s="907"/>
      <c r="I87" s="908"/>
      <c r="J87" s="908"/>
    </row>
    <row r="88" spans="1:14" ht="18">
      <c r="A88" s="906"/>
      <c r="B88" s="249" t="s">
        <v>1117</v>
      </c>
      <c r="C88" s="8"/>
      <c r="D88" s="8"/>
      <c r="E88" s="708">
        <v>80</v>
      </c>
      <c r="F88" s="907"/>
      <c r="G88" s="907"/>
      <c r="H88" s="907"/>
      <c r="I88" s="908"/>
      <c r="J88" s="908"/>
    </row>
    <row r="89" spans="1:14" ht="18">
      <c r="A89" s="906"/>
      <c r="B89" s="248" t="s">
        <v>1118</v>
      </c>
      <c r="C89" s="8"/>
      <c r="D89" s="8"/>
      <c r="E89" s="250">
        <v>90</v>
      </c>
      <c r="F89" s="907"/>
      <c r="G89" s="907"/>
      <c r="H89" s="907"/>
      <c r="I89" s="908"/>
      <c r="J89" s="908"/>
    </row>
    <row r="90" spans="1:14">
      <c r="A90"/>
      <c r="B90"/>
      <c r="C90"/>
      <c r="D90"/>
    </row>
    <row r="91" spans="1:14">
      <c r="A91" s="263"/>
      <c r="B91" s="263"/>
      <c r="C91" s="263"/>
      <c r="D91" s="263"/>
      <c r="E91" s="263"/>
      <c r="F91" s="263"/>
      <c r="G91" s="263"/>
      <c r="H91" s="263"/>
      <c r="I91" s="263"/>
      <c r="J91" s="263"/>
      <c r="K91" s="263"/>
      <c r="L91" s="263"/>
      <c r="M91" s="263"/>
      <c r="N91" s="263"/>
    </row>
    <row r="92" spans="1:14">
      <c r="A92"/>
      <c r="B92"/>
      <c r="C92"/>
      <c r="D92"/>
    </row>
    <row r="93" spans="1:14" ht="17.45">
      <c r="A93"/>
      <c r="B93" s="223" t="s">
        <v>1096</v>
      </c>
      <c r="C93"/>
      <c r="D93"/>
    </row>
    <row r="94" spans="1:14" ht="17.45">
      <c r="A94"/>
      <c r="B94" s="223" t="s">
        <v>1097</v>
      </c>
      <c r="C94"/>
      <c r="D94"/>
    </row>
    <row r="95" spans="1:14">
      <c r="A95"/>
      <c r="B95"/>
      <c r="C95"/>
      <c r="D95"/>
    </row>
    <row r="96" spans="1:14" ht="17.45">
      <c r="A96"/>
      <c r="B96" s="223"/>
      <c r="C96"/>
      <c r="D96"/>
    </row>
    <row r="97" spans="1:4" ht="17.45">
      <c r="A97"/>
      <c r="B97" s="223"/>
      <c r="C97"/>
      <c r="D97"/>
    </row>
    <row r="98" spans="1:4" ht="17.45">
      <c r="A98"/>
      <c r="B98" s="223"/>
      <c r="C98"/>
      <c r="D98"/>
    </row>
    <row r="99" spans="1:4" customFormat="1" ht="17.45">
      <c r="B99" s="223" t="s">
        <v>1098</v>
      </c>
    </row>
    <row r="100" spans="1:4" customFormat="1" ht="17.45">
      <c r="B100" s="223" t="s">
        <v>1032</v>
      </c>
    </row>
    <row r="101" spans="1:4" customFormat="1" ht="17.45">
      <c r="B101" s="223" t="s">
        <v>1099</v>
      </c>
    </row>
    <row r="102" spans="1:4" ht="17.45">
      <c r="A102"/>
      <c r="B102" s="223"/>
      <c r="C102"/>
      <c r="D102"/>
    </row>
  </sheetData>
  <mergeCells count="17">
    <mergeCell ref="F83:H84"/>
    <mergeCell ref="I83:J84"/>
    <mergeCell ref="A85:A89"/>
    <mergeCell ref="F85:H89"/>
    <mergeCell ref="I85:J89"/>
    <mergeCell ref="C75:C82"/>
    <mergeCell ref="B10:C10"/>
    <mergeCell ref="D2:D3"/>
    <mergeCell ref="B1:C1"/>
    <mergeCell ref="J75:J82"/>
    <mergeCell ref="A5:B5"/>
    <mergeCell ref="B78:B82"/>
    <mergeCell ref="E9:E44"/>
    <mergeCell ref="A38:A40"/>
    <mergeCell ref="A16:A17"/>
    <mergeCell ref="A75:A82"/>
    <mergeCell ref="B75:B77"/>
  </mergeCells>
  <printOptions gridLines="1"/>
  <pageMargins left="0.41" right="0.34" top="0.32" bottom="0.45" header="0.3" footer="0.17"/>
  <pageSetup orientation="portrait" r:id="rId1"/>
  <headerFooter>
    <oddFooter>&amp;L&amp;P&amp;C&amp;A&amp;R&amp;F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7CDA-D1EF-4658-82BB-120CB318A21C}">
  <sheetPr codeName="Sheet6"/>
  <dimension ref="A1:D30"/>
  <sheetViews>
    <sheetView view="pageBreakPreview" zoomScaleNormal="100" zoomScaleSheetLayoutView="100" workbookViewId="0">
      <selection activeCell="A29" sqref="A29"/>
    </sheetView>
  </sheetViews>
  <sheetFormatPr defaultColWidth="8.75" defaultRowHeight="13.9"/>
  <cols>
    <col min="1" max="1" width="32.625" style="100" customWidth="1"/>
    <col min="2" max="2" width="18.25" style="100" customWidth="1"/>
    <col min="3" max="3" width="17.875" style="100" customWidth="1"/>
    <col min="4" max="4" width="22.25" style="100" customWidth="1"/>
  </cols>
  <sheetData>
    <row r="1" spans="1:4" ht="19.149999999999999" customHeight="1">
      <c r="A1" s="275" t="s">
        <v>1119</v>
      </c>
      <c r="B1" s="788" t="s">
        <v>1120</v>
      </c>
      <c r="C1" s="294"/>
      <c r="D1" s="252" t="s">
        <v>1121</v>
      </c>
    </row>
    <row r="2" spans="1:4" ht="7.9" customHeight="1">
      <c r="A2" s="296"/>
      <c r="B2" s="297"/>
      <c r="C2" s="297"/>
      <c r="D2" s="279"/>
    </row>
    <row r="3" spans="1:4" ht="25.9" customHeight="1">
      <c r="A3" s="298" t="s">
        <v>1122</v>
      </c>
      <c r="D3" s="299"/>
    </row>
    <row r="4" spans="1:4" ht="25.9" customHeight="1">
      <c r="A4" s="139" t="s">
        <v>1123</v>
      </c>
      <c r="B4" s="139" t="s">
        <v>1124</v>
      </c>
      <c r="C4" s="300"/>
      <c r="D4" s="139" t="s">
        <v>1125</v>
      </c>
    </row>
    <row r="5" spans="1:4" ht="25.9" customHeight="1">
      <c r="A5" s="301" t="str">
        <f>'jobinfo(2)'!C27</f>
        <v>CLM</v>
      </c>
      <c r="B5" s="302" t="str">
        <f>'jobinfo(2)'!C51</f>
        <v>OH25THOMAS@GERTRUDE</v>
      </c>
      <c r="C5" s="303"/>
      <c r="D5" s="304" t="str">
        <f>B5</f>
        <v>OH25THOMAS@GERTRUDE</v>
      </c>
    </row>
    <row r="6" spans="1:4" ht="9" customHeight="1">
      <c r="A6" s="279"/>
      <c r="B6" s="279"/>
      <c r="C6" s="305"/>
      <c r="D6" s="306"/>
    </row>
    <row r="7" spans="1:4" ht="25.9" customHeight="1">
      <c r="A7" s="307" t="s">
        <v>1126</v>
      </c>
      <c r="C7" s="308"/>
      <c r="D7" s="309"/>
    </row>
    <row r="8" spans="1:4" ht="25.9" customHeight="1">
      <c r="A8" s="310" t="s">
        <v>1127</v>
      </c>
      <c r="B8" s="310" t="s">
        <v>1128</v>
      </c>
      <c r="C8" s="311" t="s">
        <v>1129</v>
      </c>
    </row>
    <row r="9" spans="1:4" ht="25.9" customHeight="1">
      <c r="A9" s="312" t="str">
        <f>+'jobinfo(2)'!C1</f>
        <v>THOMAS, ANITA</v>
      </c>
      <c r="B9" s="312" t="str">
        <f>+'jobinfo(2)'!C4</f>
        <v>A@EM</v>
      </c>
      <c r="C9" s="308"/>
      <c r="D9" s="283" t="str">
        <f>+'jobinfo(2)'!C5</f>
        <v>(216) 315-2040</v>
      </c>
    </row>
    <row r="10" spans="1:4" ht="7.9" customHeight="1">
      <c r="A10" s="279"/>
      <c r="B10" s="279"/>
      <c r="C10" s="305"/>
      <c r="D10" s="306"/>
    </row>
    <row r="11" spans="1:4" ht="25.9" customHeight="1">
      <c r="A11" s="298" t="s">
        <v>1130</v>
      </c>
      <c r="C11" s="313"/>
    </row>
    <row r="12" spans="1:4" ht="25.9" customHeight="1">
      <c r="A12" s="314" t="s">
        <v>1131</v>
      </c>
      <c r="C12" s="308"/>
    </row>
    <row r="13" spans="1:4" ht="25.9" customHeight="1">
      <c r="A13" s="284" t="str">
        <f>+'jobinfo(2)'!C2</f>
        <v>6600 GERTRUDE</v>
      </c>
      <c r="B13" s="284" t="str">
        <f>+'jobinfo(2)'!C3</f>
        <v>Cleveland, OH 44105</v>
      </c>
      <c r="C13" s="284"/>
    </row>
    <row r="14" spans="1:4" ht="7.9" customHeight="1">
      <c r="A14" s="279"/>
      <c r="B14" s="279"/>
      <c r="C14" s="305"/>
      <c r="D14" s="306"/>
    </row>
    <row r="15" spans="1:4" ht="25.9" customHeight="1">
      <c r="A15" s="298" t="s">
        <v>1132</v>
      </c>
      <c r="C15" s="313"/>
      <c r="D15" s="309"/>
    </row>
    <row r="16" spans="1:4" ht="33" customHeight="1">
      <c r="A16" s="21" t="s">
        <v>1133</v>
      </c>
      <c r="C16" s="315"/>
      <c r="D16" s="241" t="s">
        <v>1134</v>
      </c>
    </row>
    <row r="17" spans="1:4" ht="25.9" customHeight="1">
      <c r="A17" s="316" t="str">
        <f>'jobinfo(2)'!C12</f>
        <v>Friday, September 12, 2025</v>
      </c>
      <c r="C17" s="315"/>
      <c r="D17" s="317" t="str">
        <f>+'jobinfo(2)'!C28</f>
        <v>880 022 226</v>
      </c>
    </row>
    <row r="18" spans="1:4" ht="33" customHeight="1">
      <c r="A18" s="139" t="s">
        <v>1135</v>
      </c>
      <c r="C18" s="21" t="s">
        <v>1136</v>
      </c>
    </row>
    <row r="19" spans="1:4" ht="25.9" customHeight="1">
      <c r="A19" s="316">
        <f>'jobinfo(2)'!C22</f>
        <v>45836</v>
      </c>
      <c r="B19" s="318"/>
      <c r="C19" s="319" t="str">
        <f>'jobinfo(2)'!C112</f>
        <v>Joe Jones, PM  216.450.7228</v>
      </c>
    </row>
    <row r="20" spans="1:4" ht="33" customHeight="1">
      <c r="A20" s="340" t="s">
        <v>1137</v>
      </c>
      <c r="C20" s="791"/>
      <c r="D20" s="315" t="s">
        <v>1138</v>
      </c>
    </row>
    <row r="21" spans="1:4" ht="25.9" customHeight="1">
      <c r="A21" s="320" t="str">
        <f>'jobinfo(2)'!C11</f>
        <v xml:space="preserve">Water Damage=WTR </v>
      </c>
      <c r="C21" s="791"/>
      <c r="D21" s="100" t="s">
        <v>201</v>
      </c>
    </row>
    <row r="22" spans="1:4" ht="33" customHeight="1">
      <c r="A22" s="21" t="s">
        <v>1139</v>
      </c>
      <c r="C22" s="21" t="s">
        <v>1140</v>
      </c>
    </row>
    <row r="23" spans="1:4" ht="33" customHeight="1">
      <c r="A23" s="318" t="str">
        <f>'jobinfo(2)'!C26</f>
        <v>ALLSTATE INS CO.</v>
      </c>
      <c r="C23" s="321" t="s">
        <v>1141</v>
      </c>
    </row>
    <row r="24" spans="1:4" ht="25.9" customHeight="1">
      <c r="A24" s="241" t="s">
        <v>1142</v>
      </c>
      <c r="C24" s="867"/>
      <c r="D24" s="867"/>
    </row>
    <row r="25" spans="1:4" ht="25.9" customHeight="1">
      <c r="A25" s="318">
        <f>'jobinfo(2)'!C30</f>
        <v>0</v>
      </c>
      <c r="C25" s="867"/>
      <c r="D25" s="867"/>
    </row>
    <row r="26" spans="1:4" ht="25.9" customHeight="1">
      <c r="A26" s="21" t="s">
        <v>1143</v>
      </c>
      <c r="C26" s="867"/>
      <c r="D26" s="867"/>
    </row>
    <row r="27" spans="1:4" ht="25.9" customHeight="1">
      <c r="A27" s="309" t="s">
        <v>1144</v>
      </c>
      <c r="C27" s="867"/>
      <c r="D27" s="867"/>
    </row>
    <row r="28" spans="1:4" ht="25.9" customHeight="1">
      <c r="C28" s="867"/>
      <c r="D28" s="867"/>
    </row>
    <row r="29" spans="1:4" ht="25.9" customHeight="1">
      <c r="C29" s="867"/>
      <c r="D29" s="867"/>
    </row>
    <row r="30" spans="1:4" ht="25.9" customHeight="1">
      <c r="C30" s="867"/>
      <c r="D30" s="867"/>
    </row>
  </sheetData>
  <mergeCells count="1">
    <mergeCell ref="C24:D30"/>
  </mergeCells>
  <pageMargins left="0.41" right="0.34" top="0.32" bottom="0.45" header="0.3" footer="0.17"/>
  <pageSetup orientation="portrait" r:id="rId1"/>
  <headerFooter>
    <oddFooter>&amp;L&amp;P&amp;C&amp;A&amp;R&amp;F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E7EE-6230-4831-BF1F-42D12A039956}">
  <sheetPr codeName="Sheet11"/>
  <dimension ref="A1:E145"/>
  <sheetViews>
    <sheetView showGridLines="0" view="pageBreakPreview" zoomScaleNormal="100" zoomScaleSheetLayoutView="100" workbookViewId="0"/>
  </sheetViews>
  <sheetFormatPr defaultColWidth="8.75" defaultRowHeight="13.9"/>
  <cols>
    <col min="1" max="1" width="4.75" style="44" customWidth="1"/>
    <col min="2" max="2" width="22.625" customWidth="1"/>
    <col min="3" max="3" width="62.125" customWidth="1"/>
    <col min="4" max="4" width="36.625" customWidth="1"/>
    <col min="5" max="5" width="26.875" customWidth="1"/>
  </cols>
  <sheetData>
    <row r="1" spans="1:5" ht="20.45">
      <c r="A1" s="45"/>
      <c r="B1" s="912" t="s">
        <v>1145</v>
      </c>
      <c r="C1" s="912"/>
      <c r="D1" s="912"/>
      <c r="E1" s="912"/>
    </row>
    <row r="2" spans="1:5" ht="15.6">
      <c r="A2" s="70">
        <v>1</v>
      </c>
      <c r="B2" s="87" t="s">
        <v>1146</v>
      </c>
      <c r="C2" s="87"/>
      <c r="D2" s="87"/>
      <c r="E2" s="2"/>
    </row>
    <row r="3" spans="1:5" ht="9" customHeight="1">
      <c r="A3" s="70"/>
      <c r="B3" s="87"/>
      <c r="C3" s="87"/>
      <c r="D3" s="87"/>
      <c r="E3" s="2"/>
    </row>
    <row r="4" spans="1:5" ht="15.6">
      <c r="A4" s="70">
        <v>2</v>
      </c>
      <c r="B4" s="64" t="s">
        <v>1147</v>
      </c>
      <c r="C4" s="90"/>
      <c r="D4" s="64"/>
      <c r="E4" s="2"/>
    </row>
    <row r="5" spans="1:5" ht="15.6">
      <c r="A5" s="70"/>
      <c r="B5" s="64" t="s">
        <v>1148</v>
      </c>
      <c r="C5" s="90"/>
      <c r="D5" s="64"/>
      <c r="E5" s="2"/>
    </row>
    <row r="6" spans="1:5" ht="15.6">
      <c r="A6" s="70"/>
      <c r="B6" s="64" t="s">
        <v>1149</v>
      </c>
      <c r="C6" s="90"/>
      <c r="D6" s="64"/>
      <c r="E6" s="2"/>
    </row>
    <row r="7" spans="1:5" ht="15.6">
      <c r="A7" s="92"/>
      <c r="B7" s="91" t="s">
        <v>1150</v>
      </c>
      <c r="C7" s="87" t="s">
        <v>1151</v>
      </c>
      <c r="D7" s="188" t="s">
        <v>1152</v>
      </c>
      <c r="E7" s="4" t="s">
        <v>1153</v>
      </c>
    </row>
    <row r="8" spans="1:5" ht="15.6">
      <c r="A8" s="93"/>
      <c r="B8" s="91" t="s">
        <v>1154</v>
      </c>
      <c r="C8" s="4" t="s">
        <v>1155</v>
      </c>
      <c r="D8" s="188" t="s">
        <v>1156</v>
      </c>
      <c r="E8" s="4" t="s">
        <v>1157</v>
      </c>
    </row>
    <row r="9" spans="1:5" ht="15.6">
      <c r="A9" s="93"/>
      <c r="B9" s="91"/>
      <c r="C9" s="4"/>
      <c r="D9" s="188"/>
      <c r="E9" s="4"/>
    </row>
    <row r="10" spans="1:5" ht="15.6">
      <c r="A10" s="70"/>
      <c r="B10" s="87" t="s">
        <v>1158</v>
      </c>
      <c r="C10" s="14"/>
      <c r="D10" s="14"/>
      <c r="E10" s="2"/>
    </row>
    <row r="11" spans="1:5" ht="15.6">
      <c r="A11" s="70"/>
      <c r="B11" s="87"/>
      <c r="C11" s="90" t="s">
        <v>1159</v>
      </c>
      <c r="D11" s="14"/>
      <c r="E11" s="2"/>
    </row>
    <row r="12" spans="1:5" ht="15.6">
      <c r="A12" s="70">
        <v>3</v>
      </c>
      <c r="B12" s="6" t="s">
        <v>1160</v>
      </c>
      <c r="C12" s="14"/>
      <c r="D12" s="14"/>
      <c r="E12" s="60" t="s">
        <v>1161</v>
      </c>
    </row>
    <row r="13" spans="1:5" ht="15.6">
      <c r="A13" s="70"/>
      <c r="B13" s="89" t="s">
        <v>1162</v>
      </c>
      <c r="C13" s="88"/>
      <c r="D13" s="14"/>
      <c r="E13" s="2"/>
    </row>
    <row r="14" spans="1:5" ht="15.6">
      <c r="A14" s="70"/>
      <c r="B14" s="87" t="s">
        <v>1163</v>
      </c>
      <c r="C14" s="14"/>
      <c r="D14" s="14"/>
      <c r="E14" s="2"/>
    </row>
    <row r="15" spans="1:5" ht="15.6">
      <c r="A15" s="70"/>
      <c r="B15" s="4" t="s">
        <v>1164</v>
      </c>
      <c r="C15" s="2"/>
      <c r="D15" s="4"/>
      <c r="E15" s="2"/>
    </row>
    <row r="16" spans="1:5" ht="15.6">
      <c r="A16" s="69"/>
      <c r="B16" s="2"/>
      <c r="C16" s="4" t="s">
        <v>1165</v>
      </c>
      <c r="D16" s="2"/>
      <c r="E16" s="2"/>
    </row>
    <row r="17" spans="1:5" ht="15.6">
      <c r="A17" s="68"/>
      <c r="B17" s="86" t="s">
        <v>1166</v>
      </c>
      <c r="C17" s="2"/>
      <c r="D17" s="2"/>
      <c r="E17" s="2"/>
    </row>
    <row r="18" spans="1:5" ht="24.95" customHeight="1">
      <c r="A18" s="916" t="s">
        <v>1167</v>
      </c>
      <c r="B18" s="916"/>
      <c r="C18" s="65" t="s">
        <v>1168</v>
      </c>
      <c r="D18" s="66" t="s">
        <v>1169</v>
      </c>
      <c r="E18" s="65" t="s">
        <v>1170</v>
      </c>
    </row>
    <row r="19" spans="1:5" ht="16.149999999999999" customHeight="1">
      <c r="A19" s="916"/>
      <c r="B19" s="916"/>
      <c r="C19" s="66" t="s">
        <v>174</v>
      </c>
      <c r="D19" s="65" t="s">
        <v>178</v>
      </c>
      <c r="E19" s="65" t="s">
        <v>1171</v>
      </c>
    </row>
    <row r="20" spans="1:5" ht="15.6">
      <c r="A20" s="63"/>
      <c r="B20" s="6"/>
      <c r="C20" s="62"/>
      <c r="D20" s="2"/>
      <c r="E20" s="2"/>
    </row>
    <row r="21" spans="1:5" ht="15.6">
      <c r="A21" s="61">
        <v>4</v>
      </c>
      <c r="B21" s="3" t="s">
        <v>1172</v>
      </c>
      <c r="C21" s="2"/>
      <c r="D21" s="2"/>
      <c r="E21" s="60"/>
    </row>
    <row r="22" spans="1:5" ht="15.6">
      <c r="A22" s="61"/>
      <c r="B22" s="4" t="s">
        <v>1173</v>
      </c>
      <c r="C22" s="2"/>
      <c r="D22" s="2"/>
      <c r="E22" s="60"/>
    </row>
    <row r="23" spans="1:5" ht="15.6">
      <c r="A23" s="63"/>
      <c r="B23" s="62" t="s">
        <v>1174</v>
      </c>
      <c r="C23" s="5" t="s">
        <v>1175</v>
      </c>
      <c r="D23" s="2"/>
      <c r="E23" s="60" t="s">
        <v>1161</v>
      </c>
    </row>
    <row r="24" spans="1:5" ht="15.6">
      <c r="A24" s="63"/>
      <c r="B24" s="62" t="s">
        <v>1176</v>
      </c>
      <c r="C24" s="5" t="s">
        <v>1177</v>
      </c>
      <c r="D24" s="85"/>
      <c r="E24" s="60" t="s">
        <v>1161</v>
      </c>
    </row>
    <row r="25" spans="1:5" ht="15.6">
      <c r="A25" s="63"/>
      <c r="B25" s="62" t="s">
        <v>1178</v>
      </c>
      <c r="C25" s="85" t="s">
        <v>1179</v>
      </c>
      <c r="D25" s="85"/>
      <c r="E25" s="60" t="s">
        <v>1161</v>
      </c>
    </row>
    <row r="26" spans="1:5" ht="15.6">
      <c r="A26" s="63"/>
      <c r="B26" s="62" t="s">
        <v>1180</v>
      </c>
      <c r="C26" s="5" t="s">
        <v>1181</v>
      </c>
      <c r="D26" s="85"/>
      <c r="E26" s="60" t="s">
        <v>1161</v>
      </c>
    </row>
    <row r="27" spans="1:5" ht="15.6">
      <c r="A27" s="63"/>
      <c r="B27" s="46" t="s">
        <v>1182</v>
      </c>
      <c r="C27" s="2" t="s">
        <v>1183</v>
      </c>
      <c r="D27" s="2"/>
      <c r="E27" s="2"/>
    </row>
    <row r="28" spans="1:5" ht="15">
      <c r="A28" s="788"/>
      <c r="B28" s="3"/>
      <c r="C28" s="2"/>
      <c r="D28" s="2"/>
      <c r="E28" s="2"/>
    </row>
    <row r="29" spans="1:5" ht="15.6">
      <c r="A29" s="63">
        <v>5</v>
      </c>
      <c r="B29" s="84" t="s">
        <v>1184</v>
      </c>
      <c r="C29" s="2"/>
      <c r="D29" s="2"/>
      <c r="E29" s="60" t="s">
        <v>1161</v>
      </c>
    </row>
    <row r="30" spans="1:5" ht="9" customHeight="1">
      <c r="A30" s="61"/>
      <c r="B30" s="3"/>
      <c r="C30" s="2"/>
      <c r="D30" s="2"/>
      <c r="E30" s="2"/>
    </row>
    <row r="31" spans="1:5" ht="15.6">
      <c r="A31" s="69">
        <v>6</v>
      </c>
      <c r="B31" s="11" t="s">
        <v>1185</v>
      </c>
      <c r="C31" s="2"/>
      <c r="D31" s="2"/>
      <c r="E31" s="2"/>
    </row>
    <row r="32" spans="1:5" ht="9" customHeight="1">
      <c r="A32" s="61"/>
      <c r="B32" s="2"/>
      <c r="C32" s="2"/>
      <c r="D32" s="2"/>
      <c r="E32" s="2"/>
    </row>
    <row r="33" spans="1:5" ht="19.149999999999999">
      <c r="A33" s="83">
        <v>7</v>
      </c>
      <c r="B33" s="59" t="s">
        <v>1186</v>
      </c>
      <c r="C33" s="2"/>
      <c r="D33" s="2"/>
      <c r="E33" s="2"/>
    </row>
    <row r="34" spans="1:5" ht="22.15" customHeight="1">
      <c r="A34" s="82"/>
      <c r="B34" s="189" t="s">
        <v>1187</v>
      </c>
      <c r="D34" s="2"/>
      <c r="E34" s="2"/>
    </row>
    <row r="35" spans="1:5" ht="19.149999999999999">
      <c r="A35" s="75">
        <v>8</v>
      </c>
      <c r="B35" s="59" t="s">
        <v>1188</v>
      </c>
      <c r="C35" s="2"/>
      <c r="D35" s="2"/>
      <c r="E35" s="2"/>
    </row>
    <row r="36" spans="1:5" ht="24.95" customHeight="1">
      <c r="A36" s="75">
        <v>9</v>
      </c>
      <c r="B36" s="59" t="s">
        <v>1189</v>
      </c>
      <c r="C36" s="2"/>
      <c r="D36" s="2"/>
      <c r="E36" s="2"/>
    </row>
    <row r="37" spans="1:5" ht="21.95" customHeight="1">
      <c r="A37" s="224" t="s">
        <v>1190</v>
      </c>
      <c r="B37" s="80" t="s">
        <v>1174</v>
      </c>
      <c r="C37" s="81" t="s">
        <v>1191</v>
      </c>
      <c r="D37" s="2"/>
      <c r="E37" s="60" t="s">
        <v>1161</v>
      </c>
    </row>
    <row r="38" spans="1:5" ht="21.95" customHeight="1">
      <c r="A38" s="45"/>
      <c r="B38" s="80" t="s">
        <v>1176</v>
      </c>
      <c r="C38" s="3" t="s">
        <v>1192</v>
      </c>
      <c r="D38" s="62"/>
      <c r="E38" s="60"/>
    </row>
    <row r="39" spans="1:5" ht="21.95" customHeight="1">
      <c r="A39" s="45"/>
      <c r="B39" s="80" t="s">
        <v>1178</v>
      </c>
      <c r="C39" s="3" t="s">
        <v>1193</v>
      </c>
      <c r="D39" s="2"/>
      <c r="E39" s="2"/>
    </row>
    <row r="40" spans="1:5" ht="21.95" customHeight="1">
      <c r="A40" s="75">
        <v>10</v>
      </c>
      <c r="B40" s="79" t="s">
        <v>1194</v>
      </c>
      <c r="C40" s="2"/>
      <c r="D40" s="2"/>
      <c r="E40" s="60" t="s">
        <v>1161</v>
      </c>
    </row>
    <row r="41" spans="1:5" ht="21.95" customHeight="1">
      <c r="A41" s="75"/>
      <c r="B41" s="78" t="s">
        <v>1195</v>
      </c>
      <c r="C41" s="2"/>
      <c r="D41" s="2"/>
      <c r="E41" s="60" t="s">
        <v>1196</v>
      </c>
    </row>
    <row r="42" spans="1:5" ht="33" customHeight="1">
      <c r="A42" s="75">
        <v>1</v>
      </c>
      <c r="B42" s="77" t="s">
        <v>1197</v>
      </c>
      <c r="C42" s="2"/>
      <c r="D42" s="2"/>
      <c r="E42" s="60"/>
    </row>
    <row r="43" spans="1:5" ht="21.95" customHeight="1">
      <c r="A43" s="75"/>
      <c r="B43" s="76" t="s">
        <v>1198</v>
      </c>
      <c r="C43" s="76"/>
      <c r="D43" s="76"/>
      <c r="E43" s="60"/>
    </row>
    <row r="44" spans="1:5" ht="21.95" customHeight="1">
      <c r="A44" s="75"/>
      <c r="B44" s="76"/>
      <c r="C44" s="76"/>
      <c r="D44" s="76"/>
      <c r="E44" s="60"/>
    </row>
    <row r="45" spans="1:5" ht="30" customHeight="1">
      <c r="A45" s="75"/>
      <c r="B45" s="488" t="s">
        <v>1199</v>
      </c>
      <c r="C45" s="487"/>
      <c r="D45" s="486"/>
      <c r="E45" s="486"/>
    </row>
    <row r="46" spans="1:5" ht="33" customHeight="1">
      <c r="A46" s="45"/>
      <c r="B46" s="74" t="s">
        <v>1195</v>
      </c>
      <c r="C46" s="10"/>
      <c r="D46" s="10"/>
      <c r="E46" s="2"/>
    </row>
    <row r="47" spans="1:5" ht="33" customHeight="1">
      <c r="A47" s="70">
        <v>2</v>
      </c>
      <c r="B47" s="64" t="s">
        <v>1200</v>
      </c>
      <c r="C47" s="10"/>
      <c r="D47" s="10"/>
      <c r="E47" s="2"/>
    </row>
    <row r="48" spans="1:5" ht="22.15" customHeight="1">
      <c r="A48" s="45"/>
      <c r="B48" s="780" t="s">
        <v>1201</v>
      </c>
      <c r="D48" s="73" t="s">
        <v>1202</v>
      </c>
      <c r="E48" s="911" t="s">
        <v>1203</v>
      </c>
    </row>
    <row r="49" spans="1:5" ht="22.15" customHeight="1">
      <c r="A49" s="45"/>
      <c r="B49" s="780" t="s">
        <v>1204</v>
      </c>
      <c r="D49" s="14" t="s">
        <v>1205</v>
      </c>
      <c r="E49" s="911"/>
    </row>
    <row r="50" spans="1:5" ht="22.15" customHeight="1">
      <c r="A50" s="45"/>
      <c r="B50" s="780" t="s">
        <v>1206</v>
      </c>
      <c r="C50" s="73"/>
      <c r="D50" s="10" t="s">
        <v>1202</v>
      </c>
      <c r="E50" s="911"/>
    </row>
    <row r="51" spans="1:5" ht="22.15" customHeight="1">
      <c r="A51" s="45"/>
      <c r="B51" s="780" t="s">
        <v>1207</v>
      </c>
      <c r="C51" s="73"/>
      <c r="D51" s="10" t="s">
        <v>1208</v>
      </c>
      <c r="E51" s="911"/>
    </row>
    <row r="52" spans="1:5" ht="22.15" customHeight="1">
      <c r="A52" s="45"/>
      <c r="C52" s="73"/>
      <c r="D52" s="10"/>
      <c r="E52" s="911"/>
    </row>
    <row r="53" spans="1:5" ht="33" customHeight="1">
      <c r="A53" s="45"/>
      <c r="B53" s="780"/>
      <c r="C53" s="64"/>
      <c r="D53" s="10"/>
      <c r="E53" s="2"/>
    </row>
    <row r="54" spans="1:5" ht="16.5" customHeight="1">
      <c r="A54" s="70">
        <v>3</v>
      </c>
      <c r="B54" s="6" t="s">
        <v>1160</v>
      </c>
      <c r="C54" s="14"/>
      <c r="D54" s="14"/>
      <c r="E54" s="60" t="s">
        <v>1161</v>
      </c>
    </row>
    <row r="55" spans="1:5" ht="16.5" customHeight="1">
      <c r="A55" s="70"/>
      <c r="B55" s="72" t="s">
        <v>1209</v>
      </c>
      <c r="C55" s="14"/>
      <c r="D55" s="14"/>
      <c r="E55" s="2"/>
    </row>
    <row r="56" spans="1:5" ht="16.5" customHeight="1">
      <c r="A56" s="70"/>
      <c r="B56" s="71"/>
      <c r="C56" s="14"/>
      <c r="D56" s="14"/>
      <c r="E56" s="2"/>
    </row>
    <row r="57" spans="1:5" ht="15.6">
      <c r="A57" s="70"/>
      <c r="B57" s="4" t="s">
        <v>1164</v>
      </c>
      <c r="C57" s="2"/>
      <c r="D57" s="4"/>
      <c r="E57" s="2"/>
    </row>
    <row r="58" spans="1:5" ht="15.6">
      <c r="A58" s="69"/>
      <c r="B58" s="2"/>
      <c r="C58" s="4" t="s">
        <v>1210</v>
      </c>
      <c r="D58" s="2"/>
      <c r="E58" s="2"/>
    </row>
    <row r="59" spans="1:5" ht="15.6">
      <c r="A59" s="68"/>
      <c r="B59" s="2"/>
      <c r="C59" s="67" t="s">
        <v>1211</v>
      </c>
      <c r="D59" s="2"/>
      <c r="E59" s="2"/>
    </row>
    <row r="60" spans="1:5" ht="15">
      <c r="A60" s="916" t="s">
        <v>1167</v>
      </c>
      <c r="B60" s="916"/>
      <c r="C60" s="65" t="s">
        <v>1168</v>
      </c>
      <c r="D60" s="66" t="s">
        <v>1169</v>
      </c>
      <c r="E60" s="65" t="s">
        <v>1170</v>
      </c>
    </row>
    <row r="61" spans="1:5" ht="15">
      <c r="A61" s="916"/>
      <c r="B61" s="916"/>
      <c r="C61" s="780" t="s">
        <v>1201</v>
      </c>
      <c r="D61" s="65" t="s">
        <v>178</v>
      </c>
      <c r="E61" s="65" t="s">
        <v>1171</v>
      </c>
    </row>
    <row r="62" spans="1:5" ht="15.6">
      <c r="A62" s="63"/>
      <c r="B62" s="6"/>
      <c r="D62" s="2"/>
      <c r="E62" s="2"/>
    </row>
    <row r="63" spans="1:5" ht="15.6">
      <c r="A63" s="63"/>
      <c r="B63" s="6"/>
      <c r="C63" s="780" t="s">
        <v>1204</v>
      </c>
      <c r="D63" s="2"/>
      <c r="E63" s="64" t="s">
        <v>1212</v>
      </c>
    </row>
    <row r="64" spans="1:5" ht="15.6">
      <c r="A64" s="63"/>
      <c r="B64" s="6"/>
      <c r="C64" s="780" t="s">
        <v>1206</v>
      </c>
      <c r="D64" s="2"/>
      <c r="E64" s="2"/>
    </row>
    <row r="65" spans="1:3" ht="15.6">
      <c r="A65" s="63"/>
      <c r="B65" s="6"/>
      <c r="C65" s="780" t="s">
        <v>1207</v>
      </c>
    </row>
    <row r="66" spans="1:3" ht="15.6">
      <c r="A66" s="63"/>
      <c r="B66" s="6"/>
      <c r="C66" s="62"/>
    </row>
    <row r="67" spans="1:3" ht="15.6">
      <c r="A67" s="61">
        <v>4</v>
      </c>
      <c r="B67" s="3" t="s">
        <v>1213</v>
      </c>
      <c r="C67" s="2"/>
    </row>
    <row r="68" spans="1:3" ht="19.149999999999999">
      <c r="A68" s="45"/>
      <c r="B68" s="59" t="s">
        <v>1214</v>
      </c>
      <c r="C68" s="2"/>
    </row>
    <row r="69" spans="1:3" ht="15.6">
      <c r="A69" s="45"/>
      <c r="B69" s="2"/>
      <c r="C69" s="2"/>
    </row>
    <row r="70" spans="1:3" ht="15.6">
      <c r="A70" s="45"/>
      <c r="B70" s="58" t="s">
        <v>1215</v>
      </c>
    </row>
    <row r="71" spans="1:3" ht="15.6">
      <c r="A71" s="45"/>
      <c r="B71" s="58"/>
    </row>
    <row r="72" spans="1:3" ht="16.149999999999999" thickBot="1">
      <c r="A72" s="45"/>
      <c r="B72" s="57" t="s">
        <v>1216</v>
      </c>
    </row>
    <row r="73" spans="1:3" ht="16.149999999999999" thickTop="1">
      <c r="A73" s="45"/>
      <c r="C73" s="56" t="s">
        <v>1217</v>
      </c>
    </row>
    <row r="74" spans="1:3" ht="15.6">
      <c r="A74" s="45"/>
      <c r="C74" s="55" t="s">
        <v>1218</v>
      </c>
    </row>
    <row r="75" spans="1:3" ht="16.149999999999999" thickBot="1">
      <c r="A75" s="45"/>
      <c r="C75" s="54" t="s">
        <v>1219</v>
      </c>
    </row>
    <row r="76" spans="1:3" ht="16.899999999999999" thickTop="1" thickBot="1">
      <c r="A76" s="45"/>
      <c r="C76" s="53" t="s">
        <v>1220</v>
      </c>
    </row>
    <row r="77" spans="1:3" ht="16.899999999999999" thickTop="1" thickBot="1">
      <c r="A77" s="45"/>
      <c r="C77" s="53"/>
    </row>
    <row r="78" spans="1:3" ht="16.899999999999999" thickTop="1" thickBot="1">
      <c r="A78" s="45"/>
      <c r="C78" s="53"/>
    </row>
    <row r="79" spans="1:3" ht="16.899999999999999" thickTop="1" thickBot="1">
      <c r="A79" s="45"/>
      <c r="B79" s="47" t="s">
        <v>1221</v>
      </c>
    </row>
    <row r="80" spans="1:3" ht="16.899999999999999" thickTop="1" thickBot="1">
      <c r="A80" s="45"/>
      <c r="B80" s="787" t="s">
        <v>1222</v>
      </c>
      <c r="C80" s="52" t="s">
        <v>1223</v>
      </c>
    </row>
    <row r="81" spans="1:4" ht="16.899999999999999" thickTop="1" thickBot="1">
      <c r="A81" s="45"/>
      <c r="B81" s="787" t="s">
        <v>1224</v>
      </c>
      <c r="C81" s="51" t="s">
        <v>1225</v>
      </c>
      <c r="D81" s="2"/>
    </row>
    <row r="82" spans="1:4" ht="16.899999999999999" thickTop="1" thickBot="1">
      <c r="A82" s="45"/>
      <c r="B82" s="787" t="s">
        <v>1226</v>
      </c>
      <c r="C82" s="50" t="s">
        <v>1227</v>
      </c>
      <c r="D82" s="2"/>
    </row>
    <row r="83" spans="1:4" ht="16.899999999999999" thickTop="1" thickBot="1">
      <c r="A83" s="45"/>
      <c r="B83" s="787" t="s">
        <v>1228</v>
      </c>
      <c r="C83" s="49" t="s">
        <v>1229</v>
      </c>
      <c r="D83" s="2"/>
    </row>
    <row r="84" spans="1:4" ht="16.899999999999999" thickTop="1" thickBot="1">
      <c r="A84" s="45"/>
      <c r="B84" s="48"/>
      <c r="D84" s="2"/>
    </row>
    <row r="85" spans="1:4" ht="16.899999999999999" thickTop="1" thickBot="1">
      <c r="A85" s="45"/>
      <c r="B85" s="47" t="s">
        <v>1230</v>
      </c>
      <c r="D85" s="2"/>
    </row>
    <row r="86" spans="1:4" ht="16.149999999999999" thickTop="1">
      <c r="A86" s="45"/>
      <c r="B86" s="46"/>
      <c r="D86" s="2"/>
    </row>
    <row r="87" spans="1:4" ht="18">
      <c r="A87" s="913" t="s">
        <v>1231</v>
      </c>
      <c r="B87" s="8" t="s">
        <v>1232</v>
      </c>
      <c r="D87" s="178" t="s">
        <v>1107</v>
      </c>
    </row>
    <row r="88" spans="1:4" ht="18">
      <c r="A88" s="913"/>
      <c r="B88" s="8" t="s">
        <v>1233</v>
      </c>
      <c r="D88" s="178"/>
    </row>
    <row r="89" spans="1:4" ht="18">
      <c r="A89" s="913"/>
      <c r="B89" s="176" t="s">
        <v>1234</v>
      </c>
      <c r="D89" s="781">
        <v>20</v>
      </c>
    </row>
    <row r="90" spans="1:4" ht="18">
      <c r="A90" s="913"/>
      <c r="B90" s="8" t="s">
        <v>1235</v>
      </c>
      <c r="D90" s="179">
        <v>30</v>
      </c>
    </row>
    <row r="91" spans="1:4" ht="18">
      <c r="A91" s="913"/>
      <c r="B91" s="194" t="s">
        <v>1236</v>
      </c>
      <c r="C91" s="781">
        <v>25</v>
      </c>
      <c r="D91" s="179">
        <v>25</v>
      </c>
    </row>
    <row r="92" spans="1:4" ht="18">
      <c r="A92" s="913"/>
      <c r="B92" s="176" t="s">
        <v>1237</v>
      </c>
      <c r="D92" s="781">
        <v>99</v>
      </c>
    </row>
    <row r="93" spans="1:4" ht="17.45">
      <c r="A93" s="181"/>
      <c r="B93" s="181"/>
      <c r="D93" s="181"/>
    </row>
    <row r="94" spans="1:4" ht="33" customHeight="1">
      <c r="A94" s="914" t="s">
        <v>1238</v>
      </c>
      <c r="B94" s="8" t="s">
        <v>1239</v>
      </c>
      <c r="D94" s="180">
        <v>50</v>
      </c>
    </row>
    <row r="95" spans="1:4" ht="18">
      <c r="A95" s="914"/>
      <c r="B95" s="176" t="s">
        <v>1240</v>
      </c>
      <c r="D95" s="781">
        <v>51</v>
      </c>
    </row>
    <row r="96" spans="1:4" ht="18">
      <c r="A96" s="914"/>
      <c r="B96" s="8" t="s">
        <v>1241</v>
      </c>
      <c r="D96" s="180">
        <v>52</v>
      </c>
    </row>
    <row r="97" spans="1:4" ht="18">
      <c r="A97" s="914"/>
      <c r="B97" s="176" t="s">
        <v>1242</v>
      </c>
      <c r="D97" s="781">
        <v>56</v>
      </c>
    </row>
    <row r="98" spans="1:4" ht="17.45">
      <c r="A98" s="914"/>
      <c r="B98" s="181"/>
      <c r="D98" s="181"/>
    </row>
    <row r="99" spans="1:4" ht="33" customHeight="1" thickBot="1">
      <c r="A99" s="915" t="s">
        <v>1243</v>
      </c>
      <c r="B99" s="8" t="s">
        <v>1244</v>
      </c>
      <c r="D99" s="180">
        <v>60</v>
      </c>
    </row>
    <row r="100" spans="1:4" ht="16.899999999999999" thickTop="1" thickBot="1">
      <c r="A100" s="915"/>
      <c r="B100" s="186" t="s">
        <v>1245</v>
      </c>
      <c r="D100" s="187" t="s">
        <v>1246</v>
      </c>
    </row>
    <row r="101" spans="1:4" ht="25.15" thickTop="1">
      <c r="A101" s="915"/>
      <c r="B101" s="184" t="s">
        <v>1247</v>
      </c>
      <c r="D101" s="185"/>
    </row>
    <row r="102" spans="1:4" ht="17.45">
      <c r="A102" s="915"/>
      <c r="B102" s="181"/>
      <c r="D102" s="181"/>
    </row>
    <row r="103" spans="1:4" ht="18">
      <c r="A103" s="915"/>
      <c r="B103" s="176" t="s">
        <v>1248</v>
      </c>
      <c r="D103" s="781">
        <v>65</v>
      </c>
    </row>
    <row r="104" spans="1:4" ht="18">
      <c r="A104" s="915"/>
      <c r="B104" s="8" t="s">
        <v>1116</v>
      </c>
      <c r="D104" s="180">
        <v>70</v>
      </c>
    </row>
    <row r="105" spans="1:4" ht="18">
      <c r="A105" s="915"/>
      <c r="B105" s="176" t="s">
        <v>1117</v>
      </c>
      <c r="D105" s="781">
        <v>80</v>
      </c>
    </row>
    <row r="106" spans="1:4" ht="18">
      <c r="A106" s="915"/>
      <c r="B106" s="8" t="s">
        <v>1118</v>
      </c>
      <c r="D106" s="180">
        <v>90</v>
      </c>
    </row>
    <row r="107" spans="1:4" ht="18">
      <c r="A107" s="915"/>
      <c r="B107" s="176" t="s">
        <v>1249</v>
      </c>
      <c r="D107" s="781">
        <v>155</v>
      </c>
    </row>
    <row r="115" spans="1:3" ht="22.9">
      <c r="A115" s="97" t="s">
        <v>1250</v>
      </c>
    </row>
    <row r="116" spans="1:3">
      <c r="A116"/>
    </row>
    <row r="117" spans="1:3" ht="18">
      <c r="A117" s="283" t="s">
        <v>1251</v>
      </c>
      <c r="B117" s="7"/>
      <c r="C117" s="7"/>
    </row>
    <row r="118" spans="1:3" ht="18">
      <c r="A118" s="283" t="s">
        <v>1252</v>
      </c>
      <c r="B118" s="7"/>
      <c r="C118" s="7"/>
    </row>
    <row r="119" spans="1:3" ht="17.45">
      <c r="A119" s="7"/>
      <c r="B119" s="7"/>
      <c r="C119" s="7"/>
    </row>
    <row r="120" spans="1:3" ht="18">
      <c r="A120" s="283" t="s">
        <v>1253</v>
      </c>
      <c r="B120" s="7"/>
      <c r="C120" s="7"/>
    </row>
    <row r="121" spans="1:3" ht="18">
      <c r="A121" s="283" t="s">
        <v>1254</v>
      </c>
      <c r="B121" s="7"/>
      <c r="C121" s="7"/>
    </row>
    <row r="122" spans="1:3" ht="17.45">
      <c r="A122" s="7"/>
      <c r="B122" s="7"/>
      <c r="C122" s="7"/>
    </row>
    <row r="123" spans="1:3" ht="17.45">
      <c r="A123" s="7" t="s">
        <v>1255</v>
      </c>
      <c r="B123" s="7"/>
      <c r="C123" s="7"/>
    </row>
    <row r="124" spans="1:3" ht="17.45">
      <c r="A124" s="7" t="s">
        <v>1256</v>
      </c>
      <c r="B124" s="7"/>
      <c r="C124" s="7"/>
    </row>
    <row r="125" spans="1:3" ht="17.45">
      <c r="A125" s="7"/>
      <c r="B125" s="7"/>
      <c r="C125" s="7"/>
    </row>
    <row r="126" spans="1:3" ht="17.45">
      <c r="A126" s="7" t="s">
        <v>1257</v>
      </c>
      <c r="B126" s="7"/>
      <c r="C126" s="7"/>
    </row>
    <row r="127" spans="1:3" ht="17.45">
      <c r="A127" s="7" t="s">
        <v>1258</v>
      </c>
      <c r="B127" s="7"/>
      <c r="C127" s="7"/>
    </row>
    <row r="128" spans="1:3" ht="17.45">
      <c r="A128" s="7" t="s">
        <v>1259</v>
      </c>
      <c r="B128" s="7"/>
      <c r="C128" s="7"/>
    </row>
    <row r="129" spans="1:4" ht="17.45">
      <c r="A129" s="7"/>
      <c r="B129" s="7"/>
      <c r="C129" s="7"/>
      <c r="D129" s="7"/>
    </row>
    <row r="130" spans="1:4" ht="17.45">
      <c r="A130" s="7" t="s">
        <v>1260</v>
      </c>
      <c r="B130" s="7"/>
      <c r="C130" s="7"/>
      <c r="D130" s="7"/>
    </row>
    <row r="131" spans="1:4" ht="17.45">
      <c r="A131" s="94"/>
      <c r="B131" s="7"/>
      <c r="C131" s="7"/>
      <c r="D131" s="7"/>
    </row>
    <row r="132" spans="1:4" ht="17.45">
      <c r="A132" s="96" t="s">
        <v>1261</v>
      </c>
      <c r="B132" s="95"/>
      <c r="C132" s="95"/>
      <c r="D132" s="95"/>
    </row>
    <row r="133" spans="1:4" ht="17.45">
      <c r="A133" s="96" t="s">
        <v>1262</v>
      </c>
      <c r="B133" s="95"/>
      <c r="C133" s="95"/>
      <c r="D133" s="95"/>
    </row>
    <row r="134" spans="1:4" ht="33" customHeight="1">
      <c r="A134" s="909" t="s">
        <v>1263</v>
      </c>
      <c r="B134" s="909"/>
      <c r="C134" s="909"/>
      <c r="D134" s="516"/>
    </row>
    <row r="135" spans="1:4" ht="17.45">
      <c r="A135" s="96" t="s">
        <v>1264</v>
      </c>
      <c r="B135" s="95"/>
      <c r="C135" s="95"/>
      <c r="D135" s="95"/>
    </row>
    <row r="136" spans="1:4" ht="17.45">
      <c r="A136" s="96"/>
      <c r="B136" s="95"/>
      <c r="C136" s="95"/>
      <c r="D136" s="95"/>
    </row>
    <row r="137" spans="1:4" ht="17.45">
      <c r="A137" s="7" t="s">
        <v>1265</v>
      </c>
      <c r="B137" s="7"/>
      <c r="C137" s="7"/>
      <c r="D137" s="7"/>
    </row>
    <row r="138" spans="1:4" ht="17.45">
      <c r="A138" s="788"/>
      <c r="B138" s="583" t="s">
        <v>1266</v>
      </c>
      <c r="C138" s="7"/>
      <c r="D138" s="7"/>
    </row>
    <row r="139" spans="1:4" ht="17.45">
      <c r="A139" s="788"/>
      <c r="B139" s="583" t="s">
        <v>1267</v>
      </c>
      <c r="C139" s="7"/>
      <c r="D139" s="7"/>
    </row>
    <row r="140" spans="1:4" ht="17.45">
      <c r="A140" s="788"/>
      <c r="B140" s="583" t="s">
        <v>1268</v>
      </c>
      <c r="C140" s="7"/>
      <c r="D140" s="7"/>
    </row>
    <row r="141" spans="1:4" ht="17.45">
      <c r="A141" s="788"/>
      <c r="B141" s="583" t="s">
        <v>1269</v>
      </c>
      <c r="C141" s="7"/>
      <c r="D141" s="7"/>
    </row>
    <row r="142" spans="1:4" ht="17.45">
      <c r="A142" s="788"/>
      <c r="B142" s="583" t="s">
        <v>1270</v>
      </c>
      <c r="C142" s="7"/>
      <c r="D142" s="7"/>
    </row>
    <row r="143" spans="1:4" ht="17.45">
      <c r="A143" s="7"/>
      <c r="B143" s="7"/>
      <c r="C143" s="7"/>
      <c r="D143" s="7"/>
    </row>
    <row r="144" spans="1:4" ht="33" customHeight="1">
      <c r="A144" s="910" t="s">
        <v>1271</v>
      </c>
      <c r="B144" s="910"/>
      <c r="C144" s="910"/>
      <c r="D144" s="517"/>
    </row>
    <row r="145" spans="1:4" ht="13.9" customHeight="1">
      <c r="A145" s="517"/>
      <c r="B145" s="517"/>
      <c r="C145" s="517"/>
      <c r="D145" s="517"/>
    </row>
  </sheetData>
  <mergeCells count="9">
    <mergeCell ref="A134:C134"/>
    <mergeCell ref="A144:C144"/>
    <mergeCell ref="E48:E52"/>
    <mergeCell ref="B1:E1"/>
    <mergeCell ref="A87:A92"/>
    <mergeCell ref="A94:A98"/>
    <mergeCell ref="A99:A107"/>
    <mergeCell ref="A18:B19"/>
    <mergeCell ref="A60:B61"/>
  </mergeCells>
  <hyperlinks>
    <hyperlink ref="C37" r:id="rId1" xr:uid="{E7EDC542-C1A9-43C3-8DD4-C37E8CC3EFE9}"/>
  </hyperlinks>
  <pageMargins left="0.25" right="0.53" top="0.35" bottom="0.44" header="0.3" footer="0.17"/>
  <pageSetup orientation="portrait" r:id="rId2"/>
  <headerFooter>
    <oddFooter>&amp;L&amp;P&amp;C&amp;A&amp;R&amp;F]</oddFooter>
  </headerFooter>
  <rowBreaks count="2" manualBreakCount="2">
    <brk id="40" max="16383" man="1"/>
    <brk id="69" max="2"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DA461-4D39-48C2-8361-240011A442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mem zer</cp:lastModifiedBy>
  <cp:revision/>
  <dcterms:created xsi:type="dcterms:W3CDTF">2017-05-30T20:50:42Z</dcterms:created>
  <dcterms:modified xsi:type="dcterms:W3CDTF">2025-10-25T04:16:34Z</dcterms:modified>
  <cp:category/>
  <cp:contentStatus/>
</cp:coreProperties>
</file>