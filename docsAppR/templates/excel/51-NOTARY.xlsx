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166925"/>
  <mc:AlternateContent xmlns:mc="http://schemas.openxmlformats.org/markup-compatibility/2006">
    <mc:Choice Requires="x15">
      <x15ac:absPath xmlns:x15ac="http://schemas.microsoft.com/office/spreadsheetml/2010/11/ac" url="https://d.docs.live.net/11a3f773ac1d9a35/Documents/Templates-Shared/"/>
    </mc:Choice>
  </mc:AlternateContent>
  <xr:revisionPtr revIDLastSave="6" documentId="8_{FD962C92-C0B8-4E54-90D3-3634B68360FA}" xr6:coauthVersionLast="47" xr6:coauthVersionMax="47" xr10:uidLastSave="{9A96C927-FAF9-4E32-96F4-368444D5CD89}"/>
  <bookViews>
    <workbookView xWindow="-108" yWindow="-108" windowWidth="23256" windowHeight="13896" tabRatio="906" activeTab="8" xr2:uid="{00000000-000D-0000-FFFF-FFFF00000000}"/>
  </bookViews>
  <sheets>
    <sheet name="email cvr" sheetId="64" r:id="rId1"/>
    <sheet name="docs table" sheetId="74" r:id="rId2"/>
    <sheet name="notary1" sheetId="77" r:id="rId3"/>
    <sheet name="notary2" sheetId="72" r:id="rId4"/>
    <sheet name="notary3" sheetId="78" r:id="rId5"/>
    <sheet name="email cvr (2)" sheetId="79" r:id="rId6"/>
    <sheet name="pay" sheetId="71" r:id="rId7"/>
    <sheet name="1st pay" sheetId="76" r:id="rId8"/>
    <sheet name="jobinfo(2)" sheetId="55" r:id="rId9"/>
  </sheets>
  <externalReferences>
    <externalReference r:id="rId10"/>
    <externalReference r:id="rId11"/>
  </externalReferences>
  <definedNames>
    <definedName name="a...new_customer">'[1]input data'!$A$1:$D$45</definedName>
    <definedName name="Column.a.new.cst">'[1]input data'!$A$2:$A$45</definedName>
    <definedName name="culpepper">#REF!</definedName>
    <definedName name="data">[2]QUOTE!$A$267:$R$424</definedName>
    <definedName name="Document_Stacking_List">#REF!</definedName>
    <definedName name="Enter_new_cst_data">#REF!</definedName>
    <definedName name="Jefferies">#REF!</definedName>
    <definedName name="LOVEJOY_INTERIOR">#REF!</definedName>
    <definedName name="Lovejoy_ROOF">#REF!</definedName>
    <definedName name="LxWxH">[2]QUOTE!#REF!</definedName>
    <definedName name="new_customer">'[1]cst list'!$B$32:$B$65</definedName>
    <definedName name="PRICE_P">#REF!</definedName>
    <definedName name="_xlnm.Print_Area" localSheetId="7">'1st pay'!$A$1:$D$28</definedName>
    <definedName name="_xlnm.Print_Area" localSheetId="1">'docs table'!$A$1:$C$12</definedName>
    <definedName name="_xlnm.Print_Area" localSheetId="0">'email cvr'!$A$1:$D$33</definedName>
    <definedName name="_xlnm.Print_Area" localSheetId="5">'email cvr (2)'!$A$1:$D$30</definedName>
    <definedName name="_xlnm.Print_Area" localSheetId="8">'jobinfo(2)'!$A$51:$C$72</definedName>
    <definedName name="_xlnm.Print_Area" localSheetId="6">pay!$A$1:$B$28</definedName>
    <definedName name="Robinson">#REF!</definedName>
    <definedName name="sigtj">"Picture 9859"</definedName>
    <definedName name="SubContractor_Summary">#REF!</definedName>
    <definedName name="Wayside_Builders__LLC_…...OH">'[1]co name'!$D$21</definedName>
    <definedName name="WSB...GA.Wayside_Builders__LLC……GA">'[1]co name'!$D$38</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2" i="55" l="1"/>
  <c r="C141" i="55"/>
  <c r="C140" i="55"/>
  <c r="C139" i="55"/>
  <c r="C138" i="55"/>
  <c r="C137" i="55"/>
  <c r="C136" i="55"/>
  <c r="C135" i="55"/>
  <c r="C133" i="55"/>
  <c r="C132" i="55"/>
  <c r="C131" i="55"/>
  <c r="C130" i="55"/>
  <c r="C129" i="55"/>
  <c r="C128" i="55"/>
  <c r="C127" i="55"/>
  <c r="C52" i="55"/>
  <c r="D25" i="72"/>
  <c r="C25" i="72"/>
  <c r="D25" i="77"/>
  <c r="B22" i="64" l="1"/>
  <c r="C3" i="64"/>
  <c r="A22" i="64"/>
  <c r="D3" i="64" l="1"/>
  <c r="D26" i="78"/>
  <c r="C26" i="78"/>
  <c r="A17" i="78"/>
  <c r="D16" i="78"/>
  <c r="D11" i="78"/>
  <c r="C11" i="78"/>
  <c r="B11" i="78"/>
  <c r="A11" i="78"/>
  <c r="D10" i="78"/>
  <c r="C10" i="78"/>
  <c r="B10" i="78"/>
  <c r="A10" i="78"/>
  <c r="D9" i="78"/>
  <c r="C9" i="78"/>
  <c r="A9" i="78"/>
  <c r="D8" i="78"/>
  <c r="C8" i="78"/>
  <c r="A8" i="78"/>
  <c r="D7" i="78"/>
  <c r="C7" i="78"/>
  <c r="A7" i="78"/>
  <c r="D6" i="78"/>
  <c r="C6" i="78"/>
  <c r="A6" i="78"/>
  <c r="D5" i="78"/>
  <c r="C5" i="78"/>
  <c r="A5" i="78"/>
  <c r="A14" i="78" s="1"/>
  <c r="C25" i="77"/>
  <c r="A16" i="77"/>
  <c r="D15" i="77"/>
  <c r="D10" i="77"/>
  <c r="C10" i="77"/>
  <c r="B10" i="77"/>
  <c r="A10" i="77"/>
  <c r="D9" i="77"/>
  <c r="C9" i="77"/>
  <c r="B9" i="77"/>
  <c r="A9" i="77"/>
  <c r="D8" i="77"/>
  <c r="C8" i="77"/>
  <c r="A8" i="77"/>
  <c r="D7" i="77"/>
  <c r="C7" i="77"/>
  <c r="A7" i="77"/>
  <c r="D6" i="77"/>
  <c r="C6" i="77"/>
  <c r="A6" i="77"/>
  <c r="D5" i="77"/>
  <c r="C5" i="77"/>
  <c r="A5" i="77"/>
  <c r="D4" i="77"/>
  <c r="C4" i="77"/>
  <c r="A4" i="77"/>
  <c r="A13" i="77" s="1"/>
  <c r="A16" i="72"/>
  <c r="D15" i="72"/>
  <c r="A63" i="55"/>
  <c r="A64" i="55" s="1"/>
  <c r="A65" i="55" s="1"/>
  <c r="A66" i="55" s="1"/>
  <c r="A67" i="55" s="1"/>
  <c r="A68" i="55" s="1"/>
  <c r="A69" i="55" s="1"/>
  <c r="A70" i="55" s="1"/>
  <c r="A71" i="55" s="1"/>
  <c r="A72" i="55" s="1"/>
  <c r="A73" i="55" s="1"/>
  <c r="A74" i="55" s="1"/>
  <c r="A75" i="55" s="1"/>
  <c r="A76" i="55" s="1"/>
  <c r="A77" i="55" s="1"/>
  <c r="A62" i="55"/>
  <c r="C14" i="64" l="1"/>
  <c r="C13" i="64"/>
  <c r="B15" i="64"/>
  <c r="B14" i="64"/>
  <c r="B13" i="64"/>
  <c r="A12" i="64"/>
  <c r="C12" i="64"/>
  <c r="A11" i="64"/>
  <c r="D9" i="64"/>
  <c r="D8" i="64"/>
  <c r="A9" i="64"/>
  <c r="A8" i="64"/>
  <c r="B9" i="64"/>
  <c r="B8" i="64"/>
  <c r="C7" i="64"/>
  <c r="A7" i="64"/>
  <c r="A6" i="64"/>
  <c r="B24" i="78" l="1"/>
  <c r="B23" i="77"/>
  <c r="C22" i="64"/>
  <c r="B10" i="72" l="1"/>
  <c r="B9" i="72"/>
  <c r="D4" i="72"/>
  <c r="D10" i="72"/>
  <c r="D7" i="72"/>
  <c r="D5" i="72"/>
  <c r="A8" i="72"/>
  <c r="A7" i="72"/>
  <c r="B23" i="72"/>
  <c r="C10" i="72"/>
  <c r="A10" i="72"/>
  <c r="C9" i="72"/>
  <c r="A9" i="72"/>
  <c r="C8" i="72"/>
  <c r="C7" i="72"/>
  <c r="C6" i="72"/>
  <c r="C5" i="72"/>
  <c r="C4" i="72"/>
  <c r="D8" i="72" l="1"/>
  <c r="D6" i="72"/>
  <c r="A6" i="72"/>
  <c r="A5" i="72"/>
  <c r="D9" i="72"/>
  <c r="A4" i="72"/>
  <c r="A13" i="72" s="1"/>
  <c r="A54" i="55" l="1"/>
  <c r="A55" i="55" s="1"/>
  <c r="A56" i="55" s="1"/>
  <c r="A57" i="55" s="1"/>
  <c r="A58" i="55" s="1"/>
  <c r="A59" i="55" s="1"/>
  <c r="A60" i="55" s="1"/>
  <c r="A61" i="55" s="1"/>
  <c r="D20" i="64" l="1"/>
  <c r="A18" i="64" l="1"/>
  <c r="B18" i="64"/>
  <c r="C18" i="64"/>
  <c r="D18" i="64"/>
  <c r="A19" i="64"/>
  <c r="B19" i="64"/>
  <c r="C19" i="64"/>
  <c r="D19" i="64"/>
  <c r="A20" i="64"/>
  <c r="B20" i="64"/>
  <c r="C20" i="64"/>
  <c r="A21" i="64"/>
  <c r="B21" i="64"/>
  <c r="C21" i="64"/>
  <c r="D21" i="64"/>
  <c r="D22" i="64"/>
  <c r="E43" i="5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<sst xmlns="http://schemas.openxmlformats.org/spreadsheetml/2006/main" count="450" uniqueCount="381">
  <si>
    <t>This may seem like a lot of information; because it is a lot of information.</t>
  </si>
  <si>
    <t>Yet, it is the level of estimates/documentation required to substantiate the restoration process fully.</t>
  </si>
  <si>
    <t>It is also what separates us from many others.</t>
  </si>
  <si>
    <t>COMPANY REP.</t>
  </si>
  <si>
    <t xml:space="preserve">COMPANY REP. #2 </t>
  </si>
  <si>
    <t>EIN #</t>
  </si>
  <si>
    <t>FEDEX#</t>
  </si>
  <si>
    <t>9836-2151-1</t>
  </si>
  <si>
    <t>Re:  Initial Documents Processing; Notary pages</t>
  </si>
  <si>
    <t>Greetings :       Please find attached the contractual documents for your review and signatures.</t>
  </si>
  <si>
    <t>Please sign each line indicated by your name in the presence of a notary.</t>
  </si>
  <si>
    <t xml:space="preserve">      Upon your approval please print out a copy for your file.</t>
  </si>
  <si>
    <t xml:space="preserve">   Scan and return a fully signed copy back to us. If this is a challenge for you then please advise us and we will make arrangements to get the signed documents back to us.</t>
  </si>
  <si>
    <t>The notarized documents serve to inform your insurer of your selections made with us and to further verify your signature.</t>
  </si>
  <si>
    <t>You may also refer to the additional information provided to you under the informational Assignnment Of Benefits (AOB) &amp; Memeorandum Of Understanding (MOU) documents.</t>
  </si>
  <si>
    <t>Of course; if you have ANY questions please give us a call , text or email.</t>
  </si>
  <si>
    <t>Thank you for your confidence placed in us ; we shall do all within our power to be continually earn and respect that trust.</t>
  </si>
  <si>
    <t>DOCS Table of Contents</t>
  </si>
  <si>
    <t>1151 Contract Notary Pages</t>
  </si>
  <si>
    <t>Assignment of Insurance Benefits and Direct Payment Authorization:</t>
  </si>
  <si>
    <t>O</t>
  </si>
  <si>
    <t>NOTARY PAGE 1</t>
  </si>
  <si>
    <t xml:space="preserve"> Chose In Action 0f  Irrevocable Direction to Pay  &amp;                                                                                              Assignment of Insurance Benefits Direct Payment Authorization:</t>
  </si>
  <si>
    <t>NOTARY PAGE 2</t>
  </si>
  <si>
    <t>Payment Application and Processing Order</t>
  </si>
  <si>
    <t xml:space="preserve"> In connection with the payment processing of the construction work order with the contractor, as Recipient we comprehend that the First Payment of any and all funds received will be paid to the contractor for the mitigation work that has been completed and or is in process.</t>
  </si>
  <si>
    <t>NOTARY PAGE 3</t>
  </si>
  <si>
    <t>JOB INFO …. Imported</t>
  </si>
  <si>
    <t>NOTARY PAGE</t>
  </si>
  <si>
    <t>X______________________________                         _______________________________</t>
  </si>
  <si>
    <t>_____/______/2022</t>
  </si>
  <si>
    <t>Sworn to before me &amp; subscribed in my presence on this ____ day of_________, 2022</t>
  </si>
  <si>
    <t xml:space="preserve">State of: ____________ County/Parish of: ______________________                                                              </t>
  </si>
  <si>
    <t xml:space="preserve">Notary Signature:  ______________________________________________  </t>
  </si>
  <si>
    <t xml:space="preserve">My Commission Expires: ______/_______ / 20_______                      Notary Seal: </t>
  </si>
  <si>
    <t>Assigned to:</t>
  </si>
  <si>
    <t xml:space="preserve"> Chose In Action 0f  Irrevocable Direction to Pay  &amp; Assignment of Insurance Benefits Direct Payment Authorization:</t>
  </si>
  <si>
    <t>Key Items to the Process;</t>
  </si>
  <si>
    <t>CONTRACTOR  &amp; HOMEOWNER AGREEMENT</t>
  </si>
  <si>
    <t>15.  The Owner shall promptly notify the contractor of any funds received and promptly remit to the Contractor;</t>
  </si>
  <si>
    <t>without delay. The Contractor also agrees to notify the Owner of any funds received on their behalf.</t>
  </si>
  <si>
    <t>The Owner shall promptly notify and provide the Contractor with a copy of any paperwork received.</t>
  </si>
  <si>
    <t>The Contractor agrees to wait for payments as disbursed from the insurance and or the escrow company.</t>
  </si>
  <si>
    <t>The Contractor further agrees to not demand payments from the Owner unless otherwise agreed.</t>
  </si>
  <si>
    <t xml:space="preserve">16.  The Owner and the contractor agree that the contractor shall '“discuss the amount of damage to the consumer’s home, the appropriate replacement, and reasonable cost of replacement with the insurance company.”; as needed. The Contractor agrees to release the owner from any obligation to complete work not covered by the insurance company.                                                                                 </t>
  </si>
  <si>
    <t>The Owner may choose to pay the contractor for work not covered by insurance proceeds.</t>
  </si>
  <si>
    <t>Assignment of Insurance Benefits &amp; Direct Payment Authorization:</t>
  </si>
  <si>
    <t>Essentially the Restoration Company is extending credit to the customer.</t>
  </si>
  <si>
    <t>I do comprehend there will be a large amount of time, research, money, resources, equipment, supplies, hours spent working (pictures, documentation, inspections, setup) on my estimate to properly present to my insurer.</t>
  </si>
  <si>
    <t>We are very willing to take the educated calculated risk of having the insurance pay for the restoration work.</t>
  </si>
  <si>
    <t>We are very willing to invest our following items towards the restoration work on your property;</t>
  </si>
  <si>
    <t>Proof of loss supporting documents and scheduling.</t>
  </si>
  <si>
    <t>Cost analysis/repair specifications/Estimating services</t>
  </si>
  <si>
    <t xml:space="preserve">  Jobsite visits  </t>
  </si>
  <si>
    <t xml:space="preserve">Money/Job costs … </t>
  </si>
  <si>
    <t>Resources/Materials</t>
  </si>
  <si>
    <t>Miscellaneous services rendered</t>
  </si>
  <si>
    <t>Damages Control</t>
  </si>
  <si>
    <t>Labor &amp; Professional Expertise</t>
  </si>
  <si>
    <t>Time &amp; Staff Resources</t>
  </si>
  <si>
    <t>Testing services</t>
  </si>
  <si>
    <t>Document preparation services</t>
  </si>
  <si>
    <t>Damages report &amp; discovery</t>
  </si>
  <si>
    <t xml:space="preserve">Jobsite Protection  </t>
  </si>
  <si>
    <t>Mitigation Services</t>
  </si>
  <si>
    <t>Inspection services</t>
  </si>
  <si>
    <t xml:space="preserve"> In connection with the transaction of the construction work order with All Phase Consulting LLC, as Recipient we comprehend that the First Payment of any and all funds received will be paid to All Phase Consulting, LLC for the mitigation work. As a condition to, and as consideration for, Recipient being furnished with the Mitigation work, evaluation and materia ls, Recipient hereby agrees to treat all First Payments for the purpose of Mitigation payments at any time by the Insurance Company to, or otherwise obtained by, Recipient and /or any person or entity controlling, controlled by, or under common control with, Recipient, or any principal independent contractor, agent, representative, advisor of Recipient of, or person or entity affiliated with Recipient construction work order.</t>
  </si>
  <si>
    <t>It is stated that this submittal does not represent a final invoice of any type.</t>
  </si>
  <si>
    <t xml:space="preserve"> Owner and or the Contractor also specifically reserves the right to submit for review and payment any additional/supplemental invoices as may be deemed necessary to restore the property to the pre-loss condition or better.</t>
  </si>
  <si>
    <t>Payments: Issuance, payment and acceptance of payment are without prejudice to any rights of the Owner or the Contractor under the terms of this agreement.</t>
  </si>
  <si>
    <t xml:space="preserve"> Chose In Action per &amp; AOBs and , Irrevocable Direction to Pay</t>
  </si>
  <si>
    <t>A chose in action is a form of property and can be assigned,</t>
  </si>
  <si>
    <t>Under the law, an assignment is a transfer of rights or property.</t>
  </si>
  <si>
    <t>Similarly, a direction to pay is a document that directs an insurer to make payment to a</t>
  </si>
  <si>
    <t>separate entity and or to make payment in a specific manner.</t>
  </si>
  <si>
    <t>OWNER HEREBY SPECIFICALLY REQUESTS THAT ALL PAYMENTS BE PAID TO CONTRACTOR:</t>
  </si>
  <si>
    <t>Insurer may make payment per it's legal obligation to include all parties of interest to include policyholders, mortgagor and contractor/assignee. Contractor/ Assignee has no objection to this manner of disbursement and reserves all other rights contained herein. However, per the customer's direction the Contractor shall always be named as a payee of the funds.</t>
  </si>
  <si>
    <t>Essentially, the AOB allows the assignee to bring a claim for any unpaid claim related benefits.</t>
  </si>
  <si>
    <t>A restoration company is entitled to full and complete payment for services rendered.</t>
  </si>
  <si>
    <t>Assignment of Benefits is one way to provide payment.</t>
  </si>
  <si>
    <t>This assignment essentially allows the restoration service company to perform its work on credit or with no immediate payment by the homeowner, leaving the homeowner with the comforting satisfaction that the restoration company will collect its fee for services from the homeowners insurance company directly. Or customer may exercise any one of the folllowing actions:</t>
  </si>
  <si>
    <t>a) Provide a check for payment of services</t>
  </si>
  <si>
    <t>b) Provide credit card for billing purposes</t>
  </si>
  <si>
    <t>c) Execute  Choice In Action per AOB and , Irrevocable Direction to Pay</t>
  </si>
  <si>
    <t>d) Cancel contract</t>
  </si>
  <si>
    <t>Contractor is investing their time, money, labor and expertise towards the restoration work; taking the calculated risk of having the insurance pay for the restoration and related work.</t>
  </si>
  <si>
    <t>CUSTOMER  HAS THE RIGHT TO CANCEL THIS AGREEMENT WITHOUT PENALTY                  OR OBLIGATION WITHIN 3 DAYS AFTER THE DATE THIS AGREEMENT IS EXECUTED</t>
  </si>
  <si>
    <t>This is a LEGALLY BINDING, Irrevocable Document; Fully Enforceable.   Please read carefully</t>
  </si>
  <si>
    <t>All information herein is for Informational purposes only and not to be used as legal advice.</t>
  </si>
  <si>
    <t>NOTARY PAGE attached</t>
  </si>
  <si>
    <t xml:space="preserve"> In connection with the payment processing of the construction work order with HEREIN NAMED CONTRACTOR, as Recipient we comprehend that the First Payment of any and all funds received will be paid to THE  HEREIN NAMED CONTRACTOR, for the mitigation work that has been completed AND OR MITIGATION WORK IN PROCESS..</t>
  </si>
  <si>
    <t>As a condition to, and as consideration for, Recipient being furnished with the Mitigation work, evaluation and materials, Recipient hereby agrees to treat all First Payments for the purpose of Mitigation payments at any time by the Insurance Company to, or otherwise obtained by, Recipient and /or any person or entity controlling, controlled by, or under common control with, Recipient, or any principal independent contractor, agent, representative, advisor of Recipient of, or person or entity affiliated with Recipient construction work order.</t>
  </si>
  <si>
    <t>Key Items to the Process;                 CONTRACTOR  &amp; HOMEOWNER AGREEMENT</t>
  </si>
  <si>
    <t>The company is very willing to take an educated/calculated risk of having the insurer pay for the restoration.</t>
  </si>
  <si>
    <t>The company is very willing to invest our following items towards the restoration work on your property;</t>
  </si>
  <si>
    <t>Proof of loss supporting documents           Job scheduling.</t>
  </si>
  <si>
    <t>Jobsite Protection                Mitigation Services</t>
  </si>
  <si>
    <t>Money/Job costs …                                    Resources/Materials</t>
  </si>
  <si>
    <t>Inspection services             Jobsite visits</t>
  </si>
  <si>
    <t>Labor &amp; Professional Expertise                  Damages Control</t>
  </si>
  <si>
    <t>Document preparation services                  Testing services</t>
  </si>
  <si>
    <t xml:space="preserve">Customer </t>
  </si>
  <si>
    <t>Property-Owner Name</t>
  </si>
  <si>
    <t>Enter info here</t>
  </si>
  <si>
    <t>ADD SOS LINK</t>
  </si>
  <si>
    <t>Property address: street</t>
  </si>
  <si>
    <t>New Customer Info required</t>
  </si>
  <si>
    <t>LINK TO VIDEOS</t>
  </si>
  <si>
    <t>Property city, state, zip</t>
  </si>
  <si>
    <t>BEFORE AND AFTER P[CS</t>
  </si>
  <si>
    <t>Customer Email</t>
  </si>
  <si>
    <t>CLE ATL NY NC NY</t>
  </si>
  <si>
    <t>Cst-owner Phone#</t>
  </si>
  <si>
    <t>Co-Owner.cst#2</t>
  </si>
  <si>
    <t>cst ph # 2</t>
  </si>
  <si>
    <t>RFG WIP…CURRENT JOBS</t>
  </si>
  <si>
    <t>Cst address # 2</t>
  </si>
  <si>
    <t>SIGNAGE</t>
  </si>
  <si>
    <t>city, state-cst#2</t>
  </si>
  <si>
    <t>email-cst #2</t>
  </si>
  <si>
    <t>Loss Info</t>
  </si>
  <si>
    <t>Cause of Loss</t>
  </si>
  <si>
    <t>Wind = Roof</t>
  </si>
  <si>
    <t xml:space="preserve">Water Damage=WTR </t>
  </si>
  <si>
    <t>Fire Smoke</t>
  </si>
  <si>
    <t>Wind=Tree</t>
  </si>
  <si>
    <t>Hurricane =HURR</t>
  </si>
  <si>
    <t>date of loss</t>
  </si>
  <si>
    <t xml:space="preserve">rebuild  type </t>
  </si>
  <si>
    <t>rebuild  type 1</t>
  </si>
  <si>
    <t>roofing shingles replacement</t>
  </si>
  <si>
    <t>fencing</t>
  </si>
  <si>
    <t>rebuild  type 2</t>
  </si>
  <si>
    <t>interior repairs</t>
  </si>
  <si>
    <t>shed</t>
  </si>
  <si>
    <t>rebuild  type 3</t>
  </si>
  <si>
    <t>exterior repairs</t>
  </si>
  <si>
    <t>porch patio</t>
  </si>
  <si>
    <t>DEMO</t>
  </si>
  <si>
    <t>Mitigation</t>
  </si>
  <si>
    <t>Other Structures</t>
  </si>
  <si>
    <t>CPS</t>
  </si>
  <si>
    <t>Replacement</t>
  </si>
  <si>
    <t>CPS / CLN / CON/ CGN</t>
  </si>
  <si>
    <t>Year Built</t>
  </si>
  <si>
    <t>Contract Date</t>
  </si>
  <si>
    <t>TBD</t>
  </si>
  <si>
    <t xml:space="preserve">pre 1980 </t>
  </si>
  <si>
    <t>post 1980</t>
  </si>
  <si>
    <t>Loss of use/ ALE</t>
  </si>
  <si>
    <t>sample cost 3</t>
  </si>
  <si>
    <t>Breathing issue</t>
  </si>
  <si>
    <t>doctor letter</t>
  </si>
  <si>
    <t>HMR</t>
  </si>
  <si>
    <t>lab test</t>
  </si>
  <si>
    <t xml:space="preserve">Insurance Co. Name </t>
  </si>
  <si>
    <t xml:space="preserve">    Insurance Company Supplied Info</t>
  </si>
  <si>
    <t>Per declaration pages</t>
  </si>
  <si>
    <t>Insurance Co.</t>
  </si>
  <si>
    <t xml:space="preserve">Claim # </t>
  </si>
  <si>
    <t>Assigned by Insurer</t>
  </si>
  <si>
    <t>policy #</t>
  </si>
  <si>
    <t>Email INS. co.</t>
  </si>
  <si>
    <t>DESK Adjuster DA</t>
  </si>
  <si>
    <t>DA Phone</t>
  </si>
  <si>
    <t>customer service rep</t>
  </si>
  <si>
    <t>DA Ph. Ext. #</t>
  </si>
  <si>
    <t>Hazel</t>
  </si>
  <si>
    <t xml:space="preserve">DA Email </t>
  </si>
  <si>
    <t>Field Adjuster Name</t>
  </si>
  <si>
    <t>5pm</t>
  </si>
  <si>
    <t>Phone # field adj</t>
  </si>
  <si>
    <t>Field adj email</t>
  </si>
  <si>
    <t>adj contents</t>
  </si>
  <si>
    <t>adj CPS phone #</t>
  </si>
  <si>
    <t>adj CPS email</t>
  </si>
  <si>
    <t>TMP adj</t>
  </si>
  <si>
    <t>TMP adj phone #</t>
  </si>
  <si>
    <t>adj TMP email</t>
  </si>
  <si>
    <t>ATT: Loss Draft Dept.</t>
  </si>
  <si>
    <t>address ins overnight mail</t>
  </si>
  <si>
    <t>city, state-zip ins</t>
  </si>
  <si>
    <t xml:space="preserve">Insurance Co. Phone </t>
  </si>
  <si>
    <t>Website Ins Co.</t>
  </si>
  <si>
    <t>Mailing   address INS</t>
  </si>
  <si>
    <t>Mail city, state, zip INS</t>
  </si>
  <si>
    <t>FAX Ins. Co</t>
  </si>
  <si>
    <t>Affected Areas, Include Line of Sight room /areas</t>
  </si>
  <si>
    <t>Room Index</t>
  </si>
  <si>
    <t>Floor 1</t>
  </si>
  <si>
    <t>Floor 2</t>
  </si>
  <si>
    <t>BASEMENT</t>
  </si>
  <si>
    <t xml:space="preserve">  Room/Area 1  </t>
  </si>
  <si>
    <t>Foyer</t>
  </si>
  <si>
    <t>Stairs UP</t>
  </si>
  <si>
    <t>Basement</t>
  </si>
  <si>
    <t xml:space="preserve">  Room/Area 2  </t>
  </si>
  <si>
    <t>Guest Closet</t>
  </si>
  <si>
    <t>Bathroom</t>
  </si>
  <si>
    <t>Stairs 1</t>
  </si>
  <si>
    <t xml:space="preserve">  Room/Area 3  </t>
  </si>
  <si>
    <t>Front Hall</t>
  </si>
  <si>
    <t xml:space="preserve"> Hallway- up</t>
  </si>
  <si>
    <t>Storage</t>
  </si>
  <si>
    <t xml:space="preserve">  Room/Area 4  </t>
  </si>
  <si>
    <t>Living Room</t>
  </si>
  <si>
    <t>Linen CLST</t>
  </si>
  <si>
    <t>Hallway- DN</t>
  </si>
  <si>
    <t xml:space="preserve">  Room/Area 5  </t>
  </si>
  <si>
    <t>Dining Room</t>
  </si>
  <si>
    <t>Bedroom # 1</t>
  </si>
  <si>
    <t>Laundry</t>
  </si>
  <si>
    <t xml:space="preserve">  Room/Area 6  </t>
  </si>
  <si>
    <t xml:space="preserve"> Hallway- DN</t>
  </si>
  <si>
    <t>Closet  BR # 1</t>
  </si>
  <si>
    <t>Utility</t>
  </si>
  <si>
    <t xml:space="preserve">  Room/Area 7  </t>
  </si>
  <si>
    <t>DEN</t>
  </si>
  <si>
    <t>Bedroom  # 2</t>
  </si>
  <si>
    <t>Man cave</t>
  </si>
  <si>
    <t xml:space="preserve">  Room/Area 8  </t>
  </si>
  <si>
    <t>FAMILY ROOM</t>
  </si>
  <si>
    <t>Closet  BR # 2</t>
  </si>
  <si>
    <t>Crawlspace</t>
  </si>
  <si>
    <t xml:space="preserve">  Room/Area 9  </t>
  </si>
  <si>
    <t>Kitchen</t>
  </si>
  <si>
    <t>Bedroom # 3</t>
  </si>
  <si>
    <t xml:space="preserve">  Room/Area 10  </t>
  </si>
  <si>
    <t>Pantry</t>
  </si>
  <si>
    <t>Closet  BR # 3</t>
  </si>
  <si>
    <t xml:space="preserve">  Room/Area 11  </t>
  </si>
  <si>
    <t>Nook</t>
  </si>
  <si>
    <t>Master Bedroom</t>
  </si>
  <si>
    <t>EXTERIOR</t>
  </si>
  <si>
    <t xml:space="preserve">  Room/Area 12  </t>
  </si>
  <si>
    <t>Guest Bath</t>
  </si>
  <si>
    <t>Master BR Closet</t>
  </si>
  <si>
    <t>Roof shingle replace</t>
  </si>
  <si>
    <t xml:space="preserve">  Room/Area 13  </t>
  </si>
  <si>
    <t>Office</t>
  </si>
  <si>
    <t>Master Bathroom</t>
  </si>
  <si>
    <t>Vinyl siding</t>
  </si>
  <si>
    <t xml:space="preserve">  Room/Area 14  </t>
  </si>
  <si>
    <t xml:space="preserve">  Room/Area 15  </t>
  </si>
  <si>
    <t xml:space="preserve"> ATTIC </t>
  </si>
  <si>
    <t xml:space="preserve">  Room/Area 16  </t>
  </si>
  <si>
    <t xml:space="preserve">  Room/Area 17  </t>
  </si>
  <si>
    <t>Stairs 2</t>
  </si>
  <si>
    <t>Porches</t>
  </si>
  <si>
    <t xml:space="preserve">  Room/Area 18  </t>
  </si>
  <si>
    <t xml:space="preserve"> Garage </t>
  </si>
  <si>
    <t xml:space="preserve">  Room/Area 19  </t>
  </si>
  <si>
    <t>Deck/patio</t>
  </si>
  <si>
    <t xml:space="preserve">  Room/Area 20  </t>
  </si>
  <si>
    <t>yard area</t>
  </si>
  <si>
    <t>Mortgage Company</t>
  </si>
  <si>
    <t xml:space="preserve">Mortgage co       </t>
  </si>
  <si>
    <t xml:space="preserve">    Customer Supplied Info------</t>
  </si>
  <si>
    <t>Per mortgage statement</t>
  </si>
  <si>
    <t>Account# Mtge Co.</t>
  </si>
  <si>
    <t>Loan status</t>
  </si>
  <si>
    <t>Loan status =
current,   
foreclosure,
  Paid in full,  
Late days</t>
  </si>
  <si>
    <t>contact person mtge</t>
  </si>
  <si>
    <t>Phone # MTGE contact</t>
  </si>
  <si>
    <t>Ph. Ext. Mtge contact</t>
  </si>
  <si>
    <t>Attn.: Loss Draft Dept</t>
  </si>
  <si>
    <t>Mtge OVN mail</t>
  </si>
  <si>
    <t>city, St., zip ,mtge OVN</t>
  </si>
  <si>
    <t>Phone # MTGE co.</t>
  </si>
  <si>
    <t>email mtge</t>
  </si>
  <si>
    <t>mtge website</t>
  </si>
  <si>
    <t>MTGE co. Fax #</t>
  </si>
  <si>
    <t>Mailing   address mtge</t>
  </si>
  <si>
    <t>Mail city, state, zip mtge</t>
  </si>
  <si>
    <t>Initial Offer / phase 1 contract amount</t>
  </si>
  <si>
    <t>Draw Request</t>
  </si>
  <si>
    <t>Cust id</t>
  </si>
  <si>
    <t>co name</t>
  </si>
  <si>
    <t>Co. website</t>
  </si>
  <si>
    <t>co. EMAIL/co. status</t>
  </si>
  <si>
    <t>co adress</t>
  </si>
  <si>
    <t>co. city state</t>
  </si>
  <si>
    <t>co. address 2</t>
  </si>
  <si>
    <t>co. city state 2</t>
  </si>
  <si>
    <t>co adress 3</t>
  </si>
  <si>
    <t>co. city state 3</t>
  </si>
  <si>
    <t>Co. logo 1</t>
  </si>
  <si>
    <t>Co. logo 2</t>
  </si>
  <si>
    <t>Co. logo 3</t>
  </si>
  <si>
    <t>Co. REP. / PH</t>
  </si>
  <si>
    <t>CO.REP.
email</t>
  </si>
  <si>
    <t>Co PH # 2</t>
  </si>
  <si>
    <t>CO.REP. email 2</t>
  </si>
  <si>
    <t>TIN W9</t>
  </si>
  <si>
    <t xml:space="preserve">  FedEx     account # </t>
  </si>
  <si>
    <t>claim report date</t>
  </si>
  <si>
    <t>Time OF CLAIM REPORT</t>
  </si>
  <si>
    <t>co.represesntative</t>
  </si>
  <si>
    <t>phone ext</t>
  </si>
  <si>
    <t>Tarp ext TMP ok</t>
  </si>
  <si>
    <t>Int TMP ok</t>
  </si>
  <si>
    <t>DRY/PLA CUTOUT MOLD SPRAY  OK</t>
  </si>
  <si>
    <t>CPS/CON OK ok</t>
  </si>
  <si>
    <t>Sworn to before me &amp; subscribed in my presence on this ____ day of_________, 2024</t>
  </si>
  <si>
    <t>Hendking, Anthony&amp;Carlena</t>
  </si>
  <si>
    <t xml:space="preserve">3806 Meadowbrook Blvd, </t>
  </si>
  <si>
    <t xml:space="preserve"> University Heights, OH 44117</t>
  </si>
  <si>
    <t>Hendkingsr@yahoo.com</t>
  </si>
  <si>
    <t>MRS</t>
  </si>
  <si>
    <t>FIRE</t>
  </si>
  <si>
    <t>Interior Repairs LEVEL 1</t>
  </si>
  <si>
    <t>Interior Repairs LEVEL 2</t>
  </si>
  <si>
    <t>Interior Repairs BSMNT</t>
  </si>
  <si>
    <t>Y</t>
  </si>
  <si>
    <t>NA</t>
  </si>
  <si>
    <t>POST 1978</t>
  </si>
  <si>
    <t>STATE FARM</t>
  </si>
  <si>
    <t>3571C126N</t>
  </si>
  <si>
    <t>PL#</t>
  </si>
  <si>
    <t>statefarmfireclaims@statefarm.com</t>
  </si>
  <si>
    <t>KENNETH SAMS</t>
  </si>
  <si>
    <t>844-458-4300</t>
  </si>
  <si>
    <t>309 763 2612</t>
  </si>
  <si>
    <t>SCOTT DANKO</t>
  </si>
  <si>
    <t>sdanko@insrescon.com</t>
  </si>
  <si>
    <t>Kevin Salmon, SPVR</t>
  </si>
  <si>
    <t>972 362 3661</t>
  </si>
  <si>
    <t>DA Ph. 253.267.7438</t>
  </si>
  <si>
    <t>Supervisor</t>
  </si>
  <si>
    <t>Kevin Salmon</t>
  </si>
  <si>
    <t>OH24 Hendking @ MEADOWBROOK FIRE</t>
  </si>
  <si>
    <t>FOYER/ENTRY ROOM</t>
  </si>
  <si>
    <t>GUEST CLOSET</t>
  </si>
  <si>
    <t>GUEST BATHROOM</t>
  </si>
  <si>
    <t>LIVING ROOM</t>
  </si>
  <si>
    <t>NOOK</t>
  </si>
  <si>
    <t>REAR HALL</t>
  </si>
  <si>
    <t>GUEST BATH 2</t>
  </si>
  <si>
    <t>Laundry Room</t>
  </si>
  <si>
    <t>Garage</t>
  </si>
  <si>
    <t>DOWN BASEMENT STAIRS</t>
  </si>
  <si>
    <t>HALL BSMNT</t>
  </si>
  <si>
    <t>UTILITY ROOM</t>
  </si>
  <si>
    <t>RACETRACK AREA</t>
  </si>
  <si>
    <t>Storage 2 Bsmnt</t>
  </si>
  <si>
    <t>2ND FLOOR STAIRS</t>
  </si>
  <si>
    <t>2ND FLOOR HALLWAY</t>
  </si>
  <si>
    <t>BOYS ROOM 1</t>
  </si>
  <si>
    <t>BOYS ROOM CLOSET</t>
  </si>
  <si>
    <t>BEDROOM 2</t>
  </si>
  <si>
    <t>BEDROOM 2 CLOSET</t>
  </si>
  <si>
    <t>HALL UP CLOSET</t>
  </si>
  <si>
    <t>BATH UP1</t>
  </si>
  <si>
    <t>LINEN CLOSET</t>
  </si>
  <si>
    <t>PRIMARY BEDROOM (PBR)</t>
  </si>
  <si>
    <t>PBR CLOSET 1</t>
  </si>
  <si>
    <t>PBR BATHROOM</t>
  </si>
  <si>
    <t>PBR WATER CLOSET</t>
  </si>
  <si>
    <t>PBR CLOSET 2</t>
  </si>
  <si>
    <t>PBR BONUS ROOM</t>
  </si>
  <si>
    <t>ATTIC CRAWLSPACE</t>
  </si>
  <si>
    <t>All Phase Consulting, LLC</t>
  </si>
  <si>
    <t>WWW.MYAPCLLC.COM</t>
  </si>
  <si>
    <t>Insured  &amp; GA Registered #09073201</t>
  </si>
  <si>
    <t>375 Rockbridge Road, Suite 172-343</t>
  </si>
  <si>
    <t>Lilburn, GA, 30047</t>
  </si>
  <si>
    <t>ECI 531 FIFTH AVE,</t>
  </si>
  <si>
    <t>PELHAM, NY 10803</t>
  </si>
  <si>
    <t>20810 Aurora Rd</t>
  </si>
  <si>
    <t>Bedford, OH 44146 </t>
  </si>
  <si>
    <t>Providing Cost Estimating &amp; Project Management Services</t>
  </si>
  <si>
    <t>Five Generations of Great Work</t>
  </si>
  <si>
    <t>Five Generations of Pride &amp; Skills</t>
  </si>
  <si>
    <t>Joe Jones, PM  216.450.7228</t>
  </si>
  <si>
    <t>wsbjoe9@gmail.com</t>
  </si>
  <si>
    <t>404-446-9060</t>
  </si>
  <si>
    <t>info@myapcllc.com</t>
  </si>
  <si>
    <t>TIN 83-226 0563</t>
  </si>
  <si>
    <t xml:space="preserve">  FEDEX    # 9836-2151-1</t>
  </si>
  <si>
    <t>ALE INFO</t>
  </si>
  <si>
    <t>_____/______/2024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</si>
</sst>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F800]dddd\,\ mmmm\ dd\,\ yyyy"/>
    <numFmt numFmtId="167" formatCode="[&lt;=9999999]###\-####;\(###\)\ ###\-####"/>
  </numFmts>
  <fonts count="122">
    <font>
      <sz val="11"/>
      <color theme="1"/>
      <name val="Calibri"/>
      <family val="2"/>
      <scheme val="minor"/>
    </font>
    <font>
      <sz val="14"/>
      <color theme="1"/>
      <name val="Arial Narrow"/>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1"/>
      <color indexed="8"/>
      <name val="Calibri"/>
      <family val="2"/>
    </font>
    <font>
      <u/>
      <sz val="11"/>
      <color theme="10"/>
      <name val="Calibri"/>
      <family val="2"/>
    </font>
    <font>
      <sz val="12"/>
      <color rgb="FF000000"/>
      <name val="Calibri"/>
      <family val="2"/>
      <scheme val="minor"/>
    </font>
    <font>
      <sz val="12"/>
      <color rgb="FF000000"/>
      <name val="Times New Roman"/>
      <family val="1"/>
    </font>
    <font>
      <i/>
      <u/>
      <sz val="12"/>
      <color rgb="FF000000"/>
      <name val="Arial Narrow"/>
      <family val="2"/>
    </font>
    <font>
      <sz val="12"/>
      <color theme="1"/>
      <name val="Calibri"/>
      <family val="2"/>
      <scheme val="minor"/>
    </font>
    <font>
      <sz val="12"/>
      <color rgb="FF006100"/>
      <name val="Calibri"/>
      <family val="2"/>
      <scheme val="minor"/>
    </font>
    <font>
      <sz val="12"/>
      <color theme="0"/>
      <name val="Calibri"/>
      <family val="2"/>
      <scheme val="minor"/>
    </font>
    <font>
      <b/>
      <sz val="12"/>
      <color rgb="FFFA7D00"/>
      <name val="Calibri"/>
      <family val="2"/>
      <scheme val="minor"/>
    </font>
    <font>
      <b/>
      <sz val="12"/>
      <color theme="0"/>
      <name val="Calibri"/>
      <family val="2"/>
      <scheme val="minor"/>
    </font>
    <font>
      <sz val="10"/>
      <name val="Arial"/>
      <family val="2"/>
    </font>
    <font>
      <u/>
      <sz val="10"/>
      <color indexed="12"/>
      <name val="Arial"/>
      <family val="2"/>
    </font>
    <font>
      <sz val="14"/>
      <color theme="1"/>
      <name val="Calibri"/>
      <family val="2"/>
      <scheme val="minor"/>
    </font>
    <font>
      <sz val="14"/>
      <color rgb="FF000000"/>
      <name val="Arial Narrow"/>
      <family val="2"/>
    </font>
    <font>
      <b/>
      <i/>
      <u/>
      <sz val="14"/>
      <color rgb="FF000000"/>
      <name val="Calibri"/>
      <family val="2"/>
      <scheme val="minor"/>
    </font>
    <font>
      <i/>
      <sz val="12"/>
      <color rgb="FF000000"/>
      <name val="Arial Narrow"/>
      <family val="2"/>
    </font>
    <font>
      <b/>
      <i/>
      <u/>
      <sz val="14"/>
      <color rgb="FF000000"/>
      <name val="Arial Narrow"/>
      <family val="2"/>
    </font>
    <font>
      <i/>
      <u/>
      <sz val="14"/>
      <color rgb="FF000000"/>
      <name val="Arial Narrow"/>
      <family val="2"/>
    </font>
    <font>
      <u/>
      <sz val="12"/>
      <color theme="10"/>
      <name val="Calibri"/>
      <family val="2"/>
      <scheme val="minor"/>
    </font>
    <font>
      <b/>
      <sz val="8"/>
      <color rgb="FF000000"/>
      <name val="Arial Narrow"/>
      <family val="2"/>
    </font>
    <font>
      <sz val="12"/>
      <color theme="1"/>
      <name val="NEW Times"/>
      <family val="2"/>
    </font>
    <font>
      <b/>
      <sz val="12"/>
      <color rgb="FFFA7D00"/>
      <name val="NEW Times"/>
      <family val="2"/>
    </font>
    <font>
      <u/>
      <sz val="12"/>
      <color theme="10"/>
      <name val="NEW Times"/>
      <family val="2"/>
    </font>
    <font>
      <b/>
      <sz val="18"/>
      <color theme="3"/>
      <name val="Calibri Light"/>
      <family val="2"/>
      <scheme val="major"/>
    </font>
    <font>
      <b/>
      <sz val="12"/>
      <color rgb="FF3F3F3F"/>
      <name val="Calibri"/>
      <family val="2"/>
      <scheme val="minor"/>
    </font>
    <font>
      <sz val="12"/>
      <color theme="1"/>
      <name val="Arial Narrow"/>
      <family val="2"/>
    </font>
    <font>
      <sz val="12"/>
      <color rgb="FFFA7D00"/>
      <name val="NEW Times"/>
      <family val="2"/>
    </font>
    <font>
      <i/>
      <u/>
      <sz val="16"/>
      <color rgb="FF000000"/>
      <name val="Arial Narrow"/>
      <family val="2"/>
    </font>
    <font>
      <b/>
      <i/>
      <sz val="14"/>
      <color rgb="FF000000"/>
      <name val="Arial Narrow"/>
      <family val="2"/>
    </font>
    <font>
      <sz val="12"/>
      <color rgb="FF000000"/>
      <name val="Arial Narrow"/>
      <family val="2"/>
    </font>
    <font>
      <u/>
      <sz val="14"/>
      <color rgb="FF0000FF"/>
      <name val="Arial Narrow"/>
      <family val="2"/>
    </font>
    <font>
      <sz val="11"/>
      <color theme="1"/>
      <name val="Arial Narrow"/>
      <family val="2"/>
    </font>
    <font>
      <sz val="11"/>
      <color rgb="FF000000"/>
      <name val="Arial Narrow"/>
      <family val="2"/>
    </font>
    <font>
      <i/>
      <u/>
      <sz val="8"/>
      <color rgb="FF000000"/>
      <name val="Arial Narrow"/>
      <family val="2"/>
    </font>
    <font>
      <i/>
      <sz val="20"/>
      <color rgb="FF000000"/>
      <name val="Arial Narrow"/>
      <family val="2"/>
    </font>
    <font>
      <b/>
      <i/>
      <u/>
      <sz val="16"/>
      <color rgb="FF000000"/>
      <name val="Arial Narrow"/>
      <family val="2"/>
    </font>
    <font>
      <u/>
      <sz val="16"/>
      <color rgb="FF0000FF"/>
      <name val="Arial Narrow"/>
      <family val="2"/>
    </font>
    <font>
      <b/>
      <sz val="8"/>
      <color indexed="8"/>
      <name val="Arial Narrow"/>
      <family val="2"/>
    </font>
    <font>
      <sz val="14"/>
      <name val="Arial Narrow"/>
      <family val="2"/>
    </font>
    <font>
      <sz val="11"/>
      <name val="Arial Narrow"/>
      <family val="2"/>
    </font>
    <font>
      <b/>
      <i/>
      <u/>
      <sz val="16"/>
      <name val="Arial Narrow"/>
      <family val="2"/>
    </font>
    <font>
      <i/>
      <sz val="10"/>
      <color rgb="FF000000"/>
      <name val="Arial Narrow"/>
      <family val="2"/>
    </font>
    <font>
      <i/>
      <u/>
      <sz val="8"/>
      <name val="Arial Narrow"/>
      <family val="2"/>
    </font>
    <font>
      <i/>
      <u/>
      <sz val="14"/>
      <name val="Arial Narrow"/>
      <family val="2"/>
    </font>
    <font>
      <b/>
      <u/>
      <sz val="14"/>
      <color rgb="FF404040"/>
      <name val="Arial Narrow"/>
      <family val="2"/>
    </font>
    <font>
      <i/>
      <sz val="18"/>
      <color rgb="FF000000"/>
      <name val="Arial Narrow"/>
      <family val="2"/>
    </font>
    <font>
      <i/>
      <u val="singleAccounting"/>
      <sz val="12"/>
      <color rgb="FF0070C0"/>
      <name val="Arial Narrow"/>
      <family val="2"/>
    </font>
    <font>
      <i/>
      <sz val="11"/>
      <color rgb="FF000000"/>
      <name val="Arial Narrow"/>
      <family val="2"/>
    </font>
    <font>
      <b/>
      <sz val="14"/>
      <color theme="1"/>
      <name val="Arial Narrow"/>
      <family val="2"/>
    </font>
    <font>
      <b/>
      <i/>
      <u/>
      <sz val="16"/>
      <color theme="1"/>
      <name val="Arial Narrow"/>
      <family val="2"/>
    </font>
    <font>
      <i/>
      <u/>
      <sz val="20"/>
      <color indexed="8"/>
      <name val="Arial Narrow"/>
      <family val="2"/>
    </font>
    <font>
      <u/>
      <sz val="10"/>
      <color rgb="FF0000FF"/>
      <name val="Arial Narrow"/>
      <family val="2"/>
    </font>
    <font>
      <sz val="16"/>
      <color rgb="FF000000"/>
      <name val="Arial Narrow"/>
      <family val="2"/>
    </font>
    <font>
      <i/>
      <u/>
      <sz val="12"/>
      <color rgb="FF000000"/>
      <name val="Calibri"/>
      <family val="2"/>
      <scheme val="minor"/>
    </font>
    <font>
      <b/>
      <sz val="12"/>
      <color rgb="FF000000"/>
      <name val="Calibri"/>
      <family val="2"/>
      <scheme val="minor"/>
    </font>
    <font>
      <i/>
      <u/>
      <sz val="12"/>
      <name val="Arial Narrow"/>
      <family val="2"/>
    </font>
    <font>
      <sz val="12"/>
      <color rgb="FF404040"/>
      <name val="Myanmar Text"/>
      <family val="2"/>
    </font>
    <font>
      <sz val="12"/>
      <color rgb="FF000000"/>
      <name val="Trebuchet MS"/>
      <family val="2"/>
    </font>
    <font>
      <b/>
      <i/>
      <u/>
      <sz val="12"/>
      <color rgb="FFFFFFFF"/>
      <name val="Calibri"/>
      <family val="2"/>
      <scheme val="minor"/>
    </font>
    <font>
      <i/>
      <u/>
      <sz val="12"/>
      <name val="Calibri"/>
      <family val="2"/>
      <scheme val="minor"/>
    </font>
    <font>
      <i/>
      <u/>
      <sz val="12"/>
      <color rgb="FF0000FF"/>
      <name val="Calibri"/>
      <family val="2"/>
      <scheme val="minor"/>
    </font>
    <font>
      <i/>
      <sz val="12"/>
      <color rgb="FF000000"/>
      <name val="Bodoni MT Condensed"/>
      <family val="1"/>
    </font>
    <font>
      <u/>
      <sz val="12"/>
      <name val="Calibri"/>
      <family val="2"/>
      <scheme val="minor"/>
    </font>
    <font>
      <i/>
      <u/>
      <sz val="14"/>
      <color rgb="FF333333"/>
      <name val="Arial Narrow"/>
      <family val="2"/>
    </font>
    <font>
      <sz val="14"/>
      <color rgb="FF333333"/>
      <name val="Arial Narrow"/>
      <family val="2"/>
    </font>
    <font>
      <b/>
      <i/>
      <u/>
      <sz val="12"/>
      <color rgb="FF000000"/>
      <name val="Arial Narrow"/>
      <family val="2"/>
    </font>
    <font>
      <b/>
      <sz val="12"/>
      <name val="Arial Narrow"/>
      <family val="2"/>
    </font>
    <font>
      <sz val="11"/>
      <color rgb="FF000000"/>
      <name val="Calibri"/>
      <family val="2"/>
      <scheme val="minor"/>
    </font>
    <font>
      <u/>
      <sz val="11"/>
      <color theme="10"/>
      <name val="Calibri"/>
      <family val="2"/>
      <scheme val="minor"/>
    </font>
    <font>
      <sz val="11"/>
      <color rgb="FF222222"/>
      <name val="Arial"/>
      <family val="2"/>
    </font>
    <font>
      <b/>
      <sz val="13.5"/>
      <color rgb="FF202124"/>
      <name val="Arial"/>
      <family val="2"/>
    </font>
    <font>
      <sz val="11"/>
      <color rgb="FF5F6368"/>
      <name val="Arial"/>
      <family val="2"/>
    </font>
    <font>
      <sz val="11"/>
      <color rgb="FF444444"/>
      <name val="Arial"/>
      <family val="2"/>
    </font>
    <font>
      <b/>
      <sz val="12"/>
      <color theme="1"/>
      <name val="Calibri"/>
      <family val="2"/>
      <scheme val="minor"/>
    </font>
    <font>
      <sz val="12"/>
      <color rgb="FFFA7D00"/>
      <name val="Calibri"/>
      <family val="2"/>
      <scheme val="minor"/>
    </font>
    <font>
      <u/>
      <sz val="14"/>
      <name val="Arial Narrow"/>
      <family val="2"/>
    </font>
    <font>
      <sz val="16"/>
      <name val="Arial Narrow"/>
      <family val="2"/>
    </font>
    <font>
      <b/>
      <i/>
      <sz val="16"/>
      <name val="Arial Narrow"/>
      <family val="2"/>
    </font>
    <font>
      <sz val="16"/>
      <color rgb="FF000000"/>
      <name val="Calibri"/>
      <family val="2"/>
      <scheme val="minor"/>
    </font>
    <font>
      <sz val="14"/>
      <color rgb="FFFA7D00"/>
      <name val="Arial Narrow"/>
      <family val="2"/>
    </font>
    <font>
      <sz val="14"/>
      <color rgb="FF000000"/>
      <name val="Arial"/>
      <family val="2"/>
    </font>
    <font>
      <sz val="16"/>
      <color theme="3" tint="0.79998168889431442"/>
      <name val="Arial Narrow"/>
      <family val="2"/>
    </font>
    <font>
      <b/>
      <i/>
      <u/>
      <sz val="18"/>
      <color rgb="FF000000"/>
      <name val="Arial Narrow"/>
      <family val="2"/>
    </font>
    <font>
      <i/>
      <u/>
      <sz val="12"/>
      <color rgb="FF000000"/>
      <name val="Times New Roman"/>
      <family val="1"/>
    </font>
    <font>
      <b/>
      <sz val="16"/>
      <color theme="3"/>
      <name val="Calibri Light"/>
      <family val="2"/>
      <scheme val="major"/>
    </font>
    <font>
      <sz val="16"/>
      <color theme="3"/>
      <name val="Arial Black"/>
      <family val="2"/>
    </font>
    <font>
      <sz val="14"/>
      <color rgb="FF000000"/>
      <name val="Calibri"/>
      <family val="2"/>
      <scheme val="minor"/>
    </font>
    <font>
      <b/>
      <sz val="12"/>
      <color rgb="FF000000"/>
      <name val="Arial Narrow"/>
      <family val="2"/>
    </font>
    <font>
      <i/>
      <sz val="14"/>
      <color rgb="FF000000"/>
      <name val="Bodoni MT Condensed"/>
      <family val="1"/>
    </font>
    <font>
      <b/>
      <i/>
      <u/>
      <sz val="20"/>
      <color rgb="FF000000"/>
      <name val="Arial Narrow"/>
      <family val="2"/>
    </font>
    <font>
      <i/>
      <u/>
      <sz val="14"/>
      <color rgb="FF000000"/>
      <name val="Calibri"/>
      <family val="2"/>
      <scheme val="minor"/>
    </font>
    <font>
      <sz val="11"/>
      <color rgb="FFFA7D00"/>
      <name val="Calibri"/>
      <family val="2"/>
      <scheme val="minor"/>
    </font>
    <font>
      <b/>
      <sz val="11"/>
      <color rgb="FFFA7D00"/>
      <name val="Calibri"/>
      <family val="2"/>
      <scheme val="minor"/>
    </font>
    <font>
      <b/>
      <sz val="16"/>
      <color theme="3"/>
      <name val="Arial Black"/>
      <family val="2"/>
    </font>
    <font>
      <b/>
      <sz val="16"/>
      <color rgb="FF44546A"/>
      <name val="Calibri Light"/>
      <family val="2"/>
    </font>
    <font>
      <u/>
      <sz val="14"/>
      <color indexed="12"/>
      <name val="Arial Narrow"/>
      <family val="2"/>
    </font>
    <font>
      <b/>
      <sz val="14"/>
      <color rgb="FF000000"/>
      <name val="Arial Narrow"/>
      <family val="2"/>
    </font>
    <font>
      <sz val="12"/>
      <color rgb="FF323C46"/>
      <name val="Arial"/>
      <family val="2"/>
    </font>
    <font>
      <sz val="10"/>
      <color rgb="FF637183"/>
      <name val="Arial"/>
      <family val="2"/>
    </font>
    <font>
      <sz val="11"/>
      <color rgb="FF323C46"/>
      <name val="Inherit"/>
    </font>
    <font>
      <sz val="12"/>
      <color rgb="FF222222"/>
      <name val="Arial"/>
      <family val="2"/>
    </font>
    <font>
      <sz val="11"/>
      <color rgb="FF5E5E5E"/>
      <name val="Google Sans"/>
      <charset val="1"/>
    </font>
    <font>
      <u/>
      <sz val="12"/>
      <color theme="10"/>
      <name val="Arial"/>
      <family val="2"/>
    </font>
    <font>
      <u/>
      <sz val="11"/>
      <color rgb="FF0563C1"/>
      <name val="Calibri"/>
      <family val="2"/>
      <scheme val="minor"/>
    </font>
    <font>
      <sz val="11"/>
      <color rgb="FF000000"/>
      <name val="Arial"/>
      <family val="2"/>
    </font>
    <font>
      <sz val="11"/>
      <color rgb="FF3B3D3F"/>
      <name val="Arial"/>
      <family val="2"/>
    </font>
    <font>
      <sz val="11"/>
      <color rgb="FF4F4F50"/>
      <name val="Arial"/>
      <family val="2"/>
    </font>
    <font>
      <sz val="14"/>
      <color rgb="FF323C46"/>
      <name val="Arial"/>
      <family val="2"/>
    </font>
    <font>
      <sz val="8"/>
      <color rgb="FF637183"/>
      <name val="Arial"/>
      <family val="2"/>
    </font>
    <font>
      <sz val="10"/>
      <color rgb="FFFFFFFF"/>
      <name val="Arial"/>
      <family val="2"/>
    </font>
    <font>
      <sz val="10"/>
      <color rgb="FFFC4D00"/>
      <name val="Arial"/>
      <family val="2"/>
    </font>
    <font>
      <sz val="11"/>
      <color rgb="FF323C46"/>
      <name val="Arial"/>
      <family val="2"/>
    </font>
    <font>
      <sz val="10"/>
      <color rgb="FF323C46"/>
      <name val="Arial"/>
      <family val="2"/>
    </font>
    <font>
      <sz val="11"/>
      <color rgb="FFFFFFFF"/>
      <name val="Inherit"/>
    </font>
  </fonts>
  <fills count="34">
    <fill>
      <patternFill patternType="none"/>
    </fill>
    <fill>
      <patternFill patternType="gray125"/>
    </fill>
    <fill>
      <patternFill patternType="solid">
        <fgColor rgb="FFC6EFCE"/>
      </patternFill>
    </fill>
    <fill>
      <patternFill patternType="solid">
        <fgColor rgb="FFF2F2F2"/>
      </patternFill>
    </fill>
    <fill>
      <patternFill patternType="solid">
        <fgColor rgb="FFA5A5A5"/>
      </patternFill>
    </fill>
    <fill>
      <patternFill patternType="solid">
        <fgColor theme="5"/>
      </patternFill>
    </fill>
    <fill>
      <patternFill patternType="solid">
        <fgColor theme="5" tint="0.59999389629810485"/>
        <bgColor indexed="65"/>
      </patternFill>
    </fill>
    <fill>
      <patternFill patternType="solid">
        <fgColor theme="6"/>
      </patternFill>
    </fill>
    <fill>
      <patternFill patternType="solid">
        <fgColor theme="6" tint="0.79998168889431442"/>
        <bgColor indexed="65"/>
      </patternFill>
    </fill>
    <fill>
      <patternFill patternType="solid">
        <fgColor rgb="FFFFFF00"/>
        <bgColor rgb="FF000000"/>
      </patternFill>
    </fill>
    <fill>
      <patternFill patternType="solid">
        <fgColor rgb="FFFFFF00"/>
        <bgColor indexed="64"/>
      </patternFill>
    </fill>
    <fill>
      <patternFill patternType="solid">
        <fgColor rgb="FFFFC000"/>
        <bgColor indexed="64"/>
      </patternFill>
    </fill>
    <fill>
      <patternFill patternType="solid">
        <fgColor rgb="FFA5A5A5"/>
        <bgColor rgb="FF000000"/>
      </patternFill>
    </fill>
    <fill>
      <patternFill patternType="solid">
        <fgColor rgb="FFD9E1F2"/>
        <bgColor rgb="FFD9E1F2"/>
      </patternFill>
    </fill>
    <fill>
      <patternFill patternType="solid">
        <fgColor rgb="FFFFC000"/>
        <bgColor rgb="FF000000"/>
      </patternFill>
    </fill>
    <fill>
      <patternFill patternType="solid">
        <fgColor rgb="FFF2F2F2"/>
        <bgColor rgb="FF000000"/>
      </patternFill>
    </fill>
    <fill>
      <patternFill patternType="solid">
        <fgColor theme="0" tint="-4.9989318521683403E-2"/>
        <bgColor indexed="64"/>
      </patternFill>
    </fill>
    <fill>
      <patternFill patternType="solid">
        <fgColor theme="7"/>
        <bgColor rgb="FFD9E1F2"/>
      </patternFill>
    </fill>
    <fill>
      <patternFill patternType="solid">
        <fgColor rgb="FFF8CBAD"/>
        <bgColor rgb="FF000000"/>
      </patternFill>
    </fill>
    <fill>
      <patternFill patternType="solid">
        <fgColor theme="8" tint="0.79998168889431442"/>
        <bgColor indexed="65"/>
      </patternFill>
    </fill>
    <fill>
      <patternFill patternType="solid">
        <fgColor theme="5"/>
        <bgColor indexed="64"/>
      </patternFill>
    </fill>
    <fill>
      <patternFill patternType="solid">
        <fgColor theme="8"/>
        <bgColor indexed="64"/>
      </patternFill>
    </fill>
    <fill>
      <patternFill patternType="solid">
        <fgColor theme="4"/>
        <bgColor indexed="64"/>
      </patternFill>
    </fill>
    <fill>
      <patternFill patternType="solid">
        <fgColor rgb="FFFCE4D6"/>
        <bgColor rgb="FF000000"/>
      </patternFill>
    </fill>
    <fill>
      <patternFill patternType="solid">
        <fgColor rgb="FFD9E1F2"/>
        <bgColor rgb="FF000000"/>
      </patternFill>
    </fill>
    <fill>
      <patternFill patternType="solid">
        <fgColor rgb="FFE7E6E6"/>
        <bgColor rgb="FF000000"/>
      </patternFill>
    </fill>
    <fill>
      <patternFill patternType="solid">
        <fgColor theme="3" tint="0.39997558519241921"/>
        <bgColor indexed="64"/>
      </patternFill>
    </fill>
    <fill>
      <patternFill patternType="solid">
        <fgColor rgb="FF92D050"/>
        <bgColor indexed="64"/>
      </patternFill>
    </fill>
    <fill>
      <patternFill patternType="solid">
        <fgColor rgb="FF92D050"/>
        <bgColor rgb="FF000000"/>
      </patternFill>
    </fill>
    <fill>
      <patternFill patternType="solid">
        <fgColor rgb="FFFFF2CC"/>
        <bgColor rgb="FF000000"/>
      </patternFill>
    </fill>
    <fill>
      <patternFill patternType="solid">
        <fgColor rgb="FFFFE699"/>
        <bgColor rgb="FF000000"/>
      </patternFill>
    </fill>
    <fill>
      <patternFill patternType="solid">
        <fgColor rgb="FF00B050"/>
        <bgColor rgb="FF000000"/>
      </patternFill>
    </fill>
    <fill>
      <patternFill patternType="solid">
        <fgColor rgb="FFFF0000"/>
        <bgColor rgb="FF000000"/>
      </patternFill>
    </fill>
    <fill>
      <patternFill patternType="solid">
        <fgColor theme="5" tint="0.79998168889431442"/>
        <bgColor indexed="65"/>
      </patternFill>
    </fill>
  </fills>
  <borders count="2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style="thin">
        <color rgb="FF8EA9DB"/>
      </top>
      <bottom style="thin">
        <color rgb="FF8EA9DB"/>
      </bottom>
      <diagonal/>
    </border>
    <border>
      <left/>
      <right/>
      <top/>
      <bottom style="thin">
        <color rgb="FF8EA9DB"/>
      </bottom>
      <diagonal/>
    </border>
    <border>
      <left/>
      <right/>
      <top/>
      <bottom style="double">
        <color rgb="FF3F3F3F"/>
      </bottom>
      <diagonal/>
    </border>
    <border>
      <left style="thin">
        <color rgb="FF8EA9DB"/>
      </left>
      <right/>
      <top/>
      <bottom style="thin">
        <color rgb="FF8EA9DB"/>
      </bottom>
      <diagonal/>
    </border>
    <border>
      <left/>
      <right/>
      <top style="double">
        <color rgb="FF3F3F3F"/>
      </top>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bottom style="thin">
        <color rgb="FF7F7F7F"/>
      </bottom>
      <diagonal/>
    </border>
    <border>
      <left/>
      <right style="thin">
        <color rgb="FF7F7F7F"/>
      </right>
      <top style="thin">
        <color rgb="FF7F7F7F"/>
      </top>
      <bottom style="thin">
        <color rgb="FF7F7F7F"/>
      </bottom>
      <diagonal/>
    </border>
    <border>
      <left/>
      <right style="thin">
        <color rgb="FF8EA9DB"/>
      </right>
      <top/>
      <bottom style="thin">
        <color rgb="FF8EA9DB"/>
      </bottom>
      <diagonal/>
    </border>
    <border>
      <left style="thin">
        <color rgb="FF8EA9DB"/>
      </left>
      <right/>
      <top style="thin">
        <color rgb="FF8EA9DB"/>
      </top>
      <bottom style="thin">
        <color rgb="FF8EA9DB"/>
      </bottom>
      <diagonal/>
    </border>
    <border>
      <left/>
      <right style="thin">
        <color rgb="FF7F7F7F"/>
      </right>
      <top/>
      <bottom/>
      <diagonal/>
    </border>
    <border>
      <left/>
      <right/>
      <top/>
      <bottom style="double">
        <color rgb="FFFF8001"/>
      </bottom>
      <diagonal/>
    </border>
    <border>
      <left/>
      <right/>
      <top style="thin">
        <color theme="4"/>
      </top>
      <bottom style="double">
        <color theme="4"/>
      </bottom>
      <diagonal/>
    </border>
    <border>
      <left style="double">
        <color rgb="FF3F3F3F"/>
      </left>
      <right style="double">
        <color rgb="FF3F3F3F"/>
      </right>
      <top/>
      <bottom style="double">
        <color rgb="FF3F3F3F"/>
      </bottom>
      <diagonal/>
    </border>
    <border>
      <left/>
      <right style="double">
        <color rgb="FF3F3F3F"/>
      </right>
      <top/>
      <bottom style="double">
        <color rgb="FF3F3F3F"/>
      </bottom>
      <diagonal/>
    </border>
    <border>
      <left/>
      <right style="thin">
        <color rgb="FF7F7F7F"/>
      </right>
      <top/>
      <bottom style="thin">
        <color rgb="FF7F7F7F"/>
      </bottom>
      <diagonal/>
    </border>
    <border>
      <left/>
      <right/>
      <top/>
      <bottom style="thick">
        <color rgb="FFFC4D00"/>
      </bottom>
      <diagonal/>
    </border>
  </borders>
  <cellStyleXfs count="46">
    <xf numFmtId="0" fontId="0" fillId="0" borderId="0"/>
    <xf numFmtId="0" fontId="9" fillId="0" borderId="0" applyNumberFormat="0" applyFill="0" applyBorder="0" applyAlignment="0" applyProtection="0">
      <alignment vertical="top"/>
      <protection locked="0"/>
    </xf>
    <xf numFmtId="44" fontId="8" fillId="0" borderId="0" applyFont="0" applyFill="0" applyBorder="0" applyAlignment="0" applyProtection="0"/>
    <xf numFmtId="0" fontId="13" fillId="6" borderId="0" applyNumberFormat="0" applyBorder="0" applyAlignment="0" applyProtection="0"/>
    <xf numFmtId="0" fontId="14" fillId="2" borderId="0" applyNumberFormat="0" applyBorder="0" applyAlignment="0" applyProtection="0"/>
    <xf numFmtId="0" fontId="15" fillId="7" borderId="0" applyNumberFormat="0" applyBorder="0" applyAlignment="0" applyProtection="0"/>
    <xf numFmtId="0" fontId="15" fillId="5" borderId="0" applyNumberFormat="0" applyBorder="0" applyAlignment="0" applyProtection="0"/>
    <xf numFmtId="0" fontId="16" fillId="3" borderId="1" applyNumberFormat="0" applyAlignment="0" applyProtection="0"/>
    <xf numFmtId="0" fontId="17" fillId="4" borderId="2" applyNumberFormat="0" applyAlignment="0" applyProtection="0"/>
    <xf numFmtId="9" fontId="8" fillId="0" borderId="0" applyFont="0" applyFill="0" applyBorder="0" applyAlignment="0" applyProtection="0"/>
    <xf numFmtId="0" fontId="18" fillId="0" borderId="0"/>
    <xf numFmtId="0" fontId="19" fillId="0" borderId="0" applyNumberFormat="0" applyFill="0" applyBorder="0" applyAlignment="0" applyProtection="0">
      <alignment vertical="top"/>
      <protection locked="0"/>
    </xf>
    <xf numFmtId="44" fontId="18" fillId="0" borderId="0" applyFont="0" applyFill="0" applyBorder="0" applyAlignment="0" applyProtection="0"/>
    <xf numFmtId="0" fontId="6" fillId="0" borderId="0"/>
    <xf numFmtId="0" fontId="18"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26" fillId="0" borderId="0" applyNumberFormat="0" applyFill="0" applyBorder="0" applyAlignment="0" applyProtection="0"/>
    <xf numFmtId="0" fontId="7" fillId="0" borderId="0"/>
    <xf numFmtId="0" fontId="28" fillId="0" borderId="0"/>
    <xf numFmtId="0" fontId="9" fillId="0" borderId="0" applyNumberFormat="0" applyFill="0" applyBorder="0" applyAlignment="0" applyProtection="0">
      <alignment vertical="top"/>
      <protection locked="0"/>
    </xf>
    <xf numFmtId="0" fontId="29" fillId="3" borderId="1" applyNumberFormat="0" applyAlignment="0" applyProtection="0"/>
    <xf numFmtId="43" fontId="28" fillId="0" borderId="0" applyFont="0" applyFill="0" applyBorder="0" applyAlignment="0" applyProtection="0"/>
    <xf numFmtId="43" fontId="7" fillId="0" borderId="0" applyFont="0" applyFill="0" applyBorder="0" applyAlignment="0" applyProtection="0"/>
    <xf numFmtId="0" fontId="30" fillId="0" borderId="0" applyNumberFormat="0" applyFill="0" applyBorder="0" applyAlignment="0" applyProtection="0">
      <alignment vertical="top"/>
      <protection locked="0"/>
    </xf>
    <xf numFmtId="0" fontId="4" fillId="8" borderId="0" applyNumberFormat="0" applyBorder="0" applyAlignment="0" applyProtection="0"/>
    <xf numFmtId="0" fontId="3" fillId="0" borderId="0"/>
    <xf numFmtId="0" fontId="31" fillId="0" borderId="0" applyNumberFormat="0" applyFill="0" applyBorder="0" applyAlignment="0" applyProtection="0"/>
    <xf numFmtId="0" fontId="32" fillId="3" borderId="8" applyNumberFormat="0" applyAlignment="0" applyProtection="0"/>
    <xf numFmtId="0" fontId="2" fillId="0" borderId="0"/>
    <xf numFmtId="0" fontId="76" fillId="0" borderId="0" applyNumberFormat="0" applyFill="0" applyBorder="0" applyAlignment="0" applyProtection="0"/>
    <xf numFmtId="0" fontId="2" fillId="6" borderId="0" applyNumberFormat="0" applyBorder="0" applyAlignment="0" applyProtection="0"/>
    <xf numFmtId="0" fontId="2" fillId="8" borderId="0" applyNumberFormat="0" applyBorder="0" applyAlignment="0" applyProtection="0"/>
    <xf numFmtId="0" fontId="2" fillId="0" borderId="0"/>
    <xf numFmtId="0" fontId="2" fillId="0" borderId="0"/>
    <xf numFmtId="44" fontId="2" fillId="0" borderId="0" applyFont="0" applyFill="0" applyBorder="0" applyAlignment="0" applyProtection="0"/>
    <xf numFmtId="9" fontId="2" fillId="0" borderId="0" applyFont="0" applyFill="0" applyBorder="0" applyAlignment="0" applyProtection="0"/>
    <xf numFmtId="0" fontId="2" fillId="8" borderId="0" applyNumberFormat="0" applyBorder="0" applyAlignment="0" applyProtection="0"/>
    <xf numFmtId="0" fontId="2" fillId="0" borderId="0"/>
    <xf numFmtId="0" fontId="82" fillId="0" borderId="14" applyNumberFormat="0" applyFill="0" applyAlignment="0" applyProtection="0"/>
    <xf numFmtId="0" fontId="81" fillId="0" borderId="15" applyNumberFormat="0" applyFill="0" applyAlignment="0" applyProtection="0"/>
    <xf numFmtId="0" fontId="2" fillId="19" borderId="0" applyNumberFormat="0" applyBorder="0" applyAlignment="0" applyProtection="0"/>
    <xf numFmtId="0" fontId="99" fillId="0" borderId="14" applyNumberFormat="0" applyFill="0" applyAlignment="0" applyProtection="0"/>
    <xf numFmtId="0" fontId="7" fillId="33" borderId="0" applyNumberFormat="0" applyBorder="0" applyAlignment="0" applyProtection="0"/>
    <xf numFmtId="0" fontId="100" fillId="3" borderId="1" applyNumberFormat="0" applyAlignment="0" applyProtection="0"/>
  </cellStyleXfs>
  <cellXfs count="267">
    <xf numFmtId="0" fontId="0" fillId="0" borderId="0" xfId="0"/>
    <xf numFmtId="0" fontId="0" fillId="0" borderId="0" xfId="0" applyAlignment="1">
      <alignment vertical="center"/>
    </xf>
    <xf numFmtId="0" fontId="27" fillId="0" borderId="0" xfId="0" applyFont="1"/>
    <xf numFmtId="0" fontId="2" fillId="0" borderId="0" xfId="0" applyFont="1"/>
    <xf numFmtId="0" fontId="37" fillId="0" borderId="0" xfId="0" applyFont="1"/>
    <xf numFmtId="0" fontId="10" fillId="0" borderId="0" xfId="0" applyFont="1" applyAlignment="1">
      <alignment horizontal="left" vertical="center"/>
    </xf>
    <xf numFmtId="0" fontId="37" fillId="13" borderId="11" xfId="0" applyFont="1" applyFill="1" applyBorder="1" applyAlignment="1">
      <alignment horizontal="left" vertical="center"/>
    </xf>
    <xf numFmtId="0" fontId="10" fillId="0" borderId="6" xfId="0" applyFont="1" applyBorder="1" applyAlignment="1">
      <alignment vertical="center"/>
    </xf>
    <xf numFmtId="0" fontId="10" fillId="13" borderId="6" xfId="0" applyFont="1" applyFill="1" applyBorder="1" applyAlignment="1">
      <alignment vertical="center"/>
    </xf>
    <xf numFmtId="0" fontId="10" fillId="13" borderId="4" xfId="0" applyFont="1" applyFill="1" applyBorder="1" applyAlignment="1">
      <alignment vertical="center"/>
    </xf>
    <xf numFmtId="0" fontId="10" fillId="0" borderId="0" xfId="0" applyFont="1" applyAlignment="1">
      <alignment vertical="center"/>
    </xf>
    <xf numFmtId="0" fontId="20" fillId="0" borderId="0" xfId="0" applyFont="1"/>
    <xf numFmtId="14" fontId="21" fillId="0" borderId="0" xfId="0" applyNumberFormat="1" applyFont="1" applyAlignment="1">
      <alignment horizontal="center"/>
    </xf>
    <xf numFmtId="0" fontId="39" fillId="0" borderId="0" xfId="0" applyFont="1"/>
    <xf numFmtId="0" fontId="21" fillId="0" borderId="0" xfId="0" applyFont="1" applyAlignment="1">
      <alignment vertical="center"/>
    </xf>
    <xf numFmtId="0" fontId="40" fillId="0" borderId="0" xfId="0" applyFont="1"/>
    <xf numFmtId="0" fontId="44" fillId="0" borderId="0" xfId="0" applyFont="1" applyAlignment="1">
      <alignment horizontal="center" vertical="center" wrapText="1"/>
    </xf>
    <xf numFmtId="0" fontId="21" fillId="0" borderId="0" xfId="0" applyFont="1"/>
    <xf numFmtId="0" fontId="47" fillId="0" borderId="0" xfId="0" applyFont="1"/>
    <xf numFmtId="0" fontId="49" fillId="0" borderId="0" xfId="0" applyFont="1" applyAlignment="1">
      <alignment horizontal="center"/>
    </xf>
    <xf numFmtId="0" fontId="50" fillId="0" borderId="0" xfId="0" applyFont="1"/>
    <xf numFmtId="0" fontId="51" fillId="0" borderId="0" xfId="0" applyFont="1"/>
    <xf numFmtId="0" fontId="45" fillId="0" borderId="0" xfId="0" applyFont="1" applyAlignment="1">
      <alignment horizontal="left" vertical="center"/>
    </xf>
    <xf numFmtId="0" fontId="21" fillId="0" borderId="0" xfId="0" applyFont="1" applyAlignment="1">
      <alignment wrapText="1"/>
    </xf>
    <xf numFmtId="0" fontId="37" fillId="0" borderId="0" xfId="0" applyFont="1" applyAlignment="1">
      <alignment horizontal="left"/>
    </xf>
    <xf numFmtId="14" fontId="37" fillId="0" borderId="0" xfId="0" applyNumberFormat="1" applyFont="1" applyAlignment="1">
      <alignment vertical="center"/>
    </xf>
    <xf numFmtId="0" fontId="52" fillId="0" borderId="0" xfId="0" applyFont="1" applyAlignment="1">
      <alignment horizontal="left"/>
    </xf>
    <xf numFmtId="0" fontId="0" fillId="0" borderId="0" xfId="0" applyAlignment="1">
      <alignment wrapText="1"/>
    </xf>
    <xf numFmtId="43" fontId="34" fillId="0" borderId="1" xfId="0" applyNumberFormat="1" applyFont="1" applyBorder="1" applyAlignment="1">
      <alignment vertical="top"/>
    </xf>
    <xf numFmtId="0" fontId="10" fillId="0" borderId="0" xfId="0" applyFont="1" applyAlignment="1">
      <alignment horizontal="center"/>
    </xf>
    <xf numFmtId="0" fontId="41" fillId="0" borderId="0" xfId="0" applyFont="1" applyAlignment="1">
      <alignment horizontal="left" vertical="center"/>
    </xf>
    <xf numFmtId="0" fontId="42" fillId="0" borderId="0" xfId="0" applyFont="1" applyAlignment="1">
      <alignment horizontal="left" vertical="center"/>
    </xf>
    <xf numFmtId="0" fontId="10" fillId="0" borderId="4" xfId="0" applyFont="1" applyBorder="1" applyAlignment="1">
      <alignment vertical="center"/>
    </xf>
    <xf numFmtId="0" fontId="66" fillId="12" borderId="0" xfId="0" applyFont="1" applyFill="1" applyAlignment="1">
      <alignment horizontal="center" vertical="center" textRotation="255"/>
    </xf>
    <xf numFmtId="0" fontId="11" fillId="13" borderId="4" xfId="0" applyFont="1" applyFill="1" applyBorder="1" applyAlignment="1">
      <alignment vertical="center"/>
    </xf>
    <xf numFmtId="0" fontId="68" fillId="0" borderId="4" xfId="0" applyFont="1" applyBorder="1" applyAlignment="1">
      <alignment horizontal="left" vertical="center"/>
    </xf>
    <xf numFmtId="0" fontId="69" fillId="14" borderId="0" xfId="0" applyFont="1" applyFill="1" applyAlignment="1">
      <alignment horizontal="left"/>
    </xf>
    <xf numFmtId="0" fontId="23" fillId="0" borderId="0" xfId="0" applyFont="1" applyAlignment="1">
      <alignment horizontal="left" vertical="center"/>
    </xf>
    <xf numFmtId="0" fontId="23" fillId="0" borderId="0" xfId="0" applyFont="1" applyAlignment="1">
      <alignment horizontal="right" vertical="center"/>
    </xf>
    <xf numFmtId="0" fontId="74" fillId="0" borderId="0" xfId="0" applyFont="1" applyAlignment="1">
      <alignment horizontal="left" indent="8"/>
    </xf>
    <xf numFmtId="14" fontId="0" fillId="0" borderId="0" xfId="0" applyNumberFormat="1"/>
    <xf numFmtId="0" fontId="10" fillId="0" borderId="0" xfId="0" applyFont="1"/>
    <xf numFmtId="0" fontId="22" fillId="0" borderId="0" xfId="0" applyFont="1" applyAlignment="1">
      <alignment textRotation="255"/>
    </xf>
    <xf numFmtId="0" fontId="9" fillId="0" borderId="0" xfId="1" applyAlignment="1" applyProtection="1">
      <alignment vertical="center"/>
    </xf>
    <xf numFmtId="0" fontId="78" fillId="0" borderId="0" xfId="0" applyFont="1" applyAlignment="1">
      <alignment vertical="center"/>
    </xf>
    <xf numFmtId="0" fontId="79" fillId="0" borderId="0" xfId="0" applyFont="1" applyAlignment="1">
      <alignment vertical="center"/>
    </xf>
    <xf numFmtId="0" fontId="25" fillId="15" borderId="0" xfId="0" applyFont="1" applyFill="1" applyAlignment="1">
      <alignment horizontal="left" vertical="center"/>
    </xf>
    <xf numFmtId="0" fontId="83" fillId="0" borderId="0" xfId="0" applyFont="1" applyAlignment="1">
      <alignment horizontal="left"/>
    </xf>
    <xf numFmtId="0" fontId="46" fillId="0" borderId="0" xfId="0" applyFont="1"/>
    <xf numFmtId="0" fontId="46" fillId="13" borderId="4" xfId="0" applyFont="1" applyFill="1" applyBorder="1"/>
    <xf numFmtId="0" fontId="75" fillId="23" borderId="0" xfId="0" applyFont="1" applyFill="1" applyAlignment="1">
      <alignment horizontal="center"/>
    </xf>
    <xf numFmtId="0" fontId="46" fillId="11" borderId="0" xfId="0" applyFont="1" applyFill="1" applyAlignment="1">
      <alignment horizontal="center"/>
    </xf>
    <xf numFmtId="0" fontId="84" fillId="10" borderId="0" xfId="0" applyFont="1" applyFill="1" applyAlignment="1">
      <alignment horizontal="center"/>
    </xf>
    <xf numFmtId="0" fontId="84" fillId="0" borderId="0" xfId="0" applyFont="1"/>
    <xf numFmtId="0" fontId="84" fillId="17" borderId="6" xfId="0" applyFont="1" applyFill="1" applyBorder="1"/>
    <xf numFmtId="0" fontId="85" fillId="0" borderId="0" xfId="0" applyFont="1"/>
    <xf numFmtId="0" fontId="86" fillId="23" borderId="0" xfId="0" applyFont="1" applyFill="1" applyAlignment="1">
      <alignment horizontal="center"/>
    </xf>
    <xf numFmtId="0" fontId="2" fillId="27" borderId="0" xfId="0" applyFont="1" applyFill="1"/>
    <xf numFmtId="0" fontId="66" fillId="28" borderId="0" xfId="0" applyFont="1" applyFill="1" applyAlignment="1">
      <alignment horizontal="center" vertical="center" textRotation="255"/>
    </xf>
    <xf numFmtId="0" fontId="22" fillId="0" borderId="0" xfId="0" applyFont="1" applyAlignment="1">
      <alignment vertical="center"/>
    </xf>
    <xf numFmtId="0" fontId="2" fillId="10" borderId="0" xfId="0" applyFont="1" applyFill="1"/>
    <xf numFmtId="164" fontId="2" fillId="0" borderId="0" xfId="0" applyNumberFormat="1" applyFont="1" applyAlignment="1">
      <alignment horizontal="center" wrapText="1"/>
    </xf>
    <xf numFmtId="44" fontId="59" fillId="0" borderId="0" xfId="0" applyNumberFormat="1" applyFont="1" applyAlignment="1">
      <alignment horizontal="right"/>
    </xf>
    <xf numFmtId="44" fontId="38" fillId="0" borderId="0" xfId="0" applyNumberFormat="1" applyFont="1" applyAlignment="1">
      <alignment horizontal="left"/>
    </xf>
    <xf numFmtId="0" fontId="24" fillId="10" borderId="0" xfId="0" applyFont="1" applyFill="1" applyAlignment="1">
      <alignment horizontal="left" vertical="top"/>
    </xf>
    <xf numFmtId="0" fontId="24" fillId="10" borderId="0" xfId="0" applyFont="1" applyFill="1" applyAlignment="1">
      <alignment horizontal="center" vertical="top" wrapText="1"/>
    </xf>
    <xf numFmtId="0" fontId="21" fillId="0" borderId="0" xfId="0" applyFont="1" applyAlignment="1">
      <alignment horizontal="left"/>
    </xf>
    <xf numFmtId="0" fontId="21" fillId="24" borderId="17" xfId="0" applyFont="1" applyFill="1" applyBorder="1"/>
    <xf numFmtId="0" fontId="21" fillId="25" borderId="17" xfId="0" applyFont="1" applyFill="1" applyBorder="1"/>
    <xf numFmtId="0" fontId="21" fillId="0" borderId="16" xfId="0" applyFont="1" applyBorder="1"/>
    <xf numFmtId="0" fontId="21" fillId="0" borderId="17" xfId="0" applyFont="1" applyBorder="1"/>
    <xf numFmtId="0" fontId="21" fillId="15" borderId="17" xfId="0" applyFont="1" applyFill="1" applyBorder="1"/>
    <xf numFmtId="0" fontId="21" fillId="0" borderId="6" xfId="0" applyFont="1" applyBorder="1" applyAlignment="1">
      <alignment horizontal="left" vertical="center"/>
    </xf>
    <xf numFmtId="43" fontId="87" fillId="23" borderId="10" xfId="0" applyNumberFormat="1" applyFont="1" applyFill="1" applyBorder="1" applyAlignment="1">
      <alignment horizontal="left" vertical="center"/>
    </xf>
    <xf numFmtId="0" fontId="21" fillId="24" borderId="16" xfId="0" applyFont="1" applyFill="1" applyBorder="1"/>
    <xf numFmtId="0" fontId="21" fillId="23" borderId="0" xfId="0" applyFont="1" applyFill="1" applyAlignment="1">
      <alignment horizontal="center"/>
    </xf>
    <xf numFmtId="43" fontId="87" fillId="0" borderId="9" xfId="0" applyNumberFormat="1" applyFont="1" applyBorder="1" applyAlignment="1">
      <alignment horizontal="center"/>
    </xf>
    <xf numFmtId="43" fontId="46" fillId="0" borderId="1" xfId="0" applyNumberFormat="1" applyFont="1" applyBorder="1"/>
    <xf numFmtId="43" fontId="87" fillId="0" borderId="18" xfId="0" applyNumberFormat="1" applyFont="1" applyBorder="1" applyAlignment="1">
      <alignment horizontal="left" vertical="center"/>
    </xf>
    <xf numFmtId="43" fontId="87" fillId="0" borderId="10" xfId="0" applyNumberFormat="1" applyFont="1" applyBorder="1" applyAlignment="1">
      <alignment horizontal="left" vertical="center"/>
    </xf>
    <xf numFmtId="0" fontId="70" fillId="0" borderId="13" xfId="0" applyFont="1" applyBorder="1" applyAlignment="1">
      <alignment vertical="center" textRotation="255"/>
    </xf>
    <xf numFmtId="0" fontId="46" fillId="0" borderId="6" xfId="0" applyFont="1" applyBorder="1"/>
    <xf numFmtId="0" fontId="21" fillId="0" borderId="0" xfId="0" applyFont="1" applyAlignment="1">
      <alignment horizontal="left" wrapText="1"/>
    </xf>
    <xf numFmtId="0" fontId="21" fillId="0" borderId="0" xfId="0" applyFont="1" applyAlignment="1">
      <alignment horizontal="left" vertical="center" wrapText="1"/>
    </xf>
    <xf numFmtId="0" fontId="25" fillId="0" borderId="0" xfId="0" applyFont="1" applyAlignment="1">
      <alignment horizontal="center"/>
    </xf>
    <xf numFmtId="0" fontId="21" fillId="0" borderId="0" xfId="0" applyFont="1" applyAlignment="1">
      <alignment horizontal="center"/>
    </xf>
    <xf numFmtId="0" fontId="21" fillId="9" borderId="0" xfId="0" applyFont="1" applyFill="1" applyAlignment="1">
      <alignment horizontal="left" vertical="center"/>
    </xf>
    <xf numFmtId="0" fontId="38" fillId="0" borderId="0" xfId="0" applyFont="1" applyAlignment="1">
      <alignment horizontal="left" vertical="center" wrapText="1"/>
    </xf>
    <xf numFmtId="0" fontId="21" fillId="0" borderId="0" xfId="0" applyFont="1" applyAlignment="1">
      <alignment horizontal="center" vertical="center" wrapText="1"/>
    </xf>
    <xf numFmtId="0" fontId="73" fillId="0" borderId="0" xfId="0" applyFont="1" applyAlignment="1">
      <alignment wrapText="1"/>
    </xf>
    <xf numFmtId="0" fontId="71" fillId="0" borderId="0" xfId="0" applyFont="1" applyAlignment="1">
      <alignment horizontal="center" vertical="center" wrapText="1"/>
    </xf>
    <xf numFmtId="0" fontId="72" fillId="0" borderId="0" xfId="0" applyFont="1" applyAlignment="1">
      <alignment vertical="center" wrapText="1"/>
    </xf>
    <xf numFmtId="0" fontId="57" fillId="0" borderId="0" xfId="0" applyFont="1" applyAlignment="1">
      <alignment vertical="center" wrapText="1"/>
    </xf>
    <xf numFmtId="0" fontId="88" fillId="0" borderId="0" xfId="0" applyFont="1"/>
    <xf numFmtId="0" fontId="58" fillId="0" borderId="0" xfId="0" applyFont="1" applyAlignment="1">
      <alignment vertical="center"/>
    </xf>
    <xf numFmtId="9" fontId="12" fillId="29" borderId="0" xfId="0" applyNumberFormat="1" applyFont="1" applyFill="1" applyAlignment="1">
      <alignment horizontal="left" vertical="center"/>
    </xf>
    <xf numFmtId="0" fontId="33" fillId="0" borderId="0" xfId="0" applyFont="1"/>
    <xf numFmtId="0" fontId="56" fillId="0" borderId="0" xfId="0" applyFont="1" applyAlignment="1">
      <alignment horizontal="left" wrapText="1" indent="7"/>
    </xf>
    <xf numFmtId="0" fontId="21" fillId="0" borderId="0" xfId="0" applyFont="1" applyAlignment="1">
      <alignment horizontal="left" vertical="center"/>
    </xf>
    <xf numFmtId="0" fontId="48" fillId="0" borderId="0" xfId="0" applyFont="1"/>
    <xf numFmtId="0" fontId="90" fillId="0" borderId="0" xfId="0" applyFont="1" applyAlignment="1">
      <alignment horizontal="left" vertical="top"/>
    </xf>
    <xf numFmtId="0" fontId="21" fillId="0" borderId="0" xfId="0" applyFont="1" applyAlignment="1">
      <alignment horizontal="center" wrapText="1"/>
    </xf>
    <xf numFmtId="0" fontId="24" fillId="0" borderId="0" xfId="0" applyFont="1" applyAlignment="1">
      <alignment horizontal="center" vertical="top" wrapText="1"/>
    </xf>
    <xf numFmtId="0" fontId="91" fillId="30" borderId="0" xfId="0" applyFont="1" applyFill="1" applyAlignment="1">
      <alignment horizontal="left" vertical="center"/>
    </xf>
    <xf numFmtId="43" fontId="49" fillId="0" borderId="0" xfId="0" applyNumberFormat="1" applyFont="1"/>
    <xf numFmtId="43" fontId="55" fillId="0" borderId="0" xfId="0" applyNumberFormat="1" applyFont="1" applyAlignment="1">
      <alignment horizontal="left"/>
    </xf>
    <xf numFmtId="43" fontId="25" fillId="0" borderId="0" xfId="0" applyNumberFormat="1" applyFont="1"/>
    <xf numFmtId="43" fontId="21" fillId="0" borderId="0" xfId="0" applyNumberFormat="1" applyFont="1" applyAlignment="1">
      <alignment horizontal="center"/>
    </xf>
    <xf numFmtId="43" fontId="23" fillId="0" borderId="0" xfId="0" applyNumberFormat="1" applyFont="1" applyAlignment="1">
      <alignment horizontal="center" vertical="center"/>
    </xf>
    <xf numFmtId="0" fontId="92" fillId="0" borderId="0" xfId="28" applyFont="1"/>
    <xf numFmtId="0" fontId="92" fillId="0" borderId="0" xfId="28" applyFont="1" applyAlignment="1">
      <alignment horizontal="left"/>
    </xf>
    <xf numFmtId="0" fontId="92" fillId="0" borderId="0" xfId="28" applyFont="1" applyAlignment="1"/>
    <xf numFmtId="0" fontId="60" fillId="0" borderId="0" xfId="0" applyFont="1" applyAlignment="1">
      <alignment wrapText="1"/>
    </xf>
    <xf numFmtId="0" fontId="43" fillId="0" borderId="0" xfId="0" applyFont="1" applyAlignment="1">
      <alignment vertical="top" wrapText="1"/>
    </xf>
    <xf numFmtId="0" fontId="24" fillId="0" borderId="0" xfId="0" applyFont="1" applyAlignment="1">
      <alignment vertical="top" wrapText="1"/>
    </xf>
    <xf numFmtId="0" fontId="24" fillId="0" borderId="0" xfId="0" applyFont="1" applyAlignment="1">
      <alignment vertical="center" wrapText="1"/>
    </xf>
    <xf numFmtId="0" fontId="43" fillId="0" borderId="0" xfId="0" applyFont="1" applyAlignment="1">
      <alignment vertical="center" wrapText="1"/>
    </xf>
    <xf numFmtId="0" fontId="11" fillId="0" borderId="0" xfId="0" applyFont="1" applyAlignment="1">
      <alignment vertical="center"/>
    </xf>
    <xf numFmtId="0" fontId="64" fillId="30" borderId="0" xfId="0" applyFont="1" applyFill="1" applyAlignment="1">
      <alignment vertical="top" wrapText="1"/>
    </xf>
    <xf numFmtId="0" fontId="11" fillId="30" borderId="0" xfId="0" applyFont="1" applyFill="1" applyAlignment="1">
      <alignment vertical="center"/>
    </xf>
    <xf numFmtId="0" fontId="65" fillId="0" borderId="4" xfId="0" applyFont="1" applyBorder="1" applyAlignment="1">
      <alignment vertical="center"/>
    </xf>
    <xf numFmtId="0" fontId="10" fillId="30" borderId="4" xfId="0" applyFont="1" applyFill="1" applyBorder="1" applyAlignment="1">
      <alignment vertical="center"/>
    </xf>
    <xf numFmtId="0" fontId="37" fillId="30" borderId="0" xfId="0" applyFont="1" applyFill="1"/>
    <xf numFmtId="0" fontId="10" fillId="14" borderId="6" xfId="0" applyFont="1" applyFill="1" applyBorder="1" applyAlignment="1">
      <alignment vertical="center"/>
    </xf>
    <xf numFmtId="0" fontId="10" fillId="0" borderId="4" xfId="0" applyFont="1" applyBorder="1" applyAlignment="1">
      <alignment horizontal="left" vertical="center"/>
    </xf>
    <xf numFmtId="0" fontId="10" fillId="0" borderId="11" xfId="0" applyFont="1" applyBorder="1" applyAlignment="1">
      <alignment horizontal="left" vertical="center"/>
    </xf>
    <xf numFmtId="0" fontId="37" fillId="14" borderId="0" xfId="0" applyFont="1" applyFill="1"/>
    <xf numFmtId="0" fontId="91" fillId="14" borderId="0" xfId="0" applyFont="1" applyFill="1" applyAlignment="1">
      <alignment vertical="center"/>
    </xf>
    <xf numFmtId="0" fontId="62" fillId="0" borderId="0" xfId="0" applyFont="1" applyAlignment="1">
      <alignment vertical="center"/>
    </xf>
    <xf numFmtId="0" fontId="62" fillId="31" borderId="0" xfId="0" applyFont="1" applyFill="1" applyAlignment="1">
      <alignment vertical="center"/>
    </xf>
    <xf numFmtId="0" fontId="11" fillId="31" borderId="0" xfId="0" applyFont="1" applyFill="1" applyAlignment="1">
      <alignment vertical="center"/>
    </xf>
    <xf numFmtId="0" fontId="10" fillId="31" borderId="0" xfId="0" applyFont="1" applyFill="1" applyAlignment="1">
      <alignment vertical="center"/>
    </xf>
    <xf numFmtId="0" fontId="10" fillId="14" borderId="0" xfId="0" applyFont="1" applyFill="1"/>
    <xf numFmtId="43" fontId="34" fillId="0" borderId="9" xfId="0" applyNumberFormat="1" applyFont="1" applyBorder="1" applyAlignment="1">
      <alignment vertical="top"/>
    </xf>
    <xf numFmtId="0" fontId="61" fillId="14" borderId="3" xfId="0" applyFont="1" applyFill="1" applyBorder="1" applyAlignment="1">
      <alignment horizontal="center" vertical="center"/>
    </xf>
    <xf numFmtId="0" fontId="11" fillId="0" borderId="4" xfId="0" applyFont="1" applyBorder="1" applyAlignment="1">
      <alignment vertical="center"/>
    </xf>
    <xf numFmtId="0" fontId="94" fillId="13" borderId="12" xfId="0" applyFont="1" applyFill="1" applyBorder="1" applyAlignment="1">
      <alignment horizontal="left"/>
    </xf>
    <xf numFmtId="0" fontId="94" fillId="0" borderId="6" xfId="0" applyFont="1" applyBorder="1" applyAlignment="1">
      <alignment horizontal="left"/>
    </xf>
    <xf numFmtId="0" fontId="94" fillId="13" borderId="6" xfId="0" applyFont="1" applyFill="1" applyBorder="1" applyAlignment="1">
      <alignment horizontal="left"/>
    </xf>
    <xf numFmtId="0" fontId="94" fillId="0" borderId="4" xfId="0" applyFont="1" applyBorder="1" applyAlignment="1">
      <alignment horizontal="left"/>
    </xf>
    <xf numFmtId="0" fontId="94" fillId="13" borderId="4" xfId="0" applyFont="1" applyFill="1" applyBorder="1" applyAlignment="1">
      <alignment horizontal="left"/>
    </xf>
    <xf numFmtId="0" fontId="95" fillId="13" borderId="6" xfId="0" applyFont="1" applyFill="1" applyBorder="1" applyAlignment="1">
      <alignment horizontal="left"/>
    </xf>
    <xf numFmtId="0" fontId="94" fillId="32" borderId="0" xfId="0" applyFont="1" applyFill="1" applyAlignment="1">
      <alignment horizontal="left" wrapText="1"/>
    </xf>
    <xf numFmtId="0" fontId="96" fillId="14" borderId="0" xfId="0" applyFont="1" applyFill="1" applyAlignment="1">
      <alignment horizontal="left"/>
    </xf>
    <xf numFmtId="14" fontId="21" fillId="0" borderId="0" xfId="0" applyNumberFormat="1" applyFont="1"/>
    <xf numFmtId="0" fontId="24" fillId="0" borderId="0" xfId="0" applyFont="1" applyAlignment="1">
      <alignment vertical="top"/>
    </xf>
    <xf numFmtId="0" fontId="97" fillId="0" borderId="0" xfId="0" applyFont="1"/>
    <xf numFmtId="0" fontId="83" fillId="0" borderId="0" xfId="0" applyFont="1" applyAlignment="1">
      <alignment horizontal="left" indent="1"/>
    </xf>
    <xf numFmtId="0" fontId="83" fillId="0" borderId="0" xfId="0" applyFont="1" applyAlignment="1">
      <alignment horizontal="left" indent="8"/>
    </xf>
    <xf numFmtId="44" fontId="83" fillId="0" borderId="0" xfId="0" applyNumberFormat="1" applyFont="1" applyAlignment="1">
      <alignment horizontal="left"/>
    </xf>
    <xf numFmtId="44" fontId="83" fillId="0" borderId="0" xfId="0" applyNumberFormat="1" applyFont="1" applyAlignment="1">
      <alignment horizontal="left" indent="8"/>
    </xf>
    <xf numFmtId="0" fontId="24" fillId="0" borderId="0" xfId="0" applyFont="1"/>
    <xf numFmtId="0" fontId="98" fillId="0" borderId="0" xfId="0" applyFont="1" applyAlignment="1">
      <alignment vertical="center"/>
    </xf>
    <xf numFmtId="0" fontId="24" fillId="0" borderId="0" xfId="0" applyFont="1" applyAlignment="1">
      <alignment horizontal="left" vertical="top"/>
    </xf>
    <xf numFmtId="0" fontId="24" fillId="10" borderId="0" xfId="0" applyFont="1" applyFill="1" applyAlignment="1">
      <alignment horizontal="left" vertical="center"/>
    </xf>
    <xf numFmtId="0" fontId="43" fillId="0" borderId="0" xfId="0" applyFont="1"/>
    <xf numFmtId="43" fontId="34" fillId="0" borderId="0" xfId="0" applyNumberFormat="1" applyFont="1" applyAlignment="1">
      <alignment vertical="top"/>
    </xf>
    <xf numFmtId="43" fontId="46" fillId="0" borderId="0" xfId="0" applyNumberFormat="1" applyFont="1"/>
    <xf numFmtId="0" fontId="2" fillId="0" borderId="0" xfId="0" applyFont="1" applyAlignment="1">
      <alignment horizontal="center" vertical="center"/>
    </xf>
    <xf numFmtId="0" fontId="93" fillId="0" borderId="0" xfId="28" applyFont="1" applyAlignment="1">
      <alignment horizontal="left"/>
    </xf>
    <xf numFmtId="43" fontId="24" fillId="0" borderId="0" xfId="0" applyNumberFormat="1" applyFont="1" applyAlignment="1">
      <alignment horizontal="center"/>
    </xf>
    <xf numFmtId="0" fontId="24" fillId="0" borderId="0" xfId="0" applyFont="1" applyAlignment="1">
      <alignment horizontal="center"/>
    </xf>
    <xf numFmtId="0" fontId="60" fillId="0" borderId="0" xfId="0" applyFont="1" applyAlignment="1">
      <alignment horizontal="center" vertical="center" wrapText="1"/>
    </xf>
    <xf numFmtId="0" fontId="102" fillId="0" borderId="0" xfId="0" applyFont="1" applyAlignment="1">
      <alignment horizontal="left"/>
    </xf>
    <xf numFmtId="0" fontId="102" fillId="0" borderId="0" xfId="0" applyFont="1"/>
    <xf numFmtId="0" fontId="43" fillId="0" borderId="0" xfId="0" applyFont="1" applyAlignment="1">
      <alignment wrapText="1"/>
    </xf>
    <xf numFmtId="0" fontId="1" fillId="0" borderId="0" xfId="0" applyFont="1"/>
    <xf numFmtId="44" fontId="103" fillId="0" borderId="0" xfId="0" applyNumberFormat="1" applyFont="1" applyAlignment="1">
      <alignment horizontal="right"/>
    </xf>
    <xf numFmtId="14" fontId="37" fillId="0" borderId="0" xfId="0" applyNumberFormat="1" applyFont="1" applyAlignment="1">
      <alignment horizontal="center" vertical="center"/>
    </xf>
    <xf numFmtId="44" fontId="103" fillId="0" borderId="0" xfId="0" applyNumberFormat="1" applyFont="1" applyAlignment="1">
      <alignment horizontal="left"/>
    </xf>
    <xf numFmtId="0" fontId="35" fillId="0" borderId="0" xfId="0" applyFont="1" applyAlignment="1">
      <alignment horizontal="left" vertical="center" wrapText="1"/>
    </xf>
    <xf numFmtId="0" fontId="104" fillId="0" borderId="0" xfId="0" applyFont="1"/>
    <xf numFmtId="44" fontId="83" fillId="0" borderId="0" xfId="0" applyNumberFormat="1" applyFont="1" applyAlignment="1">
      <alignment horizontal="left" indent="1"/>
    </xf>
    <xf numFmtId="44" fontId="83" fillId="0" borderId="0" xfId="0" applyNumberFormat="1" applyFont="1" applyAlignment="1">
      <alignment horizontal="center"/>
    </xf>
    <xf numFmtId="0" fontId="43" fillId="10" borderId="0" xfId="0" applyFont="1" applyFill="1" applyAlignment="1">
      <alignment horizontal="left" vertical="top"/>
    </xf>
    <xf numFmtId="0" fontId="43" fillId="0" borderId="0" xfId="0" applyFont="1" applyAlignment="1">
      <alignment horizontal="center" vertical="top"/>
    </xf>
    <xf numFmtId="14" fontId="104" fillId="0" borderId="0" xfId="0" applyNumberFormat="1" applyFont="1" applyAlignment="1">
      <alignment horizontal="center"/>
    </xf>
    <xf numFmtId="0" fontId="1" fillId="0" borderId="0" xfId="0" applyFont="1" applyAlignment="1">
      <alignment wrapText="1"/>
    </xf>
    <xf numFmtId="0" fontId="1" fillId="0" borderId="0" xfId="0" applyFont="1" applyAlignment="1">
      <alignment horizontal="left" wrapText="1"/>
    </xf>
    <xf numFmtId="0" fontId="35" fillId="10" borderId="0" xfId="0" applyFont="1" applyFill="1" applyAlignment="1">
      <alignment horizontal="left" vertical="center" wrapText="1"/>
    </xf>
    <xf numFmtId="0" fontId="21" fillId="0" borderId="0" xfId="0" applyFont="1" applyAlignment="1">
      <alignment horizontal="center" wrapText="1"/>
    </xf>
    <xf numFmtId="0" fontId="35" fillId="0" borderId="0" xfId="0" applyFont="1" applyAlignment="1">
      <alignment horizontal="left" vertical="center" wrapText="1"/>
    </xf>
    <xf numFmtId="0" fontId="21" fillId="0" borderId="0" xfId="0" applyFont="1" applyAlignment="1">
      <alignment horizontal="left" wrapText="1"/>
    </xf>
    <xf numFmtId="43" fontId="53" fillId="0" borderId="0" xfId="0" applyNumberFormat="1" applyFont="1" applyAlignment="1">
      <alignment horizontal="center" vertical="center"/>
    </xf>
    <xf numFmtId="0" fontId="53" fillId="0" borderId="0" xfId="0" applyFont="1" applyAlignment="1">
      <alignment horizontal="center" vertical="center"/>
    </xf>
    <xf numFmtId="44" fontId="54" fillId="0" borderId="0" xfId="0" applyNumberFormat="1" applyFont="1" applyAlignment="1">
      <alignment horizontal="center" vertical="center"/>
    </xf>
    <xf numFmtId="43" fontId="9" fillId="0" borderId="0" xfId="1" applyNumberFormat="1" applyAlignment="1" applyProtection="1">
      <alignment horizontal="center"/>
    </xf>
    <xf numFmtId="0" fontId="21" fillId="0" borderId="0" xfId="0" applyFont="1" applyAlignment="1">
      <alignment horizontal="center"/>
    </xf>
    <xf numFmtId="43" fontId="24" fillId="0" borderId="0" xfId="0" applyNumberFormat="1" applyFont="1" applyAlignment="1">
      <alignment horizontal="center"/>
    </xf>
    <xf numFmtId="0" fontId="24" fillId="0" borderId="0" xfId="0" applyFont="1" applyAlignment="1">
      <alignment horizontal="center"/>
    </xf>
    <xf numFmtId="44" fontId="43" fillId="0" borderId="0" xfId="0" applyNumberFormat="1" applyFont="1" applyAlignment="1">
      <alignment horizontal="center" vertical="center"/>
    </xf>
    <xf numFmtId="43" fontId="25" fillId="0" borderId="0" xfId="0" applyNumberFormat="1" applyFont="1" applyAlignment="1">
      <alignment horizontal="left"/>
    </xf>
    <xf numFmtId="0" fontId="25" fillId="0" borderId="0" xfId="0" applyFont="1" applyAlignment="1">
      <alignment horizontal="left"/>
    </xf>
    <xf numFmtId="43" fontId="25" fillId="0" borderId="0" xfId="0" applyNumberFormat="1" applyFont="1" applyAlignment="1">
      <alignment horizontal="center"/>
    </xf>
    <xf numFmtId="0" fontId="25" fillId="0" borderId="0" xfId="0" applyFont="1" applyAlignment="1">
      <alignment horizontal="center"/>
    </xf>
    <xf numFmtId="0" fontId="76" fillId="0" borderId="0" xfId="31" applyAlignment="1">
      <alignment horizontal="center"/>
    </xf>
    <xf numFmtId="0" fontId="60" fillId="0" borderId="0" xfId="0" applyFont="1" applyAlignment="1">
      <alignment horizontal="left" wrapText="1"/>
    </xf>
    <xf numFmtId="0" fontId="101" fillId="0" borderId="0" xfId="28" applyFont="1" applyAlignment="1">
      <alignment horizontal="center" vertical="center"/>
    </xf>
    <xf numFmtId="0" fontId="93" fillId="0" borderId="0" xfId="28" applyFont="1" applyAlignment="1">
      <alignment horizontal="left"/>
    </xf>
    <xf numFmtId="0" fontId="60" fillId="0" borderId="0" xfId="0" applyFont="1" applyAlignment="1">
      <alignment horizontal="center" vertical="center" wrapText="1"/>
    </xf>
    <xf numFmtId="0" fontId="43" fillId="0" borderId="0" xfId="0" applyFont="1" applyAlignment="1">
      <alignment horizontal="center" vertical="top" wrapText="1"/>
    </xf>
    <xf numFmtId="0" fontId="21" fillId="0" borderId="0" xfId="0" applyFont="1" applyAlignment="1">
      <alignment horizontal="left" vertical="center" wrapText="1"/>
    </xf>
    <xf numFmtId="0" fontId="24" fillId="0" borderId="0" xfId="0" applyFont="1" applyAlignment="1">
      <alignment horizontal="center" vertical="top" wrapText="1"/>
    </xf>
    <xf numFmtId="0" fontId="43" fillId="0" borderId="0" xfId="0" applyFont="1" applyAlignment="1">
      <alignment horizontal="center" vertical="top"/>
    </xf>
    <xf numFmtId="0" fontId="24" fillId="18" borderId="0" xfId="0" applyFont="1" applyFill="1" applyAlignment="1">
      <alignment horizontal="left" vertical="center" wrapText="1"/>
    </xf>
    <xf numFmtId="0" fontId="90" fillId="0" borderId="0" xfId="0" applyFont="1" applyAlignment="1">
      <alignment horizontal="left" vertical="center" wrapText="1"/>
    </xf>
    <xf numFmtId="0" fontId="36" fillId="0" borderId="0" xfId="0" applyFont="1" applyAlignment="1">
      <alignment horizontal="left" vertical="center" wrapText="1"/>
    </xf>
    <xf numFmtId="0" fontId="36" fillId="0" borderId="0" xfId="0" applyFont="1" applyAlignment="1">
      <alignment horizontal="left" wrapText="1"/>
    </xf>
    <xf numFmtId="0" fontId="43" fillId="0" borderId="0" xfId="0" applyFont="1" applyAlignment="1">
      <alignment horizontal="center" vertical="center" wrapText="1"/>
    </xf>
    <xf numFmtId="0" fontId="21" fillId="0" borderId="0" xfId="0" applyFont="1" applyAlignment="1">
      <alignment horizontal="center" vertical="center" wrapText="1"/>
    </xf>
    <xf numFmtId="0" fontId="97" fillId="0" borderId="0" xfId="0" applyFont="1" applyAlignment="1">
      <alignment horizontal="left" vertical="center" wrapText="1"/>
    </xf>
    <xf numFmtId="0" fontId="43" fillId="0" borderId="0" xfId="0" applyFont="1" applyAlignment="1">
      <alignment horizontal="left" wrapText="1"/>
    </xf>
    <xf numFmtId="0" fontId="24" fillId="10" borderId="0" xfId="0" applyFont="1" applyFill="1" applyAlignment="1">
      <alignment horizontal="center" vertical="top"/>
    </xf>
    <xf numFmtId="0" fontId="83" fillId="0" borderId="0" xfId="0" applyFont="1" applyAlignment="1">
      <alignment horizontal="left" indent="1"/>
    </xf>
    <xf numFmtId="0" fontId="84" fillId="26" borderId="0" xfId="0" applyFont="1" applyFill="1" applyAlignment="1">
      <alignment horizontal="center"/>
    </xf>
    <xf numFmtId="0" fontId="84" fillId="26" borderId="0" xfId="0" applyFont="1" applyFill="1" applyAlignment="1">
      <alignment horizontal="center" vertical="top" textRotation="255"/>
    </xf>
    <xf numFmtId="0" fontId="79" fillId="0" borderId="0" xfId="0" applyFont="1" applyAlignment="1">
      <alignment horizontal="right" vertical="center"/>
    </xf>
    <xf numFmtId="0" fontId="77" fillId="0" borderId="0" xfId="0" applyFont="1" applyAlignment="1">
      <alignment horizontal="right" vertical="top"/>
    </xf>
    <xf numFmtId="0" fontId="80" fillId="0" borderId="0" xfId="0" applyFont="1" applyAlignment="1">
      <alignment horizontal="center" vertical="center"/>
    </xf>
    <xf numFmtId="0" fontId="84" fillId="11" borderId="0" xfId="0" applyFont="1" applyFill="1" applyAlignment="1">
      <alignment horizontal="center" vertical="top" textRotation="255"/>
    </xf>
    <xf numFmtId="0" fontId="89" fillId="22" borderId="0" xfId="0" applyFont="1" applyFill="1" applyAlignment="1">
      <alignment horizontal="center" vertical="center" wrapText="1"/>
    </xf>
    <xf numFmtId="0" fontId="63" fillId="9" borderId="7" xfId="0" applyFont="1" applyFill="1" applyBorder="1" applyAlignment="1">
      <alignment horizontal="center" vertical="center" textRotation="255"/>
    </xf>
    <xf numFmtId="0" fontId="63" fillId="9" borderId="0" xfId="0" applyFont="1" applyFill="1" applyAlignment="1">
      <alignment horizontal="center" vertical="center" textRotation="255"/>
    </xf>
    <xf numFmtId="0" fontId="2" fillId="0" borderId="0" xfId="0" applyFont="1" applyAlignment="1">
      <alignment horizontal="center" vertical="center" textRotation="45" wrapText="1"/>
    </xf>
    <xf numFmtId="0" fontId="33" fillId="20" borderId="0" xfId="0" applyFont="1" applyFill="1" applyAlignment="1">
      <alignment horizontal="center" vertical="center" textRotation="255" wrapText="1"/>
    </xf>
    <xf numFmtId="0" fontId="12" fillId="16" borderId="0" xfId="0" applyFont="1" applyFill="1" applyAlignment="1">
      <alignment horizontal="center" vertical="center" textRotation="255"/>
    </xf>
    <xf numFmtId="0" fontId="67" fillId="27" borderId="0" xfId="0" applyFont="1" applyFill="1" applyAlignment="1">
      <alignment horizontal="center" vertical="center" textRotation="255" wrapText="1"/>
    </xf>
    <xf numFmtId="0" fontId="2" fillId="21" borderId="0" xfId="0" applyFont="1" applyFill="1" applyAlignment="1">
      <alignment horizontal="center" vertical="center" textRotation="255"/>
    </xf>
    <xf numFmtId="0" fontId="2" fillId="21" borderId="5" xfId="0" applyFont="1" applyFill="1" applyBorder="1" applyAlignment="1">
      <alignment horizontal="center" vertical="center" textRotation="255"/>
    </xf>
    <xf numFmtId="0" fontId="105" fillId="0" borderId="0" xfId="0" applyFont="1"/>
    <xf numFmtId="0" fontId="106" fillId="0" borderId="0" xfId="0" applyFont="1"/>
    <xf numFmtId="167" fontId="106" fillId="0" borderId="0" xfId="0" applyNumberFormat="1" applyFont="1"/>
    <xf numFmtId="0" fontId="75" fillId="0" borderId="0" xfId="0" applyFont="1"/>
    <xf numFmtId="15" fontId="0" fillId="0" borderId="0" xfId="0" applyNumberFormat="1"/>
    <xf numFmtId="0" fontId="91" fillId="0" borderId="0" xfId="0" applyFont="1" applyAlignment="1">
      <alignment horizontal="left" vertical="center"/>
    </xf>
    <xf numFmtId="167" fontId="0" fillId="0" borderId="0" xfId="0" applyNumberFormat="1"/>
    <xf numFmtId="0" fontId="107" fillId="0" borderId="0" xfId="0" applyFont="1" applyAlignment="1">
      <alignment vertical="center" wrapText="1"/>
    </xf>
    <xf numFmtId="0" fontId="108" fillId="0" borderId="0" xfId="0" applyFont="1" applyAlignment="1">
      <alignment vertical="center"/>
    </xf>
    <xf numFmtId="0" fontId="75" fillId="0" borderId="6" xfId="0" applyFont="1" applyBorder="1" applyAlignment="1">
      <alignment horizontal="left" vertical="center"/>
    </xf>
    <xf numFmtId="0" fontId="109" fillId="0" borderId="0" xfId="0" applyFont="1" applyAlignment="1">
      <alignment vertical="center"/>
    </xf>
    <xf numFmtId="0" fontId="75" fillId="0" borderId="0" xfId="0" applyFont="1" applyAlignment="1">
      <alignment vertical="center"/>
    </xf>
    <xf numFmtId="0" fontId="110" fillId="0" borderId="0" xfId="31" applyFont="1" applyFill="1"/>
    <xf numFmtId="0" fontId="111" fillId="0" borderId="0" xfId="0" applyFont="1" applyAlignment="1">
      <alignment vertical="center"/>
    </xf>
    <xf numFmtId="0" fontId="108" fillId="0" borderId="0" xfId="0" applyFont="1" applyAlignment="1">
      <alignment horizontal="left" vertical="center"/>
    </xf>
    <xf numFmtId="0" fontId="76" fillId="0" borderId="0" xfId="31" applyFill="1" applyAlignment="1">
      <alignment vertical="center"/>
    </xf>
    <xf numFmtId="0" fontId="108" fillId="0" borderId="0" xfId="0" applyFont="1" applyAlignment="1">
      <alignment vertical="center" wrapText="1"/>
    </xf>
    <xf numFmtId="0" fontId="75" fillId="0" borderId="0" xfId="0" applyFont="1" applyAlignment="1">
      <alignment horizontal="left" vertical="center" wrapText="1"/>
    </xf>
    <xf numFmtId="0" fontId="91" fillId="0" borderId="0" xfId="0" applyFont="1"/>
    <xf numFmtId="0" fontId="111" fillId="0" borderId="0" xfId="0" applyFont="1"/>
    <xf numFmtId="0" fontId="112" fillId="0" borderId="0" xfId="0" applyFont="1"/>
    <xf numFmtId="0" fontId="113" fillId="0" borderId="0" xfId="0" applyFont="1"/>
    <xf numFmtId="0" fontId="114" fillId="0" borderId="0" xfId="0" applyFont="1"/>
    <xf numFmtId="0" fontId="91" fillId="0" borderId="0" xfId="0" applyFont="1" applyAlignment="1">
      <alignment horizontal="right" vertical="center"/>
    </xf>
    <xf numFmtId="14" fontId="91" fillId="0" borderId="0" xfId="0" applyNumberFormat="1" applyFont="1" applyAlignment="1">
      <alignment horizontal="right" vertical="center"/>
    </xf>
    <xf numFmtId="0" fontId="76" fillId="0" borderId="0" xfId="31" applyFill="1" applyAlignment="1">
      <alignment vertical="center" wrapText="1"/>
    </xf>
    <xf numFmtId="0" fontId="105" fillId="0" borderId="0" xfId="0" applyFont="1" applyAlignment="1">
      <alignment horizontal="left" vertical="center" indent="6"/>
    </xf>
    <xf numFmtId="0" fontId="115" fillId="0" borderId="0" xfId="0" applyFont="1" applyAlignment="1">
      <alignment vertical="center"/>
    </xf>
    <xf numFmtId="0" fontId="116" fillId="0" borderId="0" xfId="0" applyFont="1" applyAlignment="1">
      <alignment vertical="center" wrapText="1"/>
    </xf>
    <xf numFmtId="0" fontId="117" fillId="0" borderId="0" xfId="0" applyFont="1" applyAlignment="1">
      <alignment horizontal="center" vertical="center"/>
    </xf>
    <xf numFmtId="0" fontId="118" fillId="0" borderId="19" xfId="0" applyFont="1" applyBorder="1" applyAlignment="1">
      <alignment horizontal="left" vertical="center" wrapText="1" indent="1"/>
    </xf>
    <xf numFmtId="0" fontId="106" fillId="0" borderId="0" xfId="0" applyFont="1" applyAlignment="1">
      <alignment horizontal="left" vertical="center" wrapText="1" indent="1"/>
    </xf>
    <xf numFmtId="0" fontId="76" fillId="0" borderId="0" xfId="31" applyFill="1" applyAlignment="1">
      <alignment horizontal="left" vertical="center" wrapText="1" indent="1"/>
    </xf>
    <xf numFmtId="0" fontId="115" fillId="0" borderId="0" xfId="0" applyFont="1" applyAlignment="1">
      <alignment vertical="center" wrapText="1"/>
    </xf>
    <xf numFmtId="0" fontId="119" fillId="0" borderId="0" xfId="0" applyFont="1" applyAlignment="1">
      <alignment vertical="center"/>
    </xf>
    <xf numFmtId="0" fontId="76" fillId="0" borderId="0" xfId="31" applyFill="1" applyAlignment="1">
      <alignment horizontal="center" vertical="center"/>
    </xf>
    <xf numFmtId="0" fontId="120" fillId="0" borderId="0" xfId="0" applyFont="1"/>
    <xf numFmtId="0" fontId="121" fillId="0" borderId="0" xfId="0" applyFont="1" applyAlignment="1">
      <alignment vertical="center"/>
    </xf>
  </cellXfs>
  <cellStyles count="46">
    <cellStyle name="20% - Accent2 2" xfId="44" xr:uid="{A11813E4-F1A0-4E36-B31D-83EDAC6C1390}"/>
    <cellStyle name="20% - Accent3 2" xfId="26" xr:uid="{00000000-0005-0000-0000-000001000000}"/>
    <cellStyle name="20% - Accent3 2 2" xfId="38" xr:uid="{C1540660-7492-44D1-8E04-4AF2B06DC28E}"/>
    <cellStyle name="20% - Accent3 3" xfId="33" xr:uid="{E850735F-8E7B-40A2-8C66-884305B1294D}"/>
    <cellStyle name="20% - Accent5 2" xfId="42" xr:uid="{A6B5DB69-32BC-4A65-AC4B-8C2B5452778F}"/>
    <cellStyle name="40% - Accent2 2 2" xfId="3" xr:uid="{00000000-0005-0000-0000-000002000000}"/>
    <cellStyle name="40% - Accent2 2 2 2" xfId="32" xr:uid="{8C6348F5-0D64-4CDF-B606-E4274F551A3A}"/>
    <cellStyle name="Accent2 2" xfId="6" xr:uid="{00000000-0005-0000-0000-000003000000}"/>
    <cellStyle name="Accent3 2" xfId="5" xr:uid="{00000000-0005-0000-0000-000004000000}"/>
    <cellStyle name="Calculation 2" xfId="7" xr:uid="{00000000-0005-0000-0000-000006000000}"/>
    <cellStyle name="Calculation 3" xfId="22" xr:uid="{00000000-0005-0000-0000-000007000000}"/>
    <cellStyle name="Calculation 4" xfId="45" xr:uid="{55004A55-FE67-4F58-9339-638200049574}"/>
    <cellStyle name="Check Cell 2" xfId="8" xr:uid="{00000000-0005-0000-0000-000008000000}"/>
    <cellStyle name="Comma 2" xfId="24" xr:uid="{00000000-0005-0000-0000-00000A000000}"/>
    <cellStyle name="Comma 4" xfId="23" xr:uid="{00000000-0005-0000-0000-00000B000000}"/>
    <cellStyle name="Currency 2" xfId="2" xr:uid="{00000000-0005-0000-0000-00000D000000}"/>
    <cellStyle name="Currency 3" xfId="12" xr:uid="{00000000-0005-0000-0000-00000E000000}"/>
    <cellStyle name="Currency 4" xfId="16" xr:uid="{00000000-0005-0000-0000-00000F000000}"/>
    <cellStyle name="Currency 4 2" xfId="36" xr:uid="{BEAA1F06-795F-46C0-8781-E9EAE2D00DCD}"/>
    <cellStyle name="Good 2" xfId="4" xr:uid="{00000000-0005-0000-0000-000010000000}"/>
    <cellStyle name="Hyperlink" xfId="1" builtinId="8"/>
    <cellStyle name="Hyperlink 2" xfId="11" xr:uid="{00000000-0005-0000-0000-000012000000}"/>
    <cellStyle name="Hyperlink 2 2" xfId="21" xr:uid="{00000000-0005-0000-0000-000013000000}"/>
    <cellStyle name="Hyperlink 3" xfId="18" xr:uid="{00000000-0005-0000-0000-000014000000}"/>
    <cellStyle name="Hyperlink 3 2" xfId="25" xr:uid="{00000000-0005-0000-0000-000015000000}"/>
    <cellStyle name="Hyperlink 4" xfId="31" xr:uid="{0CC31CBB-3358-4CF7-9FB1-66CF343FF7DC}"/>
    <cellStyle name="Linked Cell 2" xfId="40" xr:uid="{DCC908DD-E13E-4203-8DD7-E6E8BE86700C}"/>
    <cellStyle name="Linked Cell 3" xfId="43" xr:uid="{332533E8-8423-4D03-8431-4D5A6733E375}"/>
    <cellStyle name="Normal" xfId="0" builtinId="0"/>
    <cellStyle name="Normal 2" xfId="10" xr:uid="{00000000-0005-0000-0000-000018000000}"/>
    <cellStyle name="Normal 2 2" xfId="13" xr:uid="{00000000-0005-0000-0000-000019000000}"/>
    <cellStyle name="Normal 2 2 2" xfId="19" xr:uid="{00000000-0005-0000-0000-00001A000000}"/>
    <cellStyle name="Normal 2 2 3" xfId="34" xr:uid="{BC8AB216-2AC9-4DDD-B569-BABB12F3B49A}"/>
    <cellStyle name="Normal 3" xfId="15" xr:uid="{00000000-0005-0000-0000-00001B000000}"/>
    <cellStyle name="Normal 3 2" xfId="35" xr:uid="{A8B2DA2E-6008-4525-82F0-2558E3788872}"/>
    <cellStyle name="Normal 4" xfId="20" xr:uid="{00000000-0005-0000-0000-00001C000000}"/>
    <cellStyle name="Normal 5" xfId="14" xr:uid="{00000000-0005-0000-0000-00001D000000}"/>
    <cellStyle name="Normal 6" xfId="27" xr:uid="{00000000-0005-0000-0000-00001E000000}"/>
    <cellStyle name="Normal 6 2" xfId="39" xr:uid="{6BF4812A-C52E-45DB-B90B-EAFB743660E0}"/>
    <cellStyle name="Normal 7" xfId="30" xr:uid="{00000000-0005-0000-0000-00001F000000}"/>
    <cellStyle name="Output 2" xfId="29" xr:uid="{00000000-0005-0000-0000-000020000000}"/>
    <cellStyle name="Percent 2" xfId="9" xr:uid="{00000000-0005-0000-0000-000021000000}"/>
    <cellStyle name="Percent 3" xfId="17" xr:uid="{00000000-0005-0000-0000-000022000000}"/>
    <cellStyle name="Percent 3 2" xfId="37" xr:uid="{51D7FFE5-57FC-4913-B41E-88D0673856B4}"/>
    <cellStyle name="Title 2" xfId="28" xr:uid="{00000000-0005-0000-0000-000023000000}"/>
    <cellStyle name="Total 2" xfId="41" xr:uid="{FFDF64E0-0692-4DF9-A98D-017BCF167C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4</xdr:col>
      <xdr:colOff>449582</xdr:colOff>
      <xdr:row>0</xdr:row>
      <xdr:rowOff>7620</xdr:rowOff>
    </xdr:from>
    <xdr:to>
      <xdr:col>5</xdr:col>
      <xdr:colOff>693422</xdr:colOff>
      <xdr:row>0</xdr:row>
      <xdr:rowOff>198120</xdr:rowOff>
    </xdr:to>
    <xdr:sp macro="" textlink="">
      <xdr:nvSpPr>
        <xdr:cNvPr id="2" name="Arrow: Down 1">
          <a:extLst>
            <a:ext uri="{FF2B5EF4-FFF2-40B4-BE49-F238E27FC236}">
              <a16:creationId xmlns:a16="http://schemas.microsoft.com/office/drawing/2014/main" id="{35EC0EE1-6791-428A-86B9-96456C9ADFB9}"/>
            </a:ext>
          </a:extLst>
        </xdr:cNvPr>
        <xdr:cNvSpPr/>
      </xdr:nvSpPr>
      <xdr:spPr>
        <a:xfrm rot="5400000" flipH="1">
          <a:off x="7162802" y="-1135380"/>
          <a:ext cx="190500" cy="2476500"/>
        </a:xfrm>
        <a:prstGeom prst="downArrow">
          <a:avLst>
            <a:gd name="adj1" fmla="val 42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a:p>
          <a:pPr algn="l"/>
          <a:endParaRPr lang="en-US" sz="1100"/>
        </a:p>
      </xdr:txBody>
    </xdr:sp>
    <xdr:clientData/>
  </xdr:twoCellAnchor>
  <xdr:oneCellAnchor>
    <xdr:from>
      <xdr:col>2</xdr:col>
      <xdr:colOff>0</xdr:colOff>
      <xdr:row>400</xdr:row>
      <xdr:rowOff>0</xdr:rowOff>
    </xdr:from>
    <xdr:ext cx="304800" cy="304800"/>
    <xdr:sp macro="" textlink="">
      <xdr:nvSpPr>
        <xdr:cNvPr id="3" name="pendo-image-badge-9f298f30">
          <a:extLst>
            <a:ext uri="{FF2B5EF4-FFF2-40B4-BE49-F238E27FC236}">
              <a16:creationId xmlns:a16="http://schemas.microsoft.com/office/drawing/2014/main" id="{55965D7E-33E8-4694-98FA-E74A482D3B00}"/>
            </a:ext>
          </a:extLst>
        </xdr:cNvPr>
        <xdr:cNvSpPr>
          <a:spLocks noChangeAspect="1" noChangeArrowheads="1"/>
        </xdr:cNvSpPr>
      </xdr:nvSpPr>
      <xdr:spPr bwMode="auto">
        <a:xfrm>
          <a:off x="70324980" y="13106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Owner\Documents\a%20ESTIMATES\X%20ins%20claim%20history\CLE%20Jamal%20BemanAllen%20Fire%20Cle%202017\Ins%20Job%20Tracker%20FORM%20aa%20Beman%20Fire%20Curreni.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User/My%20Documents/a%20INS%20current%20FILES/1a%20CLV%20mia/Mia%20Jones%20Claim%20# 0 224 298 777 cl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sheetName val="current"/>
      <sheetName val="input data"/>
      <sheetName val="A.R"/>
      <sheetName val="mtge co "/>
      <sheetName val="letter close"/>
      <sheetName val="Sheet1"/>
      <sheetName val="intake form"/>
      <sheetName val="cst list"/>
      <sheetName val="co name"/>
      <sheetName val="wtr mit chart"/>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B LIST"/>
      <sheetName val="QUOTE"/>
      <sheetName val="DRAWING"/>
      <sheetName val="roof 1.8"/>
      <sheetName val="DRAW INT."/>
      <sheetName val="Sheet1"/>
      <sheetName val="ins info"/>
      <sheetName val="bid mold"/>
      <sheetName val="JOB CHECKLIS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info@myapcllc.com" TargetMode="External"/><Relationship Id="rId2" Type="http://schemas.openxmlformats.org/officeDocument/2006/relationships/hyperlink" Target="mailto:ddevonJohnson@gmail.com" TargetMode="External"/><Relationship Id="rId1" Type="http://schemas.openxmlformats.org/officeDocument/2006/relationships/hyperlink" Target="mailto:wsbjoe9@gmail.co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TargetMode="External"/><Relationship Id="rId1" Type="http://schemas.openxmlformats.org/officeDocument/2006/relationships/hyperlink" Target="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DEC23-616E-4669-9B29-BC2467FA865E}">
  <sheetPr codeName="Sheet1"/>
  <dimension ref="A1:D33"/>
  <sheetViews>
    <sheetView showGridLines="0" view="pageBreakPreview" topLeftCell="A23" zoomScaleNormal="100" zoomScaleSheetLayoutView="100" workbookViewId="0">
      <selection activeCell="E35" sqref="E35"/>
    </sheetView>
  </sheetViews>
  <sheetFormatPr defaultRowHeight="14.4"/>
  <cols>
    <col min="1" max="1" width="20.33203125" style="13" customWidth="1"/>
    <col min="2" max="2" width="44.44140625" style="13" customWidth="1"/>
    <col min="3" max="3" width="18.6640625" style="13" customWidth="1"/>
    <col min="4" max="4" width="27.6640625" style="13" customWidth="1"/>
    <col min="183" max="184" width="35.6640625" customWidth="1"/>
    <col min="185" max="185" width="25.6640625" customWidth="1"/>
    <col min="190" max="190" width="3" customWidth="1"/>
    <col min="191" max="191" width="39.6640625" customWidth="1"/>
    <col min="192" max="192" width="5.6640625" customWidth="1"/>
    <col min="193" max="193" width="35.6640625" customWidth="1"/>
    <col min="197" max="197" width="44.6640625" customWidth="1"/>
    <col min="205" max="205" width="88.6640625" customWidth="1"/>
    <col min="439" max="440" width="35.6640625" customWidth="1"/>
    <col min="441" max="441" width="25.6640625" customWidth="1"/>
    <col min="446" max="446" width="3" customWidth="1"/>
    <col min="447" max="447" width="39.6640625" customWidth="1"/>
    <col min="448" max="448" width="5.6640625" customWidth="1"/>
    <col min="449" max="449" width="35.6640625" customWidth="1"/>
    <col min="453" max="453" width="44.6640625" customWidth="1"/>
    <col min="461" max="461" width="88.6640625" customWidth="1"/>
    <col min="695" max="696" width="35.6640625" customWidth="1"/>
    <col min="697" max="697" width="25.6640625" customWidth="1"/>
    <col min="702" max="702" width="3" customWidth="1"/>
    <col min="703" max="703" width="39.6640625" customWidth="1"/>
    <col min="704" max="704" width="5.6640625" customWidth="1"/>
    <col min="705" max="705" width="35.6640625" customWidth="1"/>
    <col min="709" max="709" width="44.6640625" customWidth="1"/>
    <col min="717" max="717" width="88.6640625" customWidth="1"/>
    <col min="951" max="952" width="35.6640625" customWidth="1"/>
    <col min="953" max="953" width="25.6640625" customWidth="1"/>
    <col min="958" max="958" width="3" customWidth="1"/>
    <col min="959" max="959" width="39.6640625" customWidth="1"/>
    <col min="960" max="960" width="5.6640625" customWidth="1"/>
    <col min="961" max="961" width="35.6640625" customWidth="1"/>
    <col min="965" max="965" width="44.6640625" customWidth="1"/>
    <col min="973" max="973" width="88.6640625" customWidth="1"/>
    <col min="1207" max="1208" width="35.6640625" customWidth="1"/>
    <col min="1209" max="1209" width="25.6640625" customWidth="1"/>
    <col min="1214" max="1214" width="3" customWidth="1"/>
    <col min="1215" max="1215" width="39.6640625" customWidth="1"/>
    <col min="1216" max="1216" width="5.6640625" customWidth="1"/>
    <col min="1217" max="1217" width="35.6640625" customWidth="1"/>
    <col min="1221" max="1221" width="44.6640625" customWidth="1"/>
    <col min="1229" max="1229" width="88.6640625" customWidth="1"/>
    <col min="1463" max="1464" width="35.6640625" customWidth="1"/>
    <col min="1465" max="1465" width="25.6640625" customWidth="1"/>
    <col min="1470" max="1470" width="3" customWidth="1"/>
    <col min="1471" max="1471" width="39.6640625" customWidth="1"/>
    <col min="1472" max="1472" width="5.6640625" customWidth="1"/>
    <col min="1473" max="1473" width="35.6640625" customWidth="1"/>
    <col min="1477" max="1477" width="44.6640625" customWidth="1"/>
    <col min="1485" max="1485" width="88.6640625" customWidth="1"/>
    <col min="1719" max="1720" width="35.6640625" customWidth="1"/>
    <col min="1721" max="1721" width="25.6640625" customWidth="1"/>
    <col min="1726" max="1726" width="3" customWidth="1"/>
    <col min="1727" max="1727" width="39.6640625" customWidth="1"/>
    <col min="1728" max="1728" width="5.6640625" customWidth="1"/>
    <col min="1729" max="1729" width="35.6640625" customWidth="1"/>
    <col min="1733" max="1733" width="44.6640625" customWidth="1"/>
    <col min="1741" max="1741" width="88.6640625" customWidth="1"/>
    <col min="1975" max="1976" width="35.6640625" customWidth="1"/>
    <col min="1977" max="1977" width="25.6640625" customWidth="1"/>
    <col min="1982" max="1982" width="3" customWidth="1"/>
    <col min="1983" max="1983" width="39.6640625" customWidth="1"/>
    <col min="1984" max="1984" width="5.6640625" customWidth="1"/>
    <col min="1985" max="1985" width="35.6640625" customWidth="1"/>
    <col min="1989" max="1989" width="44.6640625" customWidth="1"/>
    <col min="1997" max="1997" width="88.6640625" customWidth="1"/>
    <col min="2231" max="2232" width="35.6640625" customWidth="1"/>
    <col min="2233" max="2233" width="25.6640625" customWidth="1"/>
    <col min="2238" max="2238" width="3" customWidth="1"/>
    <col min="2239" max="2239" width="39.6640625" customWidth="1"/>
    <col min="2240" max="2240" width="5.6640625" customWidth="1"/>
    <col min="2241" max="2241" width="35.6640625" customWidth="1"/>
    <col min="2245" max="2245" width="44.6640625" customWidth="1"/>
    <col min="2253" max="2253" width="88.6640625" customWidth="1"/>
    <col min="2487" max="2488" width="35.6640625" customWidth="1"/>
    <col min="2489" max="2489" width="25.6640625" customWidth="1"/>
    <col min="2494" max="2494" width="3" customWidth="1"/>
    <col min="2495" max="2495" width="39.6640625" customWidth="1"/>
    <col min="2496" max="2496" width="5.6640625" customWidth="1"/>
    <col min="2497" max="2497" width="35.6640625" customWidth="1"/>
    <col min="2501" max="2501" width="44.6640625" customWidth="1"/>
    <col min="2509" max="2509" width="88.6640625" customWidth="1"/>
    <col min="2743" max="2744" width="35.6640625" customWidth="1"/>
    <col min="2745" max="2745" width="25.6640625" customWidth="1"/>
    <col min="2750" max="2750" width="3" customWidth="1"/>
    <col min="2751" max="2751" width="39.6640625" customWidth="1"/>
    <col min="2752" max="2752" width="5.6640625" customWidth="1"/>
    <col min="2753" max="2753" width="35.6640625" customWidth="1"/>
    <col min="2757" max="2757" width="44.6640625" customWidth="1"/>
    <col min="2765" max="2765" width="88.6640625" customWidth="1"/>
    <col min="2999" max="3000" width="35.6640625" customWidth="1"/>
    <col min="3001" max="3001" width="25.6640625" customWidth="1"/>
    <col min="3006" max="3006" width="3" customWidth="1"/>
    <col min="3007" max="3007" width="39.6640625" customWidth="1"/>
    <col min="3008" max="3008" width="5.6640625" customWidth="1"/>
    <col min="3009" max="3009" width="35.6640625" customWidth="1"/>
    <col min="3013" max="3013" width="44.6640625" customWidth="1"/>
    <col min="3021" max="3021" width="88.6640625" customWidth="1"/>
    <col min="3255" max="3256" width="35.6640625" customWidth="1"/>
    <col min="3257" max="3257" width="25.6640625" customWidth="1"/>
    <col min="3262" max="3262" width="3" customWidth="1"/>
    <col min="3263" max="3263" width="39.6640625" customWidth="1"/>
    <col min="3264" max="3264" width="5.6640625" customWidth="1"/>
    <col min="3265" max="3265" width="35.6640625" customWidth="1"/>
    <col min="3269" max="3269" width="44.6640625" customWidth="1"/>
    <col min="3277" max="3277" width="88.6640625" customWidth="1"/>
    <col min="3511" max="3512" width="35.6640625" customWidth="1"/>
    <col min="3513" max="3513" width="25.6640625" customWidth="1"/>
    <col min="3518" max="3518" width="3" customWidth="1"/>
    <col min="3519" max="3519" width="39.6640625" customWidth="1"/>
    <col min="3520" max="3520" width="5.6640625" customWidth="1"/>
    <col min="3521" max="3521" width="35.6640625" customWidth="1"/>
    <col min="3525" max="3525" width="44.6640625" customWidth="1"/>
    <col min="3533" max="3533" width="88.6640625" customWidth="1"/>
    <col min="3767" max="3768" width="35.6640625" customWidth="1"/>
    <col min="3769" max="3769" width="25.6640625" customWidth="1"/>
    <col min="3774" max="3774" width="3" customWidth="1"/>
    <col min="3775" max="3775" width="39.6640625" customWidth="1"/>
    <col min="3776" max="3776" width="5.6640625" customWidth="1"/>
    <col min="3777" max="3777" width="35.6640625" customWidth="1"/>
    <col min="3781" max="3781" width="44.6640625" customWidth="1"/>
    <col min="3789" max="3789" width="88.6640625" customWidth="1"/>
    <col min="4023" max="4024" width="35.6640625" customWidth="1"/>
    <col min="4025" max="4025" width="25.6640625" customWidth="1"/>
    <col min="4030" max="4030" width="3" customWidth="1"/>
    <col min="4031" max="4031" width="39.6640625" customWidth="1"/>
    <col min="4032" max="4032" width="5.6640625" customWidth="1"/>
    <col min="4033" max="4033" width="35.6640625" customWidth="1"/>
    <col min="4037" max="4037" width="44.6640625" customWidth="1"/>
    <col min="4045" max="4045" width="88.6640625" customWidth="1"/>
    <col min="4279" max="4280" width="35.6640625" customWidth="1"/>
    <col min="4281" max="4281" width="25.6640625" customWidth="1"/>
    <col min="4286" max="4286" width="3" customWidth="1"/>
    <col min="4287" max="4287" width="39.6640625" customWidth="1"/>
    <col min="4288" max="4288" width="5.6640625" customWidth="1"/>
    <col min="4289" max="4289" width="35.6640625" customWidth="1"/>
    <col min="4293" max="4293" width="44.6640625" customWidth="1"/>
    <col min="4301" max="4301" width="88.6640625" customWidth="1"/>
    <col min="4535" max="4536" width="35.6640625" customWidth="1"/>
    <col min="4537" max="4537" width="25.6640625" customWidth="1"/>
    <col min="4542" max="4542" width="3" customWidth="1"/>
    <col min="4543" max="4543" width="39.6640625" customWidth="1"/>
    <col min="4544" max="4544" width="5.6640625" customWidth="1"/>
    <col min="4545" max="4545" width="35.6640625" customWidth="1"/>
    <col min="4549" max="4549" width="44.6640625" customWidth="1"/>
    <col min="4557" max="4557" width="88.6640625" customWidth="1"/>
    <col min="4791" max="4792" width="35.6640625" customWidth="1"/>
    <col min="4793" max="4793" width="25.6640625" customWidth="1"/>
    <col min="4798" max="4798" width="3" customWidth="1"/>
    <col min="4799" max="4799" width="39.6640625" customWidth="1"/>
    <col min="4800" max="4800" width="5.6640625" customWidth="1"/>
    <col min="4801" max="4801" width="35.6640625" customWidth="1"/>
    <col min="4805" max="4805" width="44.6640625" customWidth="1"/>
    <col min="4813" max="4813" width="88.6640625" customWidth="1"/>
    <col min="5047" max="5048" width="35.6640625" customWidth="1"/>
    <col min="5049" max="5049" width="25.6640625" customWidth="1"/>
    <col min="5054" max="5054" width="3" customWidth="1"/>
    <col min="5055" max="5055" width="39.6640625" customWidth="1"/>
    <col min="5056" max="5056" width="5.6640625" customWidth="1"/>
    <col min="5057" max="5057" width="35.6640625" customWidth="1"/>
    <col min="5061" max="5061" width="44.6640625" customWidth="1"/>
    <col min="5069" max="5069" width="88.6640625" customWidth="1"/>
    <col min="5303" max="5304" width="35.6640625" customWidth="1"/>
    <col min="5305" max="5305" width="25.6640625" customWidth="1"/>
    <col min="5310" max="5310" width="3" customWidth="1"/>
    <col min="5311" max="5311" width="39.6640625" customWidth="1"/>
    <col min="5312" max="5312" width="5.6640625" customWidth="1"/>
    <col min="5313" max="5313" width="35.6640625" customWidth="1"/>
    <col min="5317" max="5317" width="44.6640625" customWidth="1"/>
    <col min="5325" max="5325" width="88.6640625" customWidth="1"/>
    <col min="5559" max="5560" width="35.6640625" customWidth="1"/>
    <col min="5561" max="5561" width="25.6640625" customWidth="1"/>
    <col min="5566" max="5566" width="3" customWidth="1"/>
    <col min="5567" max="5567" width="39.6640625" customWidth="1"/>
    <col min="5568" max="5568" width="5.6640625" customWidth="1"/>
    <col min="5569" max="5569" width="35.6640625" customWidth="1"/>
    <col min="5573" max="5573" width="44.6640625" customWidth="1"/>
    <col min="5581" max="5581" width="88.6640625" customWidth="1"/>
    <col min="5815" max="5816" width="35.6640625" customWidth="1"/>
    <col min="5817" max="5817" width="25.6640625" customWidth="1"/>
    <col min="5822" max="5822" width="3" customWidth="1"/>
    <col min="5823" max="5823" width="39.6640625" customWidth="1"/>
    <col min="5824" max="5824" width="5.6640625" customWidth="1"/>
    <col min="5825" max="5825" width="35.6640625" customWidth="1"/>
    <col min="5829" max="5829" width="44.6640625" customWidth="1"/>
    <col min="5837" max="5837" width="88.6640625" customWidth="1"/>
    <col min="6071" max="6072" width="35.6640625" customWidth="1"/>
    <col min="6073" max="6073" width="25.6640625" customWidth="1"/>
    <col min="6078" max="6078" width="3" customWidth="1"/>
    <col min="6079" max="6079" width="39.6640625" customWidth="1"/>
    <col min="6080" max="6080" width="5.6640625" customWidth="1"/>
    <col min="6081" max="6081" width="35.6640625" customWidth="1"/>
    <col min="6085" max="6085" width="44.6640625" customWidth="1"/>
    <col min="6093" max="6093" width="88.6640625" customWidth="1"/>
    <col min="6327" max="6328" width="35.6640625" customWidth="1"/>
    <col min="6329" max="6329" width="25.6640625" customWidth="1"/>
    <col min="6334" max="6334" width="3" customWidth="1"/>
    <col min="6335" max="6335" width="39.6640625" customWidth="1"/>
    <col min="6336" max="6336" width="5.6640625" customWidth="1"/>
    <col min="6337" max="6337" width="35.6640625" customWidth="1"/>
    <col min="6341" max="6341" width="44.6640625" customWidth="1"/>
    <col min="6349" max="6349" width="88.6640625" customWidth="1"/>
    <col min="6583" max="6584" width="35.6640625" customWidth="1"/>
    <col min="6585" max="6585" width="25.6640625" customWidth="1"/>
    <col min="6590" max="6590" width="3" customWidth="1"/>
    <col min="6591" max="6591" width="39.6640625" customWidth="1"/>
    <col min="6592" max="6592" width="5.6640625" customWidth="1"/>
    <col min="6593" max="6593" width="35.6640625" customWidth="1"/>
    <col min="6597" max="6597" width="44.6640625" customWidth="1"/>
    <col min="6605" max="6605" width="88.6640625" customWidth="1"/>
    <col min="6839" max="6840" width="35.6640625" customWidth="1"/>
    <col min="6841" max="6841" width="25.6640625" customWidth="1"/>
    <col min="6846" max="6846" width="3" customWidth="1"/>
    <col min="6847" max="6847" width="39.6640625" customWidth="1"/>
    <col min="6848" max="6848" width="5.6640625" customWidth="1"/>
    <col min="6849" max="6849" width="35.6640625" customWidth="1"/>
    <col min="6853" max="6853" width="44.6640625" customWidth="1"/>
    <col min="6861" max="6861" width="88.6640625" customWidth="1"/>
    <col min="7095" max="7096" width="35.6640625" customWidth="1"/>
    <col min="7097" max="7097" width="25.6640625" customWidth="1"/>
    <col min="7102" max="7102" width="3" customWidth="1"/>
    <col min="7103" max="7103" width="39.6640625" customWidth="1"/>
    <col min="7104" max="7104" width="5.6640625" customWidth="1"/>
    <col min="7105" max="7105" width="35.6640625" customWidth="1"/>
    <col min="7109" max="7109" width="44.6640625" customWidth="1"/>
    <col min="7117" max="7117" width="88.6640625" customWidth="1"/>
    <col min="7351" max="7352" width="35.6640625" customWidth="1"/>
    <col min="7353" max="7353" width="25.6640625" customWidth="1"/>
    <col min="7358" max="7358" width="3" customWidth="1"/>
    <col min="7359" max="7359" width="39.6640625" customWidth="1"/>
    <col min="7360" max="7360" width="5.6640625" customWidth="1"/>
    <col min="7361" max="7361" width="35.6640625" customWidth="1"/>
    <col min="7365" max="7365" width="44.6640625" customWidth="1"/>
    <col min="7373" max="7373" width="88.6640625" customWidth="1"/>
    <col min="7607" max="7608" width="35.6640625" customWidth="1"/>
    <col min="7609" max="7609" width="25.6640625" customWidth="1"/>
    <col min="7614" max="7614" width="3" customWidth="1"/>
    <col min="7615" max="7615" width="39.6640625" customWidth="1"/>
    <col min="7616" max="7616" width="5.6640625" customWidth="1"/>
    <col min="7617" max="7617" width="35.6640625" customWidth="1"/>
    <col min="7621" max="7621" width="44.6640625" customWidth="1"/>
    <col min="7629" max="7629" width="88.6640625" customWidth="1"/>
    <col min="7863" max="7864" width="35.6640625" customWidth="1"/>
    <col min="7865" max="7865" width="25.6640625" customWidth="1"/>
    <col min="7870" max="7870" width="3" customWidth="1"/>
    <col min="7871" max="7871" width="39.6640625" customWidth="1"/>
    <col min="7872" max="7872" width="5.6640625" customWidth="1"/>
    <col min="7873" max="7873" width="35.6640625" customWidth="1"/>
    <col min="7877" max="7877" width="44.6640625" customWidth="1"/>
    <col min="7885" max="7885" width="88.6640625" customWidth="1"/>
    <col min="8119" max="8120" width="35.6640625" customWidth="1"/>
    <col min="8121" max="8121" width="25.6640625" customWidth="1"/>
    <col min="8126" max="8126" width="3" customWidth="1"/>
    <col min="8127" max="8127" width="39.6640625" customWidth="1"/>
    <col min="8128" max="8128" width="5.6640625" customWidth="1"/>
    <col min="8129" max="8129" width="35.6640625" customWidth="1"/>
    <col min="8133" max="8133" width="44.6640625" customWidth="1"/>
    <col min="8141" max="8141" width="88.6640625" customWidth="1"/>
    <col min="8375" max="8376" width="35.6640625" customWidth="1"/>
    <col min="8377" max="8377" width="25.6640625" customWidth="1"/>
    <col min="8382" max="8382" width="3" customWidth="1"/>
    <col min="8383" max="8383" width="39.6640625" customWidth="1"/>
    <col min="8384" max="8384" width="5.6640625" customWidth="1"/>
    <col min="8385" max="8385" width="35.6640625" customWidth="1"/>
    <col min="8389" max="8389" width="44.6640625" customWidth="1"/>
    <col min="8397" max="8397" width="88.6640625" customWidth="1"/>
    <col min="8631" max="8632" width="35.6640625" customWidth="1"/>
    <col min="8633" max="8633" width="25.6640625" customWidth="1"/>
    <col min="8638" max="8638" width="3" customWidth="1"/>
    <col min="8639" max="8639" width="39.6640625" customWidth="1"/>
    <col min="8640" max="8640" width="5.6640625" customWidth="1"/>
    <col min="8641" max="8641" width="35.6640625" customWidth="1"/>
    <col min="8645" max="8645" width="44.6640625" customWidth="1"/>
    <col min="8653" max="8653" width="88.6640625" customWidth="1"/>
    <col min="8887" max="8888" width="35.6640625" customWidth="1"/>
    <col min="8889" max="8889" width="25.6640625" customWidth="1"/>
    <col min="8894" max="8894" width="3" customWidth="1"/>
    <col min="8895" max="8895" width="39.6640625" customWidth="1"/>
    <col min="8896" max="8896" width="5.6640625" customWidth="1"/>
    <col min="8897" max="8897" width="35.6640625" customWidth="1"/>
    <col min="8901" max="8901" width="44.6640625" customWidth="1"/>
    <col min="8909" max="8909" width="88.6640625" customWidth="1"/>
    <col min="9143" max="9144" width="35.6640625" customWidth="1"/>
    <col min="9145" max="9145" width="25.6640625" customWidth="1"/>
    <col min="9150" max="9150" width="3" customWidth="1"/>
    <col min="9151" max="9151" width="39.6640625" customWidth="1"/>
    <col min="9152" max="9152" width="5.6640625" customWidth="1"/>
    <col min="9153" max="9153" width="35.6640625" customWidth="1"/>
    <col min="9157" max="9157" width="44.6640625" customWidth="1"/>
    <col min="9165" max="9165" width="88.6640625" customWidth="1"/>
    <col min="9399" max="9400" width="35.6640625" customWidth="1"/>
    <col min="9401" max="9401" width="25.6640625" customWidth="1"/>
    <col min="9406" max="9406" width="3" customWidth="1"/>
    <col min="9407" max="9407" width="39.6640625" customWidth="1"/>
    <col min="9408" max="9408" width="5.6640625" customWidth="1"/>
    <col min="9409" max="9409" width="35.6640625" customWidth="1"/>
    <col min="9413" max="9413" width="44.6640625" customWidth="1"/>
    <col min="9421" max="9421" width="88.6640625" customWidth="1"/>
    <col min="9655" max="9656" width="35.6640625" customWidth="1"/>
    <col min="9657" max="9657" width="25.6640625" customWidth="1"/>
    <col min="9662" max="9662" width="3" customWidth="1"/>
    <col min="9663" max="9663" width="39.6640625" customWidth="1"/>
    <col min="9664" max="9664" width="5.6640625" customWidth="1"/>
    <col min="9665" max="9665" width="35.6640625" customWidth="1"/>
    <col min="9669" max="9669" width="44.6640625" customWidth="1"/>
    <col min="9677" max="9677" width="88.6640625" customWidth="1"/>
    <col min="9911" max="9912" width="35.6640625" customWidth="1"/>
    <col min="9913" max="9913" width="25.6640625" customWidth="1"/>
    <col min="9918" max="9918" width="3" customWidth="1"/>
    <col min="9919" max="9919" width="39.6640625" customWidth="1"/>
    <col min="9920" max="9920" width="5.6640625" customWidth="1"/>
    <col min="9921" max="9921" width="35.6640625" customWidth="1"/>
    <col min="9925" max="9925" width="44.6640625" customWidth="1"/>
    <col min="9933" max="9933" width="88.6640625" customWidth="1"/>
    <col min="10167" max="10168" width="35.6640625" customWidth="1"/>
    <col min="10169" max="10169" width="25.6640625" customWidth="1"/>
    <col min="10174" max="10174" width="3" customWidth="1"/>
    <col min="10175" max="10175" width="39.6640625" customWidth="1"/>
    <col min="10176" max="10176" width="5.6640625" customWidth="1"/>
    <col min="10177" max="10177" width="35.6640625" customWidth="1"/>
    <col min="10181" max="10181" width="44.6640625" customWidth="1"/>
    <col min="10189" max="10189" width="88.6640625" customWidth="1"/>
    <col min="10423" max="10424" width="35.6640625" customWidth="1"/>
    <col min="10425" max="10425" width="25.6640625" customWidth="1"/>
    <col min="10430" max="10430" width="3" customWidth="1"/>
    <col min="10431" max="10431" width="39.6640625" customWidth="1"/>
    <col min="10432" max="10432" width="5.6640625" customWidth="1"/>
    <col min="10433" max="10433" width="35.6640625" customWidth="1"/>
    <col min="10437" max="10437" width="44.6640625" customWidth="1"/>
    <col min="10445" max="10445" width="88.6640625" customWidth="1"/>
    <col min="10679" max="10680" width="35.6640625" customWidth="1"/>
    <col min="10681" max="10681" width="25.6640625" customWidth="1"/>
    <col min="10686" max="10686" width="3" customWidth="1"/>
    <col min="10687" max="10687" width="39.6640625" customWidth="1"/>
    <col min="10688" max="10688" width="5.6640625" customWidth="1"/>
    <col min="10689" max="10689" width="35.6640625" customWidth="1"/>
    <col min="10693" max="10693" width="44.6640625" customWidth="1"/>
    <col min="10701" max="10701" width="88.6640625" customWidth="1"/>
    <col min="10935" max="10936" width="35.6640625" customWidth="1"/>
    <col min="10937" max="10937" width="25.6640625" customWidth="1"/>
    <col min="10942" max="10942" width="3" customWidth="1"/>
    <col min="10943" max="10943" width="39.6640625" customWidth="1"/>
    <col min="10944" max="10944" width="5.6640625" customWidth="1"/>
    <col min="10945" max="10945" width="35.6640625" customWidth="1"/>
    <col min="10949" max="10949" width="44.6640625" customWidth="1"/>
    <col min="10957" max="10957" width="88.6640625" customWidth="1"/>
    <col min="11191" max="11192" width="35.6640625" customWidth="1"/>
    <col min="11193" max="11193" width="25.6640625" customWidth="1"/>
    <col min="11198" max="11198" width="3" customWidth="1"/>
    <col min="11199" max="11199" width="39.6640625" customWidth="1"/>
    <col min="11200" max="11200" width="5.6640625" customWidth="1"/>
    <col min="11201" max="11201" width="35.6640625" customWidth="1"/>
    <col min="11205" max="11205" width="44.6640625" customWidth="1"/>
    <col min="11213" max="11213" width="88.6640625" customWidth="1"/>
    <col min="11447" max="11448" width="35.6640625" customWidth="1"/>
    <col min="11449" max="11449" width="25.6640625" customWidth="1"/>
    <col min="11454" max="11454" width="3" customWidth="1"/>
    <col min="11455" max="11455" width="39.6640625" customWidth="1"/>
    <col min="11456" max="11456" width="5.6640625" customWidth="1"/>
    <col min="11457" max="11457" width="35.6640625" customWidth="1"/>
    <col min="11461" max="11461" width="44.6640625" customWidth="1"/>
    <col min="11469" max="11469" width="88.6640625" customWidth="1"/>
    <col min="11703" max="11704" width="35.6640625" customWidth="1"/>
    <col min="11705" max="11705" width="25.6640625" customWidth="1"/>
    <col min="11710" max="11710" width="3" customWidth="1"/>
    <col min="11711" max="11711" width="39.6640625" customWidth="1"/>
    <col min="11712" max="11712" width="5.6640625" customWidth="1"/>
    <col min="11713" max="11713" width="35.6640625" customWidth="1"/>
    <col min="11717" max="11717" width="44.6640625" customWidth="1"/>
    <col min="11725" max="11725" width="88.6640625" customWidth="1"/>
    <col min="11959" max="11960" width="35.6640625" customWidth="1"/>
    <col min="11961" max="11961" width="25.6640625" customWidth="1"/>
    <col min="11966" max="11966" width="3" customWidth="1"/>
    <col min="11967" max="11967" width="39.6640625" customWidth="1"/>
    <col min="11968" max="11968" width="5.6640625" customWidth="1"/>
    <col min="11969" max="11969" width="35.6640625" customWidth="1"/>
    <col min="11973" max="11973" width="44.6640625" customWidth="1"/>
    <col min="11981" max="11981" width="88.6640625" customWidth="1"/>
    <col min="12215" max="12216" width="35.6640625" customWidth="1"/>
    <col min="12217" max="12217" width="25.6640625" customWidth="1"/>
    <col min="12222" max="12222" width="3" customWidth="1"/>
    <col min="12223" max="12223" width="39.6640625" customWidth="1"/>
    <col min="12224" max="12224" width="5.6640625" customWidth="1"/>
    <col min="12225" max="12225" width="35.6640625" customWidth="1"/>
    <col min="12229" max="12229" width="44.6640625" customWidth="1"/>
    <col min="12237" max="12237" width="88.6640625" customWidth="1"/>
    <col min="12471" max="12472" width="35.6640625" customWidth="1"/>
    <col min="12473" max="12473" width="25.6640625" customWidth="1"/>
    <col min="12478" max="12478" width="3" customWidth="1"/>
    <col min="12479" max="12479" width="39.6640625" customWidth="1"/>
    <col min="12480" max="12480" width="5.6640625" customWidth="1"/>
    <col min="12481" max="12481" width="35.6640625" customWidth="1"/>
    <col min="12485" max="12485" width="44.6640625" customWidth="1"/>
    <col min="12493" max="12493" width="88.6640625" customWidth="1"/>
    <col min="12727" max="12728" width="35.6640625" customWidth="1"/>
    <col min="12729" max="12729" width="25.6640625" customWidth="1"/>
    <col min="12734" max="12734" width="3" customWidth="1"/>
    <col min="12735" max="12735" width="39.6640625" customWidth="1"/>
    <col min="12736" max="12736" width="5.6640625" customWidth="1"/>
    <col min="12737" max="12737" width="35.6640625" customWidth="1"/>
    <col min="12741" max="12741" width="44.6640625" customWidth="1"/>
    <col min="12749" max="12749" width="88.6640625" customWidth="1"/>
    <col min="12983" max="12984" width="35.6640625" customWidth="1"/>
    <col min="12985" max="12985" width="25.6640625" customWidth="1"/>
    <col min="12990" max="12990" width="3" customWidth="1"/>
    <col min="12991" max="12991" width="39.6640625" customWidth="1"/>
    <col min="12992" max="12992" width="5.6640625" customWidth="1"/>
    <col min="12993" max="12993" width="35.6640625" customWidth="1"/>
    <col min="12997" max="12997" width="44.6640625" customWidth="1"/>
    <col min="13005" max="13005" width="88.6640625" customWidth="1"/>
    <col min="13239" max="13240" width="35.6640625" customWidth="1"/>
    <col min="13241" max="13241" width="25.6640625" customWidth="1"/>
    <col min="13246" max="13246" width="3" customWidth="1"/>
    <col min="13247" max="13247" width="39.6640625" customWidth="1"/>
    <col min="13248" max="13248" width="5.6640625" customWidth="1"/>
    <col min="13249" max="13249" width="35.6640625" customWidth="1"/>
    <col min="13253" max="13253" width="44.6640625" customWidth="1"/>
    <col min="13261" max="13261" width="88.6640625" customWidth="1"/>
    <col min="13495" max="13496" width="35.6640625" customWidth="1"/>
    <col min="13497" max="13497" width="25.6640625" customWidth="1"/>
    <col min="13502" max="13502" width="3" customWidth="1"/>
    <col min="13503" max="13503" width="39.6640625" customWidth="1"/>
    <col min="13504" max="13504" width="5.6640625" customWidth="1"/>
    <col min="13505" max="13505" width="35.6640625" customWidth="1"/>
    <col min="13509" max="13509" width="44.6640625" customWidth="1"/>
    <col min="13517" max="13517" width="88.6640625" customWidth="1"/>
    <col min="13751" max="13752" width="35.6640625" customWidth="1"/>
    <col min="13753" max="13753" width="25.6640625" customWidth="1"/>
    <col min="13758" max="13758" width="3" customWidth="1"/>
    <col min="13759" max="13759" width="39.6640625" customWidth="1"/>
    <col min="13760" max="13760" width="5.6640625" customWidth="1"/>
    <col min="13761" max="13761" width="35.6640625" customWidth="1"/>
    <col min="13765" max="13765" width="44.6640625" customWidth="1"/>
    <col min="13773" max="13773" width="88.6640625" customWidth="1"/>
    <col min="14007" max="14008" width="35.6640625" customWidth="1"/>
    <col min="14009" max="14009" width="25.6640625" customWidth="1"/>
    <col min="14014" max="14014" width="3" customWidth="1"/>
    <col min="14015" max="14015" width="39.6640625" customWidth="1"/>
    <col min="14016" max="14016" width="5.6640625" customWidth="1"/>
    <col min="14017" max="14017" width="35.6640625" customWidth="1"/>
    <col min="14021" max="14021" width="44.6640625" customWidth="1"/>
    <col min="14029" max="14029" width="88.6640625" customWidth="1"/>
    <col min="14263" max="14264" width="35.6640625" customWidth="1"/>
    <col min="14265" max="14265" width="25.6640625" customWidth="1"/>
    <col min="14270" max="14270" width="3" customWidth="1"/>
    <col min="14271" max="14271" width="39.6640625" customWidth="1"/>
    <col min="14272" max="14272" width="5.6640625" customWidth="1"/>
    <col min="14273" max="14273" width="35.6640625" customWidth="1"/>
    <col min="14277" max="14277" width="44.6640625" customWidth="1"/>
    <col min="14285" max="14285" width="88.6640625" customWidth="1"/>
    <col min="14519" max="14520" width="35.6640625" customWidth="1"/>
    <col min="14521" max="14521" width="25.6640625" customWidth="1"/>
    <col min="14526" max="14526" width="3" customWidth="1"/>
    <col min="14527" max="14527" width="39.6640625" customWidth="1"/>
    <col min="14528" max="14528" width="5.6640625" customWidth="1"/>
    <col min="14529" max="14529" width="35.6640625" customWidth="1"/>
    <col min="14533" max="14533" width="44.6640625" customWidth="1"/>
    <col min="14541" max="14541" width="88.6640625" customWidth="1"/>
    <col min="14775" max="14776" width="35.6640625" customWidth="1"/>
    <col min="14777" max="14777" width="25.6640625" customWidth="1"/>
    <col min="14782" max="14782" width="3" customWidth="1"/>
    <col min="14783" max="14783" width="39.6640625" customWidth="1"/>
    <col min="14784" max="14784" width="5.6640625" customWidth="1"/>
    <col min="14785" max="14785" width="35.6640625" customWidth="1"/>
    <col min="14789" max="14789" width="44.6640625" customWidth="1"/>
    <col min="14797" max="14797" width="88.6640625" customWidth="1"/>
    <col min="15031" max="15032" width="35.6640625" customWidth="1"/>
    <col min="15033" max="15033" width="25.6640625" customWidth="1"/>
    <col min="15038" max="15038" width="3" customWidth="1"/>
    <col min="15039" max="15039" width="39.6640625" customWidth="1"/>
    <col min="15040" max="15040" width="5.6640625" customWidth="1"/>
    <col min="15041" max="15041" width="35.6640625" customWidth="1"/>
    <col min="15045" max="15045" width="44.6640625" customWidth="1"/>
    <col min="15053" max="15053" width="88.6640625" customWidth="1"/>
    <col min="15287" max="15288" width="35.6640625" customWidth="1"/>
    <col min="15289" max="15289" width="25.6640625" customWidth="1"/>
    <col min="15294" max="15294" width="3" customWidth="1"/>
    <col min="15295" max="15295" width="39.6640625" customWidth="1"/>
    <col min="15296" max="15296" width="5.6640625" customWidth="1"/>
    <col min="15297" max="15297" width="35.6640625" customWidth="1"/>
    <col min="15301" max="15301" width="44.6640625" customWidth="1"/>
    <col min="15309" max="15309" width="88.6640625" customWidth="1"/>
    <col min="15543" max="15544" width="35.6640625" customWidth="1"/>
    <col min="15545" max="15545" width="25.6640625" customWidth="1"/>
    <col min="15550" max="15550" width="3" customWidth="1"/>
    <col min="15551" max="15551" width="39.6640625" customWidth="1"/>
    <col min="15552" max="15552" width="5.6640625" customWidth="1"/>
    <col min="15553" max="15553" width="35.6640625" customWidth="1"/>
    <col min="15557" max="15557" width="44.6640625" customWidth="1"/>
    <col min="15565" max="15565" width="88.6640625" customWidth="1"/>
    <col min="15799" max="15800" width="35.6640625" customWidth="1"/>
    <col min="15801" max="15801" width="25.6640625" customWidth="1"/>
    <col min="15806" max="15806" width="3" customWidth="1"/>
    <col min="15807" max="15807" width="39.6640625" customWidth="1"/>
    <col min="15808" max="15808" width="5.6640625" customWidth="1"/>
    <col min="15809" max="15809" width="35.6640625" customWidth="1"/>
    <col min="15813" max="15813" width="44.6640625" customWidth="1"/>
    <col min="15821" max="15821" width="88.6640625" customWidth="1"/>
    <col min="16055" max="16056" width="35.6640625" customWidth="1"/>
    <col min="16057" max="16057" width="25.6640625" customWidth="1"/>
    <col min="16062" max="16062" width="3" customWidth="1"/>
    <col min="16063" max="16063" width="39.6640625" customWidth="1"/>
    <col min="16064" max="16064" width="5.6640625" customWidth="1"/>
    <col min="16065" max="16065" width="35.6640625" customWidth="1"/>
    <col min="16069" max="16069" width="44.6640625" customWidth="1"/>
    <col min="16077" max="16077" width="88.6640625" customWidth="1"/>
  </cols>
  <sheetData>
    <row r="1" spans="1:4" ht="18">
      <c r="A1" s="11" t="s">
        <v>0</v>
      </c>
      <c r="B1" s="166"/>
      <c r="C1" s="166"/>
      <c r="D1" s="166"/>
    </row>
    <row r="2" spans="1:4" ht="18">
      <c r="A2" s="166" t="s">
        <v>1</v>
      </c>
      <c r="B2" s="166"/>
      <c r="C2" s="166"/>
      <c r="D2" s="166"/>
    </row>
    <row r="3" spans="1:4" ht="23.4">
      <c r="A3" s="166" t="s">
        <v>2</v>
      </c>
      <c r="C3" s="30" t="str">
        <f>+'jobinfo(2)'!$B$27</f>
        <v xml:space="preserve">Claim # </v>
      </c>
      <c r="D3" s="100" t="str">
        <f>+'jobinfo(2)'!$C$27</f>
        <v>3571C126N</v>
      </c>
    </row>
    <row r="4" spans="1:4" ht="18">
      <c r="A4" s="166"/>
    </row>
    <row r="5" spans="1:4" ht="18">
      <c r="A5" s="166"/>
    </row>
    <row r="6" spans="1:4" ht="18" customHeight="1">
      <c r="A6" s="183" t="str">
        <f>+'jobinfo(2)'!C100</f>
        <v>All Phase Consulting, LLC</v>
      </c>
      <c r="B6" s="184"/>
      <c r="C6" s="184"/>
      <c r="D6" s="184"/>
    </row>
    <row r="7" spans="1:4" ht="18" customHeight="1">
      <c r="A7" s="185" t="str">
        <f>+'jobinfo(2)'!C101</f>
        <v>WWW.MYAPCLLC.COM</v>
      </c>
      <c r="B7" s="185"/>
      <c r="C7" s="186" t="str">
        <f>+'jobinfo(2)'!C102</f>
        <v>Insured  &amp; GA Registered #09073201</v>
      </c>
      <c r="D7" s="187"/>
    </row>
    <row r="8" spans="1:4" ht="18" customHeight="1">
      <c r="A8" s="104" t="str">
        <f>+'jobinfo(2)'!C105</f>
        <v>ECI 531 FIFTH AVE,</v>
      </c>
      <c r="B8" s="188" t="str">
        <f>+'jobinfo(2)'!C103</f>
        <v>375 Rockbridge Road, Suite 172-343</v>
      </c>
      <c r="C8" s="189"/>
      <c r="D8" s="105" t="str">
        <f>+'jobinfo(2)'!C107</f>
        <v>20810 Aurora Rd</v>
      </c>
    </row>
    <row r="9" spans="1:4" ht="18" customHeight="1">
      <c r="A9" s="105" t="str">
        <f>+'jobinfo(2)'!C106</f>
        <v>PELHAM, NY 10803</v>
      </c>
      <c r="B9" s="188" t="str">
        <f>+'jobinfo(2)'!C104</f>
        <v>Lilburn, GA, 30047</v>
      </c>
      <c r="C9" s="189"/>
      <c r="D9" s="105" t="str">
        <f>+'jobinfo(2)'!C108</f>
        <v>Bedford, OH 44146 </v>
      </c>
    </row>
    <row r="10" spans="1:4" ht="18" customHeight="1">
      <c r="A10" s="105"/>
      <c r="B10" s="160"/>
      <c r="C10" s="161"/>
      <c r="D10" s="105"/>
    </row>
    <row r="11" spans="1:4" ht="21.9" customHeight="1">
      <c r="A11" s="190" t="str">
        <f>+'jobinfo(2)'!C109</f>
        <v>Providing Cost Estimating &amp; Project Management Services</v>
      </c>
      <c r="B11" s="190"/>
      <c r="C11" s="190"/>
      <c r="D11" s="190"/>
    </row>
    <row r="12" spans="1:4" ht="18" customHeight="1">
      <c r="A12" s="193" t="str">
        <f>+'jobinfo(2)'!C111</f>
        <v>Five Generations of Pride &amp; Skills</v>
      </c>
      <c r="B12" s="194"/>
      <c r="C12" s="191" t="str">
        <f>+'jobinfo(2)'!C110</f>
        <v>Five Generations of Great Work</v>
      </c>
      <c r="D12" s="192"/>
    </row>
    <row r="13" spans="1:4" ht="21.9" customHeight="1">
      <c r="A13" s="2" t="s">
        <v>3</v>
      </c>
      <c r="B13" s="106" t="str">
        <f>+'jobinfo(2)'!C112</f>
        <v>Joe Jones, PM  216.450.7228</v>
      </c>
      <c r="C13" s="186" t="str">
        <f>+'jobinfo(2)'!C113</f>
        <v>wsbjoe9@gmail.com</v>
      </c>
      <c r="D13" s="187"/>
    </row>
    <row r="14" spans="1:4" ht="21.9" customHeight="1">
      <c r="A14" s="2" t="s">
        <v>4</v>
      </c>
      <c r="B14" s="107" t="str">
        <f>+'jobinfo(2)'!C114</f>
        <v>404-446-9060</v>
      </c>
      <c r="C14" s="186" t="str">
        <f>+'jobinfo(2)'!C115</f>
        <v>info@myapcllc.com</v>
      </c>
      <c r="D14" s="195"/>
    </row>
    <row r="15" spans="1:4" ht="21.9" customHeight="1">
      <c r="A15" s="18" t="s">
        <v>5</v>
      </c>
      <c r="B15" s="108" t="str">
        <f>+'jobinfo(2)'!C116</f>
        <v>TIN 83-226 0563</v>
      </c>
      <c r="C15" s="38" t="s">
        <v>6</v>
      </c>
      <c r="D15" s="37" t="s">
        <v>7</v>
      </c>
    </row>
    <row r="16" spans="1:4" ht="4.95" customHeight="1">
      <c r="A16" s="18"/>
      <c r="B16" s="31"/>
      <c r="C16" s="31"/>
      <c r="D16" s="31"/>
    </row>
    <row r="17" spans="1:4" ht="22.2" customHeight="1">
      <c r="A17" s="99" t="s">
        <v>8</v>
      </c>
      <c r="B17" s="99"/>
      <c r="C17" s="96"/>
      <c r="D17" s="19"/>
    </row>
    <row r="18" spans="1:4" ht="22.2" customHeight="1">
      <c r="A18" s="20" t="str">
        <f>+'jobinfo(2)'!B1</f>
        <v>Property-Owner Name</v>
      </c>
      <c r="B18" s="21" t="str">
        <f>+'jobinfo(2)'!C1</f>
        <v>Hendking, Anthony&amp;Carlena</v>
      </c>
      <c r="C18" s="20" t="str">
        <f>+'jobinfo(2)'!B5</f>
        <v>Cst-owner Phone#</v>
      </c>
      <c r="D18" s="21">
        <f>+'jobinfo(2)'!C5</f>
        <v>2166819181</v>
      </c>
    </row>
    <row r="19" spans="1:4" ht="22.2" customHeight="1">
      <c r="A19" s="20" t="str">
        <f>+'jobinfo(2)'!B2</f>
        <v>Property address: street</v>
      </c>
      <c r="B19" s="21" t="str">
        <f>+'jobinfo(2)'!C2</f>
        <v xml:space="preserve">3806 Meadowbrook Blvd, </v>
      </c>
      <c r="C19" s="20" t="str">
        <f>+'jobinfo(2)'!B6</f>
        <v>Co-Owner.cst#2</v>
      </c>
      <c r="D19" s="21" t="str">
        <f>+'jobinfo(2)'!C6</f>
        <v>MRS</v>
      </c>
    </row>
    <row r="20" spans="1:4" ht="22.2" customHeight="1">
      <c r="A20" s="20" t="str">
        <f>+'jobinfo(2)'!B3</f>
        <v>Property city, state, zip</v>
      </c>
      <c r="B20" s="21" t="str">
        <f>+'jobinfo(2)'!C3</f>
        <v xml:space="preserve"> University Heights, OH 44117</v>
      </c>
      <c r="C20" s="22" t="str">
        <f>+'jobinfo(2)'!B6</f>
        <v>Co-Owner.cst#2</v>
      </c>
      <c r="D20" s="22">
        <f>+'jobinfo(2)'!C10</f>
        <v>0</v>
      </c>
    </row>
    <row r="21" spans="1:4" ht="22.2" customHeight="1">
      <c r="A21" s="20" t="str">
        <f>+'jobinfo(2)'!B4</f>
        <v>Customer Email</v>
      </c>
      <c r="B21" s="21" t="str">
        <f>+'jobinfo(2)'!C4</f>
        <v>Hendkingsr@yahoo.com</v>
      </c>
      <c r="C21" s="22" t="str">
        <f>+'jobinfo(2)'!B7</f>
        <v>cst ph # 2</v>
      </c>
      <c r="D21" s="22">
        <f>+'jobinfo(2)'!C7</f>
        <v>0</v>
      </c>
    </row>
    <row r="22" spans="1:4" ht="22.2" customHeight="1">
      <c r="A22" s="30" t="str">
        <f>+'jobinfo(2)'!$B$27</f>
        <v xml:space="preserve">Claim # </v>
      </c>
      <c r="B22" s="100" t="str">
        <f>+'jobinfo(2)'!$C$27</f>
        <v>3571C126N</v>
      </c>
      <c r="C22" s="26" t="str">
        <f>+'jobinfo(2)'!B28</f>
        <v>policy #</v>
      </c>
      <c r="D22" s="26" t="str">
        <f>+'jobinfo(2)'!C28</f>
        <v>PL#</v>
      </c>
    </row>
    <row r="23" spans="1:4" ht="22.2" customHeight="1">
      <c r="A23" s="16"/>
      <c r="B23" s="16"/>
      <c r="C23" s="16"/>
      <c r="D23" s="16"/>
    </row>
    <row r="24" spans="1:4" ht="33" customHeight="1">
      <c r="A24" s="14" t="s">
        <v>9</v>
      </c>
      <c r="B24" s="16"/>
      <c r="C24" s="16"/>
      <c r="D24" s="16"/>
    </row>
    <row r="25" spans="1:4" ht="22.2" customHeight="1">
      <c r="A25" s="17" t="s">
        <v>10</v>
      </c>
      <c r="B25" s="16"/>
      <c r="C25" s="16"/>
      <c r="D25" s="16"/>
    </row>
    <row r="26" spans="1:4" ht="22.2" customHeight="1">
      <c r="A26" s="166" t="s">
        <v>11</v>
      </c>
      <c r="B26" s="16"/>
      <c r="C26" s="16"/>
      <c r="D26" s="16"/>
    </row>
    <row r="27" spans="1:4" ht="43.95" customHeight="1">
      <c r="A27" s="182" t="s">
        <v>12</v>
      </c>
      <c r="B27" s="182"/>
      <c r="C27" s="182"/>
      <c r="D27" s="182"/>
    </row>
    <row r="28" spans="1:4" ht="33" customHeight="1">
      <c r="A28" s="82"/>
      <c r="B28" s="82"/>
      <c r="C28" s="82"/>
      <c r="D28" s="82"/>
    </row>
    <row r="29" spans="1:4" ht="54.9" customHeight="1">
      <c r="A29" s="179" t="s">
        <v>13</v>
      </c>
      <c r="B29" s="179"/>
      <c r="C29" s="179"/>
      <c r="D29" s="179"/>
    </row>
    <row r="30" spans="1:4" ht="43.95" customHeight="1">
      <c r="A30" s="170"/>
      <c r="B30" s="170"/>
      <c r="C30" s="170"/>
      <c r="D30" s="170"/>
    </row>
    <row r="31" spans="1:4" ht="54.9" customHeight="1">
      <c r="A31" s="181" t="s">
        <v>14</v>
      </c>
      <c r="B31" s="181"/>
      <c r="C31" s="181"/>
      <c r="D31" s="181"/>
    </row>
    <row r="32" spans="1:4" ht="28.95" customHeight="1">
      <c r="A32" s="17" t="s">
        <v>15</v>
      </c>
      <c r="B32" s="16"/>
      <c r="C32" s="16"/>
      <c r="D32" s="16"/>
    </row>
    <row r="33" spans="1:4" ht="43.95" customHeight="1">
      <c r="A33" s="180" t="s">
        <v>16</v>
      </c>
      <c r="B33" s="180"/>
      <c r="C33" s="180"/>
      <c r="D33" s="180"/>
    </row>
  </sheetData>
  <mergeCells count="14">
    <mergeCell ref="A29:D29"/>
    <mergeCell ref="A33:D33"/>
    <mergeCell ref="A31:D31"/>
    <mergeCell ref="A27:D27"/>
    <mergeCell ref="A6:D6"/>
    <mergeCell ref="A7:B7"/>
    <mergeCell ref="C7:D7"/>
    <mergeCell ref="B8:C8"/>
    <mergeCell ref="B9:C9"/>
    <mergeCell ref="A11:D11"/>
    <mergeCell ref="C12:D12"/>
    <mergeCell ref="A12:B12"/>
    <mergeCell ref="C13:D13"/>
    <mergeCell ref="C14:D14"/>
  </mergeCells>
  <hyperlinks>
    <hyperlink ref="C13" r:id="rId1" display="wsbjoe9@gmail.com" xr:uid="{8143BE3D-64F2-471C-A967-DFC0AC5F9A03}"/>
    <hyperlink ref="C14" r:id="rId2" display="ddevonJohnson@gmail.com" xr:uid="{0766F370-2303-4BE6-95D1-43150B63222C}"/>
    <hyperlink ref="C7" r:id="rId3" display="info@myapcllc.com" xr:uid="{EFF97EF8-D2E7-4B18-BA81-2F0820D42544}"/>
  </hyperlinks>
  <printOptions horizontalCentered="1" verticalCentered="1"/>
  <pageMargins left="0.32" right="0.17" top="0.26" bottom="0.28000000000000003" header="0.11" footer="0.04"/>
  <pageSetup scale="89" orientation="portrait" r:id="rId4"/>
  <headerFooter differentFirst="1">
    <oddFooter>&amp;L
&amp;C
&amp;R
Page  #  &amp;P         &amp;F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E40DB-2EF6-45F0-8AC0-0307EBFA7235}">
  <sheetPr codeName="Sheet2"/>
  <dimension ref="A1:E16"/>
  <sheetViews>
    <sheetView topLeftCell="A5" zoomScaleNormal="100" workbookViewId="0">
      <selection activeCell="A19" sqref="A19"/>
    </sheetView>
  </sheetViews>
  <sheetFormatPr defaultColWidth="6.5546875" defaultRowHeight="13.2"/>
  <cols>
    <col min="1" max="1" width="5.44140625" style="109" customWidth="1"/>
    <col min="2" max="2" width="82.33203125" style="109" customWidth="1"/>
    <col min="3" max="3" width="9.6640625" style="109" customWidth="1"/>
    <col min="4" max="16384" width="6.5546875" style="109"/>
  </cols>
  <sheetData>
    <row r="1" spans="1:5" ht="43.95" customHeight="1">
      <c r="A1" s="197" t="s">
        <v>17</v>
      </c>
      <c r="B1" s="197"/>
      <c r="C1" s="197"/>
    </row>
    <row r="2" spans="1:5" ht="43.95" customHeight="1">
      <c r="A2" s="198" t="s">
        <v>18</v>
      </c>
      <c r="B2" s="198"/>
      <c r="C2" s="198"/>
    </row>
    <row r="3" spans="1:5" ht="33" customHeight="1">
      <c r="A3" s="159"/>
      <c r="B3" s="159"/>
      <c r="C3" s="159"/>
    </row>
    <row r="4" spans="1:5" ht="66" customHeight="1">
      <c r="A4" s="110"/>
      <c r="B4" s="115" t="s">
        <v>19</v>
      </c>
      <c r="C4" s="114"/>
      <c r="D4" s="114"/>
    </row>
    <row r="5" spans="1:5" ht="55.2" customHeight="1">
      <c r="A5" s="110" t="s">
        <v>20</v>
      </c>
      <c r="B5" s="196" t="s">
        <v>21</v>
      </c>
      <c r="C5" s="196"/>
      <c r="D5" s="112"/>
    </row>
    <row r="6" spans="1:5" ht="88.2" customHeight="1">
      <c r="A6" s="110"/>
      <c r="B6" s="116" t="s">
        <v>22</v>
      </c>
      <c r="C6" s="113"/>
      <c r="D6" s="113"/>
    </row>
    <row r="7" spans="1:5" ht="66" customHeight="1">
      <c r="A7" s="163" t="s">
        <v>20</v>
      </c>
      <c r="B7" s="196" t="s">
        <v>23</v>
      </c>
      <c r="C7" s="196"/>
      <c r="D7" s="112"/>
      <c r="E7" s="164"/>
    </row>
    <row r="8" spans="1:5" ht="33" customHeight="1">
      <c r="A8" s="110"/>
      <c r="B8" s="116"/>
      <c r="C8" s="113"/>
      <c r="D8" s="113"/>
    </row>
    <row r="9" spans="1:5" ht="66" customHeight="1">
      <c r="A9" s="110"/>
      <c r="B9" s="113" t="s">
        <v>24</v>
      </c>
      <c r="C9" s="113"/>
      <c r="D9" s="113"/>
      <c r="E9" s="113"/>
    </row>
    <row r="10" spans="1:5" ht="81.599999999999994" customHeight="1">
      <c r="A10" s="110"/>
      <c r="B10" s="165" t="s">
        <v>25</v>
      </c>
      <c r="C10" s="165"/>
      <c r="D10" s="165"/>
      <c r="E10" s="165"/>
    </row>
    <row r="11" spans="1:5" ht="66" customHeight="1">
      <c r="A11" s="163" t="s">
        <v>20</v>
      </c>
      <c r="B11" s="112" t="s">
        <v>26</v>
      </c>
      <c r="C11" s="112"/>
      <c r="D11" s="112"/>
      <c r="E11" s="164"/>
    </row>
    <row r="12" spans="1:5" ht="66" customHeight="1">
      <c r="A12" s="110"/>
      <c r="B12" s="111" t="s">
        <v>27</v>
      </c>
      <c r="C12" s="111"/>
    </row>
    <row r="13" spans="1:5" ht="43.95" customHeight="1"/>
    <row r="14" spans="1:5" ht="43.95" customHeight="1"/>
    <row r="15" spans="1:5" ht="43.95" customHeight="1"/>
    <row r="16" spans="1:5" ht="43.95" customHeight="1"/>
  </sheetData>
  <mergeCells count="4">
    <mergeCell ref="B7:C7"/>
    <mergeCell ref="A1:C1"/>
    <mergeCell ref="A2:C2"/>
    <mergeCell ref="B5:C5"/>
  </mergeCells>
  <printOptions gridLines="1"/>
  <pageMargins left="0.44" right="0.27" top="0.32" bottom="0.53" header="0.3" footer="0.3"/>
  <pageSetup orientation="portrait" r:id="rId1"/>
  <headerFooter>
    <oddFooter>&amp;L&amp;P&amp;C&amp;A&amp;R&amp;F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CDA54-15E4-404A-B716-BA289EB15C43}">
  <sheetPr codeName="Sheet3"/>
  <dimension ref="A1:D25"/>
  <sheetViews>
    <sheetView showGridLines="0" topLeftCell="A13" zoomScaleNormal="100" workbookViewId="0">
      <selection sqref="A1:D25"/>
    </sheetView>
  </sheetViews>
  <sheetFormatPr defaultRowHeight="14.4"/>
  <cols>
    <col min="1" max="4" width="22.6640625" customWidth="1"/>
  </cols>
  <sheetData>
    <row r="1" spans="1:4" ht="20.399999999999999">
      <c r="A1" s="199" t="s">
        <v>28</v>
      </c>
      <c r="B1" s="199"/>
      <c r="C1" s="199"/>
      <c r="D1" s="199"/>
    </row>
    <row r="2" spans="1:4" ht="20.399999999999999" customHeight="1">
      <c r="A2" s="200" t="s">
        <v>19</v>
      </c>
      <c r="B2" s="200"/>
      <c r="C2" s="200"/>
      <c r="D2" s="200"/>
    </row>
    <row r="3" spans="1:4" ht="18" customHeight="1">
      <c r="A3" s="102"/>
      <c r="B3" s="102"/>
      <c r="C3" s="102"/>
      <c r="D3" s="102"/>
    </row>
    <row r="4" spans="1:4" ht="33" customHeight="1">
      <c r="A4" s="14" t="str">
        <f>+'jobinfo(2)'!$C$1</f>
        <v>Hendking, Anthony&amp;Carlena</v>
      </c>
      <c r="B4" s="13"/>
      <c r="C4" s="25" t="str">
        <f>+'jobinfo(2)'!$B$22</f>
        <v>Contract Date</v>
      </c>
      <c r="D4" s="168">
        <f>+'jobinfo(2)'!$C$22</f>
        <v>45497</v>
      </c>
    </row>
    <row r="5" spans="1:4" ht="33" customHeight="1">
      <c r="A5" s="14" t="str">
        <f>+'jobinfo(2)'!$C$2</f>
        <v xml:space="preserve">3806 Meadowbrook Blvd, </v>
      </c>
      <c r="B5" s="13"/>
      <c r="C5" s="25" t="str">
        <f>+'jobinfo(2)'!$B$12</f>
        <v>date of loss</v>
      </c>
      <c r="D5" s="168">
        <f>+'jobinfo(2)'!$C$12</f>
        <v>45492</v>
      </c>
    </row>
    <row r="6" spans="1:4" ht="33" customHeight="1">
      <c r="A6" s="14" t="str">
        <f>+'jobinfo(2)'!$C$3</f>
        <v xml:space="preserve"> University Heights, OH 44117</v>
      </c>
      <c r="B6" s="13"/>
      <c r="C6" s="25" t="str">
        <f>+'jobinfo(2)'!$B$13</f>
        <v>rebuild  type 1</v>
      </c>
      <c r="D6" s="25" t="str">
        <f>+'jobinfo(2)'!$C$13</f>
        <v>Interior Repairs LEVEL 1</v>
      </c>
    </row>
    <row r="7" spans="1:4" ht="33" customHeight="1">
      <c r="A7" s="14" t="str">
        <f>+'jobinfo(2)'!$C$4</f>
        <v>Hendkingsr@yahoo.com</v>
      </c>
      <c r="B7" s="13"/>
      <c r="C7" s="25" t="str">
        <f>+'jobinfo(2)'!$B$14</f>
        <v>rebuild  type 2</v>
      </c>
      <c r="D7" s="25" t="str">
        <f>+'jobinfo(2)'!$C$14</f>
        <v>Interior Repairs LEVEL 2</v>
      </c>
    </row>
    <row r="8" spans="1:4" ht="33" customHeight="1">
      <c r="A8" s="14">
        <f>+'jobinfo(2)'!$C$5</f>
        <v>2166819181</v>
      </c>
      <c r="B8" s="13"/>
      <c r="C8" s="25" t="str">
        <f>+'jobinfo(2)'!$B$15</f>
        <v>rebuild  type 3</v>
      </c>
      <c r="D8" s="25" t="str">
        <f>+'jobinfo(2)'!$C$15</f>
        <v>Interior Repairs BSMNT</v>
      </c>
    </row>
    <row r="9" spans="1:4" ht="33" customHeight="1">
      <c r="A9" s="12" t="str">
        <f>+'jobinfo(2)'!$B$26</f>
        <v xml:space="preserve">Insurance Co. Name </v>
      </c>
      <c r="B9" s="12" t="str">
        <f>+'jobinfo(2)'!$C$26</f>
        <v>STATE FARM</v>
      </c>
      <c r="C9" s="25" t="str">
        <f>+'jobinfo(2)'!$B$16</f>
        <v>DEMO</v>
      </c>
      <c r="D9" s="25" t="str">
        <f>+'jobinfo(2)'!$C$16</f>
        <v>Y</v>
      </c>
    </row>
    <row r="10" spans="1:4" ht="33" customHeight="1">
      <c r="A10" s="176" t="str">
        <f>+'jobinfo(2)'!$B$27</f>
        <v xml:space="preserve">Claim # </v>
      </c>
      <c r="B10" s="176" t="str">
        <f>+'jobinfo(2)'!$C$27</f>
        <v>3571C126N</v>
      </c>
      <c r="C10" s="25" t="str">
        <f>+'jobinfo(2)'!$B$17</f>
        <v>Mitigation</v>
      </c>
      <c r="D10" s="25" t="str">
        <f>+'jobinfo(2)'!$C$17</f>
        <v>Y</v>
      </c>
    </row>
    <row r="11" spans="1:4" ht="18">
      <c r="A11" s="84"/>
      <c r="B11" s="84"/>
      <c r="C11" s="25"/>
      <c r="D11" s="25"/>
    </row>
    <row r="12" spans="1:4" ht="28.2" customHeight="1">
      <c r="A12" s="17" t="s">
        <v>29</v>
      </c>
      <c r="B12" s="17"/>
      <c r="C12" s="17"/>
      <c r="D12" s="66" t="s">
        <v>380</v>
      </c>
    </row>
    <row r="13" spans="1:4" ht="28.2" customHeight="1">
      <c r="A13" s="17" t="str">
        <f>A4</f>
        <v>Hendking, Anthony&amp;Carlena</v>
      </c>
      <c r="B13" s="17"/>
      <c r="C13" s="17"/>
      <c r="D13" s="66"/>
    </row>
    <row r="14" spans="1:4" ht="28.2" customHeight="1">
      <c r="A14" s="17"/>
      <c r="B14" s="17"/>
      <c r="C14" s="17"/>
      <c r="D14" s="66"/>
    </row>
    <row r="15" spans="1:4" ht="28.2" customHeight="1">
      <c r="A15" s="17" t="s">
        <v>29</v>
      </c>
      <c r="B15" s="17"/>
      <c r="C15" s="17"/>
      <c r="D15" s="17" t="str">
        <f>D12</f>
        <v>_____/______/2024</v>
      </c>
    </row>
    <row r="16" spans="1:4" ht="28.2" customHeight="1">
      <c r="A16" s="4" t="str">
        <f>'jobinfo(2)'!C6</f>
        <v>MRS</v>
      </c>
      <c r="B16" s="85"/>
      <c r="C16" s="85"/>
      <c r="D16" s="13"/>
    </row>
    <row r="17" spans="1:4" ht="28.2" customHeight="1">
      <c r="A17" s="4"/>
      <c r="B17" s="85"/>
      <c r="C17" s="85"/>
      <c r="D17" s="13"/>
    </row>
    <row r="18" spans="1:4" ht="28.2" customHeight="1">
      <c r="A18" s="201" t="s">
        <v>303</v>
      </c>
      <c r="B18" s="201"/>
      <c r="C18" s="201"/>
      <c r="D18" s="201"/>
    </row>
    <row r="19" spans="1:4" ht="33" customHeight="1">
      <c r="A19" s="180" t="s">
        <v>32</v>
      </c>
      <c r="B19" s="180"/>
      <c r="C19" s="180"/>
      <c r="D19" s="180"/>
    </row>
    <row r="20" spans="1:4" ht="33" customHeight="1">
      <c r="A20" s="180" t="s">
        <v>33</v>
      </c>
      <c r="B20" s="180"/>
      <c r="C20" s="180"/>
      <c r="D20" s="180"/>
    </row>
    <row r="21" spans="1:4" ht="33" customHeight="1">
      <c r="A21" s="180" t="s">
        <v>34</v>
      </c>
      <c r="B21" s="180"/>
      <c r="C21" s="180"/>
      <c r="D21" s="180"/>
    </row>
    <row r="22" spans="1:4" ht="33" customHeight="1">
      <c r="A22" s="101"/>
      <c r="B22" s="101"/>
      <c r="C22" s="101"/>
      <c r="D22" s="101"/>
    </row>
    <row r="23" spans="1:4" ht="25.2">
      <c r="A23" s="166" t="s">
        <v>35</v>
      </c>
      <c r="B23" s="94" t="str">
        <f>+'email cvr'!A6</f>
        <v>All Phase Consulting, LLC</v>
      </c>
      <c r="C23" s="94"/>
      <c r="D23" s="94"/>
    </row>
    <row r="25" spans="1:4" ht="18">
      <c r="C25" s="167" t="str">
        <f>+'email cvr'!$A$15</f>
        <v>EIN #</v>
      </c>
      <c r="D25" s="169" t="str">
        <f>+'jobinfo(2)'!$C$116</f>
        <v>TIN 83-226 0563</v>
      </c>
    </row>
  </sheetData>
  <mergeCells count="6">
    <mergeCell ref="A21:D21"/>
    <mergeCell ref="A1:D1"/>
    <mergeCell ref="A2:D2"/>
    <mergeCell ref="A18:D18"/>
    <mergeCell ref="A19:D19"/>
    <mergeCell ref="A20:D20"/>
  </mergeCells>
  <pageMargins left="0.5" right="0.32" top="0.39" bottom="0.38" header="0.3" footer="0.1"/>
  <pageSetup orientation="portrait" r:id="rId1"/>
  <headerFooter>
    <oddFooter>&amp;L&amp;P&amp;C&amp;A&amp;R&amp;F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CCD7C-B0BF-43E0-91A2-85C3BA008A80}">
  <sheetPr codeName="Sheet4"/>
  <dimension ref="A1:D25"/>
  <sheetViews>
    <sheetView showGridLines="0" topLeftCell="A16" zoomScaleNormal="100" workbookViewId="0">
      <selection activeCell="C25" sqref="C25:D25"/>
    </sheetView>
  </sheetViews>
  <sheetFormatPr defaultRowHeight="14.4"/>
  <cols>
    <col min="1" max="4" width="22.6640625" customWidth="1"/>
  </cols>
  <sheetData>
    <row r="1" spans="1:4" ht="20.399999999999999">
      <c r="A1" s="199" t="s">
        <v>28</v>
      </c>
      <c r="B1" s="199"/>
      <c r="C1" s="199"/>
      <c r="D1" s="199"/>
    </row>
    <row r="2" spans="1:4" ht="18" customHeight="1">
      <c r="A2" s="202" t="s">
        <v>36</v>
      </c>
      <c r="B2" s="202"/>
      <c r="C2" s="202"/>
      <c r="D2" s="202"/>
    </row>
    <row r="3" spans="1:4" ht="18" customHeight="1">
      <c r="A3" s="102"/>
      <c r="B3" s="102"/>
      <c r="C3" s="102"/>
      <c r="D3" s="102"/>
    </row>
    <row r="4" spans="1:4" ht="33" customHeight="1">
      <c r="A4" s="14" t="str">
        <f>+'jobinfo(2)'!$C$1</f>
        <v>Hendking, Anthony&amp;Carlena</v>
      </c>
      <c r="B4" s="13"/>
      <c r="C4" s="25" t="str">
        <f>+'jobinfo(2)'!$B$22</f>
        <v>Contract Date</v>
      </c>
      <c r="D4" s="168">
        <f>+'jobinfo(2)'!$C$22</f>
        <v>45497</v>
      </c>
    </row>
    <row r="5" spans="1:4" ht="33" customHeight="1">
      <c r="A5" s="14" t="str">
        <f>+'jobinfo(2)'!$C$2</f>
        <v xml:space="preserve">3806 Meadowbrook Blvd, </v>
      </c>
      <c r="B5" s="13"/>
      <c r="C5" s="25" t="str">
        <f>+'jobinfo(2)'!$B$12</f>
        <v>date of loss</v>
      </c>
      <c r="D5" s="168">
        <f>+'jobinfo(2)'!$C$12</f>
        <v>45492</v>
      </c>
    </row>
    <row r="6" spans="1:4" ht="33" customHeight="1">
      <c r="A6" s="14" t="str">
        <f>+'jobinfo(2)'!$C$3</f>
        <v xml:space="preserve"> University Heights, OH 44117</v>
      </c>
      <c r="B6" s="13"/>
      <c r="C6" s="25" t="str">
        <f>+'jobinfo(2)'!$B$13</f>
        <v>rebuild  type 1</v>
      </c>
      <c r="D6" s="25" t="str">
        <f>+'jobinfo(2)'!$C$13</f>
        <v>Interior Repairs LEVEL 1</v>
      </c>
    </row>
    <row r="7" spans="1:4" ht="33" customHeight="1">
      <c r="A7" s="14" t="str">
        <f>+'jobinfo(2)'!$C$4</f>
        <v>Hendkingsr@yahoo.com</v>
      </c>
      <c r="B7" s="13"/>
      <c r="C7" s="25" t="str">
        <f>+'jobinfo(2)'!$B$14</f>
        <v>rebuild  type 2</v>
      </c>
      <c r="D7" s="25" t="str">
        <f>+'jobinfo(2)'!$C$14</f>
        <v>Interior Repairs LEVEL 2</v>
      </c>
    </row>
    <row r="8" spans="1:4" ht="33" customHeight="1">
      <c r="A8" s="14">
        <f>+'jobinfo(2)'!$C$5</f>
        <v>2166819181</v>
      </c>
      <c r="B8" s="13"/>
      <c r="C8" s="25" t="str">
        <f>+'jobinfo(2)'!$B$15</f>
        <v>rebuild  type 3</v>
      </c>
      <c r="D8" s="25" t="str">
        <f>+'jobinfo(2)'!$C$15</f>
        <v>Interior Repairs BSMNT</v>
      </c>
    </row>
    <row r="9" spans="1:4" ht="33" customHeight="1">
      <c r="A9" s="12" t="str">
        <f>+'jobinfo(2)'!$B$26</f>
        <v xml:space="preserve">Insurance Co. Name </v>
      </c>
      <c r="B9" s="12" t="str">
        <f>+'jobinfo(2)'!$C$26</f>
        <v>STATE FARM</v>
      </c>
      <c r="C9" s="25" t="str">
        <f>+'jobinfo(2)'!$B$16</f>
        <v>DEMO</v>
      </c>
      <c r="D9" s="25" t="str">
        <f>+'jobinfo(2)'!$C$16</f>
        <v>Y</v>
      </c>
    </row>
    <row r="10" spans="1:4" ht="33" customHeight="1">
      <c r="A10" s="12" t="str">
        <f>+'jobinfo(2)'!$B$27</f>
        <v xml:space="preserve">Claim # </v>
      </c>
      <c r="B10" s="12" t="str">
        <f>+'jobinfo(2)'!$C$27</f>
        <v>3571C126N</v>
      </c>
      <c r="C10" s="25" t="str">
        <f>+'jobinfo(2)'!$B$17</f>
        <v>Mitigation</v>
      </c>
      <c r="D10" s="25" t="str">
        <f>+'jobinfo(2)'!$C$17</f>
        <v>Y</v>
      </c>
    </row>
    <row r="11" spans="1:4" ht="18">
      <c r="A11" s="84"/>
      <c r="B11" s="84"/>
      <c r="C11" s="25"/>
      <c r="D11" s="25"/>
    </row>
    <row r="12" spans="1:4" ht="28.2" customHeight="1">
      <c r="A12" s="17" t="s">
        <v>29</v>
      </c>
      <c r="B12" s="17"/>
      <c r="C12" s="17"/>
      <c r="D12" s="66" t="s">
        <v>30</v>
      </c>
    </row>
    <row r="13" spans="1:4" ht="28.2" customHeight="1">
      <c r="A13" s="17" t="str">
        <f>A4</f>
        <v>Hendking, Anthony&amp;Carlena</v>
      </c>
      <c r="B13" s="17"/>
      <c r="C13" s="17"/>
      <c r="D13" s="66"/>
    </row>
    <row r="14" spans="1:4" ht="28.2" customHeight="1">
      <c r="A14" s="17"/>
      <c r="B14" s="17"/>
      <c r="C14" s="17"/>
      <c r="D14" s="66"/>
    </row>
    <row r="15" spans="1:4" ht="28.2" customHeight="1">
      <c r="A15" s="17" t="s">
        <v>29</v>
      </c>
      <c r="B15" s="17"/>
      <c r="C15" s="17"/>
      <c r="D15" s="17" t="str">
        <f>D12</f>
        <v>_____/______/2022</v>
      </c>
    </row>
    <row r="16" spans="1:4" ht="28.2" customHeight="1">
      <c r="A16" s="4" t="str">
        <f>'jobinfo(2)'!C6</f>
        <v>MRS</v>
      </c>
      <c r="B16" s="85"/>
      <c r="C16" s="85"/>
      <c r="D16" s="13"/>
    </row>
    <row r="17" spans="1:4" ht="28.2" customHeight="1">
      <c r="A17" s="4"/>
      <c r="B17" s="85"/>
      <c r="C17" s="85"/>
      <c r="D17" s="13"/>
    </row>
    <row r="18" spans="1:4" ht="28.2" customHeight="1">
      <c r="A18" s="201" t="s">
        <v>31</v>
      </c>
      <c r="B18" s="201"/>
      <c r="C18" s="201"/>
      <c r="D18" s="201"/>
    </row>
    <row r="19" spans="1:4" ht="33" customHeight="1">
      <c r="A19" s="180" t="s">
        <v>32</v>
      </c>
      <c r="B19" s="180"/>
      <c r="C19" s="180"/>
      <c r="D19" s="180"/>
    </row>
    <row r="20" spans="1:4" ht="33" customHeight="1">
      <c r="A20" s="180" t="s">
        <v>33</v>
      </c>
      <c r="B20" s="180"/>
      <c r="C20" s="180"/>
      <c r="D20" s="180"/>
    </row>
    <row r="21" spans="1:4" ht="33" customHeight="1">
      <c r="A21" s="180" t="s">
        <v>34</v>
      </c>
      <c r="B21" s="180"/>
      <c r="C21" s="180"/>
      <c r="D21" s="180"/>
    </row>
    <row r="22" spans="1:4" ht="33" customHeight="1">
      <c r="A22" s="101"/>
      <c r="B22" s="101"/>
      <c r="C22" s="101"/>
      <c r="D22" s="101"/>
    </row>
    <row r="23" spans="1:4" ht="25.2">
      <c r="A23" s="166" t="s">
        <v>35</v>
      </c>
      <c r="B23" s="94" t="str">
        <f>+'email cvr'!A6</f>
        <v>All Phase Consulting, LLC</v>
      </c>
      <c r="C23" s="94"/>
      <c r="D23" s="94"/>
    </row>
    <row r="25" spans="1:4" ht="18">
      <c r="C25" s="167" t="str">
        <f>+'email cvr'!$A$15</f>
        <v>EIN #</v>
      </c>
      <c r="D25" s="169" t="str">
        <f>+'jobinfo(2)'!$C$116</f>
        <v>TIN 83-226 0563</v>
      </c>
    </row>
  </sheetData>
  <mergeCells count="6">
    <mergeCell ref="A21:D21"/>
    <mergeCell ref="A1:D1"/>
    <mergeCell ref="A2:D2"/>
    <mergeCell ref="A18:D18"/>
    <mergeCell ref="A19:D19"/>
    <mergeCell ref="A20:D20"/>
  </mergeCells>
  <pageMargins left="0.5" right="0.32" top="0.39" bottom="0.38" header="0.3" footer="0.1"/>
  <pageSetup orientation="portrait" r:id="rId1"/>
  <headerFooter>
    <oddFooter>&amp;L&amp;P&amp;C&amp;A&amp;R&amp;F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F1B59-8A87-4EA6-8FFA-2514B1C67E96}">
  <sheetPr codeName="Sheet5"/>
  <dimension ref="A1:D26"/>
  <sheetViews>
    <sheetView showGridLines="0" topLeftCell="A16" zoomScaleNormal="100" workbookViewId="0">
      <selection activeCell="A19" sqref="A19:D26"/>
    </sheetView>
  </sheetViews>
  <sheetFormatPr defaultRowHeight="14.4"/>
  <cols>
    <col min="1" max="4" width="22.6640625" customWidth="1"/>
  </cols>
  <sheetData>
    <row r="1" spans="1:4" ht="20.399999999999999">
      <c r="A1" s="199" t="s">
        <v>28</v>
      </c>
      <c r="B1" s="199"/>
      <c r="C1" s="199"/>
      <c r="D1" s="199"/>
    </row>
    <row r="2" spans="1:4" ht="20.399999999999999">
      <c r="A2" s="162"/>
      <c r="B2" s="162"/>
      <c r="C2" s="162"/>
      <c r="D2" s="162"/>
    </row>
    <row r="3" spans="1:4" ht="20.399999999999999">
      <c r="A3" s="200" t="s">
        <v>24</v>
      </c>
      <c r="B3" s="200"/>
      <c r="C3" s="200"/>
      <c r="D3" s="200"/>
    </row>
    <row r="4" spans="1:4" ht="18" customHeight="1">
      <c r="A4" s="102"/>
      <c r="B4" s="102"/>
      <c r="C4" s="102"/>
      <c r="D4" s="102"/>
    </row>
    <row r="5" spans="1:4" ht="33" customHeight="1">
      <c r="A5" s="14" t="str">
        <f>+'jobinfo(2)'!$C$1</f>
        <v>Hendking, Anthony&amp;Carlena</v>
      </c>
      <c r="B5" s="13"/>
      <c r="C5" s="25" t="str">
        <f>+'jobinfo(2)'!$B$22</f>
        <v>Contract Date</v>
      </c>
      <c r="D5" s="168">
        <f>+'jobinfo(2)'!$C$22</f>
        <v>45497</v>
      </c>
    </row>
    <row r="6" spans="1:4" ht="33" customHeight="1">
      <c r="A6" s="14" t="str">
        <f>+'jobinfo(2)'!$C$2</f>
        <v xml:space="preserve">3806 Meadowbrook Blvd, </v>
      </c>
      <c r="B6" s="13"/>
      <c r="C6" s="25" t="str">
        <f>+'jobinfo(2)'!$B$12</f>
        <v>date of loss</v>
      </c>
      <c r="D6" s="168">
        <f>+'jobinfo(2)'!$C$12</f>
        <v>45492</v>
      </c>
    </row>
    <row r="7" spans="1:4" ht="33" customHeight="1">
      <c r="A7" s="14" t="str">
        <f>+'jobinfo(2)'!$C$3</f>
        <v xml:space="preserve"> University Heights, OH 44117</v>
      </c>
      <c r="B7" s="13"/>
      <c r="C7" s="25" t="str">
        <f>+'jobinfo(2)'!$B$13</f>
        <v>rebuild  type 1</v>
      </c>
      <c r="D7" s="25" t="str">
        <f>+'jobinfo(2)'!$C$13</f>
        <v>Interior Repairs LEVEL 1</v>
      </c>
    </row>
    <row r="8" spans="1:4" ht="33" customHeight="1">
      <c r="A8" s="14" t="str">
        <f>+'jobinfo(2)'!$C$4</f>
        <v>Hendkingsr@yahoo.com</v>
      </c>
      <c r="B8" s="13"/>
      <c r="C8" s="25" t="str">
        <f>+'jobinfo(2)'!$B$14</f>
        <v>rebuild  type 2</v>
      </c>
      <c r="D8" s="25" t="str">
        <f>+'jobinfo(2)'!$C$14</f>
        <v>Interior Repairs LEVEL 2</v>
      </c>
    </row>
    <row r="9" spans="1:4" ht="33" customHeight="1">
      <c r="A9" s="14">
        <f>+'jobinfo(2)'!$C$5</f>
        <v>2166819181</v>
      </c>
      <c r="B9" s="13"/>
      <c r="C9" s="25" t="str">
        <f>+'jobinfo(2)'!$B$15</f>
        <v>rebuild  type 3</v>
      </c>
      <c r="D9" s="25" t="str">
        <f>+'jobinfo(2)'!$C$15</f>
        <v>Interior Repairs BSMNT</v>
      </c>
    </row>
    <row r="10" spans="1:4" ht="33" customHeight="1">
      <c r="A10" s="12" t="str">
        <f>+'jobinfo(2)'!$B$26</f>
        <v xml:space="preserve">Insurance Co. Name </v>
      </c>
      <c r="B10" s="12" t="str">
        <f>+'jobinfo(2)'!$C$26</f>
        <v>STATE FARM</v>
      </c>
      <c r="C10" s="25" t="str">
        <f>+'jobinfo(2)'!$B$16</f>
        <v>DEMO</v>
      </c>
      <c r="D10" s="25" t="str">
        <f>+'jobinfo(2)'!$C$16</f>
        <v>Y</v>
      </c>
    </row>
    <row r="11" spans="1:4" ht="33" customHeight="1">
      <c r="A11" s="12" t="str">
        <f>+'jobinfo(2)'!$B$27</f>
        <v xml:space="preserve">Claim # </v>
      </c>
      <c r="B11" s="12" t="str">
        <f>+'jobinfo(2)'!$C$27</f>
        <v>3571C126N</v>
      </c>
      <c r="C11" s="25" t="str">
        <f>+'jobinfo(2)'!$B$17</f>
        <v>Mitigation</v>
      </c>
      <c r="D11" s="25" t="str">
        <f>+'jobinfo(2)'!$C$17</f>
        <v>Y</v>
      </c>
    </row>
    <row r="12" spans="1:4" ht="18">
      <c r="A12" s="84"/>
      <c r="B12" s="84"/>
      <c r="C12" s="25"/>
      <c r="D12" s="25"/>
    </row>
    <row r="13" spans="1:4" ht="28.2" customHeight="1">
      <c r="A13" s="17" t="s">
        <v>29</v>
      </c>
      <c r="B13" s="17"/>
      <c r="C13" s="17"/>
      <c r="D13" s="66" t="s">
        <v>30</v>
      </c>
    </row>
    <row r="14" spans="1:4" ht="28.2" customHeight="1">
      <c r="A14" s="17" t="str">
        <f>A5</f>
        <v>Hendking, Anthony&amp;Carlena</v>
      </c>
      <c r="B14" s="17"/>
      <c r="C14" s="17"/>
      <c r="D14" s="66"/>
    </row>
    <row r="15" spans="1:4" ht="28.2" customHeight="1">
      <c r="A15" s="17"/>
      <c r="B15" s="17"/>
      <c r="C15" s="17"/>
      <c r="D15" s="66"/>
    </row>
    <row r="16" spans="1:4" ht="28.2" customHeight="1">
      <c r="A16" s="17" t="s">
        <v>29</v>
      </c>
      <c r="B16" s="17"/>
      <c r="C16" s="17"/>
      <c r="D16" s="17" t="str">
        <f>D13</f>
        <v>_____/______/2022</v>
      </c>
    </row>
    <row r="17" spans="1:4" ht="28.2" customHeight="1">
      <c r="A17" s="4" t="str">
        <f>'jobinfo(2)'!C6</f>
        <v>MRS</v>
      </c>
      <c r="B17" s="85"/>
      <c r="C17" s="85"/>
      <c r="D17" s="13"/>
    </row>
    <row r="18" spans="1:4" ht="28.2" customHeight="1">
      <c r="A18" s="4"/>
      <c r="B18" s="85"/>
      <c r="C18" s="85"/>
      <c r="D18" s="13"/>
    </row>
    <row r="19" spans="1:4" ht="28.2" customHeight="1">
      <c r="A19" s="201" t="s">
        <v>303</v>
      </c>
      <c r="B19" s="201"/>
      <c r="C19" s="201"/>
      <c r="D19" s="201"/>
    </row>
    <row r="20" spans="1:4" ht="33" customHeight="1">
      <c r="A20" s="180" t="s">
        <v>32</v>
      </c>
      <c r="B20" s="180"/>
      <c r="C20" s="180"/>
      <c r="D20" s="180"/>
    </row>
    <row r="21" spans="1:4" ht="33" customHeight="1">
      <c r="A21" s="180" t="s">
        <v>33</v>
      </c>
      <c r="B21" s="180"/>
      <c r="C21" s="180"/>
      <c r="D21" s="180"/>
    </row>
    <row r="22" spans="1:4" ht="33" customHeight="1">
      <c r="A22" s="180" t="s">
        <v>34</v>
      </c>
      <c r="B22" s="180"/>
      <c r="C22" s="180"/>
      <c r="D22" s="180"/>
    </row>
    <row r="23" spans="1:4" ht="33" customHeight="1">
      <c r="A23" s="101"/>
      <c r="B23" s="101"/>
      <c r="C23" s="101"/>
      <c r="D23" s="101"/>
    </row>
    <row r="24" spans="1:4" ht="25.2">
      <c r="A24" s="166" t="s">
        <v>35</v>
      </c>
      <c r="B24" s="94" t="str">
        <f>+'email cvr'!A6</f>
        <v>All Phase Consulting, LLC</v>
      </c>
      <c r="C24" s="94"/>
      <c r="D24" s="94"/>
    </row>
    <row r="26" spans="1:4" ht="18">
      <c r="C26" s="167" t="str">
        <f>+'email cvr'!$A$15</f>
        <v>EIN #</v>
      </c>
      <c r="D26" s="169" t="str">
        <f>+'jobinfo(2)'!C116</f>
        <v>TIN 83-226 0563</v>
      </c>
    </row>
  </sheetData>
  <mergeCells count="6">
    <mergeCell ref="A22:D22"/>
    <mergeCell ref="A1:D1"/>
    <mergeCell ref="A3:D3"/>
    <mergeCell ref="A19:D19"/>
    <mergeCell ref="A20:D20"/>
    <mergeCell ref="A21:D21"/>
  </mergeCells>
  <pageMargins left="0.5" right="0.32" top="0.39" bottom="0.38" header="0.3" footer="0.1"/>
  <pageSetup orientation="portrait" r:id="rId1"/>
  <headerFooter>
    <oddFooter>&amp;L&amp;P&amp;C&amp;A&amp;R&amp;F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5E954-7220-49B1-9F8F-0C1BF80BB8DF}">
  <sheetPr codeName="Sheet6"/>
  <dimension ref="A1:D30"/>
  <sheetViews>
    <sheetView showGridLines="0" view="pageBreakPreview" topLeftCell="A18" zoomScaleNormal="100" zoomScaleSheetLayoutView="100" workbookViewId="0">
      <selection activeCell="A33" sqref="A33"/>
    </sheetView>
  </sheetViews>
  <sheetFormatPr defaultRowHeight="14.4"/>
  <cols>
    <col min="1" max="1" width="20.33203125" style="13" customWidth="1"/>
    <col min="2" max="2" width="44.44140625" style="13" customWidth="1"/>
    <col min="3" max="3" width="18.6640625" style="13" customWidth="1"/>
    <col min="4" max="4" width="27.6640625" style="13" customWidth="1"/>
    <col min="183" max="184" width="35.6640625" customWidth="1"/>
    <col min="185" max="185" width="25.6640625" customWidth="1"/>
    <col min="190" max="190" width="3" customWidth="1"/>
    <col min="191" max="191" width="39.6640625" customWidth="1"/>
    <col min="192" max="192" width="5.6640625" customWidth="1"/>
    <col min="193" max="193" width="35.6640625" customWidth="1"/>
    <col min="197" max="197" width="44.6640625" customWidth="1"/>
    <col min="205" max="205" width="88.6640625" customWidth="1"/>
    <col min="439" max="440" width="35.6640625" customWidth="1"/>
    <col min="441" max="441" width="25.6640625" customWidth="1"/>
    <col min="446" max="446" width="3" customWidth="1"/>
    <col min="447" max="447" width="39.6640625" customWidth="1"/>
    <col min="448" max="448" width="5.6640625" customWidth="1"/>
    <col min="449" max="449" width="35.6640625" customWidth="1"/>
    <col min="453" max="453" width="44.6640625" customWidth="1"/>
    <col min="461" max="461" width="88.6640625" customWidth="1"/>
    <col min="695" max="696" width="35.6640625" customWidth="1"/>
    <col min="697" max="697" width="25.6640625" customWidth="1"/>
    <col min="702" max="702" width="3" customWidth="1"/>
    <col min="703" max="703" width="39.6640625" customWidth="1"/>
    <col min="704" max="704" width="5.6640625" customWidth="1"/>
    <col min="705" max="705" width="35.6640625" customWidth="1"/>
    <col min="709" max="709" width="44.6640625" customWidth="1"/>
    <col min="717" max="717" width="88.6640625" customWidth="1"/>
    <col min="951" max="952" width="35.6640625" customWidth="1"/>
    <col min="953" max="953" width="25.6640625" customWidth="1"/>
    <col min="958" max="958" width="3" customWidth="1"/>
    <col min="959" max="959" width="39.6640625" customWidth="1"/>
    <col min="960" max="960" width="5.6640625" customWidth="1"/>
    <col min="961" max="961" width="35.6640625" customWidth="1"/>
    <col min="965" max="965" width="44.6640625" customWidth="1"/>
    <col min="973" max="973" width="88.6640625" customWidth="1"/>
    <col min="1207" max="1208" width="35.6640625" customWidth="1"/>
    <col min="1209" max="1209" width="25.6640625" customWidth="1"/>
    <col min="1214" max="1214" width="3" customWidth="1"/>
    <col min="1215" max="1215" width="39.6640625" customWidth="1"/>
    <col min="1216" max="1216" width="5.6640625" customWidth="1"/>
    <col min="1217" max="1217" width="35.6640625" customWidth="1"/>
    <col min="1221" max="1221" width="44.6640625" customWidth="1"/>
    <col min="1229" max="1229" width="88.6640625" customWidth="1"/>
    <col min="1463" max="1464" width="35.6640625" customWidth="1"/>
    <col min="1465" max="1465" width="25.6640625" customWidth="1"/>
    <col min="1470" max="1470" width="3" customWidth="1"/>
    <col min="1471" max="1471" width="39.6640625" customWidth="1"/>
    <col min="1472" max="1472" width="5.6640625" customWidth="1"/>
    <col min="1473" max="1473" width="35.6640625" customWidth="1"/>
    <col min="1477" max="1477" width="44.6640625" customWidth="1"/>
    <col min="1485" max="1485" width="88.6640625" customWidth="1"/>
    <col min="1719" max="1720" width="35.6640625" customWidth="1"/>
    <col min="1721" max="1721" width="25.6640625" customWidth="1"/>
    <col min="1726" max="1726" width="3" customWidth="1"/>
    <col min="1727" max="1727" width="39.6640625" customWidth="1"/>
    <col min="1728" max="1728" width="5.6640625" customWidth="1"/>
    <col min="1729" max="1729" width="35.6640625" customWidth="1"/>
    <col min="1733" max="1733" width="44.6640625" customWidth="1"/>
    <col min="1741" max="1741" width="88.6640625" customWidth="1"/>
    <col min="1975" max="1976" width="35.6640625" customWidth="1"/>
    <col min="1977" max="1977" width="25.6640625" customWidth="1"/>
    <col min="1982" max="1982" width="3" customWidth="1"/>
    <col min="1983" max="1983" width="39.6640625" customWidth="1"/>
    <col min="1984" max="1984" width="5.6640625" customWidth="1"/>
    <col min="1985" max="1985" width="35.6640625" customWidth="1"/>
    <col min="1989" max="1989" width="44.6640625" customWidth="1"/>
    <col min="1997" max="1997" width="88.6640625" customWidth="1"/>
    <col min="2231" max="2232" width="35.6640625" customWidth="1"/>
    <col min="2233" max="2233" width="25.6640625" customWidth="1"/>
    <col min="2238" max="2238" width="3" customWidth="1"/>
    <col min="2239" max="2239" width="39.6640625" customWidth="1"/>
    <col min="2240" max="2240" width="5.6640625" customWidth="1"/>
    <col min="2241" max="2241" width="35.6640625" customWidth="1"/>
    <col min="2245" max="2245" width="44.6640625" customWidth="1"/>
    <col min="2253" max="2253" width="88.6640625" customWidth="1"/>
    <col min="2487" max="2488" width="35.6640625" customWidth="1"/>
    <col min="2489" max="2489" width="25.6640625" customWidth="1"/>
    <col min="2494" max="2494" width="3" customWidth="1"/>
    <col min="2495" max="2495" width="39.6640625" customWidth="1"/>
    <col min="2496" max="2496" width="5.6640625" customWidth="1"/>
    <col min="2497" max="2497" width="35.6640625" customWidth="1"/>
    <col min="2501" max="2501" width="44.6640625" customWidth="1"/>
    <col min="2509" max="2509" width="88.6640625" customWidth="1"/>
    <col min="2743" max="2744" width="35.6640625" customWidth="1"/>
    <col min="2745" max="2745" width="25.6640625" customWidth="1"/>
    <col min="2750" max="2750" width="3" customWidth="1"/>
    <col min="2751" max="2751" width="39.6640625" customWidth="1"/>
    <col min="2752" max="2752" width="5.6640625" customWidth="1"/>
    <col min="2753" max="2753" width="35.6640625" customWidth="1"/>
    <col min="2757" max="2757" width="44.6640625" customWidth="1"/>
    <col min="2765" max="2765" width="88.6640625" customWidth="1"/>
    <col min="2999" max="3000" width="35.6640625" customWidth="1"/>
    <col min="3001" max="3001" width="25.6640625" customWidth="1"/>
    <col min="3006" max="3006" width="3" customWidth="1"/>
    <col min="3007" max="3007" width="39.6640625" customWidth="1"/>
    <col min="3008" max="3008" width="5.6640625" customWidth="1"/>
    <col min="3009" max="3009" width="35.6640625" customWidth="1"/>
    <col min="3013" max="3013" width="44.6640625" customWidth="1"/>
    <col min="3021" max="3021" width="88.6640625" customWidth="1"/>
    <col min="3255" max="3256" width="35.6640625" customWidth="1"/>
    <col min="3257" max="3257" width="25.6640625" customWidth="1"/>
    <col min="3262" max="3262" width="3" customWidth="1"/>
    <col min="3263" max="3263" width="39.6640625" customWidth="1"/>
    <col min="3264" max="3264" width="5.6640625" customWidth="1"/>
    <col min="3265" max="3265" width="35.6640625" customWidth="1"/>
    <col min="3269" max="3269" width="44.6640625" customWidth="1"/>
    <col min="3277" max="3277" width="88.6640625" customWidth="1"/>
    <col min="3511" max="3512" width="35.6640625" customWidth="1"/>
    <col min="3513" max="3513" width="25.6640625" customWidth="1"/>
    <col min="3518" max="3518" width="3" customWidth="1"/>
    <col min="3519" max="3519" width="39.6640625" customWidth="1"/>
    <col min="3520" max="3520" width="5.6640625" customWidth="1"/>
    <col min="3521" max="3521" width="35.6640625" customWidth="1"/>
    <col min="3525" max="3525" width="44.6640625" customWidth="1"/>
    <col min="3533" max="3533" width="88.6640625" customWidth="1"/>
    <col min="3767" max="3768" width="35.6640625" customWidth="1"/>
    <col min="3769" max="3769" width="25.6640625" customWidth="1"/>
    <col min="3774" max="3774" width="3" customWidth="1"/>
    <col min="3775" max="3775" width="39.6640625" customWidth="1"/>
    <col min="3776" max="3776" width="5.6640625" customWidth="1"/>
    <col min="3777" max="3777" width="35.6640625" customWidth="1"/>
    <col min="3781" max="3781" width="44.6640625" customWidth="1"/>
    <col min="3789" max="3789" width="88.6640625" customWidth="1"/>
    <col min="4023" max="4024" width="35.6640625" customWidth="1"/>
    <col min="4025" max="4025" width="25.6640625" customWidth="1"/>
    <col min="4030" max="4030" width="3" customWidth="1"/>
    <col min="4031" max="4031" width="39.6640625" customWidth="1"/>
    <col min="4032" max="4032" width="5.6640625" customWidth="1"/>
    <col min="4033" max="4033" width="35.6640625" customWidth="1"/>
    <col min="4037" max="4037" width="44.6640625" customWidth="1"/>
    <col min="4045" max="4045" width="88.6640625" customWidth="1"/>
    <col min="4279" max="4280" width="35.6640625" customWidth="1"/>
    <col min="4281" max="4281" width="25.6640625" customWidth="1"/>
    <col min="4286" max="4286" width="3" customWidth="1"/>
    <col min="4287" max="4287" width="39.6640625" customWidth="1"/>
    <col min="4288" max="4288" width="5.6640625" customWidth="1"/>
    <col min="4289" max="4289" width="35.6640625" customWidth="1"/>
    <col min="4293" max="4293" width="44.6640625" customWidth="1"/>
    <col min="4301" max="4301" width="88.6640625" customWidth="1"/>
    <col min="4535" max="4536" width="35.6640625" customWidth="1"/>
    <col min="4537" max="4537" width="25.6640625" customWidth="1"/>
    <col min="4542" max="4542" width="3" customWidth="1"/>
    <col min="4543" max="4543" width="39.6640625" customWidth="1"/>
    <col min="4544" max="4544" width="5.6640625" customWidth="1"/>
    <col min="4545" max="4545" width="35.6640625" customWidth="1"/>
    <col min="4549" max="4549" width="44.6640625" customWidth="1"/>
    <col min="4557" max="4557" width="88.6640625" customWidth="1"/>
    <col min="4791" max="4792" width="35.6640625" customWidth="1"/>
    <col min="4793" max="4793" width="25.6640625" customWidth="1"/>
    <col min="4798" max="4798" width="3" customWidth="1"/>
    <col min="4799" max="4799" width="39.6640625" customWidth="1"/>
    <col min="4800" max="4800" width="5.6640625" customWidth="1"/>
    <col min="4801" max="4801" width="35.6640625" customWidth="1"/>
    <col min="4805" max="4805" width="44.6640625" customWidth="1"/>
    <col min="4813" max="4813" width="88.6640625" customWidth="1"/>
    <col min="5047" max="5048" width="35.6640625" customWidth="1"/>
    <col min="5049" max="5049" width="25.6640625" customWidth="1"/>
    <col min="5054" max="5054" width="3" customWidth="1"/>
    <col min="5055" max="5055" width="39.6640625" customWidth="1"/>
    <col min="5056" max="5056" width="5.6640625" customWidth="1"/>
    <col min="5057" max="5057" width="35.6640625" customWidth="1"/>
    <col min="5061" max="5061" width="44.6640625" customWidth="1"/>
    <col min="5069" max="5069" width="88.6640625" customWidth="1"/>
    <col min="5303" max="5304" width="35.6640625" customWidth="1"/>
    <col min="5305" max="5305" width="25.6640625" customWidth="1"/>
    <col min="5310" max="5310" width="3" customWidth="1"/>
    <col min="5311" max="5311" width="39.6640625" customWidth="1"/>
    <col min="5312" max="5312" width="5.6640625" customWidth="1"/>
    <col min="5313" max="5313" width="35.6640625" customWidth="1"/>
    <col min="5317" max="5317" width="44.6640625" customWidth="1"/>
    <col min="5325" max="5325" width="88.6640625" customWidth="1"/>
    <col min="5559" max="5560" width="35.6640625" customWidth="1"/>
    <col min="5561" max="5561" width="25.6640625" customWidth="1"/>
    <col min="5566" max="5566" width="3" customWidth="1"/>
    <col min="5567" max="5567" width="39.6640625" customWidth="1"/>
    <col min="5568" max="5568" width="5.6640625" customWidth="1"/>
    <col min="5569" max="5569" width="35.6640625" customWidth="1"/>
    <col min="5573" max="5573" width="44.6640625" customWidth="1"/>
    <col min="5581" max="5581" width="88.6640625" customWidth="1"/>
    <col min="5815" max="5816" width="35.6640625" customWidth="1"/>
    <col min="5817" max="5817" width="25.6640625" customWidth="1"/>
    <col min="5822" max="5822" width="3" customWidth="1"/>
    <col min="5823" max="5823" width="39.6640625" customWidth="1"/>
    <col min="5824" max="5824" width="5.6640625" customWidth="1"/>
    <col min="5825" max="5825" width="35.6640625" customWidth="1"/>
    <col min="5829" max="5829" width="44.6640625" customWidth="1"/>
    <col min="5837" max="5837" width="88.6640625" customWidth="1"/>
    <col min="6071" max="6072" width="35.6640625" customWidth="1"/>
    <col min="6073" max="6073" width="25.6640625" customWidth="1"/>
    <col min="6078" max="6078" width="3" customWidth="1"/>
    <col min="6079" max="6079" width="39.6640625" customWidth="1"/>
    <col min="6080" max="6080" width="5.6640625" customWidth="1"/>
    <col min="6081" max="6081" width="35.6640625" customWidth="1"/>
    <col min="6085" max="6085" width="44.6640625" customWidth="1"/>
    <col min="6093" max="6093" width="88.6640625" customWidth="1"/>
    <col min="6327" max="6328" width="35.6640625" customWidth="1"/>
    <col min="6329" max="6329" width="25.6640625" customWidth="1"/>
    <col min="6334" max="6334" width="3" customWidth="1"/>
    <col min="6335" max="6335" width="39.6640625" customWidth="1"/>
    <col min="6336" max="6336" width="5.6640625" customWidth="1"/>
    <col min="6337" max="6337" width="35.6640625" customWidth="1"/>
    <col min="6341" max="6341" width="44.6640625" customWidth="1"/>
    <col min="6349" max="6349" width="88.6640625" customWidth="1"/>
    <col min="6583" max="6584" width="35.6640625" customWidth="1"/>
    <col min="6585" max="6585" width="25.6640625" customWidth="1"/>
    <col min="6590" max="6590" width="3" customWidth="1"/>
    <col min="6591" max="6591" width="39.6640625" customWidth="1"/>
    <col min="6592" max="6592" width="5.6640625" customWidth="1"/>
    <col min="6593" max="6593" width="35.6640625" customWidth="1"/>
    <col min="6597" max="6597" width="44.6640625" customWidth="1"/>
    <col min="6605" max="6605" width="88.6640625" customWidth="1"/>
    <col min="6839" max="6840" width="35.6640625" customWidth="1"/>
    <col min="6841" max="6841" width="25.6640625" customWidth="1"/>
    <col min="6846" max="6846" width="3" customWidth="1"/>
    <col min="6847" max="6847" width="39.6640625" customWidth="1"/>
    <col min="6848" max="6848" width="5.6640625" customWidth="1"/>
    <col min="6849" max="6849" width="35.6640625" customWidth="1"/>
    <col min="6853" max="6853" width="44.6640625" customWidth="1"/>
    <col min="6861" max="6861" width="88.6640625" customWidth="1"/>
    <col min="7095" max="7096" width="35.6640625" customWidth="1"/>
    <col min="7097" max="7097" width="25.6640625" customWidth="1"/>
    <col min="7102" max="7102" width="3" customWidth="1"/>
    <col min="7103" max="7103" width="39.6640625" customWidth="1"/>
    <col min="7104" max="7104" width="5.6640625" customWidth="1"/>
    <col min="7105" max="7105" width="35.6640625" customWidth="1"/>
    <col min="7109" max="7109" width="44.6640625" customWidth="1"/>
    <col min="7117" max="7117" width="88.6640625" customWidth="1"/>
    <col min="7351" max="7352" width="35.6640625" customWidth="1"/>
    <col min="7353" max="7353" width="25.6640625" customWidth="1"/>
    <col min="7358" max="7358" width="3" customWidth="1"/>
    <col min="7359" max="7359" width="39.6640625" customWidth="1"/>
    <col min="7360" max="7360" width="5.6640625" customWidth="1"/>
    <col min="7361" max="7361" width="35.6640625" customWidth="1"/>
    <col min="7365" max="7365" width="44.6640625" customWidth="1"/>
    <col min="7373" max="7373" width="88.6640625" customWidth="1"/>
    <col min="7607" max="7608" width="35.6640625" customWidth="1"/>
    <col min="7609" max="7609" width="25.6640625" customWidth="1"/>
    <col min="7614" max="7614" width="3" customWidth="1"/>
    <col min="7615" max="7615" width="39.6640625" customWidth="1"/>
    <col min="7616" max="7616" width="5.6640625" customWidth="1"/>
    <col min="7617" max="7617" width="35.6640625" customWidth="1"/>
    <col min="7621" max="7621" width="44.6640625" customWidth="1"/>
    <col min="7629" max="7629" width="88.6640625" customWidth="1"/>
    <col min="7863" max="7864" width="35.6640625" customWidth="1"/>
    <col min="7865" max="7865" width="25.6640625" customWidth="1"/>
    <col min="7870" max="7870" width="3" customWidth="1"/>
    <col min="7871" max="7871" width="39.6640625" customWidth="1"/>
    <col min="7872" max="7872" width="5.6640625" customWidth="1"/>
    <col min="7873" max="7873" width="35.6640625" customWidth="1"/>
    <col min="7877" max="7877" width="44.6640625" customWidth="1"/>
    <col min="7885" max="7885" width="88.6640625" customWidth="1"/>
    <col min="8119" max="8120" width="35.6640625" customWidth="1"/>
    <col min="8121" max="8121" width="25.6640625" customWidth="1"/>
    <col min="8126" max="8126" width="3" customWidth="1"/>
    <col min="8127" max="8127" width="39.6640625" customWidth="1"/>
    <col min="8128" max="8128" width="5.6640625" customWidth="1"/>
    <col min="8129" max="8129" width="35.6640625" customWidth="1"/>
    <col min="8133" max="8133" width="44.6640625" customWidth="1"/>
    <col min="8141" max="8141" width="88.6640625" customWidth="1"/>
    <col min="8375" max="8376" width="35.6640625" customWidth="1"/>
    <col min="8377" max="8377" width="25.6640625" customWidth="1"/>
    <col min="8382" max="8382" width="3" customWidth="1"/>
    <col min="8383" max="8383" width="39.6640625" customWidth="1"/>
    <col min="8384" max="8384" width="5.6640625" customWidth="1"/>
    <col min="8385" max="8385" width="35.6640625" customWidth="1"/>
    <col min="8389" max="8389" width="44.6640625" customWidth="1"/>
    <col min="8397" max="8397" width="88.6640625" customWidth="1"/>
    <col min="8631" max="8632" width="35.6640625" customWidth="1"/>
    <col min="8633" max="8633" width="25.6640625" customWidth="1"/>
    <col min="8638" max="8638" width="3" customWidth="1"/>
    <col min="8639" max="8639" width="39.6640625" customWidth="1"/>
    <col min="8640" max="8640" width="5.6640625" customWidth="1"/>
    <col min="8641" max="8641" width="35.6640625" customWidth="1"/>
    <col min="8645" max="8645" width="44.6640625" customWidth="1"/>
    <col min="8653" max="8653" width="88.6640625" customWidth="1"/>
    <col min="8887" max="8888" width="35.6640625" customWidth="1"/>
    <col min="8889" max="8889" width="25.6640625" customWidth="1"/>
    <col min="8894" max="8894" width="3" customWidth="1"/>
    <col min="8895" max="8895" width="39.6640625" customWidth="1"/>
    <col min="8896" max="8896" width="5.6640625" customWidth="1"/>
    <col min="8897" max="8897" width="35.6640625" customWidth="1"/>
    <col min="8901" max="8901" width="44.6640625" customWidth="1"/>
    <col min="8909" max="8909" width="88.6640625" customWidth="1"/>
    <col min="9143" max="9144" width="35.6640625" customWidth="1"/>
    <col min="9145" max="9145" width="25.6640625" customWidth="1"/>
    <col min="9150" max="9150" width="3" customWidth="1"/>
    <col min="9151" max="9151" width="39.6640625" customWidth="1"/>
    <col min="9152" max="9152" width="5.6640625" customWidth="1"/>
    <col min="9153" max="9153" width="35.6640625" customWidth="1"/>
    <col min="9157" max="9157" width="44.6640625" customWidth="1"/>
    <col min="9165" max="9165" width="88.6640625" customWidth="1"/>
    <col min="9399" max="9400" width="35.6640625" customWidth="1"/>
    <col min="9401" max="9401" width="25.6640625" customWidth="1"/>
    <col min="9406" max="9406" width="3" customWidth="1"/>
    <col min="9407" max="9407" width="39.6640625" customWidth="1"/>
    <col min="9408" max="9408" width="5.6640625" customWidth="1"/>
    <col min="9409" max="9409" width="35.6640625" customWidth="1"/>
    <col min="9413" max="9413" width="44.6640625" customWidth="1"/>
    <col min="9421" max="9421" width="88.6640625" customWidth="1"/>
    <col min="9655" max="9656" width="35.6640625" customWidth="1"/>
    <col min="9657" max="9657" width="25.6640625" customWidth="1"/>
    <col min="9662" max="9662" width="3" customWidth="1"/>
    <col min="9663" max="9663" width="39.6640625" customWidth="1"/>
    <col min="9664" max="9664" width="5.6640625" customWidth="1"/>
    <col min="9665" max="9665" width="35.6640625" customWidth="1"/>
    <col min="9669" max="9669" width="44.6640625" customWidth="1"/>
    <col min="9677" max="9677" width="88.6640625" customWidth="1"/>
    <col min="9911" max="9912" width="35.6640625" customWidth="1"/>
    <col min="9913" max="9913" width="25.6640625" customWidth="1"/>
    <col min="9918" max="9918" width="3" customWidth="1"/>
    <col min="9919" max="9919" width="39.6640625" customWidth="1"/>
    <col min="9920" max="9920" width="5.6640625" customWidth="1"/>
    <col min="9921" max="9921" width="35.6640625" customWidth="1"/>
    <col min="9925" max="9925" width="44.6640625" customWidth="1"/>
    <col min="9933" max="9933" width="88.6640625" customWidth="1"/>
    <col min="10167" max="10168" width="35.6640625" customWidth="1"/>
    <col min="10169" max="10169" width="25.6640625" customWidth="1"/>
    <col min="10174" max="10174" width="3" customWidth="1"/>
    <col min="10175" max="10175" width="39.6640625" customWidth="1"/>
    <col min="10176" max="10176" width="5.6640625" customWidth="1"/>
    <col min="10177" max="10177" width="35.6640625" customWidth="1"/>
    <col min="10181" max="10181" width="44.6640625" customWidth="1"/>
    <col min="10189" max="10189" width="88.6640625" customWidth="1"/>
    <col min="10423" max="10424" width="35.6640625" customWidth="1"/>
    <col min="10425" max="10425" width="25.6640625" customWidth="1"/>
    <col min="10430" max="10430" width="3" customWidth="1"/>
    <col min="10431" max="10431" width="39.6640625" customWidth="1"/>
    <col min="10432" max="10432" width="5.6640625" customWidth="1"/>
    <col min="10433" max="10433" width="35.6640625" customWidth="1"/>
    <col min="10437" max="10437" width="44.6640625" customWidth="1"/>
    <col min="10445" max="10445" width="88.6640625" customWidth="1"/>
    <col min="10679" max="10680" width="35.6640625" customWidth="1"/>
    <col min="10681" max="10681" width="25.6640625" customWidth="1"/>
    <col min="10686" max="10686" width="3" customWidth="1"/>
    <col min="10687" max="10687" width="39.6640625" customWidth="1"/>
    <col min="10688" max="10688" width="5.6640625" customWidth="1"/>
    <col min="10689" max="10689" width="35.6640625" customWidth="1"/>
    <col min="10693" max="10693" width="44.6640625" customWidth="1"/>
    <col min="10701" max="10701" width="88.6640625" customWidth="1"/>
    <col min="10935" max="10936" width="35.6640625" customWidth="1"/>
    <col min="10937" max="10937" width="25.6640625" customWidth="1"/>
    <col min="10942" max="10942" width="3" customWidth="1"/>
    <col min="10943" max="10943" width="39.6640625" customWidth="1"/>
    <col min="10944" max="10944" width="5.6640625" customWidth="1"/>
    <col min="10945" max="10945" width="35.6640625" customWidth="1"/>
    <col min="10949" max="10949" width="44.6640625" customWidth="1"/>
    <col min="10957" max="10957" width="88.6640625" customWidth="1"/>
    <col min="11191" max="11192" width="35.6640625" customWidth="1"/>
    <col min="11193" max="11193" width="25.6640625" customWidth="1"/>
    <col min="11198" max="11198" width="3" customWidth="1"/>
    <col min="11199" max="11199" width="39.6640625" customWidth="1"/>
    <col min="11200" max="11200" width="5.6640625" customWidth="1"/>
    <col min="11201" max="11201" width="35.6640625" customWidth="1"/>
    <col min="11205" max="11205" width="44.6640625" customWidth="1"/>
    <col min="11213" max="11213" width="88.6640625" customWidth="1"/>
    <col min="11447" max="11448" width="35.6640625" customWidth="1"/>
    <col min="11449" max="11449" width="25.6640625" customWidth="1"/>
    <col min="11454" max="11454" width="3" customWidth="1"/>
    <col min="11455" max="11455" width="39.6640625" customWidth="1"/>
    <col min="11456" max="11456" width="5.6640625" customWidth="1"/>
    <col min="11457" max="11457" width="35.6640625" customWidth="1"/>
    <col min="11461" max="11461" width="44.6640625" customWidth="1"/>
    <col min="11469" max="11469" width="88.6640625" customWidth="1"/>
    <col min="11703" max="11704" width="35.6640625" customWidth="1"/>
    <col min="11705" max="11705" width="25.6640625" customWidth="1"/>
    <col min="11710" max="11710" width="3" customWidth="1"/>
    <col min="11711" max="11711" width="39.6640625" customWidth="1"/>
    <col min="11712" max="11712" width="5.6640625" customWidth="1"/>
    <col min="11713" max="11713" width="35.6640625" customWidth="1"/>
    <col min="11717" max="11717" width="44.6640625" customWidth="1"/>
    <col min="11725" max="11725" width="88.6640625" customWidth="1"/>
    <col min="11959" max="11960" width="35.6640625" customWidth="1"/>
    <col min="11961" max="11961" width="25.6640625" customWidth="1"/>
    <col min="11966" max="11966" width="3" customWidth="1"/>
    <col min="11967" max="11967" width="39.6640625" customWidth="1"/>
    <col min="11968" max="11968" width="5.6640625" customWidth="1"/>
    <col min="11969" max="11969" width="35.6640625" customWidth="1"/>
    <col min="11973" max="11973" width="44.6640625" customWidth="1"/>
    <col min="11981" max="11981" width="88.6640625" customWidth="1"/>
    <col min="12215" max="12216" width="35.6640625" customWidth="1"/>
    <col min="12217" max="12217" width="25.6640625" customWidth="1"/>
    <col min="12222" max="12222" width="3" customWidth="1"/>
    <col min="12223" max="12223" width="39.6640625" customWidth="1"/>
    <col min="12224" max="12224" width="5.6640625" customWidth="1"/>
    <col min="12225" max="12225" width="35.6640625" customWidth="1"/>
    <col min="12229" max="12229" width="44.6640625" customWidth="1"/>
    <col min="12237" max="12237" width="88.6640625" customWidth="1"/>
    <col min="12471" max="12472" width="35.6640625" customWidth="1"/>
    <col min="12473" max="12473" width="25.6640625" customWidth="1"/>
    <col min="12478" max="12478" width="3" customWidth="1"/>
    <col min="12479" max="12479" width="39.6640625" customWidth="1"/>
    <col min="12480" max="12480" width="5.6640625" customWidth="1"/>
    <col min="12481" max="12481" width="35.6640625" customWidth="1"/>
    <col min="12485" max="12485" width="44.6640625" customWidth="1"/>
    <col min="12493" max="12493" width="88.6640625" customWidth="1"/>
    <col min="12727" max="12728" width="35.6640625" customWidth="1"/>
    <col min="12729" max="12729" width="25.6640625" customWidth="1"/>
    <col min="12734" max="12734" width="3" customWidth="1"/>
    <col min="12735" max="12735" width="39.6640625" customWidth="1"/>
    <col min="12736" max="12736" width="5.6640625" customWidth="1"/>
    <col min="12737" max="12737" width="35.6640625" customWidth="1"/>
    <col min="12741" max="12741" width="44.6640625" customWidth="1"/>
    <col min="12749" max="12749" width="88.6640625" customWidth="1"/>
    <col min="12983" max="12984" width="35.6640625" customWidth="1"/>
    <col min="12985" max="12985" width="25.6640625" customWidth="1"/>
    <col min="12990" max="12990" width="3" customWidth="1"/>
    <col min="12991" max="12991" width="39.6640625" customWidth="1"/>
    <col min="12992" max="12992" width="5.6640625" customWidth="1"/>
    <col min="12993" max="12993" width="35.6640625" customWidth="1"/>
    <col min="12997" max="12997" width="44.6640625" customWidth="1"/>
    <col min="13005" max="13005" width="88.6640625" customWidth="1"/>
    <col min="13239" max="13240" width="35.6640625" customWidth="1"/>
    <col min="13241" max="13241" width="25.6640625" customWidth="1"/>
    <col min="13246" max="13246" width="3" customWidth="1"/>
    <col min="13247" max="13247" width="39.6640625" customWidth="1"/>
    <col min="13248" max="13248" width="5.6640625" customWidth="1"/>
    <col min="13249" max="13249" width="35.6640625" customWidth="1"/>
    <col min="13253" max="13253" width="44.6640625" customWidth="1"/>
    <col min="13261" max="13261" width="88.6640625" customWidth="1"/>
    <col min="13495" max="13496" width="35.6640625" customWidth="1"/>
    <col min="13497" max="13497" width="25.6640625" customWidth="1"/>
    <col min="13502" max="13502" width="3" customWidth="1"/>
    <col min="13503" max="13503" width="39.6640625" customWidth="1"/>
    <col min="13504" max="13504" width="5.6640625" customWidth="1"/>
    <col min="13505" max="13505" width="35.6640625" customWidth="1"/>
    <col min="13509" max="13509" width="44.6640625" customWidth="1"/>
    <col min="13517" max="13517" width="88.6640625" customWidth="1"/>
    <col min="13751" max="13752" width="35.6640625" customWidth="1"/>
    <col min="13753" max="13753" width="25.6640625" customWidth="1"/>
    <col min="13758" max="13758" width="3" customWidth="1"/>
    <col min="13759" max="13759" width="39.6640625" customWidth="1"/>
    <col min="13760" max="13760" width="5.6640625" customWidth="1"/>
    <col min="13761" max="13761" width="35.6640625" customWidth="1"/>
    <col min="13765" max="13765" width="44.6640625" customWidth="1"/>
    <col min="13773" max="13773" width="88.6640625" customWidth="1"/>
    <col min="14007" max="14008" width="35.6640625" customWidth="1"/>
    <col min="14009" max="14009" width="25.6640625" customWidth="1"/>
    <col min="14014" max="14014" width="3" customWidth="1"/>
    <col min="14015" max="14015" width="39.6640625" customWidth="1"/>
    <col min="14016" max="14016" width="5.6640625" customWidth="1"/>
    <col min="14017" max="14017" width="35.6640625" customWidth="1"/>
    <col min="14021" max="14021" width="44.6640625" customWidth="1"/>
    <col min="14029" max="14029" width="88.6640625" customWidth="1"/>
    <col min="14263" max="14264" width="35.6640625" customWidth="1"/>
    <col min="14265" max="14265" width="25.6640625" customWidth="1"/>
    <col min="14270" max="14270" width="3" customWidth="1"/>
    <col min="14271" max="14271" width="39.6640625" customWidth="1"/>
    <col min="14272" max="14272" width="5.6640625" customWidth="1"/>
    <col min="14273" max="14273" width="35.6640625" customWidth="1"/>
    <col min="14277" max="14277" width="44.6640625" customWidth="1"/>
    <col min="14285" max="14285" width="88.6640625" customWidth="1"/>
    <col min="14519" max="14520" width="35.6640625" customWidth="1"/>
    <col min="14521" max="14521" width="25.6640625" customWidth="1"/>
    <col min="14526" max="14526" width="3" customWidth="1"/>
    <col min="14527" max="14527" width="39.6640625" customWidth="1"/>
    <col min="14528" max="14528" width="5.6640625" customWidth="1"/>
    <col min="14529" max="14529" width="35.6640625" customWidth="1"/>
    <col min="14533" max="14533" width="44.6640625" customWidth="1"/>
    <col min="14541" max="14541" width="88.6640625" customWidth="1"/>
    <col min="14775" max="14776" width="35.6640625" customWidth="1"/>
    <col min="14777" max="14777" width="25.6640625" customWidth="1"/>
    <col min="14782" max="14782" width="3" customWidth="1"/>
    <col min="14783" max="14783" width="39.6640625" customWidth="1"/>
    <col min="14784" max="14784" width="5.6640625" customWidth="1"/>
    <col min="14785" max="14785" width="35.6640625" customWidth="1"/>
    <col min="14789" max="14789" width="44.6640625" customWidth="1"/>
    <col min="14797" max="14797" width="88.6640625" customWidth="1"/>
    <col min="15031" max="15032" width="35.6640625" customWidth="1"/>
    <col min="15033" max="15033" width="25.6640625" customWidth="1"/>
    <col min="15038" max="15038" width="3" customWidth="1"/>
    <col min="15039" max="15039" width="39.6640625" customWidth="1"/>
    <col min="15040" max="15040" width="5.6640625" customWidth="1"/>
    <col min="15041" max="15041" width="35.6640625" customWidth="1"/>
    <col min="15045" max="15045" width="44.6640625" customWidth="1"/>
    <col min="15053" max="15053" width="88.6640625" customWidth="1"/>
    <col min="15287" max="15288" width="35.6640625" customWidth="1"/>
    <col min="15289" max="15289" width="25.6640625" customWidth="1"/>
    <col min="15294" max="15294" width="3" customWidth="1"/>
    <col min="15295" max="15295" width="39.6640625" customWidth="1"/>
    <col min="15296" max="15296" width="5.6640625" customWidth="1"/>
    <col min="15297" max="15297" width="35.6640625" customWidth="1"/>
    <col min="15301" max="15301" width="44.6640625" customWidth="1"/>
    <col min="15309" max="15309" width="88.6640625" customWidth="1"/>
    <col min="15543" max="15544" width="35.6640625" customWidth="1"/>
    <col min="15545" max="15545" width="25.6640625" customWidth="1"/>
    <col min="15550" max="15550" width="3" customWidth="1"/>
    <col min="15551" max="15551" width="39.6640625" customWidth="1"/>
    <col min="15552" max="15552" width="5.6640625" customWidth="1"/>
    <col min="15553" max="15553" width="35.6640625" customWidth="1"/>
    <col min="15557" max="15557" width="44.6640625" customWidth="1"/>
    <col min="15565" max="15565" width="88.6640625" customWidth="1"/>
    <col min="15799" max="15800" width="35.6640625" customWidth="1"/>
    <col min="15801" max="15801" width="25.6640625" customWidth="1"/>
    <col min="15806" max="15806" width="3" customWidth="1"/>
    <col min="15807" max="15807" width="39.6640625" customWidth="1"/>
    <col min="15808" max="15808" width="5.6640625" customWidth="1"/>
    <col min="15809" max="15809" width="35.6640625" customWidth="1"/>
    <col min="15813" max="15813" width="44.6640625" customWidth="1"/>
    <col min="15821" max="15821" width="88.6640625" customWidth="1"/>
    <col min="16055" max="16056" width="35.6640625" customWidth="1"/>
    <col min="16057" max="16057" width="25.6640625" customWidth="1"/>
    <col min="16062" max="16062" width="3" customWidth="1"/>
    <col min="16063" max="16063" width="39.6640625" customWidth="1"/>
    <col min="16064" max="16064" width="5.6640625" customWidth="1"/>
    <col min="16065" max="16065" width="35.6640625" customWidth="1"/>
    <col min="16069" max="16069" width="44.6640625" customWidth="1"/>
    <col min="16077" max="16077" width="88.6640625" customWidth="1"/>
  </cols>
  <sheetData>
    <row r="1" spans="1:4" ht="24" customHeight="1">
      <c r="A1" s="146" t="s">
        <v>37</v>
      </c>
      <c r="B1" s="145"/>
      <c r="C1" s="145"/>
      <c r="D1" s="145"/>
    </row>
    <row r="2" spans="1:4" ht="24" customHeight="1">
      <c r="A2" s="203" t="s">
        <v>38</v>
      </c>
      <c r="B2" s="203"/>
      <c r="C2" s="203"/>
      <c r="D2" s="203"/>
    </row>
    <row r="3" spans="1:4" ht="19.95" customHeight="1">
      <c r="A3" s="17" t="s">
        <v>39</v>
      </c>
      <c r="B3" s="17"/>
      <c r="C3" s="17"/>
      <c r="D3" s="17"/>
    </row>
    <row r="4" spans="1:4" ht="19.95" customHeight="1">
      <c r="A4" s="66" t="s">
        <v>40</v>
      </c>
      <c r="B4" s="66"/>
      <c r="C4" s="66"/>
      <c r="D4" s="66"/>
    </row>
    <row r="5" spans="1:4" ht="19.95" customHeight="1">
      <c r="A5" s="66" t="s">
        <v>41</v>
      </c>
      <c r="B5" s="66"/>
      <c r="C5" s="66"/>
      <c r="D5" s="66"/>
    </row>
    <row r="6" spans="1:4" ht="19.95" customHeight="1">
      <c r="A6" s="66" t="s">
        <v>42</v>
      </c>
      <c r="B6" s="66"/>
      <c r="C6" s="66"/>
      <c r="D6" s="66"/>
    </row>
    <row r="7" spans="1:4" ht="19.95" customHeight="1">
      <c r="A7" s="17" t="s">
        <v>43</v>
      </c>
      <c r="B7" s="17"/>
      <c r="C7" s="17"/>
      <c r="D7" s="17"/>
    </row>
    <row r="8" spans="1:4" ht="9" customHeight="1">
      <c r="A8" s="175"/>
      <c r="B8" s="175"/>
      <c r="C8" s="175"/>
      <c r="D8" s="175"/>
    </row>
    <row r="9" spans="1:4" ht="76.95" customHeight="1">
      <c r="A9" s="204" t="s">
        <v>44</v>
      </c>
      <c r="B9" s="204"/>
      <c r="C9" s="204"/>
      <c r="D9" s="204"/>
    </row>
    <row r="10" spans="1:4" ht="16.2" customHeight="1">
      <c r="A10" s="59" t="s">
        <v>45</v>
      </c>
      <c r="B10" s="63"/>
      <c r="C10" s="15"/>
      <c r="D10" s="62"/>
    </row>
    <row r="11" spans="1:4" ht="22.2" customHeight="1">
      <c r="A11" s="59"/>
      <c r="B11" s="63"/>
      <c r="C11" s="15"/>
      <c r="D11" s="62"/>
    </row>
    <row r="12" spans="1:4" ht="20.399999999999999">
      <c r="A12" s="174" t="s">
        <v>46</v>
      </c>
      <c r="B12" s="64"/>
      <c r="C12" s="64"/>
      <c r="D12" s="65"/>
    </row>
    <row r="13" spans="1:4" ht="33" customHeight="1">
      <c r="A13" s="205" t="s">
        <v>47</v>
      </c>
      <c r="B13" s="205"/>
      <c r="C13" s="205"/>
      <c r="D13" s="205"/>
    </row>
    <row r="14" spans="1:4" ht="43.95" customHeight="1">
      <c r="A14" s="206" t="s">
        <v>48</v>
      </c>
      <c r="B14" s="206"/>
      <c r="C14" s="206"/>
      <c r="D14" s="206"/>
    </row>
    <row r="15" spans="1:4" ht="24" customHeight="1">
      <c r="A15" s="207" t="s">
        <v>49</v>
      </c>
      <c r="B15" s="207"/>
      <c r="C15" s="207"/>
      <c r="D15" s="207"/>
    </row>
    <row r="16" spans="1:4" ht="24" customHeight="1">
      <c r="A16" s="207" t="s">
        <v>50</v>
      </c>
      <c r="B16" s="207"/>
      <c r="C16" s="207"/>
      <c r="D16" s="207"/>
    </row>
    <row r="17" spans="1:4" ht="19.95" customHeight="1">
      <c r="A17" s="147" t="s">
        <v>51</v>
      </c>
      <c r="B17" s="148"/>
    </row>
    <row r="18" spans="1:4" ht="19.95" customHeight="1">
      <c r="A18" s="147" t="s">
        <v>52</v>
      </c>
      <c r="B18" s="148"/>
      <c r="C18" s="149" t="s">
        <v>53</v>
      </c>
    </row>
    <row r="19" spans="1:4" ht="19.95" customHeight="1">
      <c r="A19" s="147" t="s">
        <v>54</v>
      </c>
      <c r="B19" s="148" t="s">
        <v>55</v>
      </c>
      <c r="C19" s="147" t="s">
        <v>56</v>
      </c>
      <c r="D19" s="173"/>
    </row>
    <row r="20" spans="1:4" ht="19.95" customHeight="1">
      <c r="A20" s="147" t="s">
        <v>57</v>
      </c>
      <c r="B20" s="148" t="s">
        <v>58</v>
      </c>
      <c r="C20" s="147" t="s">
        <v>59</v>
      </c>
      <c r="D20" s="148"/>
    </row>
    <row r="21" spans="1:4" ht="19.95" customHeight="1">
      <c r="A21" s="147" t="s">
        <v>60</v>
      </c>
      <c r="B21" s="148" t="s">
        <v>61</v>
      </c>
      <c r="C21" s="147" t="s">
        <v>62</v>
      </c>
      <c r="D21" s="148"/>
    </row>
    <row r="22" spans="1:4" ht="19.95" customHeight="1">
      <c r="A22" s="172" t="s">
        <v>63</v>
      </c>
      <c r="B22" s="173" t="s">
        <v>64</v>
      </c>
      <c r="C22" s="147" t="s">
        <v>65</v>
      </c>
      <c r="D22" s="148"/>
    </row>
    <row r="23" spans="1:4" ht="13.95" customHeight="1">
      <c r="A23" s="172"/>
      <c r="C23" s="4"/>
      <c r="D23" s="4"/>
    </row>
    <row r="24" spans="1:4" ht="31.95" customHeight="1">
      <c r="A24" s="208" t="s">
        <v>24</v>
      </c>
      <c r="B24" s="208"/>
      <c r="C24" s="208"/>
      <c r="D24" s="208"/>
    </row>
    <row r="25" spans="1:4" ht="121.95" customHeight="1">
      <c r="A25" s="201" t="s">
        <v>66</v>
      </c>
      <c r="B25" s="201"/>
      <c r="C25" s="201"/>
      <c r="D25" s="201"/>
    </row>
    <row r="26" spans="1:4" ht="16.2" customHeight="1">
      <c r="A26" s="83"/>
      <c r="B26" s="83"/>
      <c r="C26" s="83"/>
      <c r="D26" s="83"/>
    </row>
    <row r="27" spans="1:4" ht="18">
      <c r="A27" s="171" t="s">
        <v>67</v>
      </c>
      <c r="B27" s="83"/>
      <c r="C27" s="83"/>
      <c r="D27" s="83"/>
    </row>
    <row r="28" spans="1:4" ht="43.95" customHeight="1">
      <c r="A28" s="201" t="s">
        <v>68</v>
      </c>
      <c r="B28" s="201"/>
      <c r="C28" s="201"/>
      <c r="D28" s="201"/>
    </row>
    <row r="29" spans="1:4" ht="10.95" customHeight="1">
      <c r="A29" s="83"/>
      <c r="B29" s="83"/>
      <c r="C29" s="83"/>
      <c r="D29" s="83"/>
    </row>
    <row r="30" spans="1:4" ht="33" customHeight="1">
      <c r="A30" s="182" t="s">
        <v>69</v>
      </c>
      <c r="B30" s="182"/>
      <c r="C30" s="182"/>
      <c r="D30" s="182"/>
    </row>
  </sheetData>
  <mergeCells count="10">
    <mergeCell ref="A30:D30"/>
    <mergeCell ref="A2:D2"/>
    <mergeCell ref="A9:D9"/>
    <mergeCell ref="A13:D13"/>
    <mergeCell ref="A14:D14"/>
    <mergeCell ref="A15:D15"/>
    <mergeCell ref="A16:D16"/>
    <mergeCell ref="A24:D24"/>
    <mergeCell ref="A25:D25"/>
    <mergeCell ref="A28:D28"/>
  </mergeCells>
  <printOptions horizontalCentered="1" verticalCentered="1"/>
  <pageMargins left="0.32" right="0.17" top="0.26" bottom="0.28000000000000003" header="0.11" footer="0.04"/>
  <pageSetup scale="89" orientation="portrait" r:id="rId1"/>
  <headerFooter differentFirst="1">
    <oddFooter>&amp;L
&amp;C
&amp;R
Page  #  &amp;P         &amp;F</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AF17A-C407-4768-908D-7F91D17940B3}">
  <sheetPr codeName="Sheet7"/>
  <dimension ref="A1:D52"/>
  <sheetViews>
    <sheetView view="pageBreakPreview" topLeftCell="A19" zoomScale="98" zoomScaleNormal="100" zoomScaleSheetLayoutView="98" workbookViewId="0">
      <selection activeCell="C31" sqref="C31"/>
    </sheetView>
  </sheetViews>
  <sheetFormatPr defaultRowHeight="14.4"/>
  <cols>
    <col min="1" max="1" width="88.6640625" style="27" customWidth="1"/>
    <col min="2" max="2" width="8.88671875" customWidth="1"/>
  </cols>
  <sheetData>
    <row r="1" spans="1:1" ht="18">
      <c r="A1" s="90" t="s">
        <v>70</v>
      </c>
    </row>
    <row r="2" spans="1:1" ht="17.399999999999999">
      <c r="A2" s="93" t="s">
        <v>71</v>
      </c>
    </row>
    <row r="3" spans="1:1" ht="18">
      <c r="A3" s="91" t="s">
        <v>72</v>
      </c>
    </row>
    <row r="4" spans="1:1" ht="18">
      <c r="A4" s="91" t="s">
        <v>73</v>
      </c>
    </row>
    <row r="5" spans="1:1" ht="18">
      <c r="A5" s="91" t="s">
        <v>74</v>
      </c>
    </row>
    <row r="6" spans="1:1" ht="33" customHeight="1">
      <c r="A6" s="95" t="s">
        <v>75</v>
      </c>
    </row>
    <row r="7" spans="1:1" ht="3" customHeight="1">
      <c r="A7" s="177"/>
    </row>
    <row r="8" spans="1:1" ht="88.2" customHeight="1">
      <c r="A8" s="87" t="s">
        <v>76</v>
      </c>
    </row>
    <row r="9" spans="1:1" ht="18">
      <c r="A9" s="177" t="s">
        <v>77</v>
      </c>
    </row>
    <row r="10" spans="1:1" ht="3" customHeight="1">
      <c r="A10" s="177"/>
    </row>
    <row r="11" spans="1:1" ht="18">
      <c r="A11" s="83" t="s">
        <v>78</v>
      </c>
    </row>
    <row r="12" spans="1:1" ht="18">
      <c r="A12" s="82" t="s">
        <v>79</v>
      </c>
    </row>
    <row r="13" spans="1:1" ht="18">
      <c r="A13" s="82"/>
    </row>
    <row r="14" spans="1:1" ht="72">
      <c r="A14" s="82" t="s">
        <v>80</v>
      </c>
    </row>
    <row r="15" spans="1:1" ht="22.2" customHeight="1">
      <c r="A15" s="97" t="s">
        <v>81</v>
      </c>
    </row>
    <row r="16" spans="1:1" ht="22.2" customHeight="1">
      <c r="A16" s="97" t="s">
        <v>82</v>
      </c>
    </row>
    <row r="17" spans="1:4" ht="22.2" customHeight="1">
      <c r="A17" s="97" t="s">
        <v>83</v>
      </c>
    </row>
    <row r="18" spans="1:4" ht="22.2" customHeight="1">
      <c r="A18" s="97" t="s">
        <v>84</v>
      </c>
    </row>
    <row r="19" spans="1:4" ht="60" customHeight="1">
      <c r="A19" s="92" t="s">
        <v>47</v>
      </c>
    </row>
    <row r="20" spans="1:4" ht="36">
      <c r="A20" s="23" t="s">
        <v>85</v>
      </c>
    </row>
    <row r="21" spans="1:4" ht="3" customHeight="1">
      <c r="A21" s="178"/>
    </row>
    <row r="22" spans="1:4" ht="43.95" customHeight="1">
      <c r="A22" s="177" t="s">
        <v>86</v>
      </c>
    </row>
    <row r="23" spans="1:4" ht="22.2" customHeight="1">
      <c r="A23" s="177"/>
    </row>
    <row r="24" spans="1:4" ht="18">
      <c r="A24" s="86" t="s">
        <v>87</v>
      </c>
    </row>
    <row r="25" spans="1:4" ht="18">
      <c r="A25" s="98"/>
    </row>
    <row r="26" spans="1:4" ht="15.6">
      <c r="A26" s="89" t="s">
        <v>88</v>
      </c>
    </row>
    <row r="28" spans="1:4" ht="20.399999999999999">
      <c r="A28" s="199" t="s">
        <v>89</v>
      </c>
      <c r="B28" s="199"/>
      <c r="C28" s="199"/>
      <c r="D28" s="199"/>
    </row>
    <row r="29" spans="1:4" ht="20.399999999999999" customHeight="1">
      <c r="A29" s="199"/>
      <c r="B29" s="199"/>
      <c r="C29" s="199"/>
      <c r="D29" s="199"/>
    </row>
    <row r="30" spans="1:4" ht="18" customHeight="1">
      <c r="A30" s="202"/>
      <c r="B30" s="202"/>
      <c r="C30" s="202"/>
      <c r="D30" s="202"/>
    </row>
    <row r="31" spans="1:4" ht="18">
      <c r="A31" s="14"/>
      <c r="B31" s="15"/>
      <c r="C31" s="25"/>
      <c r="D31" s="25"/>
    </row>
    <row r="32" spans="1:4" ht="18">
      <c r="A32" s="14"/>
      <c r="B32" s="15"/>
      <c r="C32" s="25"/>
      <c r="D32" s="25"/>
    </row>
    <row r="33" spans="1:4" ht="18">
      <c r="A33" s="14"/>
      <c r="B33" s="15"/>
      <c r="C33" s="25"/>
      <c r="D33" s="25"/>
    </row>
    <row r="34" spans="1:4" ht="18">
      <c r="A34" s="14"/>
      <c r="B34" s="15"/>
      <c r="C34" s="25"/>
      <c r="D34" s="25"/>
    </row>
    <row r="35" spans="1:4" ht="18">
      <c r="A35" s="14"/>
      <c r="B35" s="15"/>
      <c r="C35" s="25"/>
      <c r="D35" s="25"/>
    </row>
    <row r="36" spans="1:4" ht="18">
      <c r="A36" s="12"/>
      <c r="B36" s="84"/>
      <c r="C36" s="25"/>
      <c r="D36" s="25"/>
    </row>
    <row r="37" spans="1:4" ht="18">
      <c r="A37" s="84"/>
      <c r="B37" s="84"/>
      <c r="C37" s="25"/>
      <c r="D37" s="25"/>
    </row>
    <row r="38" spans="1:4" ht="18">
      <c r="A38" s="84"/>
      <c r="B38" s="84"/>
      <c r="C38" s="25"/>
      <c r="D38" s="25"/>
    </row>
    <row r="39" spans="1:4" ht="18">
      <c r="A39" s="84"/>
      <c r="B39" s="84"/>
      <c r="C39" s="25"/>
      <c r="D39" s="25"/>
    </row>
    <row r="40" spans="1:4" ht="18">
      <c r="A40" s="84"/>
      <c r="B40" s="84"/>
      <c r="C40" s="25"/>
      <c r="D40" s="25"/>
    </row>
    <row r="41" spans="1:4" ht="18" customHeight="1">
      <c r="A41" s="201"/>
      <c r="B41" s="201"/>
      <c r="C41" s="201"/>
      <c r="D41" s="201"/>
    </row>
    <row r="42" spans="1:4" ht="18">
      <c r="A42" s="17"/>
      <c r="B42" s="17"/>
      <c r="C42" s="17"/>
      <c r="D42" s="17"/>
    </row>
    <row r="43" spans="1:4" ht="18">
      <c r="A43" s="17"/>
      <c r="B43" s="17"/>
      <c r="C43" s="17"/>
      <c r="D43" s="66"/>
    </row>
    <row r="44" spans="1:4" ht="18">
      <c r="A44" s="17"/>
      <c r="B44" s="17"/>
      <c r="C44" s="17"/>
      <c r="D44" s="17"/>
    </row>
    <row r="45" spans="1:4" ht="18">
      <c r="A45" s="4"/>
      <c r="B45" s="4"/>
      <c r="C45" s="85"/>
      <c r="D45" s="15"/>
    </row>
    <row r="46" spans="1:4" ht="18">
      <c r="A46" s="85"/>
      <c r="B46" s="85"/>
      <c r="C46" s="85"/>
      <c r="D46" s="4"/>
    </row>
    <row r="47" spans="1:4" ht="18" customHeight="1">
      <c r="A47" s="180"/>
      <c r="B47" s="180"/>
      <c r="C47" s="180"/>
      <c r="D47" s="180"/>
    </row>
    <row r="48" spans="1:4" ht="18" customHeight="1">
      <c r="A48" s="180"/>
      <c r="B48" s="180"/>
      <c r="C48" s="180"/>
      <c r="D48" s="180"/>
    </row>
    <row r="49" spans="1:4" ht="18" customHeight="1">
      <c r="A49" s="209"/>
      <c r="B49" s="209"/>
      <c r="C49" s="209"/>
      <c r="D49" s="209"/>
    </row>
    <row r="50" spans="1:4" ht="18">
      <c r="A50" s="88"/>
      <c r="B50" s="88"/>
      <c r="C50" s="88"/>
      <c r="D50" s="88"/>
    </row>
    <row r="51" spans="1:4" ht="18">
      <c r="A51" s="88"/>
      <c r="B51" s="88"/>
      <c r="C51" s="88"/>
      <c r="D51" s="88"/>
    </row>
    <row r="52" spans="1:4" ht="18">
      <c r="A52" s="17"/>
      <c r="B52" s="17"/>
      <c r="C52" s="17"/>
      <c r="D52" s="17"/>
    </row>
  </sheetData>
  <mergeCells count="7">
    <mergeCell ref="A47:D47"/>
    <mergeCell ref="A48:D48"/>
    <mergeCell ref="A49:D49"/>
    <mergeCell ref="A28:D28"/>
    <mergeCell ref="A29:D29"/>
    <mergeCell ref="A30:D30"/>
    <mergeCell ref="A41:D41"/>
  </mergeCells>
  <pageMargins left="0.49" right="0.31" top="0.53" bottom="0.52" header="0.3" footer="0.24"/>
  <pageSetup orientation="portrait" r:id="rId1"/>
  <headerFooter>
    <oddFooter>&amp;L&amp;P&amp;C&amp;A&amp;R&amp;F</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D6AC6-21AD-40C2-9AA4-26CEE32C32E9}">
  <sheetPr codeName="Sheet8"/>
  <dimension ref="A1:D28"/>
  <sheetViews>
    <sheetView showGridLines="0" view="pageBreakPreview" topLeftCell="A18" zoomScaleNormal="100" zoomScaleSheetLayoutView="100" workbookViewId="0">
      <selection activeCell="A36" sqref="A36"/>
    </sheetView>
  </sheetViews>
  <sheetFormatPr defaultRowHeight="14.4"/>
  <cols>
    <col min="1" max="1" width="20.33203125" style="13" customWidth="1"/>
    <col min="2" max="2" width="44.44140625" style="13" customWidth="1"/>
    <col min="3" max="3" width="18.6640625" style="13" customWidth="1"/>
    <col min="4" max="4" width="27.6640625" style="13" customWidth="1"/>
    <col min="183" max="184" width="35.6640625" customWidth="1"/>
    <col min="185" max="185" width="25.6640625" customWidth="1"/>
    <col min="190" max="190" width="3" customWidth="1"/>
    <col min="191" max="191" width="39.6640625" customWidth="1"/>
    <col min="192" max="192" width="5.6640625" customWidth="1"/>
    <col min="193" max="193" width="35.6640625" customWidth="1"/>
    <col min="197" max="197" width="44.6640625" customWidth="1"/>
    <col min="205" max="205" width="88.6640625" customWidth="1"/>
    <col min="439" max="440" width="35.6640625" customWidth="1"/>
    <col min="441" max="441" width="25.6640625" customWidth="1"/>
    <col min="446" max="446" width="3" customWidth="1"/>
    <col min="447" max="447" width="39.6640625" customWidth="1"/>
    <col min="448" max="448" width="5.6640625" customWidth="1"/>
    <col min="449" max="449" width="35.6640625" customWidth="1"/>
    <col min="453" max="453" width="44.6640625" customWidth="1"/>
    <col min="461" max="461" width="88.6640625" customWidth="1"/>
    <col min="695" max="696" width="35.6640625" customWidth="1"/>
    <col min="697" max="697" width="25.6640625" customWidth="1"/>
    <col min="702" max="702" width="3" customWidth="1"/>
    <col min="703" max="703" width="39.6640625" customWidth="1"/>
    <col min="704" max="704" width="5.6640625" customWidth="1"/>
    <col min="705" max="705" width="35.6640625" customWidth="1"/>
    <col min="709" max="709" width="44.6640625" customWidth="1"/>
    <col min="717" max="717" width="88.6640625" customWidth="1"/>
    <col min="951" max="952" width="35.6640625" customWidth="1"/>
    <col min="953" max="953" width="25.6640625" customWidth="1"/>
    <col min="958" max="958" width="3" customWidth="1"/>
    <col min="959" max="959" width="39.6640625" customWidth="1"/>
    <col min="960" max="960" width="5.6640625" customWidth="1"/>
    <col min="961" max="961" width="35.6640625" customWidth="1"/>
    <col min="965" max="965" width="44.6640625" customWidth="1"/>
    <col min="973" max="973" width="88.6640625" customWidth="1"/>
    <col min="1207" max="1208" width="35.6640625" customWidth="1"/>
    <col min="1209" max="1209" width="25.6640625" customWidth="1"/>
    <col min="1214" max="1214" width="3" customWidth="1"/>
    <col min="1215" max="1215" width="39.6640625" customWidth="1"/>
    <col min="1216" max="1216" width="5.6640625" customWidth="1"/>
    <col min="1217" max="1217" width="35.6640625" customWidth="1"/>
    <col min="1221" max="1221" width="44.6640625" customWidth="1"/>
    <col min="1229" max="1229" width="88.6640625" customWidth="1"/>
    <col min="1463" max="1464" width="35.6640625" customWidth="1"/>
    <col min="1465" max="1465" width="25.6640625" customWidth="1"/>
    <col min="1470" max="1470" width="3" customWidth="1"/>
    <col min="1471" max="1471" width="39.6640625" customWidth="1"/>
    <col min="1472" max="1472" width="5.6640625" customWidth="1"/>
    <col min="1473" max="1473" width="35.6640625" customWidth="1"/>
    <col min="1477" max="1477" width="44.6640625" customWidth="1"/>
    <col min="1485" max="1485" width="88.6640625" customWidth="1"/>
    <col min="1719" max="1720" width="35.6640625" customWidth="1"/>
    <col min="1721" max="1721" width="25.6640625" customWidth="1"/>
    <col min="1726" max="1726" width="3" customWidth="1"/>
    <col min="1727" max="1727" width="39.6640625" customWidth="1"/>
    <col min="1728" max="1728" width="5.6640625" customWidth="1"/>
    <col min="1729" max="1729" width="35.6640625" customWidth="1"/>
    <col min="1733" max="1733" width="44.6640625" customWidth="1"/>
    <col min="1741" max="1741" width="88.6640625" customWidth="1"/>
    <col min="1975" max="1976" width="35.6640625" customWidth="1"/>
    <col min="1977" max="1977" width="25.6640625" customWidth="1"/>
    <col min="1982" max="1982" width="3" customWidth="1"/>
    <col min="1983" max="1983" width="39.6640625" customWidth="1"/>
    <col min="1984" max="1984" width="5.6640625" customWidth="1"/>
    <col min="1985" max="1985" width="35.6640625" customWidth="1"/>
    <col min="1989" max="1989" width="44.6640625" customWidth="1"/>
    <col min="1997" max="1997" width="88.6640625" customWidth="1"/>
    <col min="2231" max="2232" width="35.6640625" customWidth="1"/>
    <col min="2233" max="2233" width="25.6640625" customWidth="1"/>
    <col min="2238" max="2238" width="3" customWidth="1"/>
    <col min="2239" max="2239" width="39.6640625" customWidth="1"/>
    <col min="2240" max="2240" width="5.6640625" customWidth="1"/>
    <col min="2241" max="2241" width="35.6640625" customWidth="1"/>
    <col min="2245" max="2245" width="44.6640625" customWidth="1"/>
    <col min="2253" max="2253" width="88.6640625" customWidth="1"/>
    <col min="2487" max="2488" width="35.6640625" customWidth="1"/>
    <col min="2489" max="2489" width="25.6640625" customWidth="1"/>
    <col min="2494" max="2494" width="3" customWidth="1"/>
    <col min="2495" max="2495" width="39.6640625" customWidth="1"/>
    <col min="2496" max="2496" width="5.6640625" customWidth="1"/>
    <col min="2497" max="2497" width="35.6640625" customWidth="1"/>
    <col min="2501" max="2501" width="44.6640625" customWidth="1"/>
    <col min="2509" max="2509" width="88.6640625" customWidth="1"/>
    <col min="2743" max="2744" width="35.6640625" customWidth="1"/>
    <col min="2745" max="2745" width="25.6640625" customWidth="1"/>
    <col min="2750" max="2750" width="3" customWidth="1"/>
    <col min="2751" max="2751" width="39.6640625" customWidth="1"/>
    <col min="2752" max="2752" width="5.6640625" customWidth="1"/>
    <col min="2753" max="2753" width="35.6640625" customWidth="1"/>
    <col min="2757" max="2757" width="44.6640625" customWidth="1"/>
    <col min="2765" max="2765" width="88.6640625" customWidth="1"/>
    <col min="2999" max="3000" width="35.6640625" customWidth="1"/>
    <col min="3001" max="3001" width="25.6640625" customWidth="1"/>
    <col min="3006" max="3006" width="3" customWidth="1"/>
    <col min="3007" max="3007" width="39.6640625" customWidth="1"/>
    <col min="3008" max="3008" width="5.6640625" customWidth="1"/>
    <col min="3009" max="3009" width="35.6640625" customWidth="1"/>
    <col min="3013" max="3013" width="44.6640625" customWidth="1"/>
    <col min="3021" max="3021" width="88.6640625" customWidth="1"/>
    <col min="3255" max="3256" width="35.6640625" customWidth="1"/>
    <col min="3257" max="3257" width="25.6640625" customWidth="1"/>
    <col min="3262" max="3262" width="3" customWidth="1"/>
    <col min="3263" max="3263" width="39.6640625" customWidth="1"/>
    <col min="3264" max="3264" width="5.6640625" customWidth="1"/>
    <col min="3265" max="3265" width="35.6640625" customWidth="1"/>
    <col min="3269" max="3269" width="44.6640625" customWidth="1"/>
    <col min="3277" max="3277" width="88.6640625" customWidth="1"/>
    <col min="3511" max="3512" width="35.6640625" customWidth="1"/>
    <col min="3513" max="3513" width="25.6640625" customWidth="1"/>
    <col min="3518" max="3518" width="3" customWidth="1"/>
    <col min="3519" max="3519" width="39.6640625" customWidth="1"/>
    <col min="3520" max="3520" width="5.6640625" customWidth="1"/>
    <col min="3521" max="3521" width="35.6640625" customWidth="1"/>
    <col min="3525" max="3525" width="44.6640625" customWidth="1"/>
    <col min="3533" max="3533" width="88.6640625" customWidth="1"/>
    <col min="3767" max="3768" width="35.6640625" customWidth="1"/>
    <col min="3769" max="3769" width="25.6640625" customWidth="1"/>
    <col min="3774" max="3774" width="3" customWidth="1"/>
    <col min="3775" max="3775" width="39.6640625" customWidth="1"/>
    <col min="3776" max="3776" width="5.6640625" customWidth="1"/>
    <col min="3777" max="3777" width="35.6640625" customWidth="1"/>
    <col min="3781" max="3781" width="44.6640625" customWidth="1"/>
    <col min="3789" max="3789" width="88.6640625" customWidth="1"/>
    <col min="4023" max="4024" width="35.6640625" customWidth="1"/>
    <col min="4025" max="4025" width="25.6640625" customWidth="1"/>
    <col min="4030" max="4030" width="3" customWidth="1"/>
    <col min="4031" max="4031" width="39.6640625" customWidth="1"/>
    <col min="4032" max="4032" width="5.6640625" customWidth="1"/>
    <col min="4033" max="4033" width="35.6640625" customWidth="1"/>
    <col min="4037" max="4037" width="44.6640625" customWidth="1"/>
    <col min="4045" max="4045" width="88.6640625" customWidth="1"/>
    <col min="4279" max="4280" width="35.6640625" customWidth="1"/>
    <col min="4281" max="4281" width="25.6640625" customWidth="1"/>
    <col min="4286" max="4286" width="3" customWidth="1"/>
    <col min="4287" max="4287" width="39.6640625" customWidth="1"/>
    <col min="4288" max="4288" width="5.6640625" customWidth="1"/>
    <col min="4289" max="4289" width="35.6640625" customWidth="1"/>
    <col min="4293" max="4293" width="44.6640625" customWidth="1"/>
    <col min="4301" max="4301" width="88.6640625" customWidth="1"/>
    <col min="4535" max="4536" width="35.6640625" customWidth="1"/>
    <col min="4537" max="4537" width="25.6640625" customWidth="1"/>
    <col min="4542" max="4542" width="3" customWidth="1"/>
    <col min="4543" max="4543" width="39.6640625" customWidth="1"/>
    <col min="4544" max="4544" width="5.6640625" customWidth="1"/>
    <col min="4545" max="4545" width="35.6640625" customWidth="1"/>
    <col min="4549" max="4549" width="44.6640625" customWidth="1"/>
    <col min="4557" max="4557" width="88.6640625" customWidth="1"/>
    <col min="4791" max="4792" width="35.6640625" customWidth="1"/>
    <col min="4793" max="4793" width="25.6640625" customWidth="1"/>
    <col min="4798" max="4798" width="3" customWidth="1"/>
    <col min="4799" max="4799" width="39.6640625" customWidth="1"/>
    <col min="4800" max="4800" width="5.6640625" customWidth="1"/>
    <col min="4801" max="4801" width="35.6640625" customWidth="1"/>
    <col min="4805" max="4805" width="44.6640625" customWidth="1"/>
    <col min="4813" max="4813" width="88.6640625" customWidth="1"/>
    <col min="5047" max="5048" width="35.6640625" customWidth="1"/>
    <col min="5049" max="5049" width="25.6640625" customWidth="1"/>
    <col min="5054" max="5054" width="3" customWidth="1"/>
    <col min="5055" max="5055" width="39.6640625" customWidth="1"/>
    <col min="5056" max="5056" width="5.6640625" customWidth="1"/>
    <col min="5057" max="5057" width="35.6640625" customWidth="1"/>
    <col min="5061" max="5061" width="44.6640625" customWidth="1"/>
    <col min="5069" max="5069" width="88.6640625" customWidth="1"/>
    <col min="5303" max="5304" width="35.6640625" customWidth="1"/>
    <col min="5305" max="5305" width="25.6640625" customWidth="1"/>
    <col min="5310" max="5310" width="3" customWidth="1"/>
    <col min="5311" max="5311" width="39.6640625" customWidth="1"/>
    <col min="5312" max="5312" width="5.6640625" customWidth="1"/>
    <col min="5313" max="5313" width="35.6640625" customWidth="1"/>
    <col min="5317" max="5317" width="44.6640625" customWidth="1"/>
    <col min="5325" max="5325" width="88.6640625" customWidth="1"/>
    <col min="5559" max="5560" width="35.6640625" customWidth="1"/>
    <col min="5561" max="5561" width="25.6640625" customWidth="1"/>
    <col min="5566" max="5566" width="3" customWidth="1"/>
    <col min="5567" max="5567" width="39.6640625" customWidth="1"/>
    <col min="5568" max="5568" width="5.6640625" customWidth="1"/>
    <col min="5569" max="5569" width="35.6640625" customWidth="1"/>
    <col min="5573" max="5573" width="44.6640625" customWidth="1"/>
    <col min="5581" max="5581" width="88.6640625" customWidth="1"/>
    <col min="5815" max="5816" width="35.6640625" customWidth="1"/>
    <col min="5817" max="5817" width="25.6640625" customWidth="1"/>
    <col min="5822" max="5822" width="3" customWidth="1"/>
    <col min="5823" max="5823" width="39.6640625" customWidth="1"/>
    <col min="5824" max="5824" width="5.6640625" customWidth="1"/>
    <col min="5825" max="5825" width="35.6640625" customWidth="1"/>
    <col min="5829" max="5829" width="44.6640625" customWidth="1"/>
    <col min="5837" max="5837" width="88.6640625" customWidth="1"/>
    <col min="6071" max="6072" width="35.6640625" customWidth="1"/>
    <col min="6073" max="6073" width="25.6640625" customWidth="1"/>
    <col min="6078" max="6078" width="3" customWidth="1"/>
    <col min="6079" max="6079" width="39.6640625" customWidth="1"/>
    <col min="6080" max="6080" width="5.6640625" customWidth="1"/>
    <col min="6081" max="6081" width="35.6640625" customWidth="1"/>
    <col min="6085" max="6085" width="44.6640625" customWidth="1"/>
    <col min="6093" max="6093" width="88.6640625" customWidth="1"/>
    <col min="6327" max="6328" width="35.6640625" customWidth="1"/>
    <col min="6329" max="6329" width="25.6640625" customWidth="1"/>
    <col min="6334" max="6334" width="3" customWidth="1"/>
    <col min="6335" max="6335" width="39.6640625" customWidth="1"/>
    <col min="6336" max="6336" width="5.6640625" customWidth="1"/>
    <col min="6337" max="6337" width="35.6640625" customWidth="1"/>
    <col min="6341" max="6341" width="44.6640625" customWidth="1"/>
    <col min="6349" max="6349" width="88.6640625" customWidth="1"/>
    <col min="6583" max="6584" width="35.6640625" customWidth="1"/>
    <col min="6585" max="6585" width="25.6640625" customWidth="1"/>
    <col min="6590" max="6590" width="3" customWidth="1"/>
    <col min="6591" max="6591" width="39.6640625" customWidth="1"/>
    <col min="6592" max="6592" width="5.6640625" customWidth="1"/>
    <col min="6593" max="6593" width="35.6640625" customWidth="1"/>
    <col min="6597" max="6597" width="44.6640625" customWidth="1"/>
    <col min="6605" max="6605" width="88.6640625" customWidth="1"/>
    <col min="6839" max="6840" width="35.6640625" customWidth="1"/>
    <col min="6841" max="6841" width="25.6640625" customWidth="1"/>
    <col min="6846" max="6846" width="3" customWidth="1"/>
    <col min="6847" max="6847" width="39.6640625" customWidth="1"/>
    <col min="6848" max="6848" width="5.6640625" customWidth="1"/>
    <col min="6849" max="6849" width="35.6640625" customWidth="1"/>
    <col min="6853" max="6853" width="44.6640625" customWidth="1"/>
    <col min="6861" max="6861" width="88.6640625" customWidth="1"/>
    <col min="7095" max="7096" width="35.6640625" customWidth="1"/>
    <col min="7097" max="7097" width="25.6640625" customWidth="1"/>
    <col min="7102" max="7102" width="3" customWidth="1"/>
    <col min="7103" max="7103" width="39.6640625" customWidth="1"/>
    <col min="7104" max="7104" width="5.6640625" customWidth="1"/>
    <col min="7105" max="7105" width="35.6640625" customWidth="1"/>
    <col min="7109" max="7109" width="44.6640625" customWidth="1"/>
    <col min="7117" max="7117" width="88.6640625" customWidth="1"/>
    <col min="7351" max="7352" width="35.6640625" customWidth="1"/>
    <col min="7353" max="7353" width="25.6640625" customWidth="1"/>
    <col min="7358" max="7358" width="3" customWidth="1"/>
    <col min="7359" max="7359" width="39.6640625" customWidth="1"/>
    <col min="7360" max="7360" width="5.6640625" customWidth="1"/>
    <col min="7361" max="7361" width="35.6640625" customWidth="1"/>
    <col min="7365" max="7365" width="44.6640625" customWidth="1"/>
    <col min="7373" max="7373" width="88.6640625" customWidth="1"/>
    <col min="7607" max="7608" width="35.6640625" customWidth="1"/>
    <col min="7609" max="7609" width="25.6640625" customWidth="1"/>
    <col min="7614" max="7614" width="3" customWidth="1"/>
    <col min="7615" max="7615" width="39.6640625" customWidth="1"/>
    <col min="7616" max="7616" width="5.6640625" customWidth="1"/>
    <col min="7617" max="7617" width="35.6640625" customWidth="1"/>
    <col min="7621" max="7621" width="44.6640625" customWidth="1"/>
    <col min="7629" max="7629" width="88.6640625" customWidth="1"/>
    <col min="7863" max="7864" width="35.6640625" customWidth="1"/>
    <col min="7865" max="7865" width="25.6640625" customWidth="1"/>
    <col min="7870" max="7870" width="3" customWidth="1"/>
    <col min="7871" max="7871" width="39.6640625" customWidth="1"/>
    <col min="7872" max="7872" width="5.6640625" customWidth="1"/>
    <col min="7873" max="7873" width="35.6640625" customWidth="1"/>
    <col min="7877" max="7877" width="44.6640625" customWidth="1"/>
    <col min="7885" max="7885" width="88.6640625" customWidth="1"/>
    <col min="8119" max="8120" width="35.6640625" customWidth="1"/>
    <col min="8121" max="8121" width="25.6640625" customWidth="1"/>
    <col min="8126" max="8126" width="3" customWidth="1"/>
    <col min="8127" max="8127" width="39.6640625" customWidth="1"/>
    <col min="8128" max="8128" width="5.6640625" customWidth="1"/>
    <col min="8129" max="8129" width="35.6640625" customWidth="1"/>
    <col min="8133" max="8133" width="44.6640625" customWidth="1"/>
    <col min="8141" max="8141" width="88.6640625" customWidth="1"/>
    <col min="8375" max="8376" width="35.6640625" customWidth="1"/>
    <col min="8377" max="8377" width="25.6640625" customWidth="1"/>
    <col min="8382" max="8382" width="3" customWidth="1"/>
    <col min="8383" max="8383" width="39.6640625" customWidth="1"/>
    <col min="8384" max="8384" width="5.6640625" customWidth="1"/>
    <col min="8385" max="8385" width="35.6640625" customWidth="1"/>
    <col min="8389" max="8389" width="44.6640625" customWidth="1"/>
    <col min="8397" max="8397" width="88.6640625" customWidth="1"/>
    <col min="8631" max="8632" width="35.6640625" customWidth="1"/>
    <col min="8633" max="8633" width="25.6640625" customWidth="1"/>
    <col min="8638" max="8638" width="3" customWidth="1"/>
    <col min="8639" max="8639" width="39.6640625" customWidth="1"/>
    <col min="8640" max="8640" width="5.6640625" customWidth="1"/>
    <col min="8641" max="8641" width="35.6640625" customWidth="1"/>
    <col min="8645" max="8645" width="44.6640625" customWidth="1"/>
    <col min="8653" max="8653" width="88.6640625" customWidth="1"/>
    <col min="8887" max="8888" width="35.6640625" customWidth="1"/>
    <col min="8889" max="8889" width="25.6640625" customWidth="1"/>
    <col min="8894" max="8894" width="3" customWidth="1"/>
    <col min="8895" max="8895" width="39.6640625" customWidth="1"/>
    <col min="8896" max="8896" width="5.6640625" customWidth="1"/>
    <col min="8897" max="8897" width="35.6640625" customWidth="1"/>
    <col min="8901" max="8901" width="44.6640625" customWidth="1"/>
    <col min="8909" max="8909" width="88.6640625" customWidth="1"/>
    <col min="9143" max="9144" width="35.6640625" customWidth="1"/>
    <col min="9145" max="9145" width="25.6640625" customWidth="1"/>
    <col min="9150" max="9150" width="3" customWidth="1"/>
    <col min="9151" max="9151" width="39.6640625" customWidth="1"/>
    <col min="9152" max="9152" width="5.6640625" customWidth="1"/>
    <col min="9153" max="9153" width="35.6640625" customWidth="1"/>
    <col min="9157" max="9157" width="44.6640625" customWidth="1"/>
    <col min="9165" max="9165" width="88.6640625" customWidth="1"/>
    <col min="9399" max="9400" width="35.6640625" customWidth="1"/>
    <col min="9401" max="9401" width="25.6640625" customWidth="1"/>
    <col min="9406" max="9406" width="3" customWidth="1"/>
    <col min="9407" max="9407" width="39.6640625" customWidth="1"/>
    <col min="9408" max="9408" width="5.6640625" customWidth="1"/>
    <col min="9409" max="9409" width="35.6640625" customWidth="1"/>
    <col min="9413" max="9413" width="44.6640625" customWidth="1"/>
    <col min="9421" max="9421" width="88.6640625" customWidth="1"/>
    <col min="9655" max="9656" width="35.6640625" customWidth="1"/>
    <col min="9657" max="9657" width="25.6640625" customWidth="1"/>
    <col min="9662" max="9662" width="3" customWidth="1"/>
    <col min="9663" max="9663" width="39.6640625" customWidth="1"/>
    <col min="9664" max="9664" width="5.6640625" customWidth="1"/>
    <col min="9665" max="9665" width="35.6640625" customWidth="1"/>
    <col min="9669" max="9669" width="44.6640625" customWidth="1"/>
    <col min="9677" max="9677" width="88.6640625" customWidth="1"/>
    <col min="9911" max="9912" width="35.6640625" customWidth="1"/>
    <col min="9913" max="9913" width="25.6640625" customWidth="1"/>
    <col min="9918" max="9918" width="3" customWidth="1"/>
    <col min="9919" max="9919" width="39.6640625" customWidth="1"/>
    <col min="9920" max="9920" width="5.6640625" customWidth="1"/>
    <col min="9921" max="9921" width="35.6640625" customWidth="1"/>
    <col min="9925" max="9925" width="44.6640625" customWidth="1"/>
    <col min="9933" max="9933" width="88.6640625" customWidth="1"/>
    <col min="10167" max="10168" width="35.6640625" customWidth="1"/>
    <col min="10169" max="10169" width="25.6640625" customWidth="1"/>
    <col min="10174" max="10174" width="3" customWidth="1"/>
    <col min="10175" max="10175" width="39.6640625" customWidth="1"/>
    <col min="10176" max="10176" width="5.6640625" customWidth="1"/>
    <col min="10177" max="10177" width="35.6640625" customWidth="1"/>
    <col min="10181" max="10181" width="44.6640625" customWidth="1"/>
    <col min="10189" max="10189" width="88.6640625" customWidth="1"/>
    <col min="10423" max="10424" width="35.6640625" customWidth="1"/>
    <col min="10425" max="10425" width="25.6640625" customWidth="1"/>
    <col min="10430" max="10430" width="3" customWidth="1"/>
    <col min="10431" max="10431" width="39.6640625" customWidth="1"/>
    <col min="10432" max="10432" width="5.6640625" customWidth="1"/>
    <col min="10433" max="10433" width="35.6640625" customWidth="1"/>
    <col min="10437" max="10437" width="44.6640625" customWidth="1"/>
    <col min="10445" max="10445" width="88.6640625" customWidth="1"/>
    <col min="10679" max="10680" width="35.6640625" customWidth="1"/>
    <col min="10681" max="10681" width="25.6640625" customWidth="1"/>
    <col min="10686" max="10686" width="3" customWidth="1"/>
    <col min="10687" max="10687" width="39.6640625" customWidth="1"/>
    <col min="10688" max="10688" width="5.6640625" customWidth="1"/>
    <col min="10689" max="10689" width="35.6640625" customWidth="1"/>
    <col min="10693" max="10693" width="44.6640625" customWidth="1"/>
    <col min="10701" max="10701" width="88.6640625" customWidth="1"/>
    <col min="10935" max="10936" width="35.6640625" customWidth="1"/>
    <col min="10937" max="10937" width="25.6640625" customWidth="1"/>
    <col min="10942" max="10942" width="3" customWidth="1"/>
    <col min="10943" max="10943" width="39.6640625" customWidth="1"/>
    <col min="10944" max="10944" width="5.6640625" customWidth="1"/>
    <col min="10945" max="10945" width="35.6640625" customWidth="1"/>
    <col min="10949" max="10949" width="44.6640625" customWidth="1"/>
    <col min="10957" max="10957" width="88.6640625" customWidth="1"/>
    <col min="11191" max="11192" width="35.6640625" customWidth="1"/>
    <col min="11193" max="11193" width="25.6640625" customWidth="1"/>
    <col min="11198" max="11198" width="3" customWidth="1"/>
    <col min="11199" max="11199" width="39.6640625" customWidth="1"/>
    <col min="11200" max="11200" width="5.6640625" customWidth="1"/>
    <col min="11201" max="11201" width="35.6640625" customWidth="1"/>
    <col min="11205" max="11205" width="44.6640625" customWidth="1"/>
    <col min="11213" max="11213" width="88.6640625" customWidth="1"/>
    <col min="11447" max="11448" width="35.6640625" customWidth="1"/>
    <col min="11449" max="11449" width="25.6640625" customWidth="1"/>
    <col min="11454" max="11454" width="3" customWidth="1"/>
    <col min="11455" max="11455" width="39.6640625" customWidth="1"/>
    <col min="11456" max="11456" width="5.6640625" customWidth="1"/>
    <col min="11457" max="11457" width="35.6640625" customWidth="1"/>
    <col min="11461" max="11461" width="44.6640625" customWidth="1"/>
    <col min="11469" max="11469" width="88.6640625" customWidth="1"/>
    <col min="11703" max="11704" width="35.6640625" customWidth="1"/>
    <col min="11705" max="11705" width="25.6640625" customWidth="1"/>
    <col min="11710" max="11710" width="3" customWidth="1"/>
    <col min="11711" max="11711" width="39.6640625" customWidth="1"/>
    <col min="11712" max="11712" width="5.6640625" customWidth="1"/>
    <col min="11713" max="11713" width="35.6640625" customWidth="1"/>
    <col min="11717" max="11717" width="44.6640625" customWidth="1"/>
    <col min="11725" max="11725" width="88.6640625" customWidth="1"/>
    <col min="11959" max="11960" width="35.6640625" customWidth="1"/>
    <col min="11961" max="11961" width="25.6640625" customWidth="1"/>
    <col min="11966" max="11966" width="3" customWidth="1"/>
    <col min="11967" max="11967" width="39.6640625" customWidth="1"/>
    <col min="11968" max="11968" width="5.6640625" customWidth="1"/>
    <col min="11969" max="11969" width="35.6640625" customWidth="1"/>
    <col min="11973" max="11973" width="44.6640625" customWidth="1"/>
    <col min="11981" max="11981" width="88.6640625" customWidth="1"/>
    <col min="12215" max="12216" width="35.6640625" customWidth="1"/>
    <col min="12217" max="12217" width="25.6640625" customWidth="1"/>
    <col min="12222" max="12222" width="3" customWidth="1"/>
    <col min="12223" max="12223" width="39.6640625" customWidth="1"/>
    <col min="12224" max="12224" width="5.6640625" customWidth="1"/>
    <col min="12225" max="12225" width="35.6640625" customWidth="1"/>
    <col min="12229" max="12229" width="44.6640625" customWidth="1"/>
    <col min="12237" max="12237" width="88.6640625" customWidth="1"/>
    <col min="12471" max="12472" width="35.6640625" customWidth="1"/>
    <col min="12473" max="12473" width="25.6640625" customWidth="1"/>
    <col min="12478" max="12478" width="3" customWidth="1"/>
    <col min="12479" max="12479" width="39.6640625" customWidth="1"/>
    <col min="12480" max="12480" width="5.6640625" customWidth="1"/>
    <col min="12481" max="12481" width="35.6640625" customWidth="1"/>
    <col min="12485" max="12485" width="44.6640625" customWidth="1"/>
    <col min="12493" max="12493" width="88.6640625" customWidth="1"/>
    <col min="12727" max="12728" width="35.6640625" customWidth="1"/>
    <col min="12729" max="12729" width="25.6640625" customWidth="1"/>
    <col min="12734" max="12734" width="3" customWidth="1"/>
    <col min="12735" max="12735" width="39.6640625" customWidth="1"/>
    <col min="12736" max="12736" width="5.6640625" customWidth="1"/>
    <col min="12737" max="12737" width="35.6640625" customWidth="1"/>
    <col min="12741" max="12741" width="44.6640625" customWidth="1"/>
    <col min="12749" max="12749" width="88.6640625" customWidth="1"/>
    <col min="12983" max="12984" width="35.6640625" customWidth="1"/>
    <col min="12985" max="12985" width="25.6640625" customWidth="1"/>
    <col min="12990" max="12990" width="3" customWidth="1"/>
    <col min="12991" max="12991" width="39.6640625" customWidth="1"/>
    <col min="12992" max="12992" width="5.6640625" customWidth="1"/>
    <col min="12993" max="12993" width="35.6640625" customWidth="1"/>
    <col min="12997" max="12997" width="44.6640625" customWidth="1"/>
    <col min="13005" max="13005" width="88.6640625" customWidth="1"/>
    <col min="13239" max="13240" width="35.6640625" customWidth="1"/>
    <col min="13241" max="13241" width="25.6640625" customWidth="1"/>
    <col min="13246" max="13246" width="3" customWidth="1"/>
    <col min="13247" max="13247" width="39.6640625" customWidth="1"/>
    <col min="13248" max="13248" width="5.6640625" customWidth="1"/>
    <col min="13249" max="13249" width="35.6640625" customWidth="1"/>
    <col min="13253" max="13253" width="44.6640625" customWidth="1"/>
    <col min="13261" max="13261" width="88.6640625" customWidth="1"/>
    <col min="13495" max="13496" width="35.6640625" customWidth="1"/>
    <col min="13497" max="13497" width="25.6640625" customWidth="1"/>
    <col min="13502" max="13502" width="3" customWidth="1"/>
    <col min="13503" max="13503" width="39.6640625" customWidth="1"/>
    <col min="13504" max="13504" width="5.6640625" customWidth="1"/>
    <col min="13505" max="13505" width="35.6640625" customWidth="1"/>
    <col min="13509" max="13509" width="44.6640625" customWidth="1"/>
    <col min="13517" max="13517" width="88.6640625" customWidth="1"/>
    <col min="13751" max="13752" width="35.6640625" customWidth="1"/>
    <col min="13753" max="13753" width="25.6640625" customWidth="1"/>
    <col min="13758" max="13758" width="3" customWidth="1"/>
    <col min="13759" max="13759" width="39.6640625" customWidth="1"/>
    <col min="13760" max="13760" width="5.6640625" customWidth="1"/>
    <col min="13761" max="13761" width="35.6640625" customWidth="1"/>
    <col min="13765" max="13765" width="44.6640625" customWidth="1"/>
    <col min="13773" max="13773" width="88.6640625" customWidth="1"/>
    <col min="14007" max="14008" width="35.6640625" customWidth="1"/>
    <col min="14009" max="14009" width="25.6640625" customWidth="1"/>
    <col min="14014" max="14014" width="3" customWidth="1"/>
    <col min="14015" max="14015" width="39.6640625" customWidth="1"/>
    <col min="14016" max="14016" width="5.6640625" customWidth="1"/>
    <col min="14017" max="14017" width="35.6640625" customWidth="1"/>
    <col min="14021" max="14021" width="44.6640625" customWidth="1"/>
    <col min="14029" max="14029" width="88.6640625" customWidth="1"/>
    <col min="14263" max="14264" width="35.6640625" customWidth="1"/>
    <col min="14265" max="14265" width="25.6640625" customWidth="1"/>
    <col min="14270" max="14270" width="3" customWidth="1"/>
    <col min="14271" max="14271" width="39.6640625" customWidth="1"/>
    <col min="14272" max="14272" width="5.6640625" customWidth="1"/>
    <col min="14273" max="14273" width="35.6640625" customWidth="1"/>
    <col min="14277" max="14277" width="44.6640625" customWidth="1"/>
    <col min="14285" max="14285" width="88.6640625" customWidth="1"/>
    <col min="14519" max="14520" width="35.6640625" customWidth="1"/>
    <col min="14521" max="14521" width="25.6640625" customWidth="1"/>
    <col min="14526" max="14526" width="3" customWidth="1"/>
    <col min="14527" max="14527" width="39.6640625" customWidth="1"/>
    <col min="14528" max="14528" width="5.6640625" customWidth="1"/>
    <col min="14529" max="14529" width="35.6640625" customWidth="1"/>
    <col min="14533" max="14533" width="44.6640625" customWidth="1"/>
    <col min="14541" max="14541" width="88.6640625" customWidth="1"/>
    <col min="14775" max="14776" width="35.6640625" customWidth="1"/>
    <col min="14777" max="14777" width="25.6640625" customWidth="1"/>
    <col min="14782" max="14782" width="3" customWidth="1"/>
    <col min="14783" max="14783" width="39.6640625" customWidth="1"/>
    <col min="14784" max="14784" width="5.6640625" customWidth="1"/>
    <col min="14785" max="14785" width="35.6640625" customWidth="1"/>
    <col min="14789" max="14789" width="44.6640625" customWidth="1"/>
    <col min="14797" max="14797" width="88.6640625" customWidth="1"/>
    <col min="15031" max="15032" width="35.6640625" customWidth="1"/>
    <col min="15033" max="15033" width="25.6640625" customWidth="1"/>
    <col min="15038" max="15038" width="3" customWidth="1"/>
    <col min="15039" max="15039" width="39.6640625" customWidth="1"/>
    <col min="15040" max="15040" width="5.6640625" customWidth="1"/>
    <col min="15041" max="15041" width="35.6640625" customWidth="1"/>
    <col min="15045" max="15045" width="44.6640625" customWidth="1"/>
    <col min="15053" max="15053" width="88.6640625" customWidth="1"/>
    <col min="15287" max="15288" width="35.6640625" customWidth="1"/>
    <col min="15289" max="15289" width="25.6640625" customWidth="1"/>
    <col min="15294" max="15294" width="3" customWidth="1"/>
    <col min="15295" max="15295" width="39.6640625" customWidth="1"/>
    <col min="15296" max="15296" width="5.6640625" customWidth="1"/>
    <col min="15297" max="15297" width="35.6640625" customWidth="1"/>
    <col min="15301" max="15301" width="44.6640625" customWidth="1"/>
    <col min="15309" max="15309" width="88.6640625" customWidth="1"/>
    <col min="15543" max="15544" width="35.6640625" customWidth="1"/>
    <col min="15545" max="15545" width="25.6640625" customWidth="1"/>
    <col min="15550" max="15550" width="3" customWidth="1"/>
    <col min="15551" max="15551" width="39.6640625" customWidth="1"/>
    <col min="15552" max="15552" width="5.6640625" customWidth="1"/>
    <col min="15553" max="15553" width="35.6640625" customWidth="1"/>
    <col min="15557" max="15557" width="44.6640625" customWidth="1"/>
    <col min="15565" max="15565" width="88.6640625" customWidth="1"/>
    <col min="15799" max="15800" width="35.6640625" customWidth="1"/>
    <col min="15801" max="15801" width="25.6640625" customWidth="1"/>
    <col min="15806" max="15806" width="3" customWidth="1"/>
    <col min="15807" max="15807" width="39.6640625" customWidth="1"/>
    <col min="15808" max="15808" width="5.6640625" customWidth="1"/>
    <col min="15809" max="15809" width="35.6640625" customWidth="1"/>
    <col min="15813" max="15813" width="44.6640625" customWidth="1"/>
    <col min="15821" max="15821" width="88.6640625" customWidth="1"/>
    <col min="16055" max="16056" width="35.6640625" customWidth="1"/>
    <col min="16057" max="16057" width="25.6640625" customWidth="1"/>
    <col min="16062" max="16062" width="3" customWidth="1"/>
    <col min="16063" max="16063" width="39.6640625" customWidth="1"/>
    <col min="16064" max="16064" width="5.6640625" customWidth="1"/>
    <col min="16065" max="16065" width="35.6640625" customWidth="1"/>
    <col min="16069" max="16069" width="44.6640625" customWidth="1"/>
    <col min="16077" max="16077" width="88.6640625" customWidth="1"/>
  </cols>
  <sheetData>
    <row r="1" spans="1:4" ht="28.2" customHeight="1">
      <c r="A1" s="200" t="s">
        <v>24</v>
      </c>
      <c r="B1" s="200"/>
      <c r="C1" s="200"/>
      <c r="D1" s="200"/>
    </row>
    <row r="2" spans="1:4" ht="79.95" customHeight="1">
      <c r="A2" s="211" t="s">
        <v>90</v>
      </c>
      <c r="B2" s="211"/>
      <c r="C2" s="211"/>
      <c r="D2" s="211"/>
    </row>
    <row r="3" spans="1:4" ht="9" customHeight="1">
      <c r="A3" s="151"/>
      <c r="B3" s="4"/>
      <c r="C3" s="4"/>
      <c r="D3" s="4"/>
    </row>
    <row r="4" spans="1:4" ht="90" customHeight="1">
      <c r="A4" s="201" t="s">
        <v>91</v>
      </c>
      <c r="B4" s="201"/>
      <c r="C4" s="201"/>
      <c r="D4" s="201"/>
    </row>
    <row r="5" spans="1:4" ht="33" customHeight="1">
      <c r="A5" s="210" t="s">
        <v>47</v>
      </c>
      <c r="B5" s="210"/>
      <c r="C5" s="210"/>
      <c r="D5" s="210"/>
    </row>
    <row r="6" spans="1:4" ht="33" customHeight="1">
      <c r="A6" s="154" t="s">
        <v>46</v>
      </c>
      <c r="B6" s="64"/>
      <c r="C6" s="64"/>
      <c r="D6" s="65"/>
    </row>
    <row r="7" spans="1:4" ht="22.2" customHeight="1">
      <c r="A7" s="155" t="s">
        <v>92</v>
      </c>
      <c r="B7" s="153"/>
      <c r="C7" s="153"/>
      <c r="D7" s="102"/>
    </row>
    <row r="8" spans="1:4" ht="43.95" customHeight="1">
      <c r="A8" s="206" t="s">
        <v>48</v>
      </c>
      <c r="B8" s="206"/>
      <c r="C8" s="206"/>
      <c r="D8" s="206"/>
    </row>
    <row r="9" spans="1:4" ht="18">
      <c r="A9" s="207" t="s">
        <v>93</v>
      </c>
      <c r="B9" s="207"/>
      <c r="C9" s="207"/>
      <c r="D9" s="207"/>
    </row>
    <row r="10" spans="1:4" ht="24" customHeight="1">
      <c r="A10" s="207" t="s">
        <v>94</v>
      </c>
      <c r="B10" s="207"/>
      <c r="C10" s="207"/>
      <c r="D10" s="207"/>
    </row>
    <row r="11" spans="1:4" ht="19.95" customHeight="1">
      <c r="A11" s="147" t="s">
        <v>95</v>
      </c>
      <c r="B11" s="148"/>
      <c r="C11" s="149" t="s">
        <v>96</v>
      </c>
      <c r="D11" s="150"/>
    </row>
    <row r="12" spans="1:4" ht="19.95" customHeight="1">
      <c r="A12" s="147" t="s">
        <v>97</v>
      </c>
      <c r="B12" s="148"/>
      <c r="C12" s="147" t="s">
        <v>98</v>
      </c>
      <c r="D12" s="150"/>
    </row>
    <row r="13" spans="1:4" ht="19.95" customHeight="1">
      <c r="A13" s="213" t="s">
        <v>99</v>
      </c>
      <c r="B13" s="213"/>
      <c r="C13" s="147" t="s">
        <v>59</v>
      </c>
      <c r="D13" s="148"/>
    </row>
    <row r="14" spans="1:4" ht="19.95" customHeight="1">
      <c r="A14" s="147" t="s">
        <v>100</v>
      </c>
      <c r="B14" s="148"/>
      <c r="C14" s="147" t="s">
        <v>62</v>
      </c>
      <c r="D14" s="148"/>
    </row>
    <row r="15" spans="1:4" ht="19.95" customHeight="1">
      <c r="A15" s="147" t="s">
        <v>52</v>
      </c>
      <c r="B15" s="148"/>
      <c r="C15" s="147" t="s">
        <v>56</v>
      </c>
      <c r="D15" s="148"/>
    </row>
    <row r="16" spans="1:4" ht="10.95" customHeight="1">
      <c r="A16" s="39"/>
      <c r="B16" s="39"/>
      <c r="C16" s="39"/>
      <c r="D16" s="39"/>
    </row>
    <row r="17" spans="1:4" ht="18" customHeight="1">
      <c r="A17" s="212" t="s">
        <v>38</v>
      </c>
      <c r="B17" s="212"/>
      <c r="C17" s="212"/>
      <c r="D17" s="212"/>
    </row>
    <row r="18" spans="1:4" ht="18" customHeight="1">
      <c r="A18" s="17" t="s">
        <v>39</v>
      </c>
      <c r="B18" s="4"/>
      <c r="C18" s="4"/>
      <c r="D18" s="4"/>
    </row>
    <row r="19" spans="1:4" ht="18" customHeight="1">
      <c r="A19" s="66" t="s">
        <v>40</v>
      </c>
      <c r="B19" s="24"/>
      <c r="C19" s="24"/>
      <c r="D19" s="24"/>
    </row>
    <row r="20" spans="1:4" ht="18" customHeight="1">
      <c r="A20" s="66" t="s">
        <v>41</v>
      </c>
      <c r="B20" s="24"/>
      <c r="C20" s="24"/>
      <c r="D20" s="24"/>
    </row>
    <row r="21" spans="1:4" ht="18" customHeight="1">
      <c r="A21" s="66" t="s">
        <v>42</v>
      </c>
      <c r="B21" s="24"/>
      <c r="C21" s="24"/>
      <c r="D21" s="24"/>
    </row>
    <row r="22" spans="1:4" ht="18" customHeight="1">
      <c r="A22" s="17" t="s">
        <v>43</v>
      </c>
      <c r="B22" s="4"/>
      <c r="C22" s="4"/>
      <c r="D22" s="4"/>
    </row>
    <row r="23" spans="1:4" ht="9" customHeight="1">
      <c r="A23" s="146"/>
      <c r="B23" s="146"/>
      <c r="C23" s="146"/>
      <c r="D23" s="146"/>
    </row>
    <row r="24" spans="1:4" ht="72" customHeight="1">
      <c r="A24" s="204" t="s">
        <v>44</v>
      </c>
      <c r="B24" s="204"/>
      <c r="C24" s="204"/>
      <c r="D24" s="204"/>
    </row>
    <row r="25" spans="1:4" ht="18" customHeight="1">
      <c r="A25" s="152" t="s">
        <v>45</v>
      </c>
      <c r="B25" s="59"/>
      <c r="C25" s="59"/>
      <c r="D25" s="59"/>
    </row>
    <row r="26" spans="1:4" ht="43.95" customHeight="1">
      <c r="A26" s="182" t="s">
        <v>69</v>
      </c>
      <c r="B26" s="182"/>
      <c r="C26" s="182"/>
      <c r="D26" s="182"/>
    </row>
    <row r="27" spans="1:4" ht="43.95" customHeight="1">
      <c r="A27" s="182" t="s">
        <v>68</v>
      </c>
      <c r="B27" s="182"/>
      <c r="C27" s="182"/>
      <c r="D27" s="182"/>
    </row>
    <row r="28" spans="1:4" ht="22.2" customHeight="1">
      <c r="A28" s="17" t="s">
        <v>67</v>
      </c>
      <c r="B28" s="17"/>
      <c r="C28" s="17"/>
      <c r="D28" s="88"/>
    </row>
  </sheetData>
  <mergeCells count="12">
    <mergeCell ref="A10:D10"/>
    <mergeCell ref="A17:D17"/>
    <mergeCell ref="A26:D26"/>
    <mergeCell ref="A27:D27"/>
    <mergeCell ref="A24:D24"/>
    <mergeCell ref="A13:B13"/>
    <mergeCell ref="A1:D1"/>
    <mergeCell ref="A5:D5"/>
    <mergeCell ref="A8:D8"/>
    <mergeCell ref="A9:D9"/>
    <mergeCell ref="A4:D4"/>
    <mergeCell ref="A2:D2"/>
  </mergeCells>
  <printOptions horizontalCentered="1" verticalCentered="1"/>
  <pageMargins left="0.32" right="0.17" top="0.26" bottom="0.37" header="0.33" footer="0.21"/>
  <pageSetup scale="89" orientation="portrait" r:id="rId1"/>
  <headerFooter differentFirst="1">
    <oddFooter>&amp;L
&amp;C
&amp;R
Page  #  &amp;P         &amp;F</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K402"/>
  <sheetViews>
    <sheetView tabSelected="1" workbookViewId="0">
      <selection activeCell="C1" sqref="C1:C1048576"/>
    </sheetView>
  </sheetViews>
  <sheetFormatPr defaultRowHeight="33" customHeight="1"/>
  <cols>
    <col min="1" max="1" width="5.88671875" style="3" customWidth="1"/>
    <col min="2" max="2" width="27.44140625" style="3" bestFit="1" customWidth="1"/>
    <col min="3" max="3" width="23" customWidth="1"/>
    <col min="4" max="4" width="20.44140625" style="53" customWidth="1"/>
    <col min="5" max="5" width="32.5546875" style="3" customWidth="1"/>
    <col min="6" max="6" width="21.109375" style="3" bestFit="1" customWidth="1"/>
    <col min="7" max="7" width="13.33203125" style="3" customWidth="1"/>
    <col min="8" max="8" width="36.88671875" customWidth="1"/>
  </cols>
  <sheetData>
    <row r="1" spans="1:11" ht="43.95" customHeight="1" thickTop="1">
      <c r="A1" s="221" t="s">
        <v>101</v>
      </c>
      <c r="B1" s="103" t="s">
        <v>102</v>
      </c>
      <c r="C1" s="229" t="s">
        <v>304</v>
      </c>
      <c r="D1" s="52" t="s">
        <v>103</v>
      </c>
      <c r="E1" s="1"/>
      <c r="H1" t="s">
        <v>104</v>
      </c>
    </row>
    <row r="2" spans="1:11" ht="33" customHeight="1">
      <c r="A2" s="222"/>
      <c r="B2" s="117" t="s">
        <v>105</v>
      </c>
      <c r="C2" s="229" t="s">
        <v>305</v>
      </c>
      <c r="D2" s="220" t="s">
        <v>106</v>
      </c>
      <c r="E2" s="1"/>
      <c r="H2" s="40" t="s">
        <v>107</v>
      </c>
    </row>
    <row r="3" spans="1:11" ht="33" customHeight="1">
      <c r="A3" s="222"/>
      <c r="B3" s="118" t="s">
        <v>108</v>
      </c>
      <c r="C3" s="230" t="s">
        <v>306</v>
      </c>
      <c r="D3" s="220"/>
      <c r="E3" s="1"/>
      <c r="H3" t="s">
        <v>109</v>
      </c>
    </row>
    <row r="4" spans="1:11" ht="33" customHeight="1">
      <c r="A4" s="222"/>
      <c r="B4" s="117" t="s">
        <v>110</v>
      </c>
      <c r="C4" s="230" t="s">
        <v>307</v>
      </c>
      <c r="D4" s="220"/>
      <c r="E4" s="1"/>
      <c r="H4" t="s">
        <v>111</v>
      </c>
      <c r="I4" s="216"/>
      <c r="J4" s="217"/>
      <c r="K4" s="218"/>
    </row>
    <row r="5" spans="1:11" ht="33" customHeight="1">
      <c r="A5" s="222"/>
      <c r="B5" s="119" t="s">
        <v>112</v>
      </c>
      <c r="C5" s="231">
        <v>2166819181</v>
      </c>
      <c r="D5" s="220"/>
      <c r="E5" s="1"/>
      <c r="I5" s="216"/>
      <c r="J5" s="217"/>
      <c r="K5" s="218"/>
    </row>
    <row r="6" spans="1:11" ht="33" customHeight="1">
      <c r="A6" s="222"/>
      <c r="B6" s="120" t="s">
        <v>113</v>
      </c>
      <c r="C6" s="230" t="s">
        <v>308</v>
      </c>
      <c r="D6" s="220"/>
      <c r="E6" s="1"/>
      <c r="H6" s="45"/>
      <c r="K6" s="218"/>
    </row>
    <row r="7" spans="1:11" ht="33" customHeight="1">
      <c r="A7" s="222"/>
      <c r="B7" s="121" t="s">
        <v>114</v>
      </c>
      <c r="C7" s="232"/>
      <c r="D7" s="220"/>
      <c r="E7" s="1"/>
      <c r="H7" s="43" t="s">
        <v>115</v>
      </c>
      <c r="K7" s="218"/>
    </row>
    <row r="8" spans="1:11" ht="33" customHeight="1">
      <c r="A8" s="222"/>
      <c r="B8" s="4" t="s">
        <v>116</v>
      </c>
      <c r="C8" s="232"/>
      <c r="D8" s="220"/>
      <c r="E8" s="1"/>
      <c r="H8" s="44" t="s">
        <v>117</v>
      </c>
    </row>
    <row r="9" spans="1:11" ht="33" customHeight="1">
      <c r="A9" s="222"/>
      <c r="B9" s="122" t="s">
        <v>118</v>
      </c>
      <c r="C9" s="232"/>
      <c r="D9" s="220"/>
      <c r="E9" s="42"/>
    </row>
    <row r="10" spans="1:11" ht="33" customHeight="1">
      <c r="A10" s="222"/>
      <c r="B10" s="4" t="s">
        <v>119</v>
      </c>
      <c r="C10" s="232"/>
      <c r="D10" s="220"/>
      <c r="E10" s="42"/>
    </row>
    <row r="11" spans="1:11" ht="33" customHeight="1">
      <c r="A11" s="224" t="s">
        <v>120</v>
      </c>
      <c r="B11" s="123" t="s">
        <v>121</v>
      </c>
      <c r="C11" s="232" t="s">
        <v>309</v>
      </c>
      <c r="D11" s="53" t="s">
        <v>122</v>
      </c>
      <c r="E11" s="47" t="s">
        <v>123</v>
      </c>
      <c r="F11" s="51" t="s">
        <v>124</v>
      </c>
      <c r="G11" s="47" t="s">
        <v>125</v>
      </c>
      <c r="H11" s="47" t="s">
        <v>126</v>
      </c>
    </row>
    <row r="12" spans="1:11" ht="33" customHeight="1">
      <c r="A12" s="224"/>
      <c r="B12" s="7" t="s">
        <v>127</v>
      </c>
      <c r="C12" s="233">
        <v>45492</v>
      </c>
      <c r="D12" s="54" t="s">
        <v>128</v>
      </c>
    </row>
    <row r="13" spans="1:11" ht="33" customHeight="1">
      <c r="A13" s="224"/>
      <c r="B13" s="8" t="s">
        <v>129</v>
      </c>
      <c r="C13" s="234" t="s">
        <v>310</v>
      </c>
      <c r="D13" s="48" t="s">
        <v>130</v>
      </c>
      <c r="E13" s="11"/>
      <c r="F13" s="48" t="s">
        <v>131</v>
      </c>
    </row>
    <row r="14" spans="1:11" ht="33" customHeight="1">
      <c r="A14" s="224"/>
      <c r="B14" s="7" t="s">
        <v>132</v>
      </c>
      <c r="C14" s="234" t="s">
        <v>311</v>
      </c>
      <c r="D14" s="81" t="s">
        <v>133</v>
      </c>
      <c r="E14" s="11"/>
      <c r="F14" s="48" t="s">
        <v>134</v>
      </c>
    </row>
    <row r="15" spans="1:11" ht="33" customHeight="1">
      <c r="A15" s="224"/>
      <c r="B15" s="8" t="s">
        <v>135</v>
      </c>
      <c r="C15" s="234" t="s">
        <v>312</v>
      </c>
      <c r="D15" s="81" t="s">
        <v>136</v>
      </c>
      <c r="E15" s="11"/>
      <c r="F15" s="48" t="s">
        <v>137</v>
      </c>
    </row>
    <row r="16" spans="1:11" ht="33" customHeight="1">
      <c r="A16" s="224"/>
      <c r="B16" s="32" t="s">
        <v>138</v>
      </c>
      <c r="C16" s="232" t="s">
        <v>313</v>
      </c>
    </row>
    <row r="17" spans="1:8" ht="33" customHeight="1">
      <c r="A17" s="224"/>
      <c r="B17" s="9" t="s">
        <v>139</v>
      </c>
      <c r="C17" s="232" t="s">
        <v>313</v>
      </c>
      <c r="H17" s="3"/>
    </row>
    <row r="18" spans="1:8" ht="33" customHeight="1">
      <c r="A18" s="224"/>
      <c r="B18" s="124" t="s">
        <v>140</v>
      </c>
      <c r="C18" s="232" t="s">
        <v>314</v>
      </c>
      <c r="H18" s="3"/>
    </row>
    <row r="19" spans="1:8" ht="33" customHeight="1">
      <c r="A19" s="225" t="s">
        <v>141</v>
      </c>
      <c r="B19" s="6" t="s">
        <v>142</v>
      </c>
      <c r="C19" s="232" t="s">
        <v>313</v>
      </c>
      <c r="H19" s="3"/>
    </row>
    <row r="20" spans="1:8" ht="33" customHeight="1">
      <c r="A20" s="225"/>
      <c r="B20" s="125" t="s">
        <v>143</v>
      </c>
      <c r="C20" s="232" t="s">
        <v>313</v>
      </c>
      <c r="H20" s="3"/>
    </row>
    <row r="21" spans="1:8" ht="33" customHeight="1">
      <c r="A21" s="225"/>
      <c r="B21" s="5" t="s">
        <v>144</v>
      </c>
      <c r="C21" s="234" t="s">
        <v>315</v>
      </c>
      <c r="H21" s="3"/>
    </row>
    <row r="22" spans="1:8" ht="33" customHeight="1">
      <c r="A22" s="225"/>
      <c r="B22" s="126" t="s">
        <v>145</v>
      </c>
      <c r="C22" s="233">
        <v>45497</v>
      </c>
      <c r="D22" s="53" t="s">
        <v>146</v>
      </c>
      <c r="E22" s="3" t="s">
        <v>147</v>
      </c>
      <c r="F22" s="3" t="s">
        <v>148</v>
      </c>
      <c r="H22" s="3"/>
    </row>
    <row r="23" spans="1:8" ht="33" customHeight="1">
      <c r="A23" s="33"/>
      <c r="B23" s="4" t="s">
        <v>149</v>
      </c>
      <c r="C23" s="232" t="s">
        <v>313</v>
      </c>
      <c r="D23" s="55" t="s">
        <v>150</v>
      </c>
      <c r="H23" s="3"/>
    </row>
    <row r="24" spans="1:8" ht="33" customHeight="1">
      <c r="A24" s="33"/>
      <c r="B24" s="5" t="s">
        <v>151</v>
      </c>
      <c r="C24" s="232" t="s">
        <v>313</v>
      </c>
      <c r="D24" s="53" t="s">
        <v>152</v>
      </c>
      <c r="H24" s="3"/>
    </row>
    <row r="25" spans="1:8" ht="33" customHeight="1">
      <c r="A25" s="33"/>
      <c r="B25" s="5" t="s">
        <v>153</v>
      </c>
      <c r="C25" s="232" t="s">
        <v>146</v>
      </c>
      <c r="D25" s="53" t="s">
        <v>154</v>
      </c>
      <c r="H25" s="3"/>
    </row>
    <row r="26" spans="1:8" ht="33" customHeight="1">
      <c r="A26" s="57"/>
      <c r="B26" s="127" t="s">
        <v>155</v>
      </c>
      <c r="C26" s="232" t="s">
        <v>316</v>
      </c>
      <c r="D26" s="215" t="s">
        <v>156</v>
      </c>
      <c r="E26" s="3" t="s">
        <v>157</v>
      </c>
      <c r="H26" s="3"/>
    </row>
    <row r="27" spans="1:8" ht="33" customHeight="1">
      <c r="A27" s="226" t="s">
        <v>158</v>
      </c>
      <c r="B27" s="128" t="s">
        <v>159</v>
      </c>
      <c r="C27" t="s">
        <v>317</v>
      </c>
      <c r="D27" s="215"/>
      <c r="E27" s="3" t="s">
        <v>160</v>
      </c>
      <c r="H27" s="3"/>
    </row>
    <row r="28" spans="1:8" ht="33" customHeight="1">
      <c r="A28" s="226"/>
      <c r="B28" s="129" t="s">
        <v>161</v>
      </c>
      <c r="C28" s="232" t="s">
        <v>318</v>
      </c>
      <c r="D28" s="215"/>
      <c r="E28" s="3" t="s">
        <v>157</v>
      </c>
      <c r="H28" s="3"/>
    </row>
    <row r="29" spans="1:8" ht="33" customHeight="1">
      <c r="A29" s="226"/>
      <c r="B29" s="10" t="s">
        <v>162</v>
      </c>
      <c r="C29" t="s">
        <v>319</v>
      </c>
      <c r="D29" s="215"/>
      <c r="E29" s="3" t="s">
        <v>157</v>
      </c>
      <c r="H29" s="3"/>
    </row>
    <row r="30" spans="1:8" ht="33" customHeight="1">
      <c r="A30" s="226"/>
      <c r="B30" s="130" t="s">
        <v>163</v>
      </c>
      <c r="C30" s="232" t="s">
        <v>320</v>
      </c>
      <c r="D30" s="215"/>
      <c r="E30" s="3" t="s">
        <v>160</v>
      </c>
      <c r="H30" s="46"/>
    </row>
    <row r="31" spans="1:8" ht="33" customHeight="1">
      <c r="A31" s="226"/>
      <c r="B31" s="130" t="s">
        <v>164</v>
      </c>
      <c r="C31" s="235" t="s">
        <v>321</v>
      </c>
      <c r="D31" s="215"/>
      <c r="E31" s="60" t="s">
        <v>165</v>
      </c>
      <c r="H31" s="46"/>
    </row>
    <row r="32" spans="1:8" ht="33" customHeight="1">
      <c r="A32" s="226"/>
      <c r="B32" s="131" t="s">
        <v>166</v>
      </c>
      <c r="C32" t="s">
        <v>322</v>
      </c>
      <c r="D32" s="215"/>
      <c r="E32" s="3" t="s">
        <v>167</v>
      </c>
      <c r="H32" s="3"/>
    </row>
    <row r="33" spans="1:8" ht="33" customHeight="1">
      <c r="A33" s="226"/>
      <c r="B33" s="131" t="s">
        <v>168</v>
      </c>
      <c r="C33" t="s">
        <v>319</v>
      </c>
      <c r="D33" s="215"/>
      <c r="E33" s="61">
        <v>43789</v>
      </c>
      <c r="H33" s="3"/>
    </row>
    <row r="34" spans="1:8" ht="33" customHeight="1">
      <c r="A34" s="226"/>
      <c r="B34" s="117" t="s">
        <v>169</v>
      </c>
      <c r="C34" s="232" t="s">
        <v>323</v>
      </c>
      <c r="D34" s="215"/>
      <c r="E34" s="61" t="s">
        <v>170</v>
      </c>
      <c r="H34" s="3"/>
    </row>
    <row r="35" spans="1:8" ht="33" customHeight="1">
      <c r="A35" s="226"/>
      <c r="B35" s="10" t="s">
        <v>171</v>
      </c>
      <c r="C35" s="235">
        <v>3307228703</v>
      </c>
      <c r="D35" s="215"/>
      <c r="H35" s="3"/>
    </row>
    <row r="36" spans="1:8" ht="33" customHeight="1">
      <c r="A36" s="226"/>
      <c r="B36" s="10" t="s">
        <v>172</v>
      </c>
      <c r="C36" t="s">
        <v>324</v>
      </c>
      <c r="D36" s="215"/>
      <c r="H36" s="3"/>
    </row>
    <row r="37" spans="1:8" ht="33" customHeight="1">
      <c r="A37" s="226"/>
      <c r="B37" s="131" t="s">
        <v>173</v>
      </c>
      <c r="C37" t="s">
        <v>325</v>
      </c>
      <c r="D37" s="215"/>
      <c r="E37" s="41" t="s">
        <v>160</v>
      </c>
      <c r="H37" s="3"/>
    </row>
    <row r="38" spans="1:8" ht="33" customHeight="1">
      <c r="A38" s="226"/>
      <c r="B38" s="131" t="s">
        <v>174</v>
      </c>
      <c r="C38" s="235" t="s">
        <v>321</v>
      </c>
      <c r="D38" s="215"/>
      <c r="H38" s="3"/>
    </row>
    <row r="39" spans="1:8" ht="33" customHeight="1">
      <c r="A39" s="226"/>
      <c r="B39" s="131" t="s">
        <v>175</v>
      </c>
      <c r="C39" t="s">
        <v>326</v>
      </c>
      <c r="D39" s="215"/>
      <c r="H39" s="3"/>
    </row>
    <row r="40" spans="1:8" ht="33" customHeight="1">
      <c r="A40" s="226"/>
      <c r="B40" s="10" t="s">
        <v>176</v>
      </c>
      <c r="D40" s="215"/>
      <c r="E40" s="41" t="s">
        <v>160</v>
      </c>
      <c r="H40" s="3"/>
    </row>
    <row r="41" spans="1:8" ht="33" customHeight="1">
      <c r="A41" s="226"/>
      <c r="B41" s="10" t="s">
        <v>177</v>
      </c>
      <c r="C41" t="s">
        <v>327</v>
      </c>
      <c r="D41" s="215"/>
      <c r="H41" s="3"/>
    </row>
    <row r="42" spans="1:8" ht="33" customHeight="1">
      <c r="A42" s="226"/>
      <c r="B42" s="10" t="s">
        <v>178</v>
      </c>
      <c r="D42" s="215"/>
      <c r="H42" s="3"/>
    </row>
    <row r="43" spans="1:8" ht="33" customHeight="1">
      <c r="A43" s="226"/>
      <c r="B43" s="131" t="s">
        <v>179</v>
      </c>
      <c r="D43" s="215"/>
      <c r="E43" s="3" t="str">
        <f>+E26</f>
        <v>Per declaration pages</v>
      </c>
      <c r="H43" s="3"/>
    </row>
    <row r="44" spans="1:8" ht="33" customHeight="1">
      <c r="A44" s="226"/>
      <c r="B44" s="131" t="s">
        <v>180</v>
      </c>
      <c r="D44" s="215"/>
      <c r="H44" s="3"/>
    </row>
    <row r="45" spans="1:8" ht="33" customHeight="1">
      <c r="A45" s="226"/>
      <c r="B45" s="131" t="s">
        <v>181</v>
      </c>
      <c r="D45" s="215"/>
      <c r="H45" s="3"/>
    </row>
    <row r="46" spans="1:8" ht="33" customHeight="1">
      <c r="A46" s="226"/>
      <c r="B46" s="130" t="s">
        <v>182</v>
      </c>
      <c r="C46" t="s">
        <v>326</v>
      </c>
      <c r="D46" s="215"/>
      <c r="H46" s="3"/>
    </row>
    <row r="47" spans="1:8" ht="33" customHeight="1">
      <c r="A47" s="226"/>
      <c r="B47" s="131" t="s">
        <v>183</v>
      </c>
      <c r="C47" t="s">
        <v>328</v>
      </c>
      <c r="D47" s="215"/>
      <c r="H47" s="3"/>
    </row>
    <row r="48" spans="1:8" ht="33" customHeight="1">
      <c r="A48" s="226"/>
      <c r="B48" s="131" t="s">
        <v>184</v>
      </c>
      <c r="C48" t="s">
        <v>329</v>
      </c>
      <c r="D48" s="215"/>
      <c r="H48" s="3"/>
    </row>
    <row r="49" spans="1:9" ht="33" customHeight="1">
      <c r="A49" s="226"/>
      <c r="B49" s="131" t="s">
        <v>185</v>
      </c>
      <c r="D49" s="215"/>
      <c r="H49" s="3"/>
    </row>
    <row r="50" spans="1:9" ht="33" customHeight="1">
      <c r="A50" s="58"/>
      <c r="B50" s="131" t="s">
        <v>186</v>
      </c>
      <c r="D50" s="215"/>
      <c r="H50" s="3"/>
    </row>
    <row r="51" spans="1:9" ht="33" customHeight="1">
      <c r="A51" s="223"/>
      <c r="B51" s="41"/>
      <c r="C51" t="s">
        <v>330</v>
      </c>
      <c r="G51" s="214" t="s">
        <v>187</v>
      </c>
      <c r="H51" s="214"/>
      <c r="I51" s="214"/>
    </row>
    <row r="52" spans="1:9" ht="33" customHeight="1">
      <c r="A52" s="223"/>
      <c r="B52" s="132" t="s">
        <v>188</v>
      </c>
      <c r="C52" s="234" t="str">
        <f t="shared" ref="C52" si="0">C1</f>
        <v>Hendking, Anthony&amp;Carlena</v>
      </c>
      <c r="D52" s="56" t="s">
        <v>189</v>
      </c>
      <c r="E52" s="29" t="s">
        <v>190</v>
      </c>
      <c r="F52" s="50" t="s">
        <v>191</v>
      </c>
    </row>
    <row r="53" spans="1:9" ht="33" customHeight="1" thickBot="1">
      <c r="A53" s="80">
        <v>1</v>
      </c>
      <c r="B53" s="28" t="s">
        <v>192</v>
      </c>
      <c r="C53" s="236" t="s">
        <v>331</v>
      </c>
      <c r="D53" s="69" t="s">
        <v>193</v>
      </c>
      <c r="E53" s="66" t="s">
        <v>194</v>
      </c>
      <c r="F53" s="67" t="s">
        <v>195</v>
      </c>
    </row>
    <row r="54" spans="1:9" ht="33" customHeight="1" thickTop="1" thickBot="1">
      <c r="A54" s="80">
        <f>1+A53</f>
        <v>2</v>
      </c>
      <c r="B54" s="133" t="s">
        <v>196</v>
      </c>
      <c r="C54" s="236" t="s">
        <v>332</v>
      </c>
      <c r="D54" s="74" t="s">
        <v>197</v>
      </c>
      <c r="E54" s="68" t="s">
        <v>198</v>
      </c>
      <c r="F54" s="67" t="s">
        <v>199</v>
      </c>
    </row>
    <row r="55" spans="1:9" ht="33" customHeight="1" thickTop="1" thickBot="1">
      <c r="A55" s="80">
        <f t="shared" ref="A55:A61" si="1">1+A54</f>
        <v>3</v>
      </c>
      <c r="B55" s="133" t="s">
        <v>200</v>
      </c>
      <c r="C55" s="236" t="s">
        <v>333</v>
      </c>
      <c r="D55" s="66" t="s">
        <v>201</v>
      </c>
      <c r="E55" s="69" t="s">
        <v>202</v>
      </c>
      <c r="F55" s="66" t="s">
        <v>203</v>
      </c>
    </row>
    <row r="56" spans="1:9" ht="33" customHeight="1" thickTop="1" thickBot="1">
      <c r="A56" s="80">
        <f t="shared" si="1"/>
        <v>4</v>
      </c>
      <c r="B56" s="133" t="s">
        <v>204</v>
      </c>
      <c r="C56" s="236" t="s">
        <v>334</v>
      </c>
      <c r="D56" s="74" t="s">
        <v>205</v>
      </c>
      <c r="E56" s="17" t="s">
        <v>206</v>
      </c>
      <c r="F56" s="69" t="s">
        <v>207</v>
      </c>
    </row>
    <row r="57" spans="1:9" ht="33" customHeight="1" thickTop="1" thickBot="1">
      <c r="A57" s="80">
        <f t="shared" si="1"/>
        <v>5</v>
      </c>
      <c r="B57" s="133" t="s">
        <v>208</v>
      </c>
      <c r="C57" s="236" t="s">
        <v>221</v>
      </c>
      <c r="D57" s="74" t="s">
        <v>209</v>
      </c>
      <c r="E57" s="67" t="s">
        <v>210</v>
      </c>
      <c r="F57" s="66" t="s">
        <v>211</v>
      </c>
    </row>
    <row r="58" spans="1:9" ht="33" customHeight="1" thickTop="1" thickBot="1">
      <c r="A58" s="80">
        <f t="shared" si="1"/>
        <v>6</v>
      </c>
      <c r="B58" s="133" t="s">
        <v>212</v>
      </c>
      <c r="C58" s="236" t="s">
        <v>209</v>
      </c>
      <c r="D58" s="69" t="s">
        <v>213</v>
      </c>
      <c r="E58" s="70" t="s">
        <v>214</v>
      </c>
      <c r="F58" s="17" t="s">
        <v>215</v>
      </c>
    </row>
    <row r="59" spans="1:9" ht="33" customHeight="1" thickTop="1" thickBot="1">
      <c r="A59" s="80">
        <f t="shared" si="1"/>
        <v>7</v>
      </c>
      <c r="B59" s="133" t="s">
        <v>216</v>
      </c>
      <c r="C59" s="236" t="s">
        <v>225</v>
      </c>
      <c r="D59" s="74" t="s">
        <v>217</v>
      </c>
      <c r="E59" s="71" t="s">
        <v>218</v>
      </c>
      <c r="F59" s="17" t="s">
        <v>219</v>
      </c>
    </row>
    <row r="60" spans="1:9" ht="33" customHeight="1" thickTop="1" thickBot="1">
      <c r="A60" s="80">
        <f t="shared" si="1"/>
        <v>8</v>
      </c>
      <c r="B60" s="133" t="s">
        <v>220</v>
      </c>
      <c r="C60" s="236" t="s">
        <v>335</v>
      </c>
      <c r="D60" s="69" t="s">
        <v>221</v>
      </c>
      <c r="E60" s="70" t="s">
        <v>222</v>
      </c>
      <c r="F60" s="17" t="s">
        <v>223</v>
      </c>
    </row>
    <row r="61" spans="1:9" ht="33" customHeight="1" thickTop="1" thickBot="1">
      <c r="A61" s="80">
        <f t="shared" si="1"/>
        <v>9</v>
      </c>
      <c r="B61" s="133" t="s">
        <v>224</v>
      </c>
      <c r="C61" s="236" t="s">
        <v>336</v>
      </c>
      <c r="D61" s="74" t="s">
        <v>225</v>
      </c>
      <c r="E61" s="68" t="s">
        <v>226</v>
      </c>
      <c r="F61" s="17"/>
      <c r="G61" s="3">
        <v>10</v>
      </c>
    </row>
    <row r="62" spans="1:9" ht="33" customHeight="1" thickTop="1" thickBot="1">
      <c r="A62" s="158">
        <f>1+A61</f>
        <v>10</v>
      </c>
      <c r="B62" s="133" t="s">
        <v>227</v>
      </c>
      <c r="C62" s="236" t="s">
        <v>337</v>
      </c>
      <c r="D62" s="69" t="s">
        <v>228</v>
      </c>
      <c r="E62" s="69" t="s">
        <v>229</v>
      </c>
      <c r="F62" s="17"/>
    </row>
    <row r="63" spans="1:9" ht="33" customHeight="1" thickTop="1" thickBot="1">
      <c r="A63" s="158">
        <f t="shared" ref="A63:A77" si="2">1+A62</f>
        <v>11</v>
      </c>
      <c r="B63" s="133" t="s">
        <v>230</v>
      </c>
      <c r="C63" s="236" t="s">
        <v>338</v>
      </c>
      <c r="D63" s="69" t="s">
        <v>231</v>
      </c>
      <c r="E63" s="70" t="s">
        <v>232</v>
      </c>
      <c r="F63" s="75" t="s">
        <v>233</v>
      </c>
    </row>
    <row r="64" spans="1:9" ht="33" customHeight="1" thickTop="1" thickBot="1">
      <c r="A64" s="158">
        <f t="shared" si="2"/>
        <v>12</v>
      </c>
      <c r="B64" s="133" t="s">
        <v>234</v>
      </c>
      <c r="C64" s="236" t="s">
        <v>339</v>
      </c>
      <c r="D64" s="69" t="s">
        <v>235</v>
      </c>
      <c r="E64" s="67" t="s">
        <v>236</v>
      </c>
      <c r="F64" s="79" t="s">
        <v>237</v>
      </c>
    </row>
    <row r="65" spans="1:8" ht="33" customHeight="1" thickTop="1" thickBot="1">
      <c r="A65" s="158">
        <f t="shared" si="2"/>
        <v>13</v>
      </c>
      <c r="B65" s="133" t="s">
        <v>238</v>
      </c>
      <c r="C65" s="236" t="s">
        <v>340</v>
      </c>
      <c r="D65" s="69" t="s">
        <v>239</v>
      </c>
      <c r="E65" s="69" t="s">
        <v>240</v>
      </c>
      <c r="F65" s="78" t="s">
        <v>241</v>
      </c>
    </row>
    <row r="66" spans="1:8" ht="33" customHeight="1" thickTop="1">
      <c r="A66" s="158">
        <f t="shared" si="2"/>
        <v>14</v>
      </c>
      <c r="B66" s="133" t="s">
        <v>242</v>
      </c>
      <c r="C66" s="236" t="s">
        <v>341</v>
      </c>
      <c r="D66" s="66"/>
      <c r="E66" s="17"/>
      <c r="F66" s="66" t="s">
        <v>131</v>
      </c>
    </row>
    <row r="67" spans="1:8" ht="33" customHeight="1">
      <c r="A67" s="158">
        <f t="shared" si="2"/>
        <v>15</v>
      </c>
      <c r="B67" s="133" t="s">
        <v>243</v>
      </c>
      <c r="C67" s="236" t="s">
        <v>342</v>
      </c>
      <c r="D67" s="76" t="s">
        <v>244</v>
      </c>
      <c r="E67" s="17"/>
      <c r="F67" s="66" t="s">
        <v>134</v>
      </c>
    </row>
    <row r="68" spans="1:8" ht="33" customHeight="1" thickBot="1">
      <c r="A68" s="158">
        <f t="shared" si="2"/>
        <v>16</v>
      </c>
      <c r="B68" s="133" t="s">
        <v>245</v>
      </c>
      <c r="C68" s="236" t="s">
        <v>343</v>
      </c>
      <c r="D68" s="69" t="s">
        <v>203</v>
      </c>
      <c r="E68" s="66"/>
      <c r="F68" s="72" t="s">
        <v>136</v>
      </c>
    </row>
    <row r="69" spans="1:8" ht="33" customHeight="1" thickTop="1" thickBot="1">
      <c r="A69" s="158">
        <f t="shared" si="2"/>
        <v>17</v>
      </c>
      <c r="B69" s="133" t="s">
        <v>246</v>
      </c>
      <c r="C69" s="236" t="s">
        <v>344</v>
      </c>
      <c r="D69" s="74" t="s">
        <v>247</v>
      </c>
      <c r="E69" s="66"/>
      <c r="F69" s="66" t="s">
        <v>248</v>
      </c>
    </row>
    <row r="70" spans="1:8" ht="33" customHeight="1" thickTop="1">
      <c r="A70" s="158">
        <f t="shared" si="2"/>
        <v>18</v>
      </c>
      <c r="B70" s="133" t="s">
        <v>249</v>
      </c>
      <c r="C70" s="236" t="s">
        <v>345</v>
      </c>
      <c r="D70" s="17"/>
      <c r="E70" s="17"/>
      <c r="F70" s="73" t="s">
        <v>250</v>
      </c>
    </row>
    <row r="71" spans="1:8" ht="33" customHeight="1">
      <c r="A71" s="158">
        <f t="shared" si="2"/>
        <v>19</v>
      </c>
      <c r="B71" s="133" t="s">
        <v>251</v>
      </c>
      <c r="C71" s="236" t="s">
        <v>346</v>
      </c>
      <c r="D71" s="17"/>
      <c r="E71" s="17"/>
      <c r="F71" s="66" t="s">
        <v>252</v>
      </c>
    </row>
    <row r="72" spans="1:8" ht="33" customHeight="1">
      <c r="A72" s="158">
        <f t="shared" si="2"/>
        <v>20</v>
      </c>
      <c r="B72" s="133" t="s">
        <v>253</v>
      </c>
      <c r="C72" s="236" t="s">
        <v>347</v>
      </c>
      <c r="D72" s="77"/>
      <c r="E72" s="166"/>
      <c r="F72" s="66" t="s">
        <v>254</v>
      </c>
    </row>
    <row r="73" spans="1:8" ht="33" customHeight="1">
      <c r="A73" s="158">
        <f t="shared" si="2"/>
        <v>21</v>
      </c>
      <c r="B73" s="156"/>
      <c r="C73" s="236" t="s">
        <v>348</v>
      </c>
      <c r="D73" s="157"/>
      <c r="E73" s="166"/>
      <c r="F73" s="66"/>
    </row>
    <row r="74" spans="1:8" ht="33" customHeight="1">
      <c r="A74" s="158">
        <f t="shared" si="2"/>
        <v>22</v>
      </c>
      <c r="B74" s="156"/>
      <c r="C74" s="236" t="s">
        <v>349</v>
      </c>
      <c r="D74" s="157"/>
      <c r="E74" s="166"/>
      <c r="F74" s="66"/>
    </row>
    <row r="75" spans="1:8" ht="33" customHeight="1">
      <c r="A75" s="158">
        <f t="shared" si="2"/>
        <v>23</v>
      </c>
      <c r="B75" s="156"/>
      <c r="C75" s="236" t="s">
        <v>350</v>
      </c>
      <c r="D75" s="157"/>
      <c r="E75" s="166"/>
      <c r="F75" s="66"/>
    </row>
    <row r="76" spans="1:8" ht="33" customHeight="1">
      <c r="A76" s="158">
        <f t="shared" si="2"/>
        <v>24</v>
      </c>
      <c r="B76" s="156"/>
      <c r="C76" s="236" t="s">
        <v>351</v>
      </c>
      <c r="D76" s="157"/>
      <c r="E76" s="166"/>
      <c r="F76" s="66"/>
    </row>
    <row r="77" spans="1:8" ht="33" customHeight="1">
      <c r="A77" s="158">
        <f t="shared" si="2"/>
        <v>25</v>
      </c>
      <c r="B77" s="156"/>
      <c r="C77" s="236" t="s">
        <v>352</v>
      </c>
      <c r="D77" s="157"/>
      <c r="E77" s="166"/>
      <c r="F77" s="66"/>
    </row>
    <row r="78" spans="1:8" ht="33" customHeight="1">
      <c r="A78" s="227" t="s">
        <v>255</v>
      </c>
      <c r="B78" s="134" t="s">
        <v>256</v>
      </c>
      <c r="C78" s="236" t="s">
        <v>353</v>
      </c>
      <c r="D78" s="219" t="s">
        <v>257</v>
      </c>
      <c r="E78" s="3" t="s">
        <v>258</v>
      </c>
      <c r="H78" s="3"/>
    </row>
    <row r="79" spans="1:8" ht="33" customHeight="1">
      <c r="A79" s="227"/>
      <c r="B79" s="135" t="s">
        <v>259</v>
      </c>
      <c r="C79" s="236" t="s">
        <v>354</v>
      </c>
      <c r="D79" s="219"/>
      <c r="H79" s="3"/>
    </row>
    <row r="80" spans="1:8" ht="33" customHeight="1">
      <c r="A80" s="227"/>
      <c r="B80" s="34" t="s">
        <v>260</v>
      </c>
      <c r="C80" s="236" t="s">
        <v>355</v>
      </c>
      <c r="D80" s="219"/>
      <c r="E80" s="49" t="s">
        <v>261</v>
      </c>
      <c r="H80" s="3"/>
    </row>
    <row r="81" spans="1:5" ht="33" customHeight="1">
      <c r="A81" s="227"/>
      <c r="B81" s="32" t="s">
        <v>262</v>
      </c>
      <c r="C81" s="236" t="s">
        <v>356</v>
      </c>
      <c r="D81" s="219"/>
      <c r="E81" s="48"/>
    </row>
    <row r="82" spans="1:5" ht="33" customHeight="1">
      <c r="A82" s="227"/>
      <c r="B82" s="9" t="s">
        <v>263</v>
      </c>
      <c r="C82" s="236" t="s">
        <v>357</v>
      </c>
      <c r="D82" s="219"/>
      <c r="E82" s="48"/>
    </row>
    <row r="83" spans="1:5" ht="33" customHeight="1">
      <c r="A83" s="227"/>
      <c r="B83" s="10" t="s">
        <v>264</v>
      </c>
      <c r="C83" s="236" t="s">
        <v>358</v>
      </c>
      <c r="D83" s="219"/>
      <c r="E83" s="48"/>
    </row>
    <row r="84" spans="1:5" ht="33" customHeight="1">
      <c r="A84" s="227"/>
      <c r="B84" s="9"/>
      <c r="C84" s="236" t="s">
        <v>359</v>
      </c>
      <c r="D84" s="219"/>
    </row>
    <row r="85" spans="1:5" ht="33" customHeight="1">
      <c r="A85" s="227"/>
      <c r="B85" s="35" t="s">
        <v>265</v>
      </c>
      <c r="C85" s="236" t="s">
        <v>360</v>
      </c>
      <c r="D85" s="219"/>
    </row>
    <row r="86" spans="1:5" ht="33" customHeight="1">
      <c r="A86" s="227"/>
      <c r="B86" s="9" t="s">
        <v>266</v>
      </c>
      <c r="D86" s="219"/>
    </row>
    <row r="87" spans="1:5" ht="33" customHeight="1">
      <c r="A87" s="227"/>
      <c r="B87" s="32" t="s">
        <v>267</v>
      </c>
      <c r="D87" s="219"/>
    </row>
    <row r="88" spans="1:5" ht="33" customHeight="1">
      <c r="A88" s="227"/>
      <c r="B88" s="32" t="s">
        <v>268</v>
      </c>
      <c r="D88" s="219"/>
    </row>
    <row r="89" spans="1:5" ht="33" customHeight="1">
      <c r="A89" s="227"/>
      <c r="B89" s="9" t="s">
        <v>269</v>
      </c>
      <c r="D89" s="219"/>
    </row>
    <row r="90" spans="1:5" ht="33" customHeight="1">
      <c r="A90" s="227"/>
      <c r="B90" s="9" t="s">
        <v>270</v>
      </c>
      <c r="D90" s="219"/>
    </row>
    <row r="91" spans="1:5" ht="33" customHeight="1">
      <c r="A91" s="227"/>
      <c r="B91" s="32" t="s">
        <v>271</v>
      </c>
      <c r="D91" s="219"/>
    </row>
    <row r="92" spans="1:5" ht="33" customHeight="1">
      <c r="A92" s="227"/>
      <c r="B92" s="4" t="s">
        <v>272</v>
      </c>
      <c r="D92" s="219"/>
    </row>
    <row r="93" spans="1:5" ht="33" customHeight="1" thickBot="1">
      <c r="A93" s="228"/>
      <c r="B93" s="4" t="s">
        <v>273</v>
      </c>
      <c r="D93" s="219"/>
    </row>
    <row r="94" spans="1:5" ht="33" customHeight="1" thickTop="1">
      <c r="B94" s="41"/>
    </row>
    <row r="95" spans="1:5" ht="33" customHeight="1">
      <c r="B95" s="36" t="s">
        <v>274</v>
      </c>
    </row>
    <row r="96" spans="1:5" ht="33" customHeight="1">
      <c r="B96" s="36" t="s">
        <v>275</v>
      </c>
    </row>
    <row r="97" spans="2:3" ht="33" customHeight="1">
      <c r="B97" s="41" t="s">
        <v>276</v>
      </c>
    </row>
    <row r="98" spans="2:3" ht="33" customHeight="1">
      <c r="B98" s="41"/>
    </row>
    <row r="99" spans="2:3" ht="33" customHeight="1">
      <c r="B99" s="41"/>
    </row>
    <row r="100" spans="2:3" ht="33" customHeight="1">
      <c r="B100" s="136" t="s">
        <v>277</v>
      </c>
      <c r="C100" s="237" t="s">
        <v>361</v>
      </c>
    </row>
    <row r="101" spans="2:3" ht="33" customHeight="1">
      <c r="B101" s="137" t="s">
        <v>278</v>
      </c>
      <c r="C101" s="238" t="s">
        <v>362</v>
      </c>
    </row>
    <row r="102" spans="2:3" ht="33" customHeight="1">
      <c r="B102" s="138" t="s">
        <v>279</v>
      </c>
      <c r="C102" s="238" t="s">
        <v>363</v>
      </c>
    </row>
    <row r="103" spans="2:3" ht="33" customHeight="1">
      <c r="B103" s="138" t="s">
        <v>280</v>
      </c>
      <c r="C103" s="238" t="s">
        <v>364</v>
      </c>
    </row>
    <row r="104" spans="2:3" ht="33" customHeight="1">
      <c r="B104" s="138" t="s">
        <v>281</v>
      </c>
      <c r="C104" s="239" t="s">
        <v>365</v>
      </c>
    </row>
    <row r="105" spans="2:3" ht="33" customHeight="1">
      <c r="B105" s="137" t="s">
        <v>282</v>
      </c>
      <c r="C105" s="240" t="s">
        <v>366</v>
      </c>
    </row>
    <row r="106" spans="2:3" ht="33" customHeight="1">
      <c r="B106" s="138" t="s">
        <v>283</v>
      </c>
      <c r="C106" s="237" t="s">
        <v>367</v>
      </c>
    </row>
    <row r="107" spans="2:3" ht="33" customHeight="1">
      <c r="B107" s="138" t="s">
        <v>284</v>
      </c>
      <c r="C107" s="237" t="s">
        <v>368</v>
      </c>
    </row>
    <row r="108" spans="2:3" ht="33" customHeight="1">
      <c r="B108" s="138" t="s">
        <v>285</v>
      </c>
      <c r="C108" s="241" t="s">
        <v>369</v>
      </c>
    </row>
    <row r="109" spans="2:3" ht="33" customHeight="1">
      <c r="B109" s="139" t="s">
        <v>286</v>
      </c>
      <c r="C109" s="237" t="s">
        <v>370</v>
      </c>
    </row>
    <row r="110" spans="2:3" ht="33" customHeight="1">
      <c r="B110" s="139" t="s">
        <v>287</v>
      </c>
      <c r="C110" s="242" t="s">
        <v>371</v>
      </c>
    </row>
    <row r="111" spans="2:3" ht="33" customHeight="1">
      <c r="B111" s="140" t="s">
        <v>288</v>
      </c>
      <c r="C111" s="237" t="s">
        <v>372</v>
      </c>
    </row>
    <row r="112" spans="2:3" ht="33" customHeight="1">
      <c r="B112" s="141" t="s">
        <v>289</v>
      </c>
      <c r="C112" s="243" t="s">
        <v>373</v>
      </c>
    </row>
    <row r="113" spans="2:3" ht="33" customHeight="1">
      <c r="B113" s="137" t="s">
        <v>290</v>
      </c>
      <c r="C113" s="244" t="s">
        <v>374</v>
      </c>
    </row>
    <row r="114" spans="2:3" ht="33" customHeight="1">
      <c r="B114" s="137" t="s">
        <v>291</v>
      </c>
      <c r="C114" s="245" t="s">
        <v>375</v>
      </c>
    </row>
    <row r="115" spans="2:3" ht="33" customHeight="1">
      <c r="B115" s="138" t="s">
        <v>292</v>
      </c>
      <c r="C115" s="237" t="s">
        <v>376</v>
      </c>
    </row>
    <row r="116" spans="2:3" ht="33" customHeight="1">
      <c r="B116" s="142" t="s">
        <v>293</v>
      </c>
      <c r="C116" s="246" t="s">
        <v>377</v>
      </c>
    </row>
    <row r="117" spans="2:3" ht="33" customHeight="1">
      <c r="B117" s="143" t="s">
        <v>294</v>
      </c>
      <c r="C117" s="237" t="s">
        <v>378</v>
      </c>
    </row>
    <row r="118" spans="2:3" ht="33" customHeight="1">
      <c r="B118" s="18" t="s">
        <v>295</v>
      </c>
      <c r="C118" s="151"/>
    </row>
    <row r="119" spans="2:3" ht="33" customHeight="1">
      <c r="B119" s="144" t="s">
        <v>296</v>
      </c>
      <c r="C119" s="247"/>
    </row>
    <row r="120" spans="2:3" ht="33" customHeight="1">
      <c r="B120" s="18" t="s">
        <v>297</v>
      </c>
      <c r="C120" s="17"/>
    </row>
    <row r="121" spans="2:3" ht="33" customHeight="1">
      <c r="B121" s="18" t="s">
        <v>298</v>
      </c>
      <c r="C121" s="248"/>
    </row>
    <row r="122" spans="2:3" ht="33" customHeight="1">
      <c r="B122" s="18" t="s">
        <v>299</v>
      </c>
      <c r="C122" s="249"/>
    </row>
    <row r="123" spans="2:3" ht="33" customHeight="1">
      <c r="B123" s="18" t="s">
        <v>300</v>
      </c>
      <c r="C123" s="250"/>
    </row>
    <row r="124" spans="2:3" ht="33" customHeight="1">
      <c r="B124" s="18" t="s">
        <v>301</v>
      </c>
      <c r="C124" s="250"/>
    </row>
    <row r="125" spans="2:3" ht="33" customHeight="1">
      <c r="B125" s="18" t="s">
        <v>302</v>
      </c>
      <c r="C125" s="251"/>
    </row>
    <row r="126" spans="2:3" ht="33" customHeight="1">
      <c r="B126" s="41"/>
      <c r="C126" s="53" t="s">
        <v>379</v>
      </c>
    </row>
    <row r="127" spans="2:3" ht="33" customHeight="1">
      <c r="B127" s="41"/>
      <c r="C127" s="234" t="str">
        <f t="shared" ref="C127:C131" si="3">C1</f>
        <v>Hendking, Anthony&amp;Carlena</v>
      </c>
    </row>
    <row r="128" spans="2:3" ht="33" customHeight="1">
      <c r="B128" s="18"/>
      <c r="C128" s="234" t="str">
        <f t="shared" si="3"/>
        <v xml:space="preserve">3806 Meadowbrook Blvd, </v>
      </c>
    </row>
    <row r="129" spans="2:3" ht="33" customHeight="1">
      <c r="B129" s="144"/>
      <c r="C129" s="234" t="str">
        <f t="shared" si="3"/>
        <v xml:space="preserve"> University Heights, OH 44117</v>
      </c>
    </row>
    <row r="130" spans="2:3" ht="33" customHeight="1">
      <c r="B130" s="18"/>
      <c r="C130" s="234" t="str">
        <f t="shared" si="3"/>
        <v>Hendkingsr@yahoo.com</v>
      </c>
    </row>
    <row r="131" spans="2:3" ht="33" customHeight="1">
      <c r="B131" s="18"/>
      <c r="C131" s="252">
        <f t="shared" si="3"/>
        <v>2166819181</v>
      </c>
    </row>
    <row r="132" spans="2:3" ht="33" customHeight="1">
      <c r="B132" s="41"/>
      <c r="C132" s="234" t="str">
        <f t="shared" ref="C132:C133" si="4">C11</f>
        <v>FIRE</v>
      </c>
    </row>
    <row r="133" spans="2:3" ht="33" customHeight="1">
      <c r="B133" s="41"/>
      <c r="C133" s="253">
        <f t="shared" si="4"/>
        <v>45492</v>
      </c>
    </row>
    <row r="134" spans="2:3" ht="33" customHeight="1">
      <c r="B134" s="41"/>
      <c r="C134" s="253">
        <v>44817</v>
      </c>
    </row>
    <row r="135" spans="2:3" ht="33" customHeight="1">
      <c r="B135" s="41"/>
      <c r="C135" s="234" t="str">
        <f t="shared" ref="C135:C142" si="5">C26</f>
        <v>STATE FARM</v>
      </c>
    </row>
    <row r="136" spans="2:3" ht="33" customHeight="1">
      <c r="B136" s="41"/>
      <c r="C136" s="234" t="str">
        <f t="shared" si="5"/>
        <v>3571C126N</v>
      </c>
    </row>
    <row r="137" spans="2:3" ht="33" customHeight="1">
      <c r="B137" s="41"/>
      <c r="C137" s="234" t="str">
        <f t="shared" si="5"/>
        <v>PL#</v>
      </c>
    </row>
    <row r="138" spans="2:3" ht="33" customHeight="1">
      <c r="C138" s="234" t="str">
        <f t="shared" si="5"/>
        <v>statefarmfireclaims@statefarm.com</v>
      </c>
    </row>
    <row r="139" spans="2:3" ht="33" customHeight="1">
      <c r="C139" s="234" t="str">
        <f t="shared" si="5"/>
        <v>KENNETH SAMS</v>
      </c>
    </row>
    <row r="140" spans="2:3" ht="33" customHeight="1">
      <c r="C140" s="234" t="str">
        <f t="shared" si="5"/>
        <v>844-458-4300</v>
      </c>
    </row>
    <row r="141" spans="2:3" ht="33" customHeight="1">
      <c r="C141" s="234" t="str">
        <f t="shared" si="5"/>
        <v>309 763 2612</v>
      </c>
    </row>
    <row r="142" spans="2:3" ht="33" customHeight="1">
      <c r="C142" s="234" t="str">
        <f t="shared" si="5"/>
        <v>statefarmfireclaims@statefarm.com</v>
      </c>
    </row>
    <row r="143" spans="2:3" ht="33" customHeight="1">
      <c r="C143" s="250" t="s">
        <v>146</v>
      </c>
    </row>
    <row r="144" spans="2:3" ht="33" customHeight="1">
      <c r="C144" s="250" t="s">
        <v>146</v>
      </c>
    </row>
    <row r="145" spans="3:3" ht="33" customHeight="1">
      <c r="C145" s="250" t="s">
        <v>146</v>
      </c>
    </row>
    <row r="146" spans="3:3" ht="33" customHeight="1">
      <c r="C146" s="250" t="s">
        <v>146</v>
      </c>
    </row>
    <row r="147" spans="3:3" ht="33" customHeight="1">
      <c r="C147" s="250" t="s">
        <v>146</v>
      </c>
    </row>
    <row r="148" spans="3:3" ht="33" customHeight="1">
      <c r="C148" s="17" t="s">
        <v>146</v>
      </c>
    </row>
    <row r="149" spans="3:3" ht="33" customHeight="1">
      <c r="C149" s="17"/>
    </row>
    <row r="150" spans="3:3" ht="33" customHeight="1">
      <c r="C150" s="17"/>
    </row>
    <row r="151" spans="3:3" ht="33" customHeight="1">
      <c r="C151" s="17"/>
    </row>
    <row r="152" spans="3:3" ht="33" customHeight="1">
      <c r="C152" s="17"/>
    </row>
    <row r="153" spans="3:3" ht="33" customHeight="1">
      <c r="C153" s="232"/>
    </row>
    <row r="154" spans="3:3" ht="33" customHeight="1">
      <c r="C154" s="232"/>
    </row>
    <row r="155" spans="3:3" ht="33" customHeight="1">
      <c r="C155" s="232"/>
    </row>
    <row r="156" spans="3:3" ht="33" customHeight="1">
      <c r="C156" s="232"/>
    </row>
    <row r="157" spans="3:3" ht="33" customHeight="1">
      <c r="C157" s="232"/>
    </row>
    <row r="158" spans="3:3" ht="33" customHeight="1">
      <c r="C158" s="232"/>
    </row>
    <row r="159" spans="3:3" ht="33" customHeight="1">
      <c r="C159" s="232"/>
    </row>
    <row r="180" spans="3:3" ht="33" customHeight="1">
      <c r="C180" s="254"/>
    </row>
    <row r="181" spans="3:3" ht="33" customHeight="1">
      <c r="C181" s="255"/>
    </row>
    <row r="182" spans="3:3" ht="33" customHeight="1">
      <c r="C182" s="254"/>
    </row>
    <row r="183" spans="3:3" ht="33" customHeight="1">
      <c r="C183" s="254"/>
    </row>
    <row r="184" spans="3:3" ht="33" customHeight="1">
      <c r="C184" s="254"/>
    </row>
    <row r="185" spans="3:3" ht="33" customHeight="1">
      <c r="C185" s="254"/>
    </row>
    <row r="186" spans="3:3" ht="33" customHeight="1">
      <c r="C186" s="254"/>
    </row>
    <row r="187" spans="3:3" ht="33" customHeight="1">
      <c r="C187" s="254"/>
    </row>
    <row r="188" spans="3:3" ht="33" customHeight="1">
      <c r="C188" s="254"/>
    </row>
    <row r="189" spans="3:3" ht="33" customHeight="1">
      <c r="C189" s="254"/>
    </row>
    <row r="190" spans="3:3" ht="33" customHeight="1">
      <c r="C190" s="254"/>
    </row>
    <row r="191" spans="3:3" ht="33" customHeight="1">
      <c r="C191" s="254"/>
    </row>
    <row r="192" spans="3:3" ht="33" customHeight="1">
      <c r="C192" s="256"/>
    </row>
    <row r="193" spans="3:3" ht="33" customHeight="1">
      <c r="C193" s="257"/>
    </row>
    <row r="194" spans="3:3" ht="33" customHeight="1">
      <c r="C194" s="258"/>
    </row>
    <row r="195" spans="3:3" ht="33" customHeight="1" thickBot="1">
      <c r="C195" s="259"/>
    </row>
    <row r="196" spans="3:3" ht="33" customHeight="1" thickTop="1">
      <c r="C196" s="258"/>
    </row>
    <row r="197" spans="3:3" ht="33" customHeight="1">
      <c r="C197" s="258"/>
    </row>
    <row r="198" spans="3:3" ht="33" customHeight="1">
      <c r="C198" s="256"/>
    </row>
    <row r="199" spans="3:3" ht="33" customHeight="1">
      <c r="C199" s="257"/>
    </row>
    <row r="200" spans="3:3" ht="33" customHeight="1">
      <c r="C200" s="260"/>
    </row>
    <row r="201" spans="3:3" ht="33" customHeight="1">
      <c r="C201" s="261"/>
    </row>
    <row r="202" spans="3:3" ht="33" customHeight="1">
      <c r="C202" s="262"/>
    </row>
    <row r="203" spans="3:3" ht="33" customHeight="1">
      <c r="C203" s="257"/>
    </row>
    <row r="204" spans="3:3" ht="33" customHeight="1">
      <c r="C204" s="236"/>
    </row>
    <row r="205" spans="3:3" ht="33" customHeight="1">
      <c r="C205" s="236"/>
    </row>
    <row r="239" spans="3:3" ht="33" customHeight="1">
      <c r="C239" s="236"/>
    </row>
    <row r="240" spans="3:3" ht="33" customHeight="1">
      <c r="C240" s="236"/>
    </row>
    <row r="241" spans="3:3" ht="33" customHeight="1">
      <c r="C241" s="236"/>
    </row>
    <row r="242" spans="3:3" ht="33" customHeight="1">
      <c r="C242" s="236"/>
    </row>
    <row r="243" spans="3:3" ht="33" customHeight="1">
      <c r="C243" s="236"/>
    </row>
    <row r="244" spans="3:3" ht="33" customHeight="1">
      <c r="C244" s="236"/>
    </row>
    <row r="245" spans="3:3" ht="33" customHeight="1">
      <c r="C245" s="236"/>
    </row>
    <row r="246" spans="3:3" ht="33" customHeight="1">
      <c r="C246" s="236"/>
    </row>
    <row r="247" spans="3:3" ht="33" customHeight="1">
      <c r="C247" s="236"/>
    </row>
    <row r="248" spans="3:3" ht="33" customHeight="1">
      <c r="C248" s="236"/>
    </row>
    <row r="249" spans="3:3" ht="33" customHeight="1">
      <c r="C249" s="236"/>
    </row>
    <row r="250" spans="3:3" ht="33" customHeight="1">
      <c r="C250" s="236"/>
    </row>
    <row r="251" spans="3:3" ht="33" customHeight="1">
      <c r="C251" s="236"/>
    </row>
    <row r="252" spans="3:3" ht="33" customHeight="1">
      <c r="C252" s="236"/>
    </row>
    <row r="253" spans="3:3" ht="33" customHeight="1">
      <c r="C253" s="236"/>
    </row>
    <row r="254" spans="3:3" ht="33" customHeight="1">
      <c r="C254" s="236"/>
    </row>
    <row r="255" spans="3:3" ht="33" customHeight="1">
      <c r="C255" s="236"/>
    </row>
    <row r="256" spans="3:3" ht="33" customHeight="1">
      <c r="C256" s="236"/>
    </row>
    <row r="257" spans="3:3" ht="33" customHeight="1">
      <c r="C257" s="258"/>
    </row>
    <row r="258" spans="3:3" ht="33" customHeight="1">
      <c r="C258" s="256"/>
    </row>
    <row r="259" spans="3:3" ht="33" customHeight="1">
      <c r="C259" s="258"/>
    </row>
    <row r="260" spans="3:3" ht="33" customHeight="1">
      <c r="C260" s="258"/>
    </row>
    <row r="261" spans="3:3" ht="33" customHeight="1">
      <c r="C261" s="263"/>
    </row>
    <row r="262" spans="3:3" ht="33" customHeight="1">
      <c r="C262" s="244"/>
    </row>
    <row r="263" spans="3:3" ht="33" customHeight="1">
      <c r="C263" s="264"/>
    </row>
    <row r="264" spans="3:3" ht="33" customHeight="1">
      <c r="C264" s="264"/>
    </row>
    <row r="265" spans="3:3" ht="33" customHeight="1">
      <c r="C265" s="263"/>
    </row>
    <row r="266" spans="3:3" ht="33" customHeight="1">
      <c r="C266" s="244"/>
    </row>
    <row r="267" spans="3:3" ht="33" customHeight="1">
      <c r="C267" s="264"/>
    </row>
    <row r="268" spans="3:3" ht="33" customHeight="1">
      <c r="C268" s="264"/>
    </row>
    <row r="269" spans="3:3" ht="33" customHeight="1">
      <c r="C269" s="263"/>
    </row>
    <row r="270" spans="3:3" ht="33" customHeight="1">
      <c r="C270" s="244"/>
    </row>
    <row r="271" spans="3:3" ht="33" customHeight="1">
      <c r="C271" s="264"/>
    </row>
    <row r="272" spans="3:3" ht="33" customHeight="1">
      <c r="C272" s="263"/>
    </row>
    <row r="273" spans="3:3" ht="33" customHeight="1">
      <c r="C273" s="244"/>
    </row>
    <row r="274" spans="3:3" ht="33" customHeight="1">
      <c r="C274" s="264"/>
    </row>
    <row r="275" spans="3:3" ht="33" customHeight="1">
      <c r="C275" s="263"/>
    </row>
    <row r="276" spans="3:3" ht="33" customHeight="1">
      <c r="C276" s="244"/>
    </row>
    <row r="277" spans="3:3" ht="33" customHeight="1">
      <c r="C277" s="264"/>
    </row>
    <row r="278" spans="3:3" ht="33" customHeight="1">
      <c r="C278" s="263"/>
    </row>
    <row r="279" spans="3:3" ht="33" customHeight="1">
      <c r="C279" s="244"/>
    </row>
    <row r="280" spans="3:3" ht="33" customHeight="1">
      <c r="C280" s="264"/>
    </row>
    <row r="281" spans="3:3" ht="33" customHeight="1">
      <c r="C281" s="263"/>
    </row>
    <row r="282" spans="3:3" ht="33" customHeight="1">
      <c r="C282" s="244"/>
    </row>
    <row r="283" spans="3:3" ht="33" customHeight="1">
      <c r="C283" s="264"/>
    </row>
    <row r="284" spans="3:3" ht="33" customHeight="1">
      <c r="C284" s="263"/>
    </row>
    <row r="285" spans="3:3" ht="33" customHeight="1">
      <c r="C285" s="244"/>
    </row>
    <row r="286" spans="3:3" ht="33" customHeight="1">
      <c r="C286" s="264"/>
    </row>
    <row r="287" spans="3:3" ht="33" customHeight="1">
      <c r="C287" s="263"/>
    </row>
    <row r="288" spans="3:3" ht="33" customHeight="1">
      <c r="C288" s="244"/>
    </row>
    <row r="289" spans="3:3" ht="33" customHeight="1">
      <c r="C289" s="264"/>
    </row>
    <row r="290" spans="3:3" ht="33" customHeight="1">
      <c r="C290" s="263"/>
    </row>
    <row r="291" spans="3:3" ht="33" customHeight="1">
      <c r="C291" s="244"/>
    </row>
    <row r="292" spans="3:3" ht="33" customHeight="1">
      <c r="C292" s="264"/>
    </row>
    <row r="293" spans="3:3" ht="33" customHeight="1">
      <c r="C293" s="263"/>
    </row>
    <row r="294" spans="3:3" ht="33" customHeight="1">
      <c r="C294" s="244"/>
    </row>
    <row r="295" spans="3:3" ht="33" customHeight="1">
      <c r="C295" s="264"/>
    </row>
    <row r="296" spans="3:3" ht="33" customHeight="1">
      <c r="C296" s="263"/>
    </row>
    <row r="297" spans="3:3" ht="33" customHeight="1">
      <c r="C297" s="244"/>
    </row>
    <row r="298" spans="3:3" ht="33" customHeight="1">
      <c r="C298" s="264"/>
    </row>
    <row r="299" spans="3:3" ht="33" customHeight="1">
      <c r="C299" s="263"/>
    </row>
    <row r="300" spans="3:3" ht="33" customHeight="1">
      <c r="C300" s="244"/>
    </row>
    <row r="301" spans="3:3" ht="33" customHeight="1">
      <c r="C301" s="264"/>
    </row>
    <row r="302" spans="3:3" ht="33" customHeight="1">
      <c r="C302" s="263"/>
    </row>
    <row r="303" spans="3:3" ht="33" customHeight="1">
      <c r="C303" s="244"/>
    </row>
    <row r="304" spans="3:3" ht="33" customHeight="1">
      <c r="C304" s="264"/>
    </row>
    <row r="305" spans="3:3" ht="33" customHeight="1">
      <c r="C305" s="263"/>
    </row>
    <row r="306" spans="3:3" ht="33" customHeight="1">
      <c r="C306" s="244"/>
    </row>
    <row r="307" spans="3:3" ht="33" customHeight="1">
      <c r="C307" s="264"/>
    </row>
    <row r="308" spans="3:3" ht="33" customHeight="1">
      <c r="C308" s="263"/>
    </row>
    <row r="309" spans="3:3" ht="33" customHeight="1">
      <c r="C309" s="244"/>
    </row>
    <row r="310" spans="3:3" ht="33" customHeight="1">
      <c r="C310" s="264"/>
    </row>
    <row r="311" spans="3:3" ht="33" customHeight="1">
      <c r="C311" s="263"/>
    </row>
    <row r="312" spans="3:3" ht="33" customHeight="1">
      <c r="C312" s="244"/>
    </row>
    <row r="313" spans="3:3" ht="33" customHeight="1">
      <c r="C313" s="264"/>
    </row>
    <row r="314" spans="3:3" ht="33" customHeight="1">
      <c r="C314" s="263"/>
    </row>
    <row r="315" spans="3:3" ht="33" customHeight="1">
      <c r="C315" s="244"/>
    </row>
    <row r="316" spans="3:3" ht="33" customHeight="1">
      <c r="C316" s="264"/>
    </row>
    <row r="317" spans="3:3" ht="33" customHeight="1">
      <c r="C317" s="263"/>
    </row>
    <row r="318" spans="3:3" ht="33" customHeight="1">
      <c r="C318" s="244"/>
    </row>
    <row r="319" spans="3:3" ht="33" customHeight="1">
      <c r="C319" s="264"/>
    </row>
    <row r="320" spans="3:3" ht="33" customHeight="1">
      <c r="C320" s="263"/>
    </row>
    <row r="321" spans="3:3" ht="33" customHeight="1">
      <c r="C321" s="244"/>
    </row>
    <row r="322" spans="3:3" ht="33" customHeight="1">
      <c r="C322" s="264"/>
    </row>
    <row r="323" spans="3:3" ht="33" customHeight="1">
      <c r="C323" s="263"/>
    </row>
    <row r="324" spans="3:3" ht="33" customHeight="1">
      <c r="C324" s="244"/>
    </row>
    <row r="325" spans="3:3" ht="33" customHeight="1">
      <c r="C325" s="264"/>
    </row>
    <row r="326" spans="3:3" ht="33" customHeight="1">
      <c r="C326" s="263"/>
    </row>
    <row r="327" spans="3:3" ht="33" customHeight="1">
      <c r="C327" s="244"/>
    </row>
    <row r="328" spans="3:3" ht="33" customHeight="1">
      <c r="C328" s="264"/>
    </row>
    <row r="329" spans="3:3" ht="33" customHeight="1">
      <c r="C329" s="263"/>
    </row>
    <row r="330" spans="3:3" ht="33" customHeight="1">
      <c r="C330" s="244"/>
    </row>
    <row r="331" spans="3:3" ht="33" customHeight="1">
      <c r="C331" s="264"/>
    </row>
    <row r="332" spans="3:3" ht="33" customHeight="1">
      <c r="C332" s="263"/>
    </row>
    <row r="333" spans="3:3" ht="33" customHeight="1">
      <c r="C333" s="244"/>
    </row>
    <row r="334" spans="3:3" ht="33" customHeight="1">
      <c r="C334" s="264"/>
    </row>
    <row r="335" spans="3:3" ht="33" customHeight="1">
      <c r="C335" s="263"/>
    </row>
    <row r="336" spans="3:3" ht="33" customHeight="1">
      <c r="C336" s="244"/>
    </row>
    <row r="337" spans="3:3" ht="33" customHeight="1">
      <c r="C337" s="264"/>
    </row>
    <row r="338" spans="3:3" ht="33" customHeight="1">
      <c r="C338" s="263"/>
    </row>
    <row r="339" spans="3:3" ht="33" customHeight="1">
      <c r="C339" s="244"/>
    </row>
    <row r="340" spans="3:3" ht="33" customHeight="1">
      <c r="C340" s="264"/>
    </row>
    <row r="341" spans="3:3" ht="33" customHeight="1">
      <c r="C341" s="263"/>
    </row>
    <row r="342" spans="3:3" ht="33" customHeight="1">
      <c r="C342" s="244"/>
    </row>
    <row r="343" spans="3:3" ht="33" customHeight="1">
      <c r="C343" s="264"/>
    </row>
    <row r="344" spans="3:3" ht="33" customHeight="1">
      <c r="C344" s="263"/>
    </row>
    <row r="345" spans="3:3" ht="33" customHeight="1">
      <c r="C345" s="244"/>
    </row>
    <row r="346" spans="3:3" ht="33" customHeight="1">
      <c r="C346" s="264"/>
    </row>
    <row r="347" spans="3:3" ht="33" customHeight="1">
      <c r="C347" s="263"/>
    </row>
    <row r="348" spans="3:3" ht="33" customHeight="1">
      <c r="C348" s="244"/>
    </row>
    <row r="349" spans="3:3" ht="33" customHeight="1">
      <c r="C349" s="264"/>
    </row>
    <row r="350" spans="3:3" ht="33" customHeight="1">
      <c r="C350" s="263"/>
    </row>
    <row r="351" spans="3:3" ht="33" customHeight="1">
      <c r="C351" s="244"/>
    </row>
    <row r="352" spans="3:3" ht="33" customHeight="1">
      <c r="C352" s="264"/>
    </row>
    <row r="353" spans="3:3" ht="33" customHeight="1">
      <c r="C353" s="263"/>
    </row>
    <row r="354" spans="3:3" ht="33" customHeight="1">
      <c r="C354" s="244"/>
    </row>
    <row r="355" spans="3:3" ht="33" customHeight="1">
      <c r="C355" s="264"/>
    </row>
    <row r="356" spans="3:3" ht="33" customHeight="1">
      <c r="C356" s="263"/>
    </row>
    <row r="357" spans="3:3" ht="33" customHeight="1">
      <c r="C357" s="244"/>
    </row>
    <row r="358" spans="3:3" ht="33" customHeight="1">
      <c r="C358" s="264"/>
    </row>
    <row r="359" spans="3:3" ht="33" customHeight="1">
      <c r="C359" s="263"/>
    </row>
    <row r="360" spans="3:3" ht="33" customHeight="1">
      <c r="C360" s="244"/>
    </row>
    <row r="361" spans="3:3" ht="33" customHeight="1">
      <c r="C361" s="264"/>
    </row>
    <row r="362" spans="3:3" ht="33" customHeight="1">
      <c r="C362" s="263"/>
    </row>
    <row r="363" spans="3:3" ht="33" customHeight="1">
      <c r="C363" s="244"/>
    </row>
    <row r="364" spans="3:3" ht="33" customHeight="1">
      <c r="C364" s="264"/>
    </row>
    <row r="365" spans="3:3" ht="33" customHeight="1">
      <c r="C365" s="263"/>
    </row>
    <row r="366" spans="3:3" ht="33" customHeight="1">
      <c r="C366" s="244"/>
    </row>
    <row r="367" spans="3:3" ht="33" customHeight="1">
      <c r="C367" s="264"/>
    </row>
    <row r="368" spans="3:3" ht="33" customHeight="1">
      <c r="C368" s="263"/>
    </row>
    <row r="369" spans="3:3" ht="33" customHeight="1">
      <c r="C369" s="244"/>
    </row>
    <row r="370" spans="3:3" ht="33" customHeight="1">
      <c r="C370" s="264"/>
    </row>
    <row r="371" spans="3:3" ht="33" customHeight="1">
      <c r="C371" s="263"/>
    </row>
    <row r="372" spans="3:3" ht="33" customHeight="1">
      <c r="C372" s="244"/>
    </row>
    <row r="373" spans="3:3" ht="33" customHeight="1">
      <c r="C373" s="264"/>
    </row>
    <row r="374" spans="3:3" ht="33" customHeight="1">
      <c r="C374" s="263"/>
    </row>
    <row r="375" spans="3:3" ht="33" customHeight="1">
      <c r="C375" s="244"/>
    </row>
    <row r="376" spans="3:3" ht="33" customHeight="1">
      <c r="C376" s="264"/>
    </row>
    <row r="377" spans="3:3" ht="33" customHeight="1">
      <c r="C377" s="263"/>
    </row>
    <row r="378" spans="3:3" ht="33" customHeight="1">
      <c r="C378" s="244"/>
    </row>
    <row r="379" spans="3:3" ht="33" customHeight="1">
      <c r="C379" s="264"/>
    </row>
    <row r="380" spans="3:3" ht="33" customHeight="1">
      <c r="C380" s="263"/>
    </row>
    <row r="381" spans="3:3" ht="33" customHeight="1">
      <c r="C381" s="244"/>
    </row>
    <row r="382" spans="3:3" ht="33" customHeight="1">
      <c r="C382" s="264"/>
    </row>
    <row r="383" spans="3:3" ht="33" customHeight="1">
      <c r="C383" s="263"/>
    </row>
    <row r="384" spans="3:3" ht="33" customHeight="1">
      <c r="C384" s="244"/>
    </row>
    <row r="385" spans="3:3" ht="33" customHeight="1">
      <c r="C385" s="264"/>
    </row>
    <row r="386" spans="3:3" ht="33" customHeight="1">
      <c r="C386" s="263"/>
    </row>
    <row r="387" spans="3:3" ht="33" customHeight="1">
      <c r="C387" s="244"/>
    </row>
    <row r="388" spans="3:3" ht="33" customHeight="1">
      <c r="C388" s="264"/>
    </row>
    <row r="389" spans="3:3" ht="33" customHeight="1">
      <c r="C389" s="263"/>
    </row>
    <row r="390" spans="3:3" ht="33" customHeight="1">
      <c r="C390" s="244"/>
    </row>
    <row r="391" spans="3:3" ht="33" customHeight="1">
      <c r="C391" s="264"/>
    </row>
    <row r="392" spans="3:3" ht="33" customHeight="1">
      <c r="C392" s="263"/>
    </row>
    <row r="393" spans="3:3" ht="33" customHeight="1">
      <c r="C393" s="244"/>
    </row>
    <row r="394" spans="3:3" ht="33" customHeight="1">
      <c r="C394" s="264"/>
    </row>
    <row r="395" spans="3:3" ht="33" customHeight="1">
      <c r="C395" s="263"/>
    </row>
    <row r="396" spans="3:3" ht="33" customHeight="1">
      <c r="C396" s="244"/>
    </row>
    <row r="397" spans="3:3" ht="33" customHeight="1">
      <c r="C397" s="264"/>
    </row>
    <row r="398" spans="3:3" ht="33" customHeight="1">
      <c r="C398" s="263"/>
    </row>
    <row r="399" spans="3:3" ht="33" customHeight="1">
      <c r="C399" s="244"/>
    </row>
    <row r="400" spans="3:3" ht="33" customHeight="1">
      <c r="C400" s="264"/>
    </row>
    <row r="401" spans="3:3" ht="33" customHeight="1">
      <c r="C401" s="265"/>
    </row>
    <row r="402" spans="3:3" ht="33" customHeight="1">
      <c r="C402" s="266"/>
    </row>
  </sheetData>
  <mergeCells count="13">
    <mergeCell ref="D78:D93"/>
    <mergeCell ref="D2:D10"/>
    <mergeCell ref="A1:A10"/>
    <mergeCell ref="A51:A52"/>
    <mergeCell ref="A11:A18"/>
    <mergeCell ref="A19:A22"/>
    <mergeCell ref="A27:A49"/>
    <mergeCell ref="A78:A93"/>
    <mergeCell ref="G51:I51"/>
    <mergeCell ref="D26:D50"/>
    <mergeCell ref="I4:I5"/>
    <mergeCell ref="J4:J5"/>
    <mergeCell ref="K4:K7"/>
  </mergeCells>
  <hyperlinks>
    <hyperlink ref="C108" r:id="rId1" display="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xr:uid="{829499F2-40C2-4559-A5E0-2BB95317B209}"/>
    <hyperlink ref="C113" r:id="rId2" display="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xr:uid="{DB179BC9-BE44-4E7C-AFDD-31753270AB5D}"/>
  </hyperlinks>
  <pageMargins left="0.7" right="0.7" top="0.26" bottom="0.34" header="0.3" footer="0.3"/>
  <pageSetup orientation="portrait"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FDA461-4D39-48C2-8361-240011A442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email cvr</vt:lpstr>
      <vt:lpstr>docs table</vt:lpstr>
      <vt:lpstr>notary1</vt:lpstr>
      <vt:lpstr>notary2</vt:lpstr>
      <vt:lpstr>notary3</vt:lpstr>
      <vt:lpstr>email cvr (2)</vt:lpstr>
      <vt:lpstr>pay</vt:lpstr>
      <vt:lpstr>1st pay</vt:lpstr>
      <vt:lpstr>jobinfo(2)</vt:lpstr>
      <vt:lpstr>'1st pay'!Print_Area</vt:lpstr>
      <vt:lpstr>'docs table'!Print_Area</vt:lpstr>
      <vt:lpstr>'email cvr'!Print_Area</vt:lpstr>
      <vt:lpstr>'email cvr (2)'!Print_Area</vt:lpstr>
      <vt:lpstr>'jobinfo(2)'!Print_Area</vt:lpstr>
      <vt:lpstr>pay!Print_Area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joe jones</cp:lastModifiedBy>
  <cp:revision/>
  <dcterms:created xsi:type="dcterms:W3CDTF">2017-05-30T20:50:42Z</dcterms:created>
  <dcterms:modified xsi:type="dcterms:W3CDTF">2024-10-22T02:02:13Z</dcterms:modified>
  <cp:category/>
  <cp:contentStatus/>
</cp:coreProperties>
</file>